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hakm\Documents\ELHApp-backend\docs\static_data\LCFS\"/>
    </mc:Choice>
  </mc:AlternateContent>
  <xr:revisionPtr revIDLastSave="0" documentId="13_ncr:1_{772A88B5-9A3B-4A4A-8EE4-F271E65BBA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rn Processors" sheetId="5" r:id="rId1"/>
    <sheet name="Summary" sheetId="1" r:id="rId2"/>
    <sheet name="Fiber Rows" sheetId="2" r:id="rId3"/>
    <sheet name="By Plant" sheetId="3" r:id="rId4"/>
    <sheet name="Raw Label Check" sheetId="4" r:id="rId5"/>
  </sheets>
  <externalReferences>
    <externalReference r:id="rId6"/>
    <externalReference r:id="rId7"/>
  </externalReferences>
  <definedNames>
    <definedName name="_xlnm._FilterDatabase" localSheetId="3" hidden="1">'By Plant'!$A$1:$K$83</definedName>
    <definedName name="_xlnm._FilterDatabase" localSheetId="0" hidden="1">'Corn Processors'!$A$1:$BL$209</definedName>
    <definedName name="Sections">[2]Filters!$A$2:$A$4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2" i="3"/>
  <c r="S212" i="5"/>
  <c r="AY209" i="5"/>
  <c r="R209" i="5"/>
  <c r="H209" i="5"/>
  <c r="AY208" i="5"/>
  <c r="R208" i="5"/>
  <c r="H208" i="5"/>
  <c r="AY207" i="5"/>
  <c r="R207" i="5"/>
  <c r="H207" i="5"/>
  <c r="AY206" i="5"/>
  <c r="R206" i="5"/>
  <c r="H206" i="5"/>
  <c r="BK205" i="5"/>
  <c r="AX205" i="5"/>
  <c r="AY205" i="5" s="1"/>
  <c r="AQ205" i="5"/>
  <c r="AR205" i="5" s="1"/>
  <c r="AJ205" i="5"/>
  <c r="AK205" i="5" s="1"/>
  <c r="AL205" i="5" s="1"/>
  <c r="AO205" i="5" s="1"/>
  <c r="H205" i="5"/>
  <c r="BK204" i="5"/>
  <c r="AX204" i="5"/>
  <c r="AY204" i="5" s="1"/>
  <c r="AQ204" i="5"/>
  <c r="AR204" i="5" s="1"/>
  <c r="AJ204" i="5"/>
  <c r="AK204" i="5" s="1"/>
  <c r="AL204" i="5" s="1"/>
  <c r="R204" i="5"/>
  <c r="H204" i="5"/>
  <c r="BK203" i="5"/>
  <c r="AX203" i="5"/>
  <c r="AY203" i="5" s="1"/>
  <c r="AQ203" i="5"/>
  <c r="AR203" i="5" s="1"/>
  <c r="AJ203" i="5"/>
  <c r="AK203" i="5" s="1"/>
  <c r="AL203" i="5" s="1"/>
  <c r="R203" i="5"/>
  <c r="H203" i="5"/>
  <c r="BK202" i="5"/>
  <c r="AX202" i="5"/>
  <c r="AY202" i="5" s="1"/>
  <c r="AQ202" i="5"/>
  <c r="AR202" i="5" s="1"/>
  <c r="AJ202" i="5"/>
  <c r="AK202" i="5" s="1"/>
  <c r="AL202" i="5" s="1"/>
  <c r="R202" i="5"/>
  <c r="H202" i="5"/>
  <c r="BK201" i="5"/>
  <c r="AX201" i="5"/>
  <c r="AY201" i="5" s="1"/>
  <c r="AQ201" i="5"/>
  <c r="AR201" i="5" s="1"/>
  <c r="AJ201" i="5"/>
  <c r="AK201" i="5" s="1"/>
  <c r="AL201" i="5" s="1"/>
  <c r="R201" i="5"/>
  <c r="H201" i="5"/>
  <c r="BK200" i="5"/>
  <c r="AX200" i="5"/>
  <c r="AY200" i="5" s="1"/>
  <c r="AQ200" i="5"/>
  <c r="AR200" i="5" s="1"/>
  <c r="AJ200" i="5"/>
  <c r="AK200" i="5" s="1"/>
  <c r="AL200" i="5" s="1"/>
  <c r="AS200" i="5" s="1"/>
  <c r="R200" i="5"/>
  <c r="H200" i="5"/>
  <c r="BK199" i="5"/>
  <c r="AX199" i="5"/>
  <c r="AY199" i="5" s="1"/>
  <c r="AQ199" i="5"/>
  <c r="AR199" i="5" s="1"/>
  <c r="AJ199" i="5"/>
  <c r="AK199" i="5" s="1"/>
  <c r="AL199" i="5" s="1"/>
  <c r="R199" i="5"/>
  <c r="H199" i="5"/>
  <c r="BK198" i="5"/>
  <c r="AX198" i="5"/>
  <c r="AY198" i="5" s="1"/>
  <c r="AQ198" i="5"/>
  <c r="AR198" i="5" s="1"/>
  <c r="AJ198" i="5"/>
  <c r="AK198" i="5" s="1"/>
  <c r="AL198" i="5" s="1"/>
  <c r="R198" i="5"/>
  <c r="H198" i="5"/>
  <c r="BK197" i="5"/>
  <c r="AE197" i="5" s="1"/>
  <c r="BA197" i="5"/>
  <c r="AX197" i="5"/>
  <c r="AY197" i="5" s="1"/>
  <c r="AQ197" i="5"/>
  <c r="AR197" i="5" s="1"/>
  <c r="AJ197" i="5"/>
  <c r="AZ197" i="5" s="1"/>
  <c r="R197" i="5"/>
  <c r="H197" i="5"/>
  <c r="F197" i="5"/>
  <c r="BK196" i="5"/>
  <c r="AE196" i="5" s="1"/>
  <c r="AX196" i="5"/>
  <c r="AY196" i="5" s="1"/>
  <c r="AQ196" i="5"/>
  <c r="AR196" i="5" s="1"/>
  <c r="AJ196" i="5"/>
  <c r="BA196" i="5" s="1"/>
  <c r="R196" i="5"/>
  <c r="H196" i="5"/>
  <c r="F196" i="5"/>
  <c r="BK195" i="5"/>
  <c r="AE195" i="5" s="1"/>
  <c r="BA195" i="5"/>
  <c r="AX195" i="5"/>
  <c r="AY195" i="5" s="1"/>
  <c r="AQ195" i="5"/>
  <c r="AR195" i="5" s="1"/>
  <c r="AJ195" i="5"/>
  <c r="AZ195" i="5" s="1"/>
  <c r="R195" i="5"/>
  <c r="H195" i="5"/>
  <c r="BK194" i="5"/>
  <c r="AE194" i="5" s="1"/>
  <c r="AX194" i="5"/>
  <c r="AY194" i="5" s="1"/>
  <c r="AQ194" i="5"/>
  <c r="AR194" i="5" s="1"/>
  <c r="AJ194" i="5"/>
  <c r="BA194" i="5" s="1"/>
  <c r="R194" i="5"/>
  <c r="F194" i="5"/>
  <c r="BK193" i="5"/>
  <c r="AE193" i="5" s="1"/>
  <c r="AX193" i="5"/>
  <c r="AY193" i="5" s="1"/>
  <c r="AQ193" i="5"/>
  <c r="AR193" i="5" s="1"/>
  <c r="AJ193" i="5"/>
  <c r="BA193" i="5" s="1"/>
  <c r="R193" i="5"/>
  <c r="H193" i="5"/>
  <c r="F193" i="5"/>
  <c r="BK192" i="5"/>
  <c r="AE192" i="5" s="1"/>
  <c r="AX192" i="5"/>
  <c r="AY192" i="5" s="1"/>
  <c r="AQ192" i="5"/>
  <c r="AR192" i="5" s="1"/>
  <c r="AJ192" i="5"/>
  <c r="BA192" i="5" s="1"/>
  <c r="R192" i="5"/>
  <c r="H192" i="5"/>
  <c r="F192" i="5"/>
  <c r="BK191" i="5"/>
  <c r="AE191" i="5" s="1"/>
  <c r="AX191" i="5"/>
  <c r="AY191" i="5" s="1"/>
  <c r="AQ191" i="5"/>
  <c r="AR191" i="5" s="1"/>
  <c r="AJ191" i="5"/>
  <c r="R191" i="5"/>
  <c r="H191" i="5"/>
  <c r="F191" i="5"/>
  <c r="BK190" i="5"/>
  <c r="AE190" i="5" s="1"/>
  <c r="BA190" i="5"/>
  <c r="AX190" i="5"/>
  <c r="AY190" i="5" s="1"/>
  <c r="AQ190" i="5"/>
  <c r="AR190" i="5" s="1"/>
  <c r="AJ190" i="5"/>
  <c r="R190" i="5"/>
  <c r="H190" i="5"/>
  <c r="F190" i="5"/>
  <c r="BK189" i="5"/>
  <c r="AE189" i="5" s="1"/>
  <c r="AX189" i="5"/>
  <c r="AY189" i="5" s="1"/>
  <c r="AQ189" i="5"/>
  <c r="AR189" i="5" s="1"/>
  <c r="AJ189" i="5"/>
  <c r="BA189" i="5" s="1"/>
  <c r="R189" i="5"/>
  <c r="H189" i="5"/>
  <c r="F189" i="5"/>
  <c r="BK188" i="5"/>
  <c r="AE188" i="5" s="1"/>
  <c r="AX188" i="5"/>
  <c r="AY188" i="5" s="1"/>
  <c r="AQ188" i="5"/>
  <c r="AR188" i="5" s="1"/>
  <c r="AJ188" i="5"/>
  <c r="BA188" i="5" s="1"/>
  <c r="R188" i="5"/>
  <c r="H188" i="5"/>
  <c r="F188" i="5"/>
  <c r="BK187" i="5"/>
  <c r="AE187" i="5" s="1"/>
  <c r="AX187" i="5"/>
  <c r="AY187" i="5" s="1"/>
  <c r="AQ187" i="5"/>
  <c r="AR187" i="5" s="1"/>
  <c r="AJ187" i="5"/>
  <c r="BA187" i="5" s="1"/>
  <c r="R187" i="5"/>
  <c r="H187" i="5"/>
  <c r="F187" i="5"/>
  <c r="BK186" i="5"/>
  <c r="AE186" i="5" s="1"/>
  <c r="AX186" i="5"/>
  <c r="AY186" i="5" s="1"/>
  <c r="AQ186" i="5"/>
  <c r="AR186" i="5" s="1"/>
  <c r="AJ186" i="5"/>
  <c r="BA186" i="5" s="1"/>
  <c r="R186" i="5"/>
  <c r="H186" i="5"/>
  <c r="F186" i="5"/>
  <c r="BK185" i="5"/>
  <c r="AE185" i="5" s="1"/>
  <c r="BB185" i="5"/>
  <c r="AY185" i="5"/>
  <c r="AQ185" i="5"/>
  <c r="AR185" i="5" s="1"/>
  <c r="AJ185" i="5"/>
  <c r="BA185" i="5" s="1"/>
  <c r="Z185" i="5"/>
  <c r="R185" i="5"/>
  <c r="H185" i="5"/>
  <c r="F185" i="5"/>
  <c r="BK184" i="5"/>
  <c r="AE184" i="5" s="1"/>
  <c r="AX184" i="5"/>
  <c r="AY184" i="5" s="1"/>
  <c r="AQ184" i="5"/>
  <c r="AR184" i="5" s="1"/>
  <c r="AJ184" i="5"/>
  <c r="R184" i="5"/>
  <c r="H184" i="5"/>
  <c r="F184" i="5"/>
  <c r="BK183" i="5"/>
  <c r="AE183" i="5" s="1"/>
  <c r="AX183" i="5"/>
  <c r="AY183" i="5" s="1"/>
  <c r="AQ183" i="5"/>
  <c r="AR183" i="5" s="1"/>
  <c r="AJ183" i="5"/>
  <c r="BA183" i="5" s="1"/>
  <c r="R183" i="5"/>
  <c r="H183" i="5"/>
  <c r="F183" i="5"/>
  <c r="BK182" i="5"/>
  <c r="AE182" i="5" s="1"/>
  <c r="AX182" i="5"/>
  <c r="AY182" i="5" s="1"/>
  <c r="AQ182" i="5"/>
  <c r="AR182" i="5" s="1"/>
  <c r="AJ182" i="5"/>
  <c r="BA182" i="5" s="1"/>
  <c r="R182" i="5"/>
  <c r="H182" i="5"/>
  <c r="F182" i="5"/>
  <c r="BK181" i="5"/>
  <c r="AE181" i="5" s="1"/>
  <c r="AX181" i="5"/>
  <c r="AY181" i="5" s="1"/>
  <c r="AQ181" i="5"/>
  <c r="AR181" i="5" s="1"/>
  <c r="AJ181" i="5"/>
  <c r="AZ181" i="5" s="1"/>
  <c r="R181" i="5"/>
  <c r="H181" i="5"/>
  <c r="F181" i="5"/>
  <c r="BK180" i="5"/>
  <c r="AE180" i="5" s="1"/>
  <c r="BB180" i="5"/>
  <c r="AX180" i="5"/>
  <c r="AY180" i="5" s="1"/>
  <c r="AQ180" i="5"/>
  <c r="AR180" i="5" s="1"/>
  <c r="AJ180" i="5"/>
  <c r="AZ180" i="5" s="1"/>
  <c r="R180" i="5"/>
  <c r="H180" i="5"/>
  <c r="F180" i="5"/>
  <c r="BK179" i="5"/>
  <c r="BB179" i="5"/>
  <c r="AX179" i="5"/>
  <c r="AY179" i="5" s="1"/>
  <c r="AQ179" i="5"/>
  <c r="AR179" i="5" s="1"/>
  <c r="AJ179" i="5"/>
  <c r="AZ179" i="5" s="1"/>
  <c r="AE179" i="5"/>
  <c r="R179" i="5"/>
  <c r="H179" i="5"/>
  <c r="F179" i="5"/>
  <c r="BK178" i="5"/>
  <c r="AE178" i="5" s="1"/>
  <c r="BB178" i="5"/>
  <c r="AX178" i="5"/>
  <c r="AY178" i="5" s="1"/>
  <c r="AQ178" i="5"/>
  <c r="AR178" i="5" s="1"/>
  <c r="AJ178" i="5"/>
  <c r="R178" i="5"/>
  <c r="H178" i="5"/>
  <c r="F178" i="5"/>
  <c r="BK177" i="5"/>
  <c r="AE177" i="5" s="1"/>
  <c r="BB177" i="5"/>
  <c r="AX177" i="5"/>
  <c r="AY177" i="5" s="1"/>
  <c r="AQ177" i="5"/>
  <c r="AR177" i="5" s="1"/>
  <c r="AJ177" i="5"/>
  <c r="BA177" i="5" s="1"/>
  <c r="R177" i="5"/>
  <c r="H177" i="5"/>
  <c r="F177" i="5"/>
  <c r="BK176" i="5"/>
  <c r="AE176" i="5" s="1"/>
  <c r="AX176" i="5"/>
  <c r="AY176" i="5" s="1"/>
  <c r="AQ176" i="5"/>
  <c r="AR176" i="5" s="1"/>
  <c r="AJ176" i="5"/>
  <c r="BA176" i="5" s="1"/>
  <c r="R176" i="5"/>
  <c r="H176" i="5"/>
  <c r="F176" i="5"/>
  <c r="BK175" i="5"/>
  <c r="AE175" i="5" s="1"/>
  <c r="AX175" i="5"/>
  <c r="AY175" i="5" s="1"/>
  <c r="AQ175" i="5"/>
  <c r="AR175" i="5" s="1"/>
  <c r="AJ175" i="5"/>
  <c r="BA175" i="5" s="1"/>
  <c r="R175" i="5"/>
  <c r="H175" i="5"/>
  <c r="F175" i="5"/>
  <c r="BK174" i="5"/>
  <c r="AE174" i="5" s="1"/>
  <c r="AX174" i="5"/>
  <c r="AY174" i="5" s="1"/>
  <c r="AQ174" i="5"/>
  <c r="AR174" i="5" s="1"/>
  <c r="AJ174" i="5"/>
  <c r="BA174" i="5" s="1"/>
  <c r="R174" i="5"/>
  <c r="H174" i="5"/>
  <c r="F174" i="5"/>
  <c r="BK173" i="5"/>
  <c r="AE173" i="5" s="1"/>
  <c r="AX173" i="5"/>
  <c r="AY173" i="5" s="1"/>
  <c r="AQ173" i="5"/>
  <c r="AR173" i="5" s="1"/>
  <c r="AJ173" i="5"/>
  <c r="BA173" i="5" s="1"/>
  <c r="AF173" i="5"/>
  <c r="R173" i="5"/>
  <c r="H173" i="5"/>
  <c r="F173" i="5"/>
  <c r="BK172" i="5"/>
  <c r="AE172" i="5" s="1"/>
  <c r="BB172" i="5"/>
  <c r="AX172" i="5"/>
  <c r="AY172" i="5" s="1"/>
  <c r="AQ172" i="5"/>
  <c r="AR172" i="5" s="1"/>
  <c r="AJ172" i="5"/>
  <c r="BA172" i="5" s="1"/>
  <c r="R172" i="5"/>
  <c r="H172" i="5"/>
  <c r="F172" i="5"/>
  <c r="BK171" i="5"/>
  <c r="AE171" i="5" s="1"/>
  <c r="AX171" i="5"/>
  <c r="AY171" i="5" s="1"/>
  <c r="AQ171" i="5"/>
  <c r="AR171" i="5" s="1"/>
  <c r="AJ171" i="5"/>
  <c r="AK171" i="5" s="1"/>
  <c r="AL171" i="5" s="1"/>
  <c r="AO171" i="5" s="1"/>
  <c r="Z171" i="5"/>
  <c r="R171" i="5"/>
  <c r="H171" i="5"/>
  <c r="F171" i="5"/>
  <c r="BK170" i="5"/>
  <c r="AE170" i="5" s="1"/>
  <c r="AX170" i="5"/>
  <c r="AY170" i="5" s="1"/>
  <c r="AQ170" i="5"/>
  <c r="AR170" i="5" s="1"/>
  <c r="AJ170" i="5"/>
  <c r="AZ170" i="5" s="1"/>
  <c r="R170" i="5"/>
  <c r="F170" i="5"/>
  <c r="BK169" i="5"/>
  <c r="AE169" i="5" s="1"/>
  <c r="AX169" i="5"/>
  <c r="AY169" i="5" s="1"/>
  <c r="AQ169" i="5"/>
  <c r="AR169" i="5" s="1"/>
  <c r="AJ169" i="5"/>
  <c r="AK169" i="5" s="1"/>
  <c r="AL169" i="5" s="1"/>
  <c r="AS169" i="5" s="1"/>
  <c r="R169" i="5"/>
  <c r="H169" i="5"/>
  <c r="F169" i="5"/>
  <c r="BK168" i="5"/>
  <c r="AE168" i="5" s="1"/>
  <c r="AX168" i="5"/>
  <c r="AY168" i="5" s="1"/>
  <c r="AQ168" i="5"/>
  <c r="AR168" i="5" s="1"/>
  <c r="AJ168" i="5"/>
  <c r="AK168" i="5" s="1"/>
  <c r="AL168" i="5" s="1"/>
  <c r="R168" i="5"/>
  <c r="F168" i="5"/>
  <c r="BK167" i="5"/>
  <c r="AE167" i="5" s="1"/>
  <c r="AX167" i="5"/>
  <c r="AY167" i="5" s="1"/>
  <c r="AQ167" i="5"/>
  <c r="AR167" i="5" s="1"/>
  <c r="AJ167" i="5"/>
  <c r="BA167" i="5" s="1"/>
  <c r="R167" i="5"/>
  <c r="H167" i="5"/>
  <c r="F167" i="5"/>
  <c r="BK166" i="5"/>
  <c r="AE166" i="5" s="1"/>
  <c r="BB166" i="5"/>
  <c r="AX166" i="5"/>
  <c r="AY166" i="5" s="1"/>
  <c r="AQ166" i="5"/>
  <c r="AR166" i="5" s="1"/>
  <c r="AJ166" i="5"/>
  <c r="BA166" i="5" s="1"/>
  <c r="R166" i="5"/>
  <c r="H166" i="5"/>
  <c r="F166" i="5"/>
  <c r="BK165" i="5"/>
  <c r="AE165" i="5" s="1"/>
  <c r="AX165" i="5"/>
  <c r="AY165" i="5" s="1"/>
  <c r="AQ165" i="5"/>
  <c r="AR165" i="5" s="1"/>
  <c r="AJ165" i="5"/>
  <c r="AK165" i="5" s="1"/>
  <c r="AL165" i="5" s="1"/>
  <c r="R165" i="5"/>
  <c r="H165" i="5"/>
  <c r="F165" i="5"/>
  <c r="BK164" i="5"/>
  <c r="AE164" i="5" s="1"/>
  <c r="AX164" i="5"/>
  <c r="AY164" i="5" s="1"/>
  <c r="AQ164" i="5"/>
  <c r="AR164" i="5" s="1"/>
  <c r="AJ164" i="5"/>
  <c r="AK164" i="5" s="1"/>
  <c r="AL164" i="5" s="1"/>
  <c r="R164" i="5"/>
  <c r="H164" i="5"/>
  <c r="F164" i="5"/>
  <c r="BK163" i="5"/>
  <c r="AE163" i="5" s="1"/>
  <c r="AX163" i="5"/>
  <c r="AY163" i="5" s="1"/>
  <c r="AQ163" i="5"/>
  <c r="AR163" i="5" s="1"/>
  <c r="AJ163" i="5"/>
  <c r="AK163" i="5" s="1"/>
  <c r="AL163" i="5" s="1"/>
  <c r="Z163" i="5"/>
  <c r="R163" i="5"/>
  <c r="H163" i="5"/>
  <c r="F163" i="5"/>
  <c r="BK162" i="5"/>
  <c r="AE162" i="5" s="1"/>
  <c r="AX162" i="5"/>
  <c r="AY162" i="5" s="1"/>
  <c r="AQ162" i="5"/>
  <c r="AR162" i="5" s="1"/>
  <c r="AJ162" i="5"/>
  <c r="AZ162" i="5" s="1"/>
  <c r="R162" i="5"/>
  <c r="H162" i="5"/>
  <c r="F162" i="5"/>
  <c r="BK161" i="5"/>
  <c r="AE161" i="5" s="1"/>
  <c r="AX161" i="5"/>
  <c r="AY161" i="5" s="1"/>
  <c r="AQ161" i="5"/>
  <c r="AR161" i="5" s="1"/>
  <c r="AJ161" i="5"/>
  <c r="BA161" i="5" s="1"/>
  <c r="R161" i="5"/>
  <c r="H161" i="5"/>
  <c r="F161" i="5"/>
  <c r="BK160" i="5"/>
  <c r="AE160" i="5" s="1"/>
  <c r="BB160" i="5"/>
  <c r="AY160" i="5"/>
  <c r="AV160" i="5"/>
  <c r="AQ160" i="5"/>
  <c r="AR160" i="5" s="1"/>
  <c r="AJ160" i="5"/>
  <c r="BA160" i="5" s="1"/>
  <c r="R160" i="5"/>
  <c r="H160" i="5"/>
  <c r="F160" i="5"/>
  <c r="BK159" i="5"/>
  <c r="AE159" i="5" s="1"/>
  <c r="AX159" i="5"/>
  <c r="AY159" i="5" s="1"/>
  <c r="AQ159" i="5"/>
  <c r="AR159" i="5" s="1"/>
  <c r="AJ159" i="5"/>
  <c r="AZ159" i="5" s="1"/>
  <c r="R159" i="5"/>
  <c r="H159" i="5"/>
  <c r="F159" i="5"/>
  <c r="BK158" i="5"/>
  <c r="AE158" i="5" s="1"/>
  <c r="AX158" i="5"/>
  <c r="AY158" i="5" s="1"/>
  <c r="AQ158" i="5"/>
  <c r="AR158" i="5" s="1"/>
  <c r="AJ158" i="5"/>
  <c r="AF158" i="5"/>
  <c r="R158" i="5"/>
  <c r="H158" i="5"/>
  <c r="F158" i="5"/>
  <c r="BK157" i="5"/>
  <c r="AE157" i="5" s="1"/>
  <c r="BB157" i="5"/>
  <c r="AX157" i="5"/>
  <c r="AY157" i="5" s="1"/>
  <c r="AQ157" i="5"/>
  <c r="AR157" i="5" s="1"/>
  <c r="AJ157" i="5"/>
  <c r="AK157" i="5" s="1"/>
  <c r="AL157" i="5" s="1"/>
  <c r="R157" i="5"/>
  <c r="H157" i="5"/>
  <c r="F157" i="5"/>
  <c r="BK156" i="5"/>
  <c r="AE156" i="5" s="1"/>
  <c r="AX156" i="5"/>
  <c r="AY156" i="5" s="1"/>
  <c r="AQ156" i="5"/>
  <c r="AR156" i="5" s="1"/>
  <c r="AJ156" i="5"/>
  <c r="BA156" i="5" s="1"/>
  <c r="R156" i="5"/>
  <c r="H156" i="5"/>
  <c r="F156" i="5"/>
  <c r="BK155" i="5"/>
  <c r="AE155" i="5" s="1"/>
  <c r="AX155" i="5"/>
  <c r="AY155" i="5" s="1"/>
  <c r="AQ155" i="5"/>
  <c r="AR155" i="5" s="1"/>
  <c r="AJ155" i="5"/>
  <c r="AK155" i="5" s="1"/>
  <c r="AL155" i="5" s="1"/>
  <c r="R155" i="5"/>
  <c r="H155" i="5"/>
  <c r="F155" i="5"/>
  <c r="BK154" i="5"/>
  <c r="AE154" i="5" s="1"/>
  <c r="AX154" i="5"/>
  <c r="AY154" i="5" s="1"/>
  <c r="AQ154" i="5"/>
  <c r="AR154" i="5" s="1"/>
  <c r="AJ154" i="5"/>
  <c r="BA154" i="5" s="1"/>
  <c r="R154" i="5"/>
  <c r="H154" i="5"/>
  <c r="F154" i="5"/>
  <c r="BK153" i="5"/>
  <c r="AE153" i="5" s="1"/>
  <c r="BA153" i="5"/>
  <c r="AX153" i="5"/>
  <c r="AY153" i="5" s="1"/>
  <c r="AQ153" i="5"/>
  <c r="AR153" i="5" s="1"/>
  <c r="AJ153" i="5"/>
  <c r="AK153" i="5" s="1"/>
  <c r="AL153" i="5" s="1"/>
  <c r="R153" i="5"/>
  <c r="H153" i="5"/>
  <c r="F153" i="5"/>
  <c r="BK152" i="5"/>
  <c r="AE152" i="5" s="1"/>
  <c r="AX152" i="5"/>
  <c r="AY152" i="5" s="1"/>
  <c r="AQ152" i="5"/>
  <c r="AR152" i="5" s="1"/>
  <c r="AJ152" i="5"/>
  <c r="R152" i="5"/>
  <c r="H152" i="5"/>
  <c r="F152" i="5"/>
  <c r="BK151" i="5"/>
  <c r="AE151" i="5" s="1"/>
  <c r="AX151" i="5"/>
  <c r="AY151" i="5" s="1"/>
  <c r="AQ151" i="5"/>
  <c r="AR151" i="5" s="1"/>
  <c r="AJ151" i="5"/>
  <c r="AK151" i="5" s="1"/>
  <c r="AL151" i="5" s="1"/>
  <c r="R151" i="5"/>
  <c r="H151" i="5"/>
  <c r="F151" i="5"/>
  <c r="BK150" i="5"/>
  <c r="AE150" i="5" s="1"/>
  <c r="AX150" i="5"/>
  <c r="AY150" i="5" s="1"/>
  <c r="AQ150" i="5"/>
  <c r="AR150" i="5" s="1"/>
  <c r="AJ150" i="5"/>
  <c r="BA150" i="5" s="1"/>
  <c r="R150" i="5"/>
  <c r="H150" i="5"/>
  <c r="F150" i="5"/>
  <c r="BK149" i="5"/>
  <c r="AE149" i="5" s="1"/>
  <c r="BB149" i="5"/>
  <c r="AX149" i="5"/>
  <c r="AY149" i="5" s="1"/>
  <c r="AQ149" i="5"/>
  <c r="AR149" i="5" s="1"/>
  <c r="AJ149" i="5"/>
  <c r="R149" i="5"/>
  <c r="H149" i="5"/>
  <c r="F149" i="5"/>
  <c r="BK148" i="5"/>
  <c r="AE148" i="5" s="1"/>
  <c r="AX148" i="5"/>
  <c r="AY148" i="5" s="1"/>
  <c r="AQ148" i="5"/>
  <c r="AR148" i="5" s="1"/>
  <c r="AJ148" i="5"/>
  <c r="R148" i="5"/>
  <c r="H148" i="5"/>
  <c r="F148" i="5"/>
  <c r="BK147" i="5"/>
  <c r="AE147" i="5" s="1"/>
  <c r="AX147" i="5"/>
  <c r="AY147" i="5" s="1"/>
  <c r="AQ147" i="5"/>
  <c r="AR147" i="5" s="1"/>
  <c r="AJ147" i="5"/>
  <c r="R147" i="5"/>
  <c r="H147" i="5"/>
  <c r="F147" i="5"/>
  <c r="BK146" i="5"/>
  <c r="AX146" i="5"/>
  <c r="AY146" i="5" s="1"/>
  <c r="AQ146" i="5"/>
  <c r="AR146" i="5" s="1"/>
  <c r="AJ146" i="5"/>
  <c r="BA146" i="5" s="1"/>
  <c r="AE146" i="5"/>
  <c r="R146" i="5"/>
  <c r="H146" i="5"/>
  <c r="F146" i="5"/>
  <c r="BK145" i="5"/>
  <c r="AE145" i="5" s="1"/>
  <c r="AY145" i="5"/>
  <c r="AQ145" i="5"/>
  <c r="AR145" i="5" s="1"/>
  <c r="AJ145" i="5"/>
  <c r="AZ145" i="5" s="1"/>
  <c r="R145" i="5"/>
  <c r="H145" i="5"/>
  <c r="F145" i="5"/>
  <c r="BK144" i="5"/>
  <c r="AE144" i="5" s="1"/>
  <c r="AX144" i="5"/>
  <c r="AY144" i="5" s="1"/>
  <c r="AQ144" i="5"/>
  <c r="AR144" i="5" s="1"/>
  <c r="AJ144" i="5"/>
  <c r="AK144" i="5" s="1"/>
  <c r="AL144" i="5" s="1"/>
  <c r="R144" i="5"/>
  <c r="H144" i="5"/>
  <c r="F144" i="5"/>
  <c r="BK143" i="5"/>
  <c r="AE143" i="5" s="1"/>
  <c r="AX143" i="5"/>
  <c r="AY143" i="5" s="1"/>
  <c r="AQ143" i="5"/>
  <c r="AR143" i="5" s="1"/>
  <c r="AJ143" i="5"/>
  <c r="R143" i="5"/>
  <c r="H143" i="5"/>
  <c r="F143" i="5"/>
  <c r="BK142" i="5"/>
  <c r="AE142" i="5" s="1"/>
  <c r="AX142" i="5"/>
  <c r="AY142" i="5" s="1"/>
  <c r="AQ142" i="5"/>
  <c r="AR142" i="5" s="1"/>
  <c r="AJ142" i="5"/>
  <c r="AK142" i="5" s="1"/>
  <c r="AL142" i="5" s="1"/>
  <c r="AO142" i="5" s="1"/>
  <c r="R142" i="5"/>
  <c r="H142" i="5"/>
  <c r="F142" i="5"/>
  <c r="BK141" i="5"/>
  <c r="AE141" i="5" s="1"/>
  <c r="AY141" i="5"/>
  <c r="AQ141" i="5"/>
  <c r="AR141" i="5" s="1"/>
  <c r="AJ141" i="5"/>
  <c r="R141" i="5"/>
  <c r="H141" i="5"/>
  <c r="F141" i="5"/>
  <c r="BK140" i="5"/>
  <c r="AE140" i="5" s="1"/>
  <c r="BB140" i="5"/>
  <c r="AY140" i="5"/>
  <c r="AQ140" i="5"/>
  <c r="AR140" i="5" s="1"/>
  <c r="AJ140" i="5"/>
  <c r="AK140" i="5" s="1"/>
  <c r="AL140" i="5" s="1"/>
  <c r="AO140" i="5" s="1"/>
  <c r="R140" i="5"/>
  <c r="H140" i="5"/>
  <c r="F140" i="5"/>
  <c r="BK139" i="5"/>
  <c r="AE139" i="5" s="1"/>
  <c r="AX139" i="5"/>
  <c r="AY139" i="5" s="1"/>
  <c r="AQ139" i="5"/>
  <c r="AR139" i="5" s="1"/>
  <c r="AJ139" i="5"/>
  <c r="R139" i="5"/>
  <c r="H139" i="5"/>
  <c r="F139" i="5"/>
  <c r="BK138" i="5"/>
  <c r="AE138" i="5" s="1"/>
  <c r="AX138" i="5"/>
  <c r="AY138" i="5" s="1"/>
  <c r="AQ138" i="5"/>
  <c r="AR138" i="5" s="1"/>
  <c r="AJ138" i="5"/>
  <c r="R138" i="5"/>
  <c r="H138" i="5"/>
  <c r="F138" i="5"/>
  <c r="BK137" i="5"/>
  <c r="AE137" i="5" s="1"/>
  <c r="AX137" i="5"/>
  <c r="AY137" i="5" s="1"/>
  <c r="AQ137" i="5"/>
  <c r="AR137" i="5" s="1"/>
  <c r="AJ137" i="5"/>
  <c r="AK137" i="5" s="1"/>
  <c r="AL137" i="5" s="1"/>
  <c r="R137" i="5"/>
  <c r="H137" i="5"/>
  <c r="F137" i="5"/>
  <c r="BK136" i="5"/>
  <c r="AE136" i="5" s="1"/>
  <c r="AX136" i="5"/>
  <c r="AY136" i="5" s="1"/>
  <c r="AQ136" i="5"/>
  <c r="AR136" i="5" s="1"/>
  <c r="AJ136" i="5"/>
  <c r="BA136" i="5" s="1"/>
  <c r="R136" i="5"/>
  <c r="H136" i="5"/>
  <c r="F136" i="5"/>
  <c r="BK135" i="5"/>
  <c r="AE135" i="5" s="1"/>
  <c r="AX135" i="5"/>
  <c r="AY135" i="5" s="1"/>
  <c r="AQ135" i="5"/>
  <c r="AR135" i="5" s="1"/>
  <c r="AJ135" i="5"/>
  <c r="AK135" i="5" s="1"/>
  <c r="AL135" i="5" s="1"/>
  <c r="R135" i="5"/>
  <c r="H135" i="5"/>
  <c r="F135" i="5"/>
  <c r="BK134" i="5"/>
  <c r="AE134" i="5" s="1"/>
  <c r="BB134" i="5"/>
  <c r="AY134" i="5"/>
  <c r="AQ134" i="5"/>
  <c r="AR134" i="5" s="1"/>
  <c r="AJ134" i="5"/>
  <c r="AZ134" i="5" s="1"/>
  <c r="R134" i="5"/>
  <c r="H134" i="5"/>
  <c r="F134" i="5"/>
  <c r="BK133" i="5"/>
  <c r="AE133" i="5" s="1"/>
  <c r="BB133" i="5"/>
  <c r="AX133" i="5"/>
  <c r="AY133" i="5" s="1"/>
  <c r="AQ133" i="5"/>
  <c r="AR133" i="5" s="1"/>
  <c r="AJ133" i="5"/>
  <c r="AZ133" i="5" s="1"/>
  <c r="R133" i="5"/>
  <c r="H133" i="5"/>
  <c r="F133" i="5"/>
  <c r="BK132" i="5"/>
  <c r="AE132" i="5" s="1"/>
  <c r="BB132" i="5"/>
  <c r="AY132" i="5"/>
  <c r="AQ132" i="5"/>
  <c r="AR132" i="5" s="1"/>
  <c r="AJ132" i="5"/>
  <c r="AZ132" i="5" s="1"/>
  <c r="R132" i="5"/>
  <c r="H132" i="5"/>
  <c r="F132" i="5"/>
  <c r="BK131" i="5"/>
  <c r="AE131" i="5" s="1"/>
  <c r="AY131" i="5"/>
  <c r="AQ131" i="5"/>
  <c r="AR131" i="5" s="1"/>
  <c r="AJ131" i="5"/>
  <c r="R131" i="5"/>
  <c r="H131" i="5"/>
  <c r="F131" i="5"/>
  <c r="BK130" i="5"/>
  <c r="AE130" i="5" s="1"/>
  <c r="BB130" i="5"/>
  <c r="AY130" i="5"/>
  <c r="AQ130" i="5"/>
  <c r="AR130" i="5" s="1"/>
  <c r="AJ130" i="5"/>
  <c r="AZ130" i="5" s="1"/>
  <c r="R130" i="5"/>
  <c r="H130" i="5"/>
  <c r="F130" i="5"/>
  <c r="BK129" i="5"/>
  <c r="AE129" i="5" s="1"/>
  <c r="AY129" i="5"/>
  <c r="AQ129" i="5"/>
  <c r="AR129" i="5" s="1"/>
  <c r="AJ129" i="5"/>
  <c r="AK129" i="5" s="1"/>
  <c r="AL129" i="5" s="1"/>
  <c r="R129" i="5"/>
  <c r="H129" i="5"/>
  <c r="F129" i="5"/>
  <c r="BK128" i="5"/>
  <c r="AE128" i="5" s="1"/>
  <c r="BB128" i="5"/>
  <c r="AY128" i="5"/>
  <c r="AQ128" i="5"/>
  <c r="AR128" i="5" s="1"/>
  <c r="AJ128" i="5"/>
  <c r="BA128" i="5" s="1"/>
  <c r="R128" i="5"/>
  <c r="H128" i="5"/>
  <c r="F128" i="5"/>
  <c r="BK127" i="5"/>
  <c r="AE127" i="5" s="1"/>
  <c r="AX127" i="5"/>
  <c r="AY127" i="5" s="1"/>
  <c r="AQ127" i="5"/>
  <c r="AR127" i="5" s="1"/>
  <c r="AJ127" i="5"/>
  <c r="R127" i="5"/>
  <c r="H127" i="5"/>
  <c r="F127" i="5"/>
  <c r="BK126" i="5"/>
  <c r="AE126" i="5" s="1"/>
  <c r="AX126" i="5"/>
  <c r="AQ126" i="5"/>
  <c r="AR126" i="5" s="1"/>
  <c r="AJ126" i="5"/>
  <c r="BA126" i="5" s="1"/>
  <c r="Z126" i="5"/>
  <c r="R126" i="5"/>
  <c r="H126" i="5"/>
  <c r="F126" i="5"/>
  <c r="BK125" i="5"/>
  <c r="AE125" i="5" s="1"/>
  <c r="BB125" i="5"/>
  <c r="AY125" i="5"/>
  <c r="AQ125" i="5"/>
  <c r="AR125" i="5" s="1"/>
  <c r="AJ125" i="5"/>
  <c r="AZ125" i="5" s="1"/>
  <c r="R125" i="5"/>
  <c r="H125" i="5"/>
  <c r="F125" i="5"/>
  <c r="BK124" i="5"/>
  <c r="AE124" i="5" s="1"/>
  <c r="BB124" i="5"/>
  <c r="AY124" i="5"/>
  <c r="AQ124" i="5"/>
  <c r="AR124" i="5" s="1"/>
  <c r="AJ124" i="5"/>
  <c r="AK124" i="5" s="1"/>
  <c r="AL124" i="5" s="1"/>
  <c r="AO124" i="5" s="1"/>
  <c r="R124" i="5"/>
  <c r="H124" i="5"/>
  <c r="F124" i="5"/>
  <c r="BK123" i="5"/>
  <c r="AE123" i="5" s="1"/>
  <c r="BB123" i="5"/>
  <c r="AY123" i="5"/>
  <c r="AQ123" i="5"/>
  <c r="AR123" i="5" s="1"/>
  <c r="AJ123" i="5"/>
  <c r="AZ123" i="5" s="1"/>
  <c r="R123" i="5"/>
  <c r="H123" i="5"/>
  <c r="F123" i="5"/>
  <c r="BK122" i="5"/>
  <c r="AE122" i="5" s="1"/>
  <c r="BB122" i="5"/>
  <c r="AY122" i="5"/>
  <c r="AQ122" i="5"/>
  <c r="AR122" i="5" s="1"/>
  <c r="AJ122" i="5"/>
  <c r="AZ122" i="5" s="1"/>
  <c r="R122" i="5"/>
  <c r="H122" i="5"/>
  <c r="F122" i="5"/>
  <c r="BK121" i="5"/>
  <c r="AE121" i="5" s="1"/>
  <c r="AX121" i="5"/>
  <c r="AY121" i="5" s="1"/>
  <c r="AQ121" i="5"/>
  <c r="AR121" i="5" s="1"/>
  <c r="AJ121" i="5"/>
  <c r="AZ121" i="5" s="1"/>
  <c r="R121" i="5"/>
  <c r="H121" i="5"/>
  <c r="F121" i="5"/>
  <c r="BK120" i="5"/>
  <c r="AE120" i="5" s="1"/>
  <c r="AY120" i="5"/>
  <c r="AQ120" i="5"/>
  <c r="AR120" i="5" s="1"/>
  <c r="AJ120" i="5"/>
  <c r="AZ120" i="5" s="1"/>
  <c r="R120" i="5"/>
  <c r="H120" i="5"/>
  <c r="F120" i="5"/>
  <c r="BK119" i="5"/>
  <c r="AE119" i="5" s="1"/>
  <c r="AX119" i="5"/>
  <c r="AY119" i="5" s="1"/>
  <c r="AQ119" i="5"/>
  <c r="AR119" i="5" s="1"/>
  <c r="AJ119" i="5"/>
  <c r="R119" i="5"/>
  <c r="H119" i="5"/>
  <c r="F119" i="5"/>
  <c r="BK118" i="5"/>
  <c r="AE118" i="5" s="1"/>
  <c r="AX118" i="5"/>
  <c r="AY118" i="5" s="1"/>
  <c r="AQ118" i="5"/>
  <c r="AR118" i="5" s="1"/>
  <c r="AJ118" i="5"/>
  <c r="AK118" i="5" s="1"/>
  <c r="AL118" i="5" s="1"/>
  <c r="R118" i="5"/>
  <c r="H118" i="5"/>
  <c r="F118" i="5"/>
  <c r="BK117" i="5"/>
  <c r="AY117" i="5"/>
  <c r="AQ117" i="5"/>
  <c r="AR117" i="5" s="1"/>
  <c r="AJ117" i="5"/>
  <c r="BA117" i="5" s="1"/>
  <c r="AE117" i="5"/>
  <c r="R117" i="5"/>
  <c r="H117" i="5"/>
  <c r="F117" i="5"/>
  <c r="BK116" i="5"/>
  <c r="AE116" i="5" s="1"/>
  <c r="BB116" i="5"/>
  <c r="AY116" i="5"/>
  <c r="AQ116" i="5"/>
  <c r="AR116" i="5" s="1"/>
  <c r="AJ116" i="5"/>
  <c r="BA116" i="5" s="1"/>
  <c r="R116" i="5"/>
  <c r="H116" i="5"/>
  <c r="F116" i="5"/>
  <c r="BK115" i="5"/>
  <c r="AE115" i="5" s="1"/>
  <c r="BB115" i="5"/>
  <c r="AY115" i="5"/>
  <c r="AQ115" i="5"/>
  <c r="AR115" i="5" s="1"/>
  <c r="AJ115" i="5"/>
  <c r="AK115" i="5" s="1"/>
  <c r="AL115" i="5" s="1"/>
  <c r="R115" i="5"/>
  <c r="H115" i="5"/>
  <c r="F115" i="5"/>
  <c r="BK114" i="5"/>
  <c r="AE114" i="5" s="1"/>
  <c r="AX114" i="5"/>
  <c r="AY114" i="5" s="1"/>
  <c r="AQ114" i="5"/>
  <c r="AR114" i="5" s="1"/>
  <c r="AJ114" i="5"/>
  <c r="AK114" i="5" s="1"/>
  <c r="AL114" i="5" s="1"/>
  <c r="R114" i="5"/>
  <c r="H114" i="5"/>
  <c r="F114" i="5"/>
  <c r="BK113" i="5"/>
  <c r="AE113" i="5" s="1"/>
  <c r="AX113" i="5"/>
  <c r="AY113" i="5" s="1"/>
  <c r="AQ113" i="5"/>
  <c r="AR113" i="5" s="1"/>
  <c r="AJ113" i="5"/>
  <c r="R113" i="5"/>
  <c r="H113" i="5"/>
  <c r="F113" i="5"/>
  <c r="BK112" i="5"/>
  <c r="AE112" i="5" s="1"/>
  <c r="BB112" i="5"/>
  <c r="AX112" i="5"/>
  <c r="AY112" i="5" s="1"/>
  <c r="AQ112" i="5"/>
  <c r="AR112" i="5" s="1"/>
  <c r="AJ112" i="5"/>
  <c r="BA112" i="5" s="1"/>
  <c r="R112" i="5"/>
  <c r="H112" i="5"/>
  <c r="F112" i="5"/>
  <c r="BK111" i="5"/>
  <c r="AE111" i="5" s="1"/>
  <c r="BB111" i="5"/>
  <c r="AX111" i="5"/>
  <c r="AY111" i="5" s="1"/>
  <c r="AQ111" i="5"/>
  <c r="AR111" i="5" s="1"/>
  <c r="AJ111" i="5"/>
  <c r="BA111" i="5" s="1"/>
  <c r="R111" i="5"/>
  <c r="H111" i="5"/>
  <c r="F111" i="5"/>
  <c r="BK110" i="5"/>
  <c r="AE110" i="5" s="1"/>
  <c r="AX110" i="5"/>
  <c r="AY110" i="5" s="1"/>
  <c r="AQ110" i="5"/>
  <c r="AR110" i="5" s="1"/>
  <c r="AJ110" i="5"/>
  <c r="BA110" i="5" s="1"/>
  <c r="R110" i="5"/>
  <c r="H110" i="5"/>
  <c r="F110" i="5"/>
  <c r="BK109" i="5"/>
  <c r="AE109" i="5" s="1"/>
  <c r="AX109" i="5"/>
  <c r="AY109" i="5" s="1"/>
  <c r="AQ109" i="5"/>
  <c r="AR109" i="5" s="1"/>
  <c r="AJ109" i="5"/>
  <c r="AK109" i="5" s="1"/>
  <c r="AL109" i="5" s="1"/>
  <c r="R109" i="5"/>
  <c r="H109" i="5"/>
  <c r="F109" i="5"/>
  <c r="BK108" i="5"/>
  <c r="AE108" i="5" s="1"/>
  <c r="AX108" i="5"/>
  <c r="AY108" i="5" s="1"/>
  <c r="AQ108" i="5"/>
  <c r="AR108" i="5" s="1"/>
  <c r="AJ108" i="5"/>
  <c r="BA108" i="5" s="1"/>
  <c r="R108" i="5"/>
  <c r="H108" i="5"/>
  <c r="F108" i="5"/>
  <c r="BK107" i="5"/>
  <c r="AE107" i="5" s="1"/>
  <c r="AX107" i="5"/>
  <c r="AY107" i="5" s="1"/>
  <c r="AQ107" i="5"/>
  <c r="AR107" i="5" s="1"/>
  <c r="AJ107" i="5"/>
  <c r="AZ107" i="5" s="1"/>
  <c r="R107" i="5"/>
  <c r="H107" i="5"/>
  <c r="F107" i="5"/>
  <c r="BK106" i="5"/>
  <c r="AE106" i="5" s="1"/>
  <c r="AX106" i="5"/>
  <c r="AY106" i="5" s="1"/>
  <c r="AQ106" i="5"/>
  <c r="AR106" i="5" s="1"/>
  <c r="AJ106" i="5"/>
  <c r="AZ106" i="5" s="1"/>
  <c r="R106" i="5"/>
  <c r="H106" i="5"/>
  <c r="F106" i="5"/>
  <c r="BK105" i="5"/>
  <c r="AE105" i="5" s="1"/>
  <c r="AX105" i="5"/>
  <c r="AY105" i="5" s="1"/>
  <c r="AQ105" i="5"/>
  <c r="AR105" i="5" s="1"/>
  <c r="AJ105" i="5"/>
  <c r="AZ105" i="5" s="1"/>
  <c r="R105" i="5"/>
  <c r="H105" i="5"/>
  <c r="F105" i="5"/>
  <c r="BK104" i="5"/>
  <c r="AX104" i="5"/>
  <c r="AY104" i="5" s="1"/>
  <c r="AQ104" i="5"/>
  <c r="AR104" i="5" s="1"/>
  <c r="AJ104" i="5"/>
  <c r="AE104" i="5"/>
  <c r="R104" i="5"/>
  <c r="H104" i="5"/>
  <c r="F104" i="5"/>
  <c r="BK103" i="5"/>
  <c r="AE103" i="5" s="1"/>
  <c r="AX103" i="5"/>
  <c r="AY103" i="5" s="1"/>
  <c r="AQ103" i="5"/>
  <c r="AR103" i="5" s="1"/>
  <c r="AJ103" i="5"/>
  <c r="BA103" i="5" s="1"/>
  <c r="R103" i="5"/>
  <c r="H103" i="5"/>
  <c r="F103" i="5"/>
  <c r="BK102" i="5"/>
  <c r="AE102" i="5" s="1"/>
  <c r="AX102" i="5"/>
  <c r="AY102" i="5" s="1"/>
  <c r="AQ102" i="5"/>
  <c r="AR102" i="5" s="1"/>
  <c r="AJ102" i="5"/>
  <c r="BA102" i="5" s="1"/>
  <c r="R102" i="5"/>
  <c r="H102" i="5"/>
  <c r="F102" i="5"/>
  <c r="BK101" i="5"/>
  <c r="AE101" i="5" s="1"/>
  <c r="AX101" i="5"/>
  <c r="AY101" i="5" s="1"/>
  <c r="AQ101" i="5"/>
  <c r="AR101" i="5" s="1"/>
  <c r="AJ101" i="5"/>
  <c r="AZ101" i="5" s="1"/>
  <c r="R101" i="5"/>
  <c r="H101" i="5"/>
  <c r="F101" i="5"/>
  <c r="BK100" i="5"/>
  <c r="AE100" i="5" s="1"/>
  <c r="AY100" i="5"/>
  <c r="AV100" i="5"/>
  <c r="AQ100" i="5"/>
  <c r="AR100" i="5" s="1"/>
  <c r="AJ100" i="5"/>
  <c r="BA100" i="5" s="1"/>
  <c r="R100" i="5"/>
  <c r="H100" i="5"/>
  <c r="F100" i="5"/>
  <c r="BK99" i="5"/>
  <c r="AE99" i="5" s="1"/>
  <c r="AX99" i="5"/>
  <c r="AY99" i="5" s="1"/>
  <c r="AQ99" i="5"/>
  <c r="AR99" i="5" s="1"/>
  <c r="AJ99" i="5"/>
  <c r="R99" i="5"/>
  <c r="H99" i="5"/>
  <c r="F99" i="5"/>
  <c r="BK98" i="5"/>
  <c r="AE98" i="5" s="1"/>
  <c r="AX98" i="5"/>
  <c r="AY98" i="5" s="1"/>
  <c r="AQ98" i="5"/>
  <c r="AR98" i="5" s="1"/>
  <c r="AJ98" i="5"/>
  <c r="AK98" i="5" s="1"/>
  <c r="AL98" i="5" s="1"/>
  <c r="R98" i="5"/>
  <c r="H98" i="5"/>
  <c r="F98" i="5"/>
  <c r="BK97" i="5"/>
  <c r="AE97" i="5" s="1"/>
  <c r="AX97" i="5"/>
  <c r="AY97" i="5" s="1"/>
  <c r="AQ97" i="5"/>
  <c r="AR97" i="5" s="1"/>
  <c r="AJ97" i="5"/>
  <c r="R97" i="5"/>
  <c r="H97" i="5"/>
  <c r="F97" i="5"/>
  <c r="BK96" i="5"/>
  <c r="AE96" i="5" s="1"/>
  <c r="AX96" i="5"/>
  <c r="AY96" i="5" s="1"/>
  <c r="AQ96" i="5"/>
  <c r="AR96" i="5" s="1"/>
  <c r="AJ96" i="5"/>
  <c r="BA96" i="5" s="1"/>
  <c r="R96" i="5"/>
  <c r="F96" i="5"/>
  <c r="BK95" i="5"/>
  <c r="AE95" i="5" s="1"/>
  <c r="BB95" i="5"/>
  <c r="AX95" i="5"/>
  <c r="AY95" i="5" s="1"/>
  <c r="AQ95" i="5"/>
  <c r="AR95" i="5" s="1"/>
  <c r="AJ95" i="5"/>
  <c r="BA95" i="5" s="1"/>
  <c r="R95" i="5"/>
  <c r="H95" i="5"/>
  <c r="F95" i="5"/>
  <c r="BK94" i="5"/>
  <c r="AE94" i="5" s="1"/>
  <c r="BB94" i="5"/>
  <c r="AX94" i="5"/>
  <c r="AY94" i="5" s="1"/>
  <c r="AQ94" i="5"/>
  <c r="AR94" i="5" s="1"/>
  <c r="AJ94" i="5"/>
  <c r="BA94" i="5" s="1"/>
  <c r="Z94" i="5"/>
  <c r="R94" i="5"/>
  <c r="H94" i="5"/>
  <c r="F94" i="5"/>
  <c r="BK93" i="5"/>
  <c r="AE93" i="5" s="1"/>
  <c r="BB93" i="5"/>
  <c r="AX93" i="5"/>
  <c r="AY93" i="5" s="1"/>
  <c r="AQ93" i="5"/>
  <c r="AR93" i="5" s="1"/>
  <c r="AM93" i="5"/>
  <c r="AJ93" i="5"/>
  <c r="BA93" i="5" s="1"/>
  <c r="R93" i="5"/>
  <c r="H93" i="5"/>
  <c r="F93" i="5"/>
  <c r="BK92" i="5"/>
  <c r="AE92" i="5" s="1"/>
  <c r="AX92" i="5"/>
  <c r="AY92" i="5" s="1"/>
  <c r="AQ92" i="5"/>
  <c r="AR92" i="5" s="1"/>
  <c r="AJ92" i="5"/>
  <c r="AK92" i="5" s="1"/>
  <c r="AL92" i="5" s="1"/>
  <c r="R92" i="5"/>
  <c r="H92" i="5"/>
  <c r="F92" i="5"/>
  <c r="BK91" i="5"/>
  <c r="AE91" i="5" s="1"/>
  <c r="AY91" i="5"/>
  <c r="AQ91" i="5"/>
  <c r="AR91" i="5" s="1"/>
  <c r="AJ91" i="5"/>
  <c r="AZ91" i="5" s="1"/>
  <c r="R91" i="5"/>
  <c r="H91" i="5"/>
  <c r="F91" i="5"/>
  <c r="BK90" i="5"/>
  <c r="AE90" i="5" s="1"/>
  <c r="AX90" i="5"/>
  <c r="AV90" i="5" s="1"/>
  <c r="AQ90" i="5"/>
  <c r="AR90" i="5" s="1"/>
  <c r="AJ90" i="5"/>
  <c r="AZ90" i="5" s="1"/>
  <c r="AF90" i="5"/>
  <c r="R90" i="5"/>
  <c r="H90" i="5"/>
  <c r="F90" i="5"/>
  <c r="BK89" i="5"/>
  <c r="AE89" i="5" s="1"/>
  <c r="AX89" i="5"/>
  <c r="AY89" i="5" s="1"/>
  <c r="AQ89" i="5"/>
  <c r="AR89" i="5" s="1"/>
  <c r="AJ89" i="5"/>
  <c r="BA89" i="5" s="1"/>
  <c r="AF89" i="5"/>
  <c r="R89" i="5"/>
  <c r="H89" i="5"/>
  <c r="F89" i="5"/>
  <c r="BK88" i="5"/>
  <c r="AE88" i="5" s="1"/>
  <c r="AX88" i="5"/>
  <c r="AY88" i="5" s="1"/>
  <c r="AQ88" i="5"/>
  <c r="AR88" i="5" s="1"/>
  <c r="AJ88" i="5"/>
  <c r="AZ88" i="5" s="1"/>
  <c r="R88" i="5"/>
  <c r="H88" i="5"/>
  <c r="F88" i="5"/>
  <c r="BK87" i="5"/>
  <c r="AE87" i="5" s="1"/>
  <c r="AX87" i="5"/>
  <c r="AY87" i="5" s="1"/>
  <c r="AQ87" i="5"/>
  <c r="AR87" i="5" s="1"/>
  <c r="AJ87" i="5"/>
  <c r="R87" i="5"/>
  <c r="H87" i="5"/>
  <c r="F87" i="5"/>
  <c r="BK86" i="5"/>
  <c r="AE86" i="5" s="1"/>
  <c r="AX86" i="5"/>
  <c r="AY86" i="5" s="1"/>
  <c r="AQ86" i="5"/>
  <c r="AR86" i="5" s="1"/>
  <c r="AJ86" i="5"/>
  <c r="AF86" i="5"/>
  <c r="R86" i="5"/>
  <c r="H86" i="5"/>
  <c r="F86" i="5"/>
  <c r="BK85" i="5"/>
  <c r="AE85" i="5" s="1"/>
  <c r="AX85" i="5"/>
  <c r="AY85" i="5" s="1"/>
  <c r="AQ85" i="5"/>
  <c r="AR85" i="5" s="1"/>
  <c r="AJ85" i="5"/>
  <c r="BA85" i="5" s="1"/>
  <c r="R85" i="5"/>
  <c r="H85" i="5"/>
  <c r="F85" i="5"/>
  <c r="BK84" i="5"/>
  <c r="AE84" i="5" s="1"/>
  <c r="BB84" i="5"/>
  <c r="AX84" i="5"/>
  <c r="AY84" i="5" s="1"/>
  <c r="AQ84" i="5"/>
  <c r="AR84" i="5" s="1"/>
  <c r="AJ84" i="5"/>
  <c r="BA84" i="5" s="1"/>
  <c r="R84" i="5"/>
  <c r="H84" i="5"/>
  <c r="F84" i="5"/>
  <c r="BK83" i="5"/>
  <c r="AE83" i="5" s="1"/>
  <c r="AX83" i="5"/>
  <c r="AY83" i="5" s="1"/>
  <c r="AQ83" i="5"/>
  <c r="AR83" i="5" s="1"/>
  <c r="AJ83" i="5"/>
  <c r="BA83" i="5" s="1"/>
  <c r="R83" i="5"/>
  <c r="H83" i="5"/>
  <c r="F83" i="5"/>
  <c r="BK82" i="5"/>
  <c r="AE82" i="5" s="1"/>
  <c r="AX82" i="5"/>
  <c r="AY82" i="5" s="1"/>
  <c r="AQ82" i="5"/>
  <c r="AR82" i="5" s="1"/>
  <c r="AJ82" i="5"/>
  <c r="BA82" i="5" s="1"/>
  <c r="R82" i="5"/>
  <c r="H82" i="5"/>
  <c r="F82" i="5"/>
  <c r="BK81" i="5"/>
  <c r="AE81" i="5" s="1"/>
  <c r="AX81" i="5"/>
  <c r="AY81" i="5" s="1"/>
  <c r="AQ81" i="5"/>
  <c r="AR81" i="5" s="1"/>
  <c r="AJ81" i="5"/>
  <c r="BA81" i="5" s="1"/>
  <c r="R81" i="5"/>
  <c r="H81" i="5"/>
  <c r="F81" i="5"/>
  <c r="BK80" i="5"/>
  <c r="AE80" i="5" s="1"/>
  <c r="AX80" i="5"/>
  <c r="AY80" i="5" s="1"/>
  <c r="AQ80" i="5"/>
  <c r="AR80" i="5" s="1"/>
  <c r="AJ80" i="5"/>
  <c r="BA80" i="5" s="1"/>
  <c r="R80" i="5"/>
  <c r="H80" i="5"/>
  <c r="F80" i="5"/>
  <c r="BK79" i="5"/>
  <c r="AE79" i="5" s="1"/>
  <c r="AX79" i="5"/>
  <c r="AY79" i="5" s="1"/>
  <c r="AQ79" i="5"/>
  <c r="AR79" i="5" s="1"/>
  <c r="AJ79" i="5"/>
  <c r="BA79" i="5" s="1"/>
  <c r="R79" i="5"/>
  <c r="H79" i="5"/>
  <c r="F79" i="5"/>
  <c r="BK78" i="5"/>
  <c r="AE78" i="5" s="1"/>
  <c r="AX78" i="5"/>
  <c r="AY78" i="5" s="1"/>
  <c r="AQ78" i="5"/>
  <c r="AR78" i="5" s="1"/>
  <c r="AJ78" i="5"/>
  <c r="BA78" i="5" s="1"/>
  <c r="R78" i="5"/>
  <c r="H78" i="5"/>
  <c r="F78" i="5"/>
  <c r="BK77" i="5"/>
  <c r="AE77" i="5" s="1"/>
  <c r="AX77" i="5"/>
  <c r="AY77" i="5" s="1"/>
  <c r="AQ77" i="5"/>
  <c r="AR77" i="5" s="1"/>
  <c r="AJ77" i="5"/>
  <c r="BA77" i="5" s="1"/>
  <c r="R77" i="5"/>
  <c r="H77" i="5"/>
  <c r="F77" i="5"/>
  <c r="BK76" i="5"/>
  <c r="AE76" i="5" s="1"/>
  <c r="AX76" i="5"/>
  <c r="AY76" i="5" s="1"/>
  <c r="AQ76" i="5"/>
  <c r="AR76" i="5" s="1"/>
  <c r="AJ76" i="5"/>
  <c r="BA76" i="5" s="1"/>
  <c r="R76" i="5"/>
  <c r="H76" i="5"/>
  <c r="F76" i="5"/>
  <c r="BK75" i="5"/>
  <c r="AE75" i="5" s="1"/>
  <c r="AX75" i="5"/>
  <c r="AY75" i="5" s="1"/>
  <c r="AQ75" i="5"/>
  <c r="AR75" i="5" s="1"/>
  <c r="AJ75" i="5"/>
  <c r="BA75" i="5" s="1"/>
  <c r="R75" i="5"/>
  <c r="H75" i="5"/>
  <c r="F75" i="5"/>
  <c r="BK74" i="5"/>
  <c r="AE74" i="5" s="1"/>
  <c r="AX74" i="5"/>
  <c r="AR74" i="5"/>
  <c r="AQ74" i="5"/>
  <c r="AJ74" i="5"/>
  <c r="BA74" i="5" s="1"/>
  <c r="R74" i="5"/>
  <c r="H74" i="5"/>
  <c r="F74" i="5"/>
  <c r="BK73" i="5"/>
  <c r="AE73" i="5" s="1"/>
  <c r="AX73" i="5"/>
  <c r="AY73" i="5" s="1"/>
  <c r="AQ73" i="5"/>
  <c r="AR73" i="5" s="1"/>
  <c r="AJ73" i="5"/>
  <c r="BA73" i="5" s="1"/>
  <c r="Z73" i="5"/>
  <c r="R73" i="5"/>
  <c r="H73" i="5"/>
  <c r="F73" i="5"/>
  <c r="BK72" i="5"/>
  <c r="AE72" i="5" s="1"/>
  <c r="BB72" i="5"/>
  <c r="AX72" i="5"/>
  <c r="AY72" i="5" s="1"/>
  <c r="AQ72" i="5"/>
  <c r="AR72" i="5" s="1"/>
  <c r="AJ72" i="5"/>
  <c r="AZ72" i="5" s="1"/>
  <c r="R72" i="5"/>
  <c r="H72" i="5"/>
  <c r="F72" i="5"/>
  <c r="BK71" i="5"/>
  <c r="AE71" i="5" s="1"/>
  <c r="BB71" i="5"/>
  <c r="AX71" i="5"/>
  <c r="AY71" i="5" s="1"/>
  <c r="AQ71" i="5"/>
  <c r="AR71" i="5" s="1"/>
  <c r="AJ71" i="5"/>
  <c r="Z71" i="5"/>
  <c r="R71" i="5"/>
  <c r="H71" i="5"/>
  <c r="F71" i="5"/>
  <c r="BK70" i="5"/>
  <c r="AE70" i="5" s="1"/>
  <c r="AX70" i="5"/>
  <c r="AY70" i="5" s="1"/>
  <c r="AQ70" i="5"/>
  <c r="AR70" i="5" s="1"/>
  <c r="AJ70" i="5"/>
  <c r="R70" i="5"/>
  <c r="H70" i="5"/>
  <c r="F70" i="5"/>
  <c r="BK69" i="5"/>
  <c r="AE69" i="5" s="1"/>
  <c r="AX69" i="5"/>
  <c r="AY69" i="5" s="1"/>
  <c r="AQ69" i="5"/>
  <c r="AR69" i="5" s="1"/>
  <c r="AJ69" i="5"/>
  <c r="Z69" i="5"/>
  <c r="R69" i="5"/>
  <c r="F69" i="5"/>
  <c r="BK68" i="5"/>
  <c r="AE68" i="5" s="1"/>
  <c r="AX68" i="5"/>
  <c r="AY68" i="5" s="1"/>
  <c r="AQ68" i="5"/>
  <c r="AR68" i="5" s="1"/>
  <c r="AJ68" i="5"/>
  <c r="AZ68" i="5" s="1"/>
  <c r="Z68" i="5"/>
  <c r="R68" i="5"/>
  <c r="H68" i="5"/>
  <c r="F68" i="5"/>
  <c r="BK67" i="5"/>
  <c r="AE67" i="5" s="1"/>
  <c r="AX67" i="5"/>
  <c r="AY67" i="5" s="1"/>
  <c r="AQ67" i="5"/>
  <c r="AR67" i="5" s="1"/>
  <c r="AJ67" i="5"/>
  <c r="AZ67" i="5" s="1"/>
  <c r="R67" i="5"/>
  <c r="H67" i="5"/>
  <c r="F67" i="5"/>
  <c r="BK66" i="5"/>
  <c r="AE66" i="5" s="1"/>
  <c r="AX66" i="5"/>
  <c r="AY66" i="5" s="1"/>
  <c r="AQ66" i="5"/>
  <c r="AR66" i="5" s="1"/>
  <c r="AJ66" i="5"/>
  <c r="BA66" i="5" s="1"/>
  <c r="R66" i="5"/>
  <c r="H66" i="5"/>
  <c r="F66" i="5"/>
  <c r="BK65" i="5"/>
  <c r="AE65" i="5" s="1"/>
  <c r="AX65" i="5"/>
  <c r="AQ65" i="5"/>
  <c r="AR65" i="5" s="1"/>
  <c r="AJ65" i="5"/>
  <c r="BA65" i="5" s="1"/>
  <c r="Z65" i="5"/>
  <c r="R65" i="5"/>
  <c r="H65" i="5"/>
  <c r="F65" i="5"/>
  <c r="BK64" i="5"/>
  <c r="AE64" i="5" s="1"/>
  <c r="AX64" i="5"/>
  <c r="AY64" i="5" s="1"/>
  <c r="AQ64" i="5"/>
  <c r="AR64" i="5" s="1"/>
  <c r="AJ64" i="5"/>
  <c r="AK64" i="5" s="1"/>
  <c r="AL64" i="5" s="1"/>
  <c r="R64" i="5"/>
  <c r="H64" i="5"/>
  <c r="F64" i="5"/>
  <c r="BK63" i="5"/>
  <c r="AE63" i="5" s="1"/>
  <c r="AX63" i="5"/>
  <c r="AY63" i="5" s="1"/>
  <c r="AQ63" i="5"/>
  <c r="AR63" i="5" s="1"/>
  <c r="AJ63" i="5"/>
  <c r="BA63" i="5" s="1"/>
  <c r="R63" i="5"/>
  <c r="H63" i="5"/>
  <c r="F63" i="5"/>
  <c r="BK62" i="5"/>
  <c r="AE62" i="5" s="1"/>
  <c r="AX62" i="5"/>
  <c r="AY62" i="5" s="1"/>
  <c r="AQ62" i="5"/>
  <c r="AR62" i="5" s="1"/>
  <c r="AJ62" i="5"/>
  <c r="BA62" i="5" s="1"/>
  <c r="R62" i="5"/>
  <c r="H62" i="5"/>
  <c r="F62" i="5"/>
  <c r="BK61" i="5"/>
  <c r="AE61" i="5" s="1"/>
  <c r="BB61" i="5"/>
  <c r="AX61" i="5"/>
  <c r="AY61" i="5" s="1"/>
  <c r="AQ61" i="5"/>
  <c r="AR61" i="5" s="1"/>
  <c r="AJ61" i="5"/>
  <c r="AK61" i="5" s="1"/>
  <c r="AL61" i="5" s="1"/>
  <c r="R61" i="5"/>
  <c r="H61" i="5"/>
  <c r="F61" i="5"/>
  <c r="BK60" i="5"/>
  <c r="AE60" i="5" s="1"/>
  <c r="BB60" i="5"/>
  <c r="AX60" i="5"/>
  <c r="AY60" i="5" s="1"/>
  <c r="AQ60" i="5"/>
  <c r="AR60" i="5" s="1"/>
  <c r="AJ60" i="5"/>
  <c r="AZ60" i="5" s="1"/>
  <c r="R60" i="5"/>
  <c r="H60" i="5"/>
  <c r="F60" i="5"/>
  <c r="BK59" i="5"/>
  <c r="AE59" i="5" s="1"/>
  <c r="AX59" i="5"/>
  <c r="AY59" i="5" s="1"/>
  <c r="AQ59" i="5"/>
  <c r="AR59" i="5" s="1"/>
  <c r="AJ59" i="5"/>
  <c r="AK59" i="5" s="1"/>
  <c r="AL59" i="5" s="1"/>
  <c r="R59" i="5"/>
  <c r="H59" i="5"/>
  <c r="F59" i="5"/>
  <c r="BK58" i="5"/>
  <c r="AE58" i="5" s="1"/>
  <c r="AX58" i="5"/>
  <c r="AY58" i="5" s="1"/>
  <c r="AQ58" i="5"/>
  <c r="AR58" i="5" s="1"/>
  <c r="AJ58" i="5"/>
  <c r="AK58" i="5" s="1"/>
  <c r="AL58" i="5" s="1"/>
  <c r="R58" i="5"/>
  <c r="H58" i="5"/>
  <c r="F58" i="5"/>
  <c r="BK57" i="5"/>
  <c r="AE57" i="5" s="1"/>
  <c r="AX57" i="5"/>
  <c r="AY57" i="5" s="1"/>
  <c r="AQ57" i="5"/>
  <c r="AR57" i="5" s="1"/>
  <c r="AJ57" i="5"/>
  <c r="BA57" i="5" s="1"/>
  <c r="R57" i="5"/>
  <c r="H57" i="5"/>
  <c r="F57" i="5"/>
  <c r="BK56" i="5"/>
  <c r="AE56" i="5" s="1"/>
  <c r="AX56" i="5"/>
  <c r="AY56" i="5" s="1"/>
  <c r="AQ56" i="5"/>
  <c r="AR56" i="5" s="1"/>
  <c r="AJ56" i="5"/>
  <c r="BA56" i="5" s="1"/>
  <c r="R56" i="5"/>
  <c r="H56" i="5"/>
  <c r="F56" i="5"/>
  <c r="BK55" i="5"/>
  <c r="AE55" i="5" s="1"/>
  <c r="AX55" i="5"/>
  <c r="AY55" i="5" s="1"/>
  <c r="AQ55" i="5"/>
  <c r="AR55" i="5" s="1"/>
  <c r="AJ55" i="5"/>
  <c r="AZ55" i="5" s="1"/>
  <c r="R55" i="5"/>
  <c r="H55" i="5"/>
  <c r="F55" i="5"/>
  <c r="BK54" i="5"/>
  <c r="AE54" i="5" s="1"/>
  <c r="AX54" i="5"/>
  <c r="AY54" i="5" s="1"/>
  <c r="AQ54" i="5"/>
  <c r="AR54" i="5" s="1"/>
  <c r="AJ54" i="5"/>
  <c r="BA54" i="5" s="1"/>
  <c r="R54" i="5"/>
  <c r="H54" i="5"/>
  <c r="F54" i="5"/>
  <c r="BK53" i="5"/>
  <c r="AE53" i="5" s="1"/>
  <c r="BB53" i="5"/>
  <c r="AZ53" i="5"/>
  <c r="AX53" i="5"/>
  <c r="AY53" i="5" s="1"/>
  <c r="AQ53" i="5"/>
  <c r="AR53" i="5" s="1"/>
  <c r="AJ53" i="5"/>
  <c r="BA53" i="5" s="1"/>
  <c r="R53" i="5"/>
  <c r="H53" i="5"/>
  <c r="F53" i="5"/>
  <c r="BK52" i="5"/>
  <c r="AE52" i="5" s="1"/>
  <c r="AY52" i="5"/>
  <c r="AQ52" i="5"/>
  <c r="AR52" i="5" s="1"/>
  <c r="AJ52" i="5"/>
  <c r="AZ52" i="5" s="1"/>
  <c r="R52" i="5"/>
  <c r="H52" i="5"/>
  <c r="F52" i="5"/>
  <c r="BK51" i="5"/>
  <c r="AE51" i="5" s="1"/>
  <c r="BB51" i="5"/>
  <c r="AX51" i="5"/>
  <c r="AY51" i="5" s="1"/>
  <c r="AQ51" i="5"/>
  <c r="AR51" i="5" s="1"/>
  <c r="AJ51" i="5"/>
  <c r="BA51" i="5" s="1"/>
  <c r="R51" i="5"/>
  <c r="H51" i="5"/>
  <c r="F51" i="5"/>
  <c r="BK50" i="5"/>
  <c r="AE50" i="5" s="1"/>
  <c r="BB50" i="5"/>
  <c r="AX50" i="5"/>
  <c r="AY50" i="5" s="1"/>
  <c r="AQ50" i="5"/>
  <c r="AR50" i="5" s="1"/>
  <c r="AJ50" i="5"/>
  <c r="BA50" i="5" s="1"/>
  <c r="R50" i="5"/>
  <c r="H50" i="5"/>
  <c r="F50" i="5"/>
  <c r="BK49" i="5"/>
  <c r="AE49" i="5" s="1"/>
  <c r="BB49" i="5"/>
  <c r="AX49" i="5"/>
  <c r="AY49" i="5" s="1"/>
  <c r="AQ49" i="5"/>
  <c r="AR49" i="5" s="1"/>
  <c r="AJ49" i="5"/>
  <c r="R49" i="5"/>
  <c r="H49" i="5"/>
  <c r="F49" i="5"/>
  <c r="BK48" i="5"/>
  <c r="AE48" i="5" s="1"/>
  <c r="BB48" i="5"/>
  <c r="AZ48" i="5"/>
  <c r="AX48" i="5"/>
  <c r="AY48" i="5" s="1"/>
  <c r="AQ48" i="5"/>
  <c r="AR48" i="5" s="1"/>
  <c r="AJ48" i="5"/>
  <c r="BA48" i="5" s="1"/>
  <c r="R48" i="5"/>
  <c r="H48" i="5"/>
  <c r="F48" i="5"/>
  <c r="BK47" i="5"/>
  <c r="AE47" i="5" s="1"/>
  <c r="BB47" i="5"/>
  <c r="AX47" i="5"/>
  <c r="AY47" i="5" s="1"/>
  <c r="AQ47" i="5"/>
  <c r="AR47" i="5" s="1"/>
  <c r="AJ47" i="5"/>
  <c r="AZ47" i="5" s="1"/>
  <c r="R47" i="5"/>
  <c r="H47" i="5"/>
  <c r="F47" i="5"/>
  <c r="BK46" i="5"/>
  <c r="AE46" i="5" s="1"/>
  <c r="BB46" i="5"/>
  <c r="AX46" i="5"/>
  <c r="AY46" i="5" s="1"/>
  <c r="AQ46" i="5"/>
  <c r="AR46" i="5" s="1"/>
  <c r="AJ46" i="5"/>
  <c r="AZ46" i="5" s="1"/>
  <c r="R46" i="5"/>
  <c r="H46" i="5"/>
  <c r="F46" i="5"/>
  <c r="BK45" i="5"/>
  <c r="AE45" i="5" s="1"/>
  <c r="BB45" i="5"/>
  <c r="AX45" i="5"/>
  <c r="AY45" i="5" s="1"/>
  <c r="AQ45" i="5"/>
  <c r="AR45" i="5" s="1"/>
  <c r="AJ45" i="5"/>
  <c r="BA45" i="5" s="1"/>
  <c r="R45" i="5"/>
  <c r="H45" i="5"/>
  <c r="F45" i="5"/>
  <c r="BK44" i="5"/>
  <c r="AE44" i="5" s="1"/>
  <c r="BB44" i="5"/>
  <c r="AX44" i="5"/>
  <c r="AY44" i="5" s="1"/>
  <c r="AQ44" i="5"/>
  <c r="AR44" i="5" s="1"/>
  <c r="AJ44" i="5"/>
  <c r="AZ44" i="5" s="1"/>
  <c r="R44" i="5"/>
  <c r="H44" i="5"/>
  <c r="F44" i="5"/>
  <c r="BK43" i="5"/>
  <c r="AE43" i="5" s="1"/>
  <c r="BB43" i="5"/>
  <c r="AX43" i="5"/>
  <c r="AY43" i="5" s="1"/>
  <c r="AQ43" i="5"/>
  <c r="AR43" i="5" s="1"/>
  <c r="AJ43" i="5"/>
  <c r="BA43" i="5" s="1"/>
  <c r="R43" i="5"/>
  <c r="H43" i="5"/>
  <c r="F43" i="5"/>
  <c r="BK42" i="5"/>
  <c r="AE42" i="5" s="1"/>
  <c r="BB42" i="5"/>
  <c r="AX42" i="5"/>
  <c r="AY42" i="5" s="1"/>
  <c r="AQ42" i="5"/>
  <c r="AR42" i="5" s="1"/>
  <c r="AJ42" i="5"/>
  <c r="R42" i="5"/>
  <c r="H42" i="5"/>
  <c r="F42" i="5"/>
  <c r="BK41" i="5"/>
  <c r="AE41" i="5" s="1"/>
  <c r="BB41" i="5"/>
  <c r="AX41" i="5"/>
  <c r="AY41" i="5" s="1"/>
  <c r="AQ41" i="5"/>
  <c r="AR41" i="5" s="1"/>
  <c r="AJ41" i="5"/>
  <c r="AZ41" i="5" s="1"/>
  <c r="R41" i="5"/>
  <c r="H41" i="5"/>
  <c r="F41" i="5"/>
  <c r="BK40" i="5"/>
  <c r="AE40" i="5" s="1"/>
  <c r="BB40" i="5"/>
  <c r="AX40" i="5"/>
  <c r="AY40" i="5" s="1"/>
  <c r="AQ40" i="5"/>
  <c r="AR40" i="5" s="1"/>
  <c r="AJ40" i="5"/>
  <c r="R40" i="5"/>
  <c r="H40" i="5"/>
  <c r="F40" i="5"/>
  <c r="BK39" i="5"/>
  <c r="AE39" i="5" s="1"/>
  <c r="BB39" i="5"/>
  <c r="AX39" i="5"/>
  <c r="AY39" i="5" s="1"/>
  <c r="AQ39" i="5"/>
  <c r="AR39" i="5" s="1"/>
  <c r="AJ39" i="5"/>
  <c r="BA39" i="5" s="1"/>
  <c r="R39" i="5"/>
  <c r="H39" i="5"/>
  <c r="F39" i="5"/>
  <c r="BK38" i="5"/>
  <c r="AE38" i="5" s="1"/>
  <c r="BB38" i="5"/>
  <c r="AX38" i="5"/>
  <c r="AY38" i="5" s="1"/>
  <c r="AQ38" i="5"/>
  <c r="AR38" i="5" s="1"/>
  <c r="AJ38" i="5"/>
  <c r="AK38" i="5" s="1"/>
  <c r="AL38" i="5" s="1"/>
  <c r="AO38" i="5" s="1"/>
  <c r="R38" i="5"/>
  <c r="H38" i="5"/>
  <c r="F38" i="5"/>
  <c r="BK37" i="5"/>
  <c r="AE37" i="5" s="1"/>
  <c r="BB37" i="5"/>
  <c r="AX37" i="5"/>
  <c r="AY37" i="5" s="1"/>
  <c r="AQ37" i="5"/>
  <c r="AR37" i="5" s="1"/>
  <c r="AJ37" i="5"/>
  <c r="R37" i="5"/>
  <c r="H37" i="5"/>
  <c r="F37" i="5"/>
  <c r="BK36" i="5"/>
  <c r="AE36" i="5" s="1"/>
  <c r="BB36" i="5"/>
  <c r="AX36" i="5"/>
  <c r="AY36" i="5" s="1"/>
  <c r="AQ36" i="5"/>
  <c r="AR36" i="5" s="1"/>
  <c r="AJ36" i="5"/>
  <c r="BA36" i="5" s="1"/>
  <c r="R36" i="5"/>
  <c r="H36" i="5"/>
  <c r="F36" i="5"/>
  <c r="BK35" i="5"/>
  <c r="AE35" i="5" s="1"/>
  <c r="BB35" i="5"/>
  <c r="AX35" i="5"/>
  <c r="AY35" i="5" s="1"/>
  <c r="AQ35" i="5"/>
  <c r="AR35" i="5" s="1"/>
  <c r="AJ35" i="5"/>
  <c r="BA35" i="5" s="1"/>
  <c r="AG35" i="5"/>
  <c r="R35" i="5"/>
  <c r="H35" i="5"/>
  <c r="F35" i="5"/>
  <c r="BK34" i="5"/>
  <c r="AE34" i="5" s="1"/>
  <c r="BB34" i="5"/>
  <c r="AX34" i="5"/>
  <c r="AY34" i="5" s="1"/>
  <c r="AQ34" i="5"/>
  <c r="AR34" i="5" s="1"/>
  <c r="AJ34" i="5"/>
  <c r="BA34" i="5" s="1"/>
  <c r="R34" i="5"/>
  <c r="H34" i="5"/>
  <c r="F34" i="5"/>
  <c r="BK33" i="5"/>
  <c r="AE33" i="5" s="1"/>
  <c r="BB33" i="5"/>
  <c r="AX33" i="5"/>
  <c r="AY33" i="5" s="1"/>
  <c r="AQ33" i="5"/>
  <c r="AR33" i="5" s="1"/>
  <c r="AJ33" i="5"/>
  <c r="AZ33" i="5" s="1"/>
  <c r="R33" i="5"/>
  <c r="H33" i="5"/>
  <c r="F33" i="5"/>
  <c r="BK32" i="5"/>
  <c r="AE32" i="5" s="1"/>
  <c r="BB32" i="5"/>
  <c r="AX32" i="5"/>
  <c r="AY32" i="5" s="1"/>
  <c r="AQ32" i="5"/>
  <c r="AR32" i="5" s="1"/>
  <c r="AJ32" i="5"/>
  <c r="AZ32" i="5" s="1"/>
  <c r="R32" i="5"/>
  <c r="H32" i="5"/>
  <c r="F32" i="5"/>
  <c r="BK31" i="5"/>
  <c r="AE31" i="5" s="1"/>
  <c r="BB31" i="5"/>
  <c r="AX31" i="5"/>
  <c r="AY31" i="5" s="1"/>
  <c r="AQ31" i="5"/>
  <c r="AR31" i="5" s="1"/>
  <c r="AJ31" i="5"/>
  <c r="R31" i="5"/>
  <c r="H31" i="5"/>
  <c r="F31" i="5"/>
  <c r="BK30" i="5"/>
  <c r="AE30" i="5" s="1"/>
  <c r="BB30" i="5"/>
  <c r="AX30" i="5"/>
  <c r="AY30" i="5" s="1"/>
  <c r="AQ30" i="5"/>
  <c r="AR30" i="5" s="1"/>
  <c r="AJ30" i="5"/>
  <c r="R30" i="5"/>
  <c r="H30" i="5"/>
  <c r="F30" i="5"/>
  <c r="BK29" i="5"/>
  <c r="AE29" i="5" s="1"/>
  <c r="BB29" i="5"/>
  <c r="AX29" i="5"/>
  <c r="AY29" i="5" s="1"/>
  <c r="AQ29" i="5"/>
  <c r="AR29" i="5" s="1"/>
  <c r="AJ29" i="5"/>
  <c r="BA29" i="5" s="1"/>
  <c r="R29" i="5"/>
  <c r="H29" i="5"/>
  <c r="F29" i="5"/>
  <c r="BK28" i="5"/>
  <c r="AE28" i="5" s="1"/>
  <c r="BB28" i="5"/>
  <c r="AX28" i="5"/>
  <c r="AY28" i="5" s="1"/>
  <c r="AQ28" i="5"/>
  <c r="AR28" i="5" s="1"/>
  <c r="AJ28" i="5"/>
  <c r="AK28" i="5" s="1"/>
  <c r="AL28" i="5" s="1"/>
  <c r="R28" i="5"/>
  <c r="H28" i="5"/>
  <c r="F28" i="5"/>
  <c r="BK27" i="5"/>
  <c r="AE27" i="5" s="1"/>
  <c r="BB27" i="5"/>
  <c r="AX27" i="5"/>
  <c r="AY27" i="5" s="1"/>
  <c r="AQ27" i="5"/>
  <c r="AR27" i="5" s="1"/>
  <c r="AJ27" i="5"/>
  <c r="BA27" i="5" s="1"/>
  <c r="R27" i="5"/>
  <c r="H27" i="5"/>
  <c r="F27" i="5"/>
  <c r="BK26" i="5"/>
  <c r="AE26" i="5" s="1"/>
  <c r="BB26" i="5"/>
  <c r="AX26" i="5"/>
  <c r="AY26" i="5" s="1"/>
  <c r="AQ26" i="5"/>
  <c r="AR26" i="5" s="1"/>
  <c r="AJ26" i="5"/>
  <c r="BA26" i="5" s="1"/>
  <c r="R26" i="5"/>
  <c r="H26" i="5"/>
  <c r="F26" i="5"/>
  <c r="BK25" i="5"/>
  <c r="AE25" i="5" s="1"/>
  <c r="BB25" i="5"/>
  <c r="AX25" i="5"/>
  <c r="AY25" i="5" s="1"/>
  <c r="AQ25" i="5"/>
  <c r="AR25" i="5" s="1"/>
  <c r="AJ25" i="5"/>
  <c r="AK25" i="5" s="1"/>
  <c r="AL25" i="5" s="1"/>
  <c r="R25" i="5"/>
  <c r="H25" i="5"/>
  <c r="F25" i="5"/>
  <c r="BK24" i="5"/>
  <c r="AE24" i="5" s="1"/>
  <c r="BB24" i="5"/>
  <c r="AY24" i="5"/>
  <c r="AX24" i="5"/>
  <c r="AQ24" i="5"/>
  <c r="AR24" i="5" s="1"/>
  <c r="AJ24" i="5"/>
  <c r="R24" i="5"/>
  <c r="H24" i="5"/>
  <c r="F24" i="5"/>
  <c r="BK23" i="5"/>
  <c r="AE23" i="5" s="1"/>
  <c r="BB23" i="5"/>
  <c r="AY23" i="5"/>
  <c r="AQ23" i="5"/>
  <c r="AR23" i="5" s="1"/>
  <c r="AJ23" i="5"/>
  <c r="AZ23" i="5" s="1"/>
  <c r="R23" i="5"/>
  <c r="H23" i="5"/>
  <c r="F23" i="5"/>
  <c r="BK22" i="5"/>
  <c r="AE22" i="5" s="1"/>
  <c r="BB22" i="5"/>
  <c r="AX22" i="5"/>
  <c r="AY22" i="5" s="1"/>
  <c r="AQ22" i="5"/>
  <c r="AR22" i="5" s="1"/>
  <c r="AJ22" i="5"/>
  <c r="BA22" i="5" s="1"/>
  <c r="R22" i="5"/>
  <c r="H22" i="5"/>
  <c r="F22" i="5"/>
  <c r="BK21" i="5"/>
  <c r="AE21" i="5" s="1"/>
  <c r="BB21" i="5"/>
  <c r="AX21" i="5"/>
  <c r="AY21" i="5" s="1"/>
  <c r="AQ21" i="5"/>
  <c r="AR21" i="5" s="1"/>
  <c r="AJ21" i="5"/>
  <c r="BA21" i="5" s="1"/>
  <c r="Z21" i="5"/>
  <c r="R21" i="5"/>
  <c r="H21" i="5"/>
  <c r="F21" i="5"/>
  <c r="BK20" i="5"/>
  <c r="AE20" i="5" s="1"/>
  <c r="BB20" i="5"/>
  <c r="AX20" i="5"/>
  <c r="AY20" i="5" s="1"/>
  <c r="AQ20" i="5"/>
  <c r="AR20" i="5" s="1"/>
  <c r="AJ20" i="5"/>
  <c r="BA20" i="5" s="1"/>
  <c r="R20" i="5"/>
  <c r="H20" i="5"/>
  <c r="F20" i="5"/>
  <c r="BK19" i="5"/>
  <c r="AE19" i="5" s="1"/>
  <c r="BB19" i="5"/>
  <c r="AX19" i="5"/>
  <c r="AY19" i="5" s="1"/>
  <c r="AQ19" i="5"/>
  <c r="AR19" i="5" s="1"/>
  <c r="AJ19" i="5"/>
  <c r="BA19" i="5" s="1"/>
  <c r="R19" i="5"/>
  <c r="H19" i="5"/>
  <c r="F19" i="5"/>
  <c r="BK18" i="5"/>
  <c r="AE18" i="5" s="1"/>
  <c r="BB18" i="5"/>
  <c r="AX18" i="5"/>
  <c r="AY18" i="5" s="1"/>
  <c r="AQ18" i="5"/>
  <c r="AR18" i="5" s="1"/>
  <c r="AK18" i="5"/>
  <c r="AL18" i="5" s="1"/>
  <c r="AJ18" i="5"/>
  <c r="AZ18" i="5" s="1"/>
  <c r="R18" i="5"/>
  <c r="H18" i="5"/>
  <c r="F18" i="5"/>
  <c r="BK17" i="5"/>
  <c r="AE17" i="5" s="1"/>
  <c r="BB17" i="5"/>
  <c r="AX17" i="5"/>
  <c r="AY17" i="5" s="1"/>
  <c r="AQ17" i="5"/>
  <c r="AR17" i="5" s="1"/>
  <c r="AJ17" i="5"/>
  <c r="AK17" i="5" s="1"/>
  <c r="AL17" i="5" s="1"/>
  <c r="R17" i="5"/>
  <c r="H17" i="5"/>
  <c r="F17" i="5"/>
  <c r="BK16" i="5"/>
  <c r="AE16" i="5" s="1"/>
  <c r="BB16" i="5"/>
  <c r="AX16" i="5"/>
  <c r="AY16" i="5" s="1"/>
  <c r="AQ16" i="5"/>
  <c r="AR16" i="5" s="1"/>
  <c r="AJ16" i="5"/>
  <c r="R16" i="5"/>
  <c r="H16" i="5"/>
  <c r="F16" i="5"/>
  <c r="BK15" i="5"/>
  <c r="AE15" i="5" s="1"/>
  <c r="BB15" i="5"/>
  <c r="AY15" i="5"/>
  <c r="AQ15" i="5"/>
  <c r="AR15" i="5" s="1"/>
  <c r="AJ15" i="5"/>
  <c r="AZ15" i="5" s="1"/>
  <c r="R15" i="5"/>
  <c r="H15" i="5"/>
  <c r="F15" i="5"/>
  <c r="BK14" i="5"/>
  <c r="AE14" i="5" s="1"/>
  <c r="BB14" i="5"/>
  <c r="AY14" i="5"/>
  <c r="AQ14" i="5"/>
  <c r="AR14" i="5" s="1"/>
  <c r="AJ14" i="5"/>
  <c r="AZ14" i="5" s="1"/>
  <c r="R14" i="5"/>
  <c r="H14" i="5"/>
  <c r="F14" i="5"/>
  <c r="BK13" i="5"/>
  <c r="AE13" i="5" s="1"/>
  <c r="BB13" i="5"/>
  <c r="AY13" i="5"/>
  <c r="AQ13" i="5"/>
  <c r="AR13" i="5" s="1"/>
  <c r="AJ13" i="5"/>
  <c r="AZ13" i="5" s="1"/>
  <c r="R13" i="5"/>
  <c r="H13" i="5"/>
  <c r="F13" i="5"/>
  <c r="BK12" i="5"/>
  <c r="AE12" i="5" s="1"/>
  <c r="BB12" i="5"/>
  <c r="AY12" i="5"/>
  <c r="AQ12" i="5"/>
  <c r="AR12" i="5" s="1"/>
  <c r="AJ12" i="5"/>
  <c r="AZ12" i="5" s="1"/>
  <c r="R12" i="5"/>
  <c r="H12" i="5"/>
  <c r="F12" i="5"/>
  <c r="BK11" i="5"/>
  <c r="AE11" i="5" s="1"/>
  <c r="BB11" i="5"/>
  <c r="AY11" i="5"/>
  <c r="AQ11" i="5"/>
  <c r="AR11" i="5" s="1"/>
  <c r="AJ11" i="5"/>
  <c r="AZ11" i="5" s="1"/>
  <c r="R11" i="5"/>
  <c r="H11" i="5"/>
  <c r="F11" i="5"/>
  <c r="BK10" i="5"/>
  <c r="AE10" i="5" s="1"/>
  <c r="BB10" i="5"/>
  <c r="AY10" i="5"/>
  <c r="AQ10" i="5"/>
  <c r="AR10" i="5" s="1"/>
  <c r="AJ10" i="5"/>
  <c r="AZ10" i="5" s="1"/>
  <c r="R10" i="5"/>
  <c r="H10" i="5"/>
  <c r="F10" i="5"/>
  <c r="BK9" i="5"/>
  <c r="AE9" i="5" s="1"/>
  <c r="BB9" i="5"/>
  <c r="AY9" i="5"/>
  <c r="AQ9" i="5"/>
  <c r="AR9" i="5" s="1"/>
  <c r="AJ9" i="5"/>
  <c r="AZ9" i="5" s="1"/>
  <c r="R9" i="5"/>
  <c r="H9" i="5"/>
  <c r="F9" i="5"/>
  <c r="BK8" i="5"/>
  <c r="AE8" i="5" s="1"/>
  <c r="BB8" i="5"/>
  <c r="AY8" i="5"/>
  <c r="AQ8" i="5"/>
  <c r="AR8" i="5" s="1"/>
  <c r="AJ8" i="5"/>
  <c r="AZ8" i="5" s="1"/>
  <c r="R8" i="5"/>
  <c r="H8" i="5"/>
  <c r="F8" i="5"/>
  <c r="BK7" i="5"/>
  <c r="AE7" i="5" s="1"/>
  <c r="BB7" i="5"/>
  <c r="AZ7" i="5"/>
  <c r="AY7" i="5"/>
  <c r="AQ7" i="5"/>
  <c r="AR7" i="5" s="1"/>
  <c r="AJ7" i="5"/>
  <c r="R7" i="5"/>
  <c r="H7" i="5"/>
  <c r="F7" i="5"/>
  <c r="BK6" i="5"/>
  <c r="AE6" i="5" s="1"/>
  <c r="BB6" i="5"/>
  <c r="AY6" i="5"/>
  <c r="AQ6" i="5"/>
  <c r="AR6" i="5" s="1"/>
  <c r="AJ6" i="5"/>
  <c r="AZ6" i="5" s="1"/>
  <c r="R6" i="5"/>
  <c r="H6" i="5"/>
  <c r="F6" i="5"/>
  <c r="BK5" i="5"/>
  <c r="AE5" i="5" s="1"/>
  <c r="BB5" i="5"/>
  <c r="AY5" i="5"/>
  <c r="AQ5" i="5"/>
  <c r="AR5" i="5" s="1"/>
  <c r="AJ5" i="5"/>
  <c r="AZ5" i="5" s="1"/>
  <c r="R5" i="5"/>
  <c r="H5" i="5"/>
  <c r="F5" i="5"/>
  <c r="BK4" i="5"/>
  <c r="AE4" i="5" s="1"/>
  <c r="BB4" i="5"/>
  <c r="AY4" i="5"/>
  <c r="AQ4" i="5"/>
  <c r="AR4" i="5" s="1"/>
  <c r="AJ4" i="5"/>
  <c r="AZ4" i="5" s="1"/>
  <c r="R4" i="5"/>
  <c r="H4" i="5"/>
  <c r="F4" i="5"/>
  <c r="BK3" i="5"/>
  <c r="AE3" i="5" s="1"/>
  <c r="BB3" i="5"/>
  <c r="AY3" i="5"/>
  <c r="AQ3" i="5"/>
  <c r="AR3" i="5" s="1"/>
  <c r="AJ3" i="5"/>
  <c r="AZ3" i="5" s="1"/>
  <c r="R3" i="5"/>
  <c r="H3" i="5"/>
  <c r="F3" i="5"/>
  <c r="BK2" i="5"/>
  <c r="AE2" i="5" s="1"/>
  <c r="BB2" i="5"/>
  <c r="AX2" i="5"/>
  <c r="AY2" i="5" s="1"/>
  <c r="AQ2" i="5"/>
  <c r="AR2" i="5" s="1"/>
  <c r="AJ2" i="5"/>
  <c r="R2" i="5"/>
  <c r="F2" i="5"/>
  <c r="AS203" i="5" l="1"/>
  <c r="BA33" i="5"/>
  <c r="BA61" i="5"/>
  <c r="AK126" i="5"/>
  <c r="AL126" i="5" s="1"/>
  <c r="AS17" i="5"/>
  <c r="AK52" i="5"/>
  <c r="AL52" i="5" s="1"/>
  <c r="AK53" i="5"/>
  <c r="AL53" i="5" s="1"/>
  <c r="AO53" i="5" s="1"/>
  <c r="AK177" i="5"/>
  <c r="AL177" i="5" s="1"/>
  <c r="AS177" i="5" s="1"/>
  <c r="AK54" i="5"/>
  <c r="AL54" i="5" s="1"/>
  <c r="AO54" i="5" s="1"/>
  <c r="AK63" i="5"/>
  <c r="AL63" i="5" s="1"/>
  <c r="AK166" i="5"/>
  <c r="AL166" i="5" s="1"/>
  <c r="AK175" i="5"/>
  <c r="AL175" i="5" s="1"/>
  <c r="AO175" i="5" s="1"/>
  <c r="AZ59" i="5"/>
  <c r="BA145" i="5"/>
  <c r="AK180" i="5"/>
  <c r="AL180" i="5" s="1"/>
  <c r="AS180" i="5" s="1"/>
  <c r="AK183" i="5"/>
  <c r="AL183" i="5" s="1"/>
  <c r="BA140" i="5"/>
  <c r="AZ142" i="5"/>
  <c r="AS155" i="5"/>
  <c r="AZ168" i="5"/>
  <c r="AZ169" i="5"/>
  <c r="AZ171" i="5"/>
  <c r="AK195" i="5"/>
  <c r="AL195" i="5" s="1"/>
  <c r="AO195" i="5" s="1"/>
  <c r="BA59" i="5"/>
  <c r="BA88" i="5"/>
  <c r="BA17" i="5"/>
  <c r="AZ54" i="5"/>
  <c r="AZ63" i="5"/>
  <c r="BA120" i="5"/>
  <c r="BA121" i="5"/>
  <c r="BA142" i="5"/>
  <c r="AZ163" i="5"/>
  <c r="BA169" i="5"/>
  <c r="BA171" i="5"/>
  <c r="BA68" i="5"/>
  <c r="BA125" i="5"/>
  <c r="BA137" i="5"/>
  <c r="BA163" i="5"/>
  <c r="BA180" i="5"/>
  <c r="AZ17" i="5"/>
  <c r="BA38" i="5"/>
  <c r="AZ153" i="5"/>
  <c r="AK89" i="5"/>
  <c r="AL89" i="5" s="1"/>
  <c r="AO89" i="5" s="1"/>
  <c r="AK101" i="5"/>
  <c r="AL101" i="5" s="1"/>
  <c r="BA47" i="5"/>
  <c r="AK48" i="5"/>
  <c r="AL48" i="5" s="1"/>
  <c r="AO48" i="5" s="1"/>
  <c r="AZ61" i="5"/>
  <c r="AZ73" i="5"/>
  <c r="AK93" i="5"/>
  <c r="AL93" i="5" s="1"/>
  <c r="AO93" i="5" s="1"/>
  <c r="BA132" i="5"/>
  <c r="BA155" i="5"/>
  <c r="AZ157" i="5"/>
  <c r="AK162" i="5"/>
  <c r="AL162" i="5" s="1"/>
  <c r="AO162" i="5" s="1"/>
  <c r="AS168" i="5"/>
  <c r="AK197" i="5"/>
  <c r="AL197" i="5" s="1"/>
  <c r="AO197" i="5" s="1"/>
  <c r="AK51" i="5"/>
  <c r="AL51" i="5" s="1"/>
  <c r="AO51" i="5" s="1"/>
  <c r="AK73" i="5"/>
  <c r="AL73" i="5" s="1"/>
  <c r="AN73" i="5" s="1"/>
  <c r="AK196" i="5"/>
  <c r="AL196" i="5" s="1"/>
  <c r="AK106" i="5"/>
  <c r="AL106" i="5" s="1"/>
  <c r="AK33" i="5"/>
  <c r="AL33" i="5" s="1"/>
  <c r="AO33" i="5" s="1"/>
  <c r="AZ89" i="5"/>
  <c r="BA101" i="5"/>
  <c r="AZ164" i="5"/>
  <c r="BA170" i="5"/>
  <c r="AZ196" i="5"/>
  <c r="AK56" i="5"/>
  <c r="AL56" i="5" s="1"/>
  <c r="AS56" i="5" s="1"/>
  <c r="AK117" i="5"/>
  <c r="AL117" i="5" s="1"/>
  <c r="AS117" i="5" s="1"/>
  <c r="AK150" i="5"/>
  <c r="AL150" i="5" s="1"/>
  <c r="AO150" i="5" s="1"/>
  <c r="AK156" i="5"/>
  <c r="AL156" i="5" s="1"/>
  <c r="AO156" i="5" s="1"/>
  <c r="AK45" i="5"/>
  <c r="AL45" i="5" s="1"/>
  <c r="AS45" i="5" s="1"/>
  <c r="AK74" i="5"/>
  <c r="AL74" i="5" s="1"/>
  <c r="AS74" i="5" s="1"/>
  <c r="BA32" i="5"/>
  <c r="AZ45" i="5"/>
  <c r="AZ51" i="5"/>
  <c r="BA106" i="5"/>
  <c r="AZ117" i="5"/>
  <c r="AK120" i="5"/>
  <c r="AL120" i="5" s="1"/>
  <c r="AS120" i="5" s="1"/>
  <c r="BA123" i="5"/>
  <c r="AZ150" i="5"/>
  <c r="BA164" i="5"/>
  <c r="AK122" i="5"/>
  <c r="AL122" i="5" s="1"/>
  <c r="AO122" i="5" s="1"/>
  <c r="AK132" i="5"/>
  <c r="AL132" i="5" s="1"/>
  <c r="AO132" i="5" s="1"/>
  <c r="AK170" i="5"/>
  <c r="AL170" i="5" s="1"/>
  <c r="AS170" i="5" s="1"/>
  <c r="BA130" i="5"/>
  <c r="AZ155" i="5"/>
  <c r="AZ22" i="5"/>
  <c r="AZ38" i="5"/>
  <c r="AK47" i="5"/>
  <c r="AL47" i="5" s="1"/>
  <c r="AS53" i="5"/>
  <c r="AZ62" i="5"/>
  <c r="AK94" i="5"/>
  <c r="AL94" i="5" s="1"/>
  <c r="AO94" i="5" s="1"/>
  <c r="AZ118" i="5"/>
  <c r="AZ137" i="5"/>
  <c r="AZ140" i="5"/>
  <c r="AK145" i="5"/>
  <c r="AL145" i="5" s="1"/>
  <c r="AS145" i="5" s="1"/>
  <c r="AK154" i="5"/>
  <c r="AL154" i="5" s="1"/>
  <c r="AO154" i="5" s="1"/>
  <c r="AZ165" i="5"/>
  <c r="AK181" i="5"/>
  <c r="AL181" i="5" s="1"/>
  <c r="AS157" i="5"/>
  <c r="AO157" i="5"/>
  <c r="AS199" i="5"/>
  <c r="AO199" i="5"/>
  <c r="AS198" i="5"/>
  <c r="AO198" i="5"/>
  <c r="AS202" i="5"/>
  <c r="AO202" i="5"/>
  <c r="BA138" i="5"/>
  <c r="AZ138" i="5"/>
  <c r="BA143" i="5"/>
  <c r="AZ143" i="5"/>
  <c r="AZ158" i="5"/>
  <c r="BA158" i="5"/>
  <c r="AO177" i="5"/>
  <c r="AK36" i="5"/>
  <c r="AL36" i="5" s="1"/>
  <c r="AO36" i="5" s="1"/>
  <c r="AK39" i="5"/>
  <c r="AL39" i="5" s="1"/>
  <c r="AO39" i="5" s="1"/>
  <c r="AK43" i="5"/>
  <c r="AL43" i="5" s="1"/>
  <c r="BA44" i="5"/>
  <c r="AK55" i="5"/>
  <c r="AL55" i="5" s="1"/>
  <c r="AO55" i="5" s="1"/>
  <c r="AK57" i="5"/>
  <c r="AL57" i="5" s="1"/>
  <c r="AO57" i="5" s="1"/>
  <c r="AK60" i="5"/>
  <c r="AL60" i="5" s="1"/>
  <c r="AO60" i="5" s="1"/>
  <c r="AK65" i="5"/>
  <c r="AL65" i="5" s="1"/>
  <c r="AS65" i="5" s="1"/>
  <c r="AZ86" i="5"/>
  <c r="BA86" i="5"/>
  <c r="AZ87" i="5"/>
  <c r="BA87" i="5"/>
  <c r="AY90" i="5"/>
  <c r="AK100" i="5"/>
  <c r="AL100" i="5" s="1"/>
  <c r="AS100" i="5" s="1"/>
  <c r="BA118" i="5"/>
  <c r="AZ127" i="5"/>
  <c r="AK127" i="5"/>
  <c r="AL127" i="5" s="1"/>
  <c r="AS127" i="5" s="1"/>
  <c r="AK138" i="5"/>
  <c r="AL138" i="5" s="1"/>
  <c r="AK143" i="5"/>
  <c r="AL143" i="5" s="1"/>
  <c r="AS143" i="5" s="1"/>
  <c r="BA157" i="5"/>
  <c r="AK158" i="5"/>
  <c r="AL158" i="5" s="1"/>
  <c r="AO158" i="5" s="1"/>
  <c r="AK172" i="5"/>
  <c r="AL172" i="5" s="1"/>
  <c r="AZ28" i="5"/>
  <c r="BA31" i="5"/>
  <c r="AZ31" i="5"/>
  <c r="AS151" i="5"/>
  <c r="AO151" i="5"/>
  <c r="AS154" i="5"/>
  <c r="AK159" i="5"/>
  <c r="AL159" i="5" s="1"/>
  <c r="AK182" i="5"/>
  <c r="AL182" i="5" s="1"/>
  <c r="AZ109" i="5"/>
  <c r="BA109" i="5"/>
  <c r="BA18" i="5"/>
  <c r="AK31" i="5"/>
  <c r="AL31" i="5" s="1"/>
  <c r="AO31" i="5" s="1"/>
  <c r="AK34" i="5"/>
  <c r="AL34" i="5" s="1"/>
  <c r="AO34" i="5" s="1"/>
  <c r="BA52" i="5"/>
  <c r="BA58" i="5"/>
  <c r="AZ58" i="5"/>
  <c r="AK62" i="5"/>
  <c r="AL62" i="5" s="1"/>
  <c r="AK68" i="5"/>
  <c r="AL68" i="5" s="1"/>
  <c r="AO68" i="5" s="1"/>
  <c r="BA72" i="5"/>
  <c r="AZ93" i="5"/>
  <c r="BA115" i="5"/>
  <c r="AZ115" i="5"/>
  <c r="AK121" i="5"/>
  <c r="AL121" i="5" s="1"/>
  <c r="AZ124" i="5"/>
  <c r="BA124" i="5"/>
  <c r="AK133" i="5"/>
  <c r="AL133" i="5" s="1"/>
  <c r="AS133" i="5" s="1"/>
  <c r="AS140" i="5"/>
  <c r="AZ144" i="5"/>
  <c r="BA165" i="5"/>
  <c r="BA55" i="5"/>
  <c r="AZ98" i="5"/>
  <c r="BA98" i="5"/>
  <c r="AZ25" i="5"/>
  <c r="AZ141" i="5"/>
  <c r="BA141" i="5"/>
  <c r="BA152" i="5"/>
  <c r="AZ152" i="5"/>
  <c r="AK67" i="5"/>
  <c r="AL67" i="5" s="1"/>
  <c r="AO67" i="5" s="1"/>
  <c r="BA67" i="5"/>
  <c r="AZ104" i="5"/>
  <c r="BA104" i="5"/>
  <c r="BA144" i="5"/>
  <c r="AK22" i="5"/>
  <c r="AL22" i="5" s="1"/>
  <c r="AO22" i="5" s="1"/>
  <c r="BA25" i="5"/>
  <c r="AZ43" i="5"/>
  <c r="AZ57" i="5"/>
  <c r="AV73" i="5"/>
  <c r="AZ100" i="5"/>
  <c r="AK104" i="5"/>
  <c r="AL104" i="5" s="1"/>
  <c r="AZ116" i="5"/>
  <c r="AK116" i="5"/>
  <c r="AL116" i="5" s="1"/>
  <c r="AS116" i="5" s="1"/>
  <c r="AK141" i="5"/>
  <c r="AL141" i="5" s="1"/>
  <c r="AO141" i="5" s="1"/>
  <c r="AK152" i="5"/>
  <c r="AL152" i="5" s="1"/>
  <c r="AZ172" i="5"/>
  <c r="AS38" i="5"/>
  <c r="AZ39" i="5"/>
  <c r="AS59" i="5"/>
  <c r="AS94" i="5"/>
  <c r="AZ96" i="5"/>
  <c r="AK96" i="5"/>
  <c r="AL96" i="5" s="1"/>
  <c r="AS96" i="5" s="1"/>
  <c r="BA127" i="5"/>
  <c r="BA129" i="5"/>
  <c r="AZ129" i="5"/>
  <c r="BA133" i="5"/>
  <c r="BA135" i="5"/>
  <c r="AZ135" i="5"/>
  <c r="AZ151" i="5"/>
  <c r="BA159" i="5"/>
  <c r="AK173" i="5"/>
  <c r="AL173" i="5" s="1"/>
  <c r="BA179" i="5"/>
  <c r="AZ182" i="5"/>
  <c r="AK184" i="5"/>
  <c r="AL184" i="5" s="1"/>
  <c r="AS184" i="5" s="1"/>
  <c r="AZ184" i="5"/>
  <c r="AK35" i="5"/>
  <c r="AL35" i="5" s="1"/>
  <c r="AS35" i="5" s="1"/>
  <c r="AS51" i="5"/>
  <c r="BA60" i="5"/>
  <c r="AS129" i="5"/>
  <c r="AO129" i="5"/>
  <c r="BA151" i="5"/>
  <c r="AS171" i="5"/>
  <c r="AO204" i="5"/>
  <c r="AS204" i="5"/>
  <c r="AZ156" i="5"/>
  <c r="BA162" i="5"/>
  <c r="BA168" i="5"/>
  <c r="AZ56" i="5"/>
  <c r="AZ94" i="5"/>
  <c r="BA122" i="5"/>
  <c r="AK123" i="5"/>
  <c r="AL123" i="5" s="1"/>
  <c r="AO123" i="5" s="1"/>
  <c r="AK125" i="5"/>
  <c r="AL125" i="5" s="1"/>
  <c r="AO125" i="5" s="1"/>
  <c r="AZ126" i="5"/>
  <c r="AK130" i="5"/>
  <c r="AL130" i="5" s="1"/>
  <c r="AO130" i="5" s="1"/>
  <c r="AZ166" i="5"/>
  <c r="AZ154" i="5"/>
  <c r="AK174" i="5"/>
  <c r="AL174" i="5" s="1"/>
  <c r="AS101" i="5"/>
  <c r="AO101" i="5"/>
  <c r="AO35" i="5"/>
  <c r="AS18" i="5"/>
  <c r="AO18" i="5"/>
  <c r="AS33" i="5"/>
  <c r="AS64" i="5"/>
  <c r="AO64" i="5"/>
  <c r="AN64" i="5"/>
  <c r="AO28" i="5"/>
  <c r="AS28" i="5"/>
  <c r="BA42" i="5"/>
  <c r="AZ42" i="5"/>
  <c r="AK42" i="5"/>
  <c r="AL42" i="5" s="1"/>
  <c r="AK46" i="5"/>
  <c r="AL46" i="5" s="1"/>
  <c r="AO59" i="5"/>
  <c r="AO100" i="5"/>
  <c r="AS118" i="5"/>
  <c r="AO118" i="5"/>
  <c r="AS164" i="5"/>
  <c r="AO164" i="5"/>
  <c r="AS183" i="5"/>
  <c r="AO183" i="5"/>
  <c r="AS25" i="5"/>
  <c r="AS57" i="5"/>
  <c r="AS89" i="5"/>
  <c r="BA3" i="5"/>
  <c r="AK3" i="5"/>
  <c r="AL3" i="5" s="1"/>
  <c r="BA11" i="5"/>
  <c r="AK11" i="5"/>
  <c r="AL11" i="5" s="1"/>
  <c r="AO17" i="5"/>
  <c r="BA30" i="5"/>
  <c r="AZ30" i="5"/>
  <c r="AK30" i="5"/>
  <c r="AL30" i="5" s="1"/>
  <c r="BA6" i="5"/>
  <c r="AK6" i="5"/>
  <c r="AL6" i="5" s="1"/>
  <c r="BA14" i="5"/>
  <c r="AK14" i="5"/>
  <c r="AL14" i="5" s="1"/>
  <c r="BA70" i="5"/>
  <c r="AK70" i="5"/>
  <c r="AL70" i="5" s="1"/>
  <c r="AZ70" i="5"/>
  <c r="BA97" i="5"/>
  <c r="AK97" i="5"/>
  <c r="AL97" i="5" s="1"/>
  <c r="AZ97" i="5"/>
  <c r="AO184" i="5"/>
  <c r="AZ26" i="5"/>
  <c r="AZ27" i="5"/>
  <c r="BA28" i="5"/>
  <c r="AK29" i="5"/>
  <c r="AL29" i="5" s="1"/>
  <c r="BA37" i="5"/>
  <c r="AZ37" i="5"/>
  <c r="AK37" i="5"/>
  <c r="AL37" i="5" s="1"/>
  <c r="BA139" i="5"/>
  <c r="AZ139" i="5"/>
  <c r="AK139" i="5"/>
  <c r="AL139" i="5" s="1"/>
  <c r="AQ208" i="5"/>
  <c r="BA5" i="5"/>
  <c r="AK5" i="5"/>
  <c r="AL5" i="5" s="1"/>
  <c r="BA9" i="5"/>
  <c r="AK9" i="5"/>
  <c r="AL9" i="5" s="1"/>
  <c r="BA13" i="5"/>
  <c r="AK13" i="5"/>
  <c r="AL13" i="5" s="1"/>
  <c r="AK26" i="5"/>
  <c r="AL26" i="5" s="1"/>
  <c r="AK27" i="5"/>
  <c r="AL27" i="5" s="1"/>
  <c r="AZ36" i="5"/>
  <c r="BA92" i="5"/>
  <c r="AZ92" i="5"/>
  <c r="BA7" i="5"/>
  <c r="AK7" i="5"/>
  <c r="AL7" i="5" s="1"/>
  <c r="BA15" i="5"/>
  <c r="AK15" i="5"/>
  <c r="AL15" i="5" s="1"/>
  <c r="AJ208" i="5"/>
  <c r="BA2" i="5"/>
  <c r="AZ2" i="5"/>
  <c r="BA23" i="5"/>
  <c r="AK23" i="5"/>
  <c r="AL23" i="5" s="1"/>
  <c r="AZ29" i="5"/>
  <c r="AR208" i="5"/>
  <c r="AZ19" i="5"/>
  <c r="AZ20" i="5"/>
  <c r="AZ34" i="5"/>
  <c r="AZ35" i="5"/>
  <c r="AS39" i="5"/>
  <c r="BA41" i="5"/>
  <c r="AK41" i="5"/>
  <c r="AL41" i="5" s="1"/>
  <c r="AO45" i="5"/>
  <c r="BA46" i="5"/>
  <c r="AS52" i="5"/>
  <c r="AO52" i="5"/>
  <c r="AS68" i="5"/>
  <c r="BA71" i="5"/>
  <c r="AZ71" i="5"/>
  <c r="AK71" i="5"/>
  <c r="AL71" i="5" s="1"/>
  <c r="AS92" i="5"/>
  <c r="AO92" i="5"/>
  <c r="BA99" i="5"/>
  <c r="AK99" i="5"/>
  <c r="AL99" i="5" s="1"/>
  <c r="AZ99" i="5"/>
  <c r="AS109" i="5"/>
  <c r="AO109" i="5"/>
  <c r="AS114" i="5"/>
  <c r="AO114" i="5"/>
  <c r="AO25" i="5"/>
  <c r="BA40" i="5"/>
  <c r="AK40" i="5"/>
  <c r="AL40" i="5" s="1"/>
  <c r="AZ69" i="5"/>
  <c r="AK69" i="5"/>
  <c r="AL69" i="5" s="1"/>
  <c r="BA69" i="5"/>
  <c r="AY74" i="5"/>
  <c r="AV74" i="5"/>
  <c r="AS158" i="5"/>
  <c r="AK2" i="5"/>
  <c r="AL2" i="5" s="1"/>
  <c r="BA10" i="5"/>
  <c r="AK10" i="5"/>
  <c r="AL10" i="5" s="1"/>
  <c r="AZ64" i="5"/>
  <c r="BA64" i="5"/>
  <c r="AK90" i="5"/>
  <c r="AL90" i="5" s="1"/>
  <c r="AZ108" i="5"/>
  <c r="AK108" i="5"/>
  <c r="AL108" i="5" s="1"/>
  <c r="AS201" i="5"/>
  <c r="AO201" i="5"/>
  <c r="BA4" i="5"/>
  <c r="AK4" i="5"/>
  <c r="AL4" i="5" s="1"/>
  <c r="BA8" i="5"/>
  <c r="AK8" i="5"/>
  <c r="AL8" i="5" s="1"/>
  <c r="BA12" i="5"/>
  <c r="AK12" i="5"/>
  <c r="AL12" i="5" s="1"/>
  <c r="AZ16" i="5"/>
  <c r="AK16" i="5"/>
  <c r="AL16" i="5" s="1"/>
  <c r="BA16" i="5"/>
  <c r="AK19" i="5"/>
  <c r="AL19" i="5" s="1"/>
  <c r="AK20" i="5"/>
  <c r="AL20" i="5" s="1"/>
  <c r="AZ21" i="5"/>
  <c r="AK21" i="5"/>
  <c r="AL21" i="5" s="1"/>
  <c r="AZ24" i="5"/>
  <c r="AK24" i="5"/>
  <c r="AL24" i="5" s="1"/>
  <c r="BA24" i="5"/>
  <c r="AV37" i="5"/>
  <c r="AZ40" i="5"/>
  <c r="AS47" i="5"/>
  <c r="AO47" i="5"/>
  <c r="AS48" i="5"/>
  <c r="BA90" i="5"/>
  <c r="AS93" i="5"/>
  <c r="AS115" i="5"/>
  <c r="AO115" i="5"/>
  <c r="AS126" i="5"/>
  <c r="AO126" i="5"/>
  <c r="AY65" i="5"/>
  <c r="AV65" i="5"/>
  <c r="BA105" i="5"/>
  <c r="AK105" i="5"/>
  <c r="AL105" i="5" s="1"/>
  <c r="AS137" i="5"/>
  <c r="AO137" i="5"/>
  <c r="AO144" i="5"/>
  <c r="AS144" i="5"/>
  <c r="AV38" i="5"/>
  <c r="BA49" i="5"/>
  <c r="AZ49" i="5"/>
  <c r="AK49" i="5"/>
  <c r="AL49" i="5" s="1"/>
  <c r="AM208" i="5"/>
  <c r="AN93" i="5"/>
  <c r="AS106" i="5"/>
  <c r="AO106" i="5"/>
  <c r="BA113" i="5"/>
  <c r="AK113" i="5"/>
  <c r="AL113" i="5" s="1"/>
  <c r="AZ113" i="5"/>
  <c r="AS153" i="5"/>
  <c r="AO153" i="5"/>
  <c r="AS58" i="5"/>
  <c r="AS61" i="5"/>
  <c r="AS63" i="5"/>
  <c r="AO65" i="5"/>
  <c r="AN65" i="5"/>
  <c r="AS98" i="5"/>
  <c r="AO98" i="5"/>
  <c r="AO121" i="5"/>
  <c r="AS121" i="5"/>
  <c r="AV126" i="5"/>
  <c r="AY126" i="5"/>
  <c r="AS135" i="5"/>
  <c r="AO135" i="5"/>
  <c r="AK32" i="5"/>
  <c r="AL32" i="5" s="1"/>
  <c r="AS54" i="5"/>
  <c r="AO58" i="5"/>
  <c r="AO61" i="5"/>
  <c r="AO63" i="5"/>
  <c r="BA91" i="5"/>
  <c r="AK91" i="5"/>
  <c r="AL91" i="5" s="1"/>
  <c r="AS104" i="5"/>
  <c r="AO104" i="5"/>
  <c r="BA107" i="5"/>
  <c r="AK107" i="5"/>
  <c r="AL107" i="5" s="1"/>
  <c r="BA114" i="5"/>
  <c r="AZ114" i="5"/>
  <c r="AO138" i="5"/>
  <c r="AS138" i="5"/>
  <c r="BA131" i="5"/>
  <c r="AK131" i="5"/>
  <c r="AL131" i="5" s="1"/>
  <c r="AS142" i="5"/>
  <c r="AS162" i="5"/>
  <c r="AS166" i="5"/>
  <c r="AO166" i="5"/>
  <c r="AS181" i="5"/>
  <c r="AO181" i="5"/>
  <c r="AS195" i="5"/>
  <c r="AS197" i="5"/>
  <c r="AZ112" i="5"/>
  <c r="AS159" i="5"/>
  <c r="AO159" i="5"/>
  <c r="AK50" i="5"/>
  <c r="AL50" i="5" s="1"/>
  <c r="AZ50" i="5"/>
  <c r="AZ65" i="5"/>
  <c r="AK66" i="5"/>
  <c r="AL66" i="5" s="1"/>
  <c r="AZ74" i="5"/>
  <c r="AK75" i="5"/>
  <c r="AL75" i="5" s="1"/>
  <c r="AZ75" i="5"/>
  <c r="AK76" i="5"/>
  <c r="AL76" i="5" s="1"/>
  <c r="AZ76" i="5"/>
  <c r="AK77" i="5"/>
  <c r="AL77" i="5" s="1"/>
  <c r="AZ77" i="5"/>
  <c r="AK78" i="5"/>
  <c r="AL78" i="5" s="1"/>
  <c r="AZ78" i="5"/>
  <c r="AK79" i="5"/>
  <c r="AL79" i="5" s="1"/>
  <c r="AZ79" i="5"/>
  <c r="AK80" i="5"/>
  <c r="AL80" i="5" s="1"/>
  <c r="AZ80" i="5"/>
  <c r="AK81" i="5"/>
  <c r="AL81" i="5" s="1"/>
  <c r="AZ81" i="5"/>
  <c r="AK82" i="5"/>
  <c r="AL82" i="5" s="1"/>
  <c r="AZ82" i="5"/>
  <c r="AK83" i="5"/>
  <c r="AL83" i="5" s="1"/>
  <c r="AZ83" i="5"/>
  <c r="AK84" i="5"/>
  <c r="AL84" i="5" s="1"/>
  <c r="AZ84" i="5"/>
  <c r="AZ95" i="5"/>
  <c r="AZ103" i="5"/>
  <c r="AZ111" i="5"/>
  <c r="BA134" i="5"/>
  <c r="AK134" i="5"/>
  <c r="AL134" i="5" s="1"/>
  <c r="AZ136" i="5"/>
  <c r="AK136" i="5"/>
  <c r="AL136" i="5" s="1"/>
  <c r="AO155" i="5"/>
  <c r="AS163" i="5"/>
  <c r="AO163" i="5"/>
  <c r="AS165" i="5"/>
  <c r="AO165" i="5"/>
  <c r="AZ66" i="5"/>
  <c r="AK72" i="5"/>
  <c r="AL72" i="5" s="1"/>
  <c r="AK85" i="5"/>
  <c r="AL85" i="5" s="1"/>
  <c r="AZ85" i="5"/>
  <c r="AN94" i="5"/>
  <c r="AK95" i="5"/>
  <c r="AL95" i="5" s="1"/>
  <c r="AZ102" i="5"/>
  <c r="AK103" i="5"/>
  <c r="AL103" i="5" s="1"/>
  <c r="AZ110" i="5"/>
  <c r="AK111" i="5"/>
  <c r="AL111" i="5" s="1"/>
  <c r="AK112" i="5"/>
  <c r="AL112" i="5" s="1"/>
  <c r="AZ119" i="5"/>
  <c r="AK119" i="5"/>
  <c r="AL119" i="5" s="1"/>
  <c r="BA119" i="5"/>
  <c r="AK44" i="5"/>
  <c r="AL44" i="5" s="1"/>
  <c r="AK86" i="5"/>
  <c r="AL86" i="5" s="1"/>
  <c r="AK87" i="5"/>
  <c r="AL87" i="5" s="1"/>
  <c r="AK88" i="5"/>
  <c r="AL88" i="5" s="1"/>
  <c r="AK102" i="5"/>
  <c r="AL102" i="5" s="1"/>
  <c r="AK110" i="5"/>
  <c r="AL110" i="5" s="1"/>
  <c r="AS124" i="5"/>
  <c r="AK128" i="5"/>
  <c r="AL128" i="5" s="1"/>
  <c r="AZ128" i="5"/>
  <c r="AZ131" i="5"/>
  <c r="AS132" i="5"/>
  <c r="AZ146" i="5"/>
  <c r="AK146" i="5"/>
  <c r="AL146" i="5" s="1"/>
  <c r="AZ173" i="5"/>
  <c r="AZ177" i="5"/>
  <c r="BA181" i="5"/>
  <c r="AS182" i="5"/>
  <c r="AO182" i="5"/>
  <c r="AZ185" i="5"/>
  <c r="AZ191" i="5"/>
  <c r="AK191" i="5"/>
  <c r="AL191" i="5" s="1"/>
  <c r="AZ160" i="5"/>
  <c r="AZ161" i="5"/>
  <c r="AZ167" i="5"/>
  <c r="AS175" i="5"/>
  <c r="AZ188" i="5"/>
  <c r="AK188" i="5"/>
  <c r="AL188" i="5" s="1"/>
  <c r="AO200" i="5"/>
  <c r="AK160" i="5"/>
  <c r="AL160" i="5" s="1"/>
  <c r="AK161" i="5"/>
  <c r="AL161" i="5" s="1"/>
  <c r="AK167" i="5"/>
  <c r="AL167" i="5" s="1"/>
  <c r="AO168" i="5"/>
  <c r="AO169" i="5"/>
  <c r="AZ176" i="5"/>
  <c r="BA184" i="5"/>
  <c r="AK185" i="5"/>
  <c r="AL185" i="5" s="1"/>
  <c r="AZ193" i="5"/>
  <c r="AK193" i="5"/>
  <c r="AL193" i="5" s="1"/>
  <c r="AZ194" i="5"/>
  <c r="AZ149" i="5"/>
  <c r="AK149" i="5"/>
  <c r="AL149" i="5" s="1"/>
  <c r="BA149" i="5"/>
  <c r="AK176" i="5"/>
  <c r="AL176" i="5" s="1"/>
  <c r="AZ183" i="5"/>
  <c r="AZ190" i="5"/>
  <c r="AK190" i="5"/>
  <c r="AL190" i="5" s="1"/>
  <c r="AZ175" i="5"/>
  <c r="AZ187" i="5"/>
  <c r="AK187" i="5"/>
  <c r="AL187" i="5" s="1"/>
  <c r="AZ148" i="5"/>
  <c r="AK148" i="5"/>
  <c r="AL148" i="5" s="1"/>
  <c r="BA148" i="5"/>
  <c r="AZ192" i="5"/>
  <c r="AK192" i="5"/>
  <c r="AL192" i="5" s="1"/>
  <c r="AK194" i="5"/>
  <c r="AL194" i="5" s="1"/>
  <c r="AO203" i="5"/>
  <c r="AS205" i="5"/>
  <c r="AZ174" i="5"/>
  <c r="AZ189" i="5"/>
  <c r="AK189" i="5"/>
  <c r="AL189" i="5" s="1"/>
  <c r="AS196" i="5"/>
  <c r="AO196" i="5"/>
  <c r="AZ147" i="5"/>
  <c r="AK147" i="5"/>
  <c r="AL147" i="5" s="1"/>
  <c r="BA147" i="5"/>
  <c r="BA178" i="5"/>
  <c r="AZ178" i="5"/>
  <c r="AK178" i="5"/>
  <c r="AL178" i="5" s="1"/>
  <c r="AZ186" i="5"/>
  <c r="AK186" i="5"/>
  <c r="AL186" i="5" s="1"/>
  <c r="BA191" i="5"/>
  <c r="AK179" i="5"/>
  <c r="AL179" i="5" s="1"/>
  <c r="AO117" i="5" l="1"/>
  <c r="AS141" i="5"/>
  <c r="AO127" i="5"/>
  <c r="AS130" i="5"/>
  <c r="AS125" i="5"/>
  <c r="AS156" i="5"/>
  <c r="AS34" i="5"/>
  <c r="AO133" i="5"/>
  <c r="AO170" i="5"/>
  <c r="AO180" i="5"/>
  <c r="AO145" i="5"/>
  <c r="AO143" i="5"/>
  <c r="AN74" i="5"/>
  <c r="AO73" i="5"/>
  <c r="AS123" i="5"/>
  <c r="AO74" i="5"/>
  <c r="AS73" i="5"/>
  <c r="AO116" i="5"/>
  <c r="AS60" i="5"/>
  <c r="AO120" i="5"/>
  <c r="AS122" i="5"/>
  <c r="AS55" i="5"/>
  <c r="AO56" i="5"/>
  <c r="AS31" i="5"/>
  <c r="AS150" i="5"/>
  <c r="AN68" i="5"/>
  <c r="AN67" i="5"/>
  <c r="AS67" i="5"/>
  <c r="AS174" i="5"/>
  <c r="AO174" i="5"/>
  <c r="AS43" i="5"/>
  <c r="AO43" i="5"/>
  <c r="AS62" i="5"/>
  <c r="AO62" i="5"/>
  <c r="AO96" i="5"/>
  <c r="AS22" i="5"/>
  <c r="AS36" i="5"/>
  <c r="AO173" i="5"/>
  <c r="AS173" i="5"/>
  <c r="AO152" i="5"/>
  <c r="AS152" i="5"/>
  <c r="AS172" i="5"/>
  <c r="AO172" i="5"/>
  <c r="AO146" i="5"/>
  <c r="AS146" i="5"/>
  <c r="AS91" i="5"/>
  <c r="AO91" i="5"/>
  <c r="AO148" i="5"/>
  <c r="AS148" i="5"/>
  <c r="AO187" i="5"/>
  <c r="AS187" i="5"/>
  <c r="AO149" i="5"/>
  <c r="AS149" i="5"/>
  <c r="AO44" i="5"/>
  <c r="AS44" i="5"/>
  <c r="AO50" i="5"/>
  <c r="AS50" i="5"/>
  <c r="AS131" i="5"/>
  <c r="AO131" i="5"/>
  <c r="AS107" i="5"/>
  <c r="AO107" i="5"/>
  <c r="AS19" i="5"/>
  <c r="AO19" i="5"/>
  <c r="AO4" i="5"/>
  <c r="AS4" i="5"/>
  <c r="AS97" i="5"/>
  <c r="AO97" i="5"/>
  <c r="AS14" i="5"/>
  <c r="AO14" i="5"/>
  <c r="AS11" i="5"/>
  <c r="AO11" i="5"/>
  <c r="AS179" i="5"/>
  <c r="AO179" i="5"/>
  <c r="AS147" i="5"/>
  <c r="AO147" i="5"/>
  <c r="AS128" i="5"/>
  <c r="AO128" i="5"/>
  <c r="AS95" i="5"/>
  <c r="AO95" i="5"/>
  <c r="AO134" i="5"/>
  <c r="AS134" i="5"/>
  <c r="AO84" i="5"/>
  <c r="AS84" i="5"/>
  <c r="AO80" i="5"/>
  <c r="AS80" i="5"/>
  <c r="AO76" i="5"/>
  <c r="AS76" i="5"/>
  <c r="AS10" i="5"/>
  <c r="AO10" i="5"/>
  <c r="AO5" i="5"/>
  <c r="AS5" i="5"/>
  <c r="AO37" i="5"/>
  <c r="AS37" i="5"/>
  <c r="AS6" i="5"/>
  <c r="AO6" i="5"/>
  <c r="AS3" i="5"/>
  <c r="AO3" i="5"/>
  <c r="AS102" i="5"/>
  <c r="AO102" i="5"/>
  <c r="AS194" i="5"/>
  <c r="AO194" i="5"/>
  <c r="AO167" i="5"/>
  <c r="AS167" i="5"/>
  <c r="AO119" i="5"/>
  <c r="AS119" i="5"/>
  <c r="AS16" i="5"/>
  <c r="AO16" i="5"/>
  <c r="AS186" i="5"/>
  <c r="AO186" i="5"/>
  <c r="AO192" i="5"/>
  <c r="AS192" i="5"/>
  <c r="AS190" i="5"/>
  <c r="AO190" i="5"/>
  <c r="AS193" i="5"/>
  <c r="AO193" i="5"/>
  <c r="AS161" i="5"/>
  <c r="AO161" i="5"/>
  <c r="AS110" i="5"/>
  <c r="AO110" i="5"/>
  <c r="AO83" i="5"/>
  <c r="AS83" i="5"/>
  <c r="AO79" i="5"/>
  <c r="AS79" i="5"/>
  <c r="AO75" i="5"/>
  <c r="AS75" i="5"/>
  <c r="AO24" i="5"/>
  <c r="AS24" i="5"/>
  <c r="AL208" i="5"/>
  <c r="AS2" i="5"/>
  <c r="AO2" i="5"/>
  <c r="AO71" i="5"/>
  <c r="AN71" i="5"/>
  <c r="AS71" i="5"/>
  <c r="AS15" i="5"/>
  <c r="AO15" i="5"/>
  <c r="AS27" i="5"/>
  <c r="AO27" i="5"/>
  <c r="AS85" i="5"/>
  <c r="AO85" i="5"/>
  <c r="AO32" i="5"/>
  <c r="AS32" i="5"/>
  <c r="AO49" i="5"/>
  <c r="AS49" i="5"/>
  <c r="AO12" i="5"/>
  <c r="AS12" i="5"/>
  <c r="AS108" i="5"/>
  <c r="AO108" i="5"/>
  <c r="AO26" i="5"/>
  <c r="AS26" i="5"/>
  <c r="AS139" i="5"/>
  <c r="AO139" i="5"/>
  <c r="AO30" i="5"/>
  <c r="AS30" i="5"/>
  <c r="AS160" i="5"/>
  <c r="AO160" i="5"/>
  <c r="AS178" i="5"/>
  <c r="AO178" i="5"/>
  <c r="AS185" i="5"/>
  <c r="AO185" i="5"/>
  <c r="AN185" i="5"/>
  <c r="AS88" i="5"/>
  <c r="AO88" i="5"/>
  <c r="AS111" i="5"/>
  <c r="AO111" i="5"/>
  <c r="AS72" i="5"/>
  <c r="AO72" i="5"/>
  <c r="AN72" i="5"/>
  <c r="AO82" i="5"/>
  <c r="AS82" i="5"/>
  <c r="AO78" i="5"/>
  <c r="AS78" i="5"/>
  <c r="AN66" i="5"/>
  <c r="AS66" i="5"/>
  <c r="AO66" i="5"/>
  <c r="AS113" i="5"/>
  <c r="AO113" i="5"/>
  <c r="AO21" i="5"/>
  <c r="AS21" i="5"/>
  <c r="AS69" i="5"/>
  <c r="AO69" i="5"/>
  <c r="AN69" i="5"/>
  <c r="AS41" i="5"/>
  <c r="AO41" i="5"/>
  <c r="AO7" i="5"/>
  <c r="AS7" i="5"/>
  <c r="AO13" i="5"/>
  <c r="AS13" i="5"/>
  <c r="AO29" i="5"/>
  <c r="AS29" i="5"/>
  <c r="AO70" i="5"/>
  <c r="AN70" i="5"/>
  <c r="AS70" i="5"/>
  <c r="AS46" i="5"/>
  <c r="AO46" i="5"/>
  <c r="AO112" i="5"/>
  <c r="AS112" i="5"/>
  <c r="AS176" i="5"/>
  <c r="AO176" i="5"/>
  <c r="AS87" i="5"/>
  <c r="AO87" i="5"/>
  <c r="AS105" i="5"/>
  <c r="AO105" i="5"/>
  <c r="AS8" i="5"/>
  <c r="AO8" i="5"/>
  <c r="AS90" i="5"/>
  <c r="AO90" i="5"/>
  <c r="AS23" i="5"/>
  <c r="AO23" i="5"/>
  <c r="AS42" i="5"/>
  <c r="AO42" i="5"/>
  <c r="AS191" i="5"/>
  <c r="AO191" i="5"/>
  <c r="AS189" i="5"/>
  <c r="AO189" i="5"/>
  <c r="AS188" i="5"/>
  <c r="AO188" i="5"/>
  <c r="AS86" i="5"/>
  <c r="AO86" i="5"/>
  <c r="AS103" i="5"/>
  <c r="AO103" i="5"/>
  <c r="AO136" i="5"/>
  <c r="AS136" i="5"/>
  <c r="AO81" i="5"/>
  <c r="AS81" i="5"/>
  <c r="AO77" i="5"/>
  <c r="AS77" i="5"/>
  <c r="AO20" i="5"/>
  <c r="AS20" i="5"/>
  <c r="AO40" i="5"/>
  <c r="AS40" i="5"/>
  <c r="AS99" i="5"/>
  <c r="AO99" i="5"/>
  <c r="AO9" i="5"/>
  <c r="AS9" i="5"/>
  <c r="AN208" i="5" l="1"/>
  <c r="AO208" i="5"/>
  <c r="AS208" i="5"/>
  <c r="AS211" i="5" s="1"/>
</calcChain>
</file>

<file path=xl/sharedStrings.xml><?xml version="1.0" encoding="utf-8"?>
<sst xmlns="http://schemas.openxmlformats.org/spreadsheetml/2006/main" count="4740" uniqueCount="1031">
  <si>
    <t>fiber_technology</t>
  </si>
  <si>
    <t>count_rows</t>
  </si>
  <si>
    <t>count_plants</t>
  </si>
  <si>
    <t>min_ci</t>
  </si>
  <si>
    <t>max_ci</t>
  </si>
  <si>
    <t>avg_ci</t>
  </si>
  <si>
    <t>median_ci</t>
  </si>
  <si>
    <t>std_ci</t>
  </si>
  <si>
    <t>EDENIQ</t>
  </si>
  <si>
    <t>BPX</t>
  </si>
  <si>
    <t>SOLITON</t>
  </si>
  <si>
    <t>Proprietary Process</t>
  </si>
  <si>
    <t>POET</t>
  </si>
  <si>
    <t>facility_id</t>
  </si>
  <si>
    <t>plant_name</t>
  </si>
  <si>
    <t>ownership</t>
  </si>
  <si>
    <t>state</t>
  </si>
  <si>
    <t>city</t>
  </si>
  <si>
    <t>feedstock</t>
  </si>
  <si>
    <t>pathway_type</t>
  </si>
  <si>
    <t>fiber_technology_raw</t>
  </si>
  <si>
    <t>ci_score</t>
  </si>
  <si>
    <t>coproduct_type</t>
  </si>
  <si>
    <t>gas_supply</t>
  </si>
  <si>
    <t>electricity_type</t>
  </si>
  <si>
    <t>detail_date</t>
  </si>
  <si>
    <t>program</t>
  </si>
  <si>
    <t>70144</t>
  </si>
  <si>
    <t>Absolute Energy</t>
  </si>
  <si>
    <t>IA</t>
  </si>
  <si>
    <t>St. Ansgar</t>
  </si>
  <si>
    <t>Corn Fiber (012)</t>
  </si>
  <si>
    <t>Fiber</t>
  </si>
  <si>
    <t>Natural Gas</t>
  </si>
  <si>
    <t>Grid Electricity</t>
  </si>
  <si>
    <t>2026-02-11</t>
  </si>
  <si>
    <t>CA</t>
  </si>
  <si>
    <t>70087</t>
  </si>
  <si>
    <t>Al-Corn Clean Fuel</t>
  </si>
  <si>
    <t>Al–Corn Clean Fuel</t>
  </si>
  <si>
    <t>MN</t>
  </si>
  <si>
    <t>Claremont</t>
  </si>
  <si>
    <t>70247</t>
  </si>
  <si>
    <t>Arkalon Ethanol LLC</t>
  </si>
  <si>
    <t>Conestoga Energy</t>
  </si>
  <si>
    <t>KS</t>
  </si>
  <si>
    <t>Liberal</t>
  </si>
  <si>
    <t>70130</t>
  </si>
  <si>
    <t>Badger State Ethanol LLC</t>
  </si>
  <si>
    <t>Badger State Ethanol</t>
  </si>
  <si>
    <t>WI</t>
  </si>
  <si>
    <t>Monroe</t>
  </si>
  <si>
    <t>70117</t>
  </si>
  <si>
    <t>Bonanza Bioenergy LLC</t>
  </si>
  <si>
    <t>Garden City</t>
  </si>
  <si>
    <t>70150</t>
  </si>
  <si>
    <t>Chief Ethanol Fuels Inc</t>
  </si>
  <si>
    <t>Chief Industries</t>
  </si>
  <si>
    <t>NE</t>
  </si>
  <si>
    <t>Hastings</t>
  </si>
  <si>
    <t>70241</t>
  </si>
  <si>
    <t>Lexington</t>
  </si>
  <si>
    <t>70078</t>
  </si>
  <si>
    <t>Chippewa Valley Ethanol Co LLLP</t>
  </si>
  <si>
    <t>Chippewa Valley Ethanol Co.</t>
  </si>
  <si>
    <t>Benson</t>
  </si>
  <si>
    <t>70082</t>
  </si>
  <si>
    <t>Denco II LLC</t>
  </si>
  <si>
    <t>DENCO II</t>
  </si>
  <si>
    <t>Morris</t>
  </si>
  <si>
    <t>70093</t>
  </si>
  <si>
    <t>E Energy Adams LLC</t>
  </si>
  <si>
    <t>E Energy Adams, LLC</t>
  </si>
  <si>
    <t>Adams</t>
  </si>
  <si>
    <t>71287</t>
  </si>
  <si>
    <t>Elite Octane LLC</t>
  </si>
  <si>
    <t>Elite Octane</t>
  </si>
  <si>
    <t>Atlantic</t>
  </si>
  <si>
    <t>70722</t>
  </si>
  <si>
    <t>Huron Energy LLC</t>
  </si>
  <si>
    <t>Glacial Lakes Cooperative</t>
  </si>
  <si>
    <t>SD</t>
  </si>
  <si>
    <t>Huron</t>
  </si>
  <si>
    <t>70064</t>
  </si>
  <si>
    <t>Glacial Lakes Energy</t>
  </si>
  <si>
    <t>Watertown</t>
  </si>
  <si>
    <t>70071</t>
  </si>
  <si>
    <t>Granite Falls Energy LLC</t>
  </si>
  <si>
    <t>Granite Falls Energy</t>
  </si>
  <si>
    <t>Granite Falls</t>
  </si>
  <si>
    <t>73561</t>
  </si>
  <si>
    <t>Sandhills Renewable Energy LLC</t>
  </si>
  <si>
    <t>Husker Ag</t>
  </si>
  <si>
    <t>Atkinson</t>
  </si>
  <si>
    <t>70141</t>
  </si>
  <si>
    <t>Green Plains Central City LLC</t>
  </si>
  <si>
    <t>Green Plains</t>
  </si>
  <si>
    <t>Central City</t>
  </si>
  <si>
    <t>70249</t>
  </si>
  <si>
    <t>Green Plains Wood River LLC</t>
  </si>
  <si>
    <t>Wood River</t>
  </si>
  <si>
    <t>70289</t>
  </si>
  <si>
    <t>Guardian Energy LLC</t>
  </si>
  <si>
    <t>Guardian Energy, LLC</t>
  </si>
  <si>
    <t>Janesville</t>
  </si>
  <si>
    <t>70288</t>
  </si>
  <si>
    <t>Hankinson Renewable Energy LLC</t>
  </si>
  <si>
    <t>ND</t>
  </si>
  <si>
    <t>Hankinson</t>
  </si>
  <si>
    <t>70089</t>
  </si>
  <si>
    <t>Heartland Corn Products</t>
  </si>
  <si>
    <t>Winthrop</t>
  </si>
  <si>
    <t>21601</t>
  </si>
  <si>
    <t>Hereford Ethanol Partners LP</t>
  </si>
  <si>
    <t>Hereford Ethanol Partners</t>
  </si>
  <si>
    <t>TX</t>
  </si>
  <si>
    <t>Hereford</t>
  </si>
  <si>
    <t>WDGS</t>
  </si>
  <si>
    <t>70097</t>
  </si>
  <si>
    <t>Heron Lake Bioenergy LLC</t>
  </si>
  <si>
    <t>Heron Lake</t>
  </si>
  <si>
    <t>70235</t>
  </si>
  <si>
    <t>Highwater Ethanol LLC</t>
  </si>
  <si>
    <t>High Water Ethanol</t>
  </si>
  <si>
    <t>Lamberton</t>
  </si>
  <si>
    <t>70188</t>
  </si>
  <si>
    <t>Homeland Energy Solutions LLC</t>
  </si>
  <si>
    <t>Homeland Energy Solutions</t>
  </si>
  <si>
    <t>Lawler</t>
  </si>
  <si>
    <t>70151</t>
  </si>
  <si>
    <t>Husker Ag LLC</t>
  </si>
  <si>
    <t>Plainview</t>
  </si>
  <si>
    <t>70079</t>
  </si>
  <si>
    <t>Kappa Ethanol LLC</t>
  </si>
  <si>
    <t>KAAPA Ethanol &amp; Grain, LLC.</t>
  </si>
  <si>
    <t>Minden</t>
  </si>
  <si>
    <t>70098</t>
  </si>
  <si>
    <t>Kappa Ethanol Ravenna LLC</t>
  </si>
  <si>
    <t>Ravenna</t>
  </si>
  <si>
    <t>72943</t>
  </si>
  <si>
    <t>Kappa Partners Aurora LLC</t>
  </si>
  <si>
    <t>Aurora</t>
  </si>
  <si>
    <t>70279</t>
  </si>
  <si>
    <t>Kansas Ethanol LLC</t>
  </si>
  <si>
    <t>Kansas Ethanol</t>
  </si>
  <si>
    <t>Lyons</t>
  </si>
  <si>
    <t>70092</t>
  </si>
  <si>
    <t>Lincolnway Energy LLC</t>
  </si>
  <si>
    <t>Nevada</t>
  </si>
  <si>
    <t>70015</t>
  </si>
  <si>
    <t>Little Sioux Corn Processors LLLP</t>
  </si>
  <si>
    <t>Little Sioux Corn Processors</t>
  </si>
  <si>
    <t>Marcus</t>
  </si>
  <si>
    <t>70139</t>
  </si>
  <si>
    <t>Louis Dreyfus Co</t>
  </si>
  <si>
    <t>Louis Dreyfus</t>
  </si>
  <si>
    <t>Grand Junction</t>
  </si>
  <si>
    <t>70153</t>
  </si>
  <si>
    <t>Mid America Agri Products LLC</t>
  </si>
  <si>
    <t>Standard Ethanol</t>
  </si>
  <si>
    <t>Madrid</t>
  </si>
  <si>
    <t>70298</t>
  </si>
  <si>
    <t>Poet Biorefining-Alexandria LLC</t>
  </si>
  <si>
    <t>POET Biorefining</t>
  </si>
  <si>
    <t>IN</t>
  </si>
  <si>
    <t>Alexandria</t>
  </si>
  <si>
    <t>Biogas</t>
  </si>
  <si>
    <t>71682</t>
  </si>
  <si>
    <t>Poet Biorefinning-Arthur LLC</t>
  </si>
  <si>
    <t>Arthur</t>
  </si>
  <si>
    <t>70032</t>
  </si>
  <si>
    <t>Poet Biorefinning-Ashton LLC</t>
  </si>
  <si>
    <t>Ashton</t>
  </si>
  <si>
    <t>70025</t>
  </si>
  <si>
    <t>Poet Biorefining- Big Stone LLC</t>
  </si>
  <si>
    <t>Big Stone City</t>
  </si>
  <si>
    <t>70026</t>
  </si>
  <si>
    <t>Poet Biorefining-Bingham Lake LLC</t>
  </si>
  <si>
    <t>Bingham Lake</t>
  </si>
  <si>
    <t>DDGS + WDGS</t>
  </si>
  <si>
    <t>70028</t>
  </si>
  <si>
    <t>Poet Biorefinning-Caro</t>
  </si>
  <si>
    <t>MI</t>
  </si>
  <si>
    <t>Caro</t>
  </si>
  <si>
    <t>70012</t>
  </si>
  <si>
    <t>Poet Biorefining- Chancellor LLC</t>
  </si>
  <si>
    <t>Chancellor</t>
  </si>
  <si>
    <t>70485</t>
  </si>
  <si>
    <t>Poet Biorefining-Cloverdale</t>
  </si>
  <si>
    <t>Cloverdale</t>
  </si>
  <si>
    <t>70031</t>
  </si>
  <si>
    <t>Poet Biorefinning-Coon Rapids</t>
  </si>
  <si>
    <t>Coon Rapids</t>
  </si>
  <si>
    <t>70143</t>
  </si>
  <si>
    <t>Poet Biorefinning-Corning LLC</t>
  </si>
  <si>
    <t>Corning</t>
  </si>
  <si>
    <t>71683</t>
  </si>
  <si>
    <t>Poet Biorefinning-Fairbank</t>
  </si>
  <si>
    <t>Fairbank</t>
  </si>
  <si>
    <t>71681</t>
  </si>
  <si>
    <t>Poet Biorefining-Fairmont</t>
  </si>
  <si>
    <t>Fairmont</t>
  </si>
  <si>
    <t>70323</t>
  </si>
  <si>
    <t>Poet Biorefining-Fostoria LLC</t>
  </si>
  <si>
    <t>OH</t>
  </si>
  <si>
    <t>Fostoria</t>
  </si>
  <si>
    <t>70020</t>
  </si>
  <si>
    <t>Poet Biorefining--Glenville LLC</t>
  </si>
  <si>
    <t>Albert Lea</t>
  </si>
  <si>
    <t>70033</t>
  </si>
  <si>
    <t>Poet Biorefinning-Gowrie LLC</t>
  </si>
  <si>
    <t>Gowrie</t>
  </si>
  <si>
    <t>DDGS + WDGS + MDGS</t>
  </si>
  <si>
    <t>70013</t>
  </si>
  <si>
    <t>Poet Biorefining- Groton LLC</t>
  </si>
  <si>
    <t>Groton</t>
  </si>
  <si>
    <t>70010</t>
  </si>
  <si>
    <t>Poet Biorefinning-Hanlontown LLC</t>
  </si>
  <si>
    <t>Hanlontown</t>
  </si>
  <si>
    <t>70022</t>
  </si>
  <si>
    <t>Poet Biorefining- Hudson</t>
  </si>
  <si>
    <t>Hudson</t>
  </si>
  <si>
    <t>71684</t>
  </si>
  <si>
    <t>Poet Biorefinning-Iowa Falls LLC</t>
  </si>
  <si>
    <t>Iowa Falls</t>
  </si>
  <si>
    <t>70014</t>
  </si>
  <si>
    <t>Poet Biorefinning-Jewell LLC</t>
  </si>
  <si>
    <t>Jewell</t>
  </si>
  <si>
    <t>70023</t>
  </si>
  <si>
    <t>Poet Biorefining-Laddonia LLC</t>
  </si>
  <si>
    <t>MO</t>
  </si>
  <si>
    <t>Laddonia</t>
  </si>
  <si>
    <t>Cogeneration</t>
  </si>
  <si>
    <t>70072</t>
  </si>
  <si>
    <t>Poet Biorefining--Lake Crystal LLC</t>
  </si>
  <si>
    <t>Lake Crystal</t>
  </si>
  <si>
    <t>70265</t>
  </si>
  <si>
    <t>Poet Biorefining-Leipsic LLC</t>
  </si>
  <si>
    <t>Leipsic</t>
  </si>
  <si>
    <t>70017</t>
  </si>
  <si>
    <t>Poet Biorefining-Macon LLC</t>
  </si>
  <si>
    <t>Macon</t>
  </si>
  <si>
    <t>70327</t>
  </si>
  <si>
    <t>Poet Biorefining-Marion</t>
  </si>
  <si>
    <t>Marion</t>
  </si>
  <si>
    <t>71685</t>
  </si>
  <si>
    <t>Poet Biorefinning-Menlo</t>
  </si>
  <si>
    <t>Menlo</t>
  </si>
  <si>
    <t>70016</t>
  </si>
  <si>
    <t>Poet Biorefining- Mitchell LLC</t>
  </si>
  <si>
    <t>Mitchell</t>
  </si>
  <si>
    <t>70322</t>
  </si>
  <si>
    <t>Poet Biorefining-North Manchester</t>
  </si>
  <si>
    <t>North Manchester</t>
  </si>
  <si>
    <t>70108</t>
  </si>
  <si>
    <t>Poet Biorefining-Portland LLC</t>
  </si>
  <si>
    <t>Portland</t>
  </si>
  <si>
    <t>70056</t>
  </si>
  <si>
    <t>Poet Biorefining--Preston LLC</t>
  </si>
  <si>
    <t>Preston</t>
  </si>
  <si>
    <t>20621</t>
  </si>
  <si>
    <t>Shelbyville</t>
  </si>
  <si>
    <t>71686</t>
  </si>
  <si>
    <t>Poet Biorefinning-Shell Rock LLC</t>
  </si>
  <si>
    <t>Shell Rock</t>
  </si>
  <si>
    <t>70158</t>
  </si>
  <si>
    <t>Pratt Energy LLC</t>
  </si>
  <si>
    <t>Pratt Energy (Scoular / Pratt JV)</t>
  </si>
  <si>
    <t>Pratt</t>
  </si>
  <si>
    <t>70111</t>
  </si>
  <si>
    <t>Redfield Energy LLC</t>
  </si>
  <si>
    <t>Redfield Energy</t>
  </si>
  <si>
    <t>Redfield</t>
  </si>
  <si>
    <t>70112</t>
  </si>
  <si>
    <t>Siouxland Energy Cooperative</t>
  </si>
  <si>
    <t>Sioux Center</t>
  </si>
  <si>
    <t>70134</t>
  </si>
  <si>
    <t>Siouxland Ethnaol LLC</t>
  </si>
  <si>
    <t>Siouxland Ethanol</t>
  </si>
  <si>
    <t>Jackson</t>
  </si>
  <si>
    <t>70326</t>
  </si>
  <si>
    <t>Sothwest Iowa Renewable</t>
  </si>
  <si>
    <t>SIRE</t>
  </si>
  <si>
    <t>Council Bluffs</t>
  </si>
  <si>
    <t>70884</t>
  </si>
  <si>
    <t>The Andersons Marathon Holdings LLC</t>
  </si>
  <si>
    <t>The Andersons</t>
  </si>
  <si>
    <t>Denison</t>
  </si>
  <si>
    <t>Any Cellulosic Biomass (041)</t>
  </si>
  <si>
    <t>70053</t>
  </si>
  <si>
    <t>Trenton Agri Products LLC</t>
  </si>
  <si>
    <t>Trenton Agri Products</t>
  </si>
  <si>
    <t>Trenton</t>
  </si>
  <si>
    <t>70142</t>
  </si>
  <si>
    <t>Valero Renewable Fuels LLC</t>
  </si>
  <si>
    <t>Valero Renewables</t>
  </si>
  <si>
    <t>Albert City</t>
  </si>
  <si>
    <t>MDGS</t>
  </si>
  <si>
    <t>70283</t>
  </si>
  <si>
    <t>Valero Renewable Fuels</t>
  </si>
  <si>
    <t>Albion</t>
  </si>
  <si>
    <t>70042</t>
  </si>
  <si>
    <t>Charles City</t>
  </si>
  <si>
    <t>70043</t>
  </si>
  <si>
    <t>Ft. Dodge</t>
  </si>
  <si>
    <t>70275</t>
  </si>
  <si>
    <t>Hartley</t>
  </si>
  <si>
    <t>70196</t>
  </si>
  <si>
    <t>Linden</t>
  </si>
  <si>
    <t>70276</t>
  </si>
  <si>
    <t>Welcome</t>
  </si>
  <si>
    <t>70030</t>
  </si>
  <si>
    <t>Western Plains Energy LLC</t>
  </si>
  <si>
    <t>Western Plains Energy</t>
  </si>
  <si>
    <t>Oakley</t>
  </si>
  <si>
    <t>70039</t>
  </si>
  <si>
    <t>Plainview Bioenergy LLC</t>
  </si>
  <si>
    <t>White Energy</t>
  </si>
  <si>
    <t>70021</t>
  </si>
  <si>
    <t>Poet Biorefinning-Emmetsburg LLC</t>
  </si>
  <si>
    <t>Emmetsburg</t>
  </si>
  <si>
    <t>rows</t>
  </si>
  <si>
    <t>count</t>
  </si>
  <si>
    <t>num`</t>
  </si>
  <si>
    <t>CA Co ID</t>
  </si>
  <si>
    <t>CA Facility ID</t>
  </si>
  <si>
    <t>EPM prev</t>
  </si>
  <si>
    <t>EPM</t>
  </si>
  <si>
    <t>Status</t>
  </si>
  <si>
    <t>Ownership</t>
  </si>
  <si>
    <t>Name</t>
  </si>
  <si>
    <t>State</t>
  </si>
  <si>
    <t>City</t>
  </si>
  <si>
    <t>Zip Code</t>
  </si>
  <si>
    <t>County</t>
  </si>
  <si>
    <t>PADD</t>
  </si>
  <si>
    <t>Latitude</t>
  </si>
  <si>
    <t>Longitude</t>
  </si>
  <si>
    <t>Year Build</t>
  </si>
  <si>
    <t>Technology</t>
  </si>
  <si>
    <t>Multi-Plant</t>
  </si>
  <si>
    <t>Efficient Producer</t>
  </si>
  <si>
    <t>High Pro</t>
  </si>
  <si>
    <t>CHP</t>
  </si>
  <si>
    <t>Special Tech</t>
  </si>
  <si>
    <t>Wind Turbine</t>
  </si>
  <si>
    <t>White Fox</t>
  </si>
  <si>
    <t>Waste heat</t>
  </si>
  <si>
    <t>DCO Enhancement</t>
  </si>
  <si>
    <t>ICM P10</t>
  </si>
  <si>
    <t>Feedstock</t>
  </si>
  <si>
    <t>RINs</t>
  </si>
  <si>
    <t>Basis Source</t>
  </si>
  <si>
    <t>OPEX</t>
  </si>
  <si>
    <t>Air Permit Current</t>
  </si>
  <si>
    <t>RIN 2007</t>
  </si>
  <si>
    <t xml:space="preserve">Report </t>
  </si>
  <si>
    <t>State ID</t>
  </si>
  <si>
    <t>Ethanol Capacity</t>
  </si>
  <si>
    <t>Ethanol Production</t>
  </si>
  <si>
    <t>Corn Grind</t>
  </si>
  <si>
    <t>Grain Storage</t>
  </si>
  <si>
    <t>Days Storage</t>
  </si>
  <si>
    <t>DDGS</t>
  </si>
  <si>
    <t>Dryer Types</t>
  </si>
  <si>
    <t>DCO Yield Cat</t>
  </si>
  <si>
    <t>DCO Yield (lb/bu)</t>
  </si>
  <si>
    <t>DCO Production</t>
  </si>
  <si>
    <t>Announced Pipeline</t>
  </si>
  <si>
    <t>C02 Pipeline -Direct</t>
  </si>
  <si>
    <t>C02 Pipeline -3rd Party</t>
  </si>
  <si>
    <t>CI Drop with Pipele</t>
  </si>
  <si>
    <t>Sponsor</t>
  </si>
  <si>
    <t>CI  Drop Potenital</t>
  </si>
  <si>
    <t>CCS Gal (Mln)</t>
  </si>
  <si>
    <t>CCS Tons (Mln)</t>
  </si>
  <si>
    <t>Corn Acres 2023</t>
  </si>
  <si>
    <t>Public Financials</t>
  </si>
  <si>
    <t>Website</t>
  </si>
  <si>
    <t>Rail Lines</t>
  </si>
  <si>
    <t>Unit Trains (Ethanol)</t>
  </si>
  <si>
    <t>Truck ONLY</t>
  </si>
  <si>
    <t>Other</t>
  </si>
  <si>
    <t>Chinese DDGS Importer</t>
  </si>
  <si>
    <t>RFA Membership</t>
  </si>
  <si>
    <t>Index</t>
  </si>
  <si>
    <t>Transactions</t>
  </si>
  <si>
    <t>IA </t>
  </si>
  <si>
    <t>ICM</t>
  </si>
  <si>
    <t>EP3</t>
  </si>
  <si>
    <t>Corn </t>
  </si>
  <si>
    <t>D6 </t>
  </si>
  <si>
    <t>06-A-601</t>
  </si>
  <si>
    <t>Rotary Dryer</t>
  </si>
  <si>
    <t>Likely</t>
  </si>
  <si>
    <t>SCS</t>
  </si>
  <si>
    <t>https://absenergy.org/</t>
  </si>
  <si>
    <t>CP/CN</t>
  </si>
  <si>
    <t>Yes</t>
  </si>
  <si>
    <t>Importer</t>
  </si>
  <si>
    <t>Member</t>
  </si>
  <si>
    <t>ACE Ethanol</t>
  </si>
  <si>
    <t>WI </t>
  </si>
  <si>
    <t>Stanley</t>
  </si>
  <si>
    <t>Chippewa</t>
  </si>
  <si>
    <t>Delta-T</t>
  </si>
  <si>
    <t>White Fox ICE</t>
  </si>
  <si>
    <t>Fluid Quip</t>
  </si>
  <si>
    <t>D6/D3 </t>
  </si>
  <si>
    <t>`</t>
  </si>
  <si>
    <t>Ring Dryer</t>
  </si>
  <si>
    <t>Unlikely</t>
  </si>
  <si>
    <t>https://www.aceethanol.com/</t>
  </si>
  <si>
    <t>CN</t>
  </si>
  <si>
    <t>No</t>
  </si>
  <si>
    <t>Pearl City Elevator</t>
  </si>
  <si>
    <t>IL </t>
  </si>
  <si>
    <t>Lena</t>
  </si>
  <si>
    <t>Stephenson</t>
  </si>
  <si>
    <t>https://pce-coops.com/resources/cashbids/</t>
  </si>
  <si>
    <t>https://www.adkinsenergy.com/</t>
  </si>
  <si>
    <t>Aemetis</t>
  </si>
  <si>
    <t>CA </t>
  </si>
  <si>
    <t>Keyes</t>
  </si>
  <si>
    <t>Stanislaus</t>
  </si>
  <si>
    <t>Corn/Milo </t>
  </si>
  <si>
    <t>D6/D5 </t>
  </si>
  <si>
    <t>https://www.aemetis.com/</t>
  </si>
  <si>
    <t>UP</t>
  </si>
  <si>
    <t>MN </t>
  </si>
  <si>
    <t>Dodge</t>
  </si>
  <si>
    <t>http://www.al-corn.com/</t>
  </si>
  <si>
    <t>CP</t>
  </si>
  <si>
    <t>Alto</t>
  </si>
  <si>
    <t>OR </t>
  </si>
  <si>
    <t>Boardman</t>
  </si>
  <si>
    <t>Morrow</t>
  </si>
  <si>
    <t>Y</t>
  </si>
  <si>
    <t>https://www.altoingredients.com/</t>
  </si>
  <si>
    <t>ID </t>
  </si>
  <si>
    <t>Burley</t>
  </si>
  <si>
    <t>Cassia</t>
  </si>
  <si>
    <t>Harvesting Tech HI PRO</t>
  </si>
  <si>
    <t>Pekin</t>
  </si>
  <si>
    <t>Tazewell</t>
  </si>
  <si>
    <t>Vogelbusch</t>
  </si>
  <si>
    <t>https://www.altoingredients.com/corn-pricing/</t>
  </si>
  <si>
    <t>IMRR/BNSF</t>
  </si>
  <si>
    <t>Barge</t>
  </si>
  <si>
    <t>6/27/2017 PEIX purchases ICP for $61M</t>
  </si>
  <si>
    <t>Direct</t>
  </si>
  <si>
    <t>12/2014 PEIX purchases Aventine for $380M (315M gals)</t>
  </si>
  <si>
    <t>Wet Mill</t>
  </si>
  <si>
    <t>UP/BNSF/CN/NS/IAIS</t>
  </si>
  <si>
    <t>Summit Sustainable Ingredients</t>
  </si>
  <si>
    <t>KS </t>
  </si>
  <si>
    <t>Phillipsburg</t>
  </si>
  <si>
    <t>Phillips</t>
  </si>
  <si>
    <t>Wheat</t>
  </si>
  <si>
    <t>Other Grains </t>
  </si>
  <si>
    <t>https://amberwaveusa.com/</t>
  </si>
  <si>
    <t>ADM</t>
  </si>
  <si>
    <t>Cedar Rapids</t>
  </si>
  <si>
    <t>Linn</t>
  </si>
  <si>
    <t>04-A-314</t>
  </si>
  <si>
    <t>https://www.adm.com/</t>
  </si>
  <si>
    <t>07-A-570</t>
  </si>
  <si>
    <t>Clinton</t>
  </si>
  <si>
    <t>05-A-509</t>
  </si>
  <si>
    <t>UP/CP</t>
  </si>
  <si>
    <t>NE </t>
  </si>
  <si>
    <t>Columbus</t>
  </si>
  <si>
    <t>Platte</t>
  </si>
  <si>
    <t>Tall Grass</t>
  </si>
  <si>
    <t>UP/BNSF</t>
  </si>
  <si>
    <t>Impoter</t>
  </si>
  <si>
    <t>Decatur</t>
  </si>
  <si>
    <t>https://adm.gradable.com/market/</t>
  </si>
  <si>
    <t>NS/CN</t>
  </si>
  <si>
    <t>Marshall</t>
  </si>
  <si>
    <t>Lyon</t>
  </si>
  <si>
    <t>BNSF</t>
  </si>
  <si>
    <t>Seward</t>
  </si>
  <si>
    <t>3 mw inefficient</t>
  </si>
  <si>
    <t>https://www.conestogaenergy.com/</t>
  </si>
  <si>
    <t>Green</t>
  </si>
  <si>
    <t>FQPT HI PRO</t>
  </si>
  <si>
    <t>https://badgerstateethanol.com/</t>
  </si>
  <si>
    <t>Big River Resources</t>
  </si>
  <si>
    <t>Boyceville</t>
  </si>
  <si>
    <t>Dunn</t>
  </si>
  <si>
    <t>https://www.bigriverresources.com/</t>
  </si>
  <si>
    <t>Galva</t>
  </si>
  <si>
    <t>Henry</t>
  </si>
  <si>
    <t>https://www.rivervalleycoop.com/products-services/grain#grain-bids</t>
  </si>
  <si>
    <t>Direct Inject</t>
  </si>
  <si>
    <t>West Burlington</t>
  </si>
  <si>
    <t>Des Moines</t>
  </si>
  <si>
    <t>06-A-631</t>
  </si>
  <si>
    <t>Dyersville</t>
  </si>
  <si>
    <t>Dubuque</t>
  </si>
  <si>
    <t>06-A-725</t>
  </si>
  <si>
    <t>3/17/09 AgStar Financial purcahses US BioEnergy assets out of bancruptcy for $??M</t>
  </si>
  <si>
    <t>BioUrja</t>
  </si>
  <si>
    <t>Peoria</t>
  </si>
  <si>
    <t>https://www.biourja.com/</t>
  </si>
  <si>
    <t>10/21/21 BioUrja purcahses from ADM</t>
  </si>
  <si>
    <t>Harvestone</t>
  </si>
  <si>
    <t>ND </t>
  </si>
  <si>
    <t>Underwood</t>
  </si>
  <si>
    <t>McLean</t>
  </si>
  <si>
    <t>https://www.midwestagenergy.com/fccp-blue-flint-19634</t>
  </si>
  <si>
    <t>Bridgeport Ethanol</t>
  </si>
  <si>
    <t>Bridgeport</t>
  </si>
  <si>
    <t>Morrill</t>
  </si>
  <si>
    <t>AIR&gt;CONSTRUCTION</t>
  </si>
  <si>
    <t>http://www.bridgeportethanol.com/index.cfm?show=10&amp;mid=29</t>
  </si>
  <si>
    <t>Bushmills Ethanol Inc.</t>
  </si>
  <si>
    <t>Atwater</t>
  </si>
  <si>
    <t>Kandiyohi</t>
  </si>
  <si>
    <t>https://bushmillsethanol.com/</t>
  </si>
  <si>
    <t>Calgren Renewable Fuels</t>
  </si>
  <si>
    <t>Pixley</t>
  </si>
  <si>
    <t>Tulare</t>
  </si>
  <si>
    <t>Lurgi</t>
  </si>
  <si>
    <t>https://www.calgren.com/</t>
  </si>
  <si>
    <t>Carbon Green Bioenergy</t>
  </si>
  <si>
    <t>MI </t>
  </si>
  <si>
    <t>Lake Odessa</t>
  </si>
  <si>
    <t>Ionia</t>
  </si>
  <si>
    <t>https://cgbioenergy.com/</t>
  </si>
  <si>
    <t>CSX</t>
  </si>
  <si>
    <t>Cardinal Ethanol</t>
  </si>
  <si>
    <t>IN </t>
  </si>
  <si>
    <t>Union City</t>
  </si>
  <si>
    <t>Randolph</t>
  </si>
  <si>
    <t>ICM HI PRO</t>
  </si>
  <si>
    <t>https://www.cardinalethanol.com/</t>
  </si>
  <si>
    <t>Cargill</t>
  </si>
  <si>
    <t>Blair</t>
  </si>
  <si>
    <t>Washington</t>
  </si>
  <si>
    <t>https://www.cargill.com/home</t>
  </si>
  <si>
    <t>Eddyville</t>
  </si>
  <si>
    <t>Wapello</t>
  </si>
  <si>
    <t>91-A-236</t>
  </si>
  <si>
    <t>Fort Dodge</t>
  </si>
  <si>
    <t>Webster</t>
  </si>
  <si>
    <t>07-A-846</t>
  </si>
  <si>
    <t>UP/CN</t>
  </si>
  <si>
    <t>https://chiefethanol.com/</t>
  </si>
  <si>
    <t>10/31/22 Central Indiana Ethanol purchases from Louis Dreyfus for an undisclosed amount, Ocean Park was the advisor</t>
  </si>
  <si>
    <t>Dawson</t>
  </si>
  <si>
    <t>Swift</t>
  </si>
  <si>
    <t>White Fox ICM</t>
  </si>
  <si>
    <t>http://cvec.com/</t>
  </si>
  <si>
    <t>5/27/16 Chief purchases from Cornhusker</t>
  </si>
  <si>
    <t>CHS</t>
  </si>
  <si>
    <t>Annawan</t>
  </si>
  <si>
    <t>https://www.chs-illinois.com/grain/cash-bids/</t>
  </si>
  <si>
    <t>https://www.chsinc.com/our-businesses/renewable-fuels</t>
  </si>
  <si>
    <t>IAIS</t>
  </si>
  <si>
    <t>Rochelle</t>
  </si>
  <si>
    <t>Ogle</t>
  </si>
  <si>
    <t>6/1/15 CHS purchases Patriot Renewable Fuels for $196M</t>
  </si>
  <si>
    <t>Central Indiana Ethanol</t>
  </si>
  <si>
    <t>Grant</t>
  </si>
  <si>
    <t>https://www.cie.us/</t>
  </si>
  <si>
    <t>NS</t>
  </si>
  <si>
    <t>Norfolk</t>
  </si>
  <si>
    <t>Madison</t>
  </si>
  <si>
    <t>07-A-767</t>
  </si>
  <si>
    <t>NCRC/WC1s</t>
  </si>
  <si>
    <t>Hopkinsville Elevator CO-OP</t>
  </si>
  <si>
    <t>KY </t>
  </si>
  <si>
    <t>Hopkinsville</t>
  </si>
  <si>
    <t>Christian</t>
  </si>
  <si>
    <t>http://www.commonwealthagrienergy.com/</t>
  </si>
  <si>
    <t>Gold-Eagle Cooperative</t>
  </si>
  <si>
    <t>Goldfield</t>
  </si>
  <si>
    <t>Wright</t>
  </si>
  <si>
    <t>http://www.cornlp.com/</t>
  </si>
  <si>
    <t>Dakota Ethanol</t>
  </si>
  <si>
    <t>SD </t>
  </si>
  <si>
    <t>Wentworth</t>
  </si>
  <si>
    <t>Lake</t>
  </si>
  <si>
    <t>05-A-113</t>
  </si>
  <si>
    <t>https://www.dakotaethanol.com/</t>
  </si>
  <si>
    <t>Spiritwood</t>
  </si>
  <si>
    <t>Barnes</t>
  </si>
  <si>
    <t>Alpha Laval</t>
  </si>
  <si>
    <t>https://www.midwestagenergy.com/fccp-dakota-spirit-19635</t>
  </si>
  <si>
    <t>Stevens</t>
  </si>
  <si>
    <t>http://www.dencollc.com/</t>
  </si>
  <si>
    <t>UnKnown</t>
  </si>
  <si>
    <t>TX </t>
  </si>
  <si>
    <t>Levelland</t>
  </si>
  <si>
    <t>Hockley</t>
  </si>
  <si>
    <t>Didion Milling</t>
  </si>
  <si>
    <t>Cambria</t>
  </si>
  <si>
    <t>Columbia</t>
  </si>
  <si>
    <t>https://didioninc.com/</t>
  </si>
  <si>
    <t>WSOR/CN/UP</t>
  </si>
  <si>
    <t>Gage</t>
  </si>
  <si>
    <t>DEER</t>
  </si>
  <si>
    <t>http://www.eenergyadams.com/</t>
  </si>
  <si>
    <t>East Kansas Agri-Energy</t>
  </si>
  <si>
    <t>Garnett</t>
  </si>
  <si>
    <t>Anderson</t>
  </si>
  <si>
    <t>https://ekaellc.com/</t>
  </si>
  <si>
    <t>Cass</t>
  </si>
  <si>
    <t>https://www.eliteoctane.net/</t>
  </si>
  <si>
    <t>Oshkosh</t>
  </si>
  <si>
    <t>Winnebago</t>
  </si>
  <si>
    <t>15-A-091</t>
  </si>
  <si>
    <t>https://www.frvethanol.com/</t>
  </si>
  <si>
    <t>Front Range Energy LLC</t>
  </si>
  <si>
    <t>CO </t>
  </si>
  <si>
    <t>Windsor</t>
  </si>
  <si>
    <t>Weld</t>
  </si>
  <si>
    <t>https://www.frontrangeenergy.com/</t>
  </si>
  <si>
    <t>Aberdeen</t>
  </si>
  <si>
    <t>Brown</t>
  </si>
  <si>
    <t>http://www.glaciallakesenergy.com/index.htm</t>
  </si>
  <si>
    <t>Beadle</t>
  </si>
  <si>
    <t>RCPE/BNSF/CP</t>
  </si>
  <si>
    <t>12/2019 GLE purchases from Advance Bio for $47.5M</t>
  </si>
  <si>
    <t>Mina</t>
  </si>
  <si>
    <t>Edmunds</t>
  </si>
  <si>
    <t>Codington</t>
  </si>
  <si>
    <t>Golden Grain Energy</t>
  </si>
  <si>
    <t>Mason City</t>
  </si>
  <si>
    <t>Cerro Gordo</t>
  </si>
  <si>
    <t>https://ggecorn.com/</t>
  </si>
  <si>
    <t>Grain Processing Corp</t>
  </si>
  <si>
    <t>Muscatine</t>
  </si>
  <si>
    <t>03-A-607</t>
  </si>
  <si>
    <t>https://www.grainprocessing.com/</t>
  </si>
  <si>
    <t>Daviess</t>
  </si>
  <si>
    <t>Yellow Medicine</t>
  </si>
  <si>
    <t>http://www.granitefallsenergy.com/</t>
  </si>
  <si>
    <t>TC&amp;W/BNSF/CP/UP/CN</t>
  </si>
  <si>
    <t>Holt</t>
  </si>
  <si>
    <t>https://gpreinc.com/</t>
  </si>
  <si>
    <t>Merrick</t>
  </si>
  <si>
    <t>Martin</t>
  </si>
  <si>
    <t>https://grain.gpreinc.com/index.cfm?show=11&amp;mid=3&amp;theLocation=17&amp;layout=19</t>
  </si>
  <si>
    <t>PH/BNSF/UP/CN/NS</t>
  </si>
  <si>
    <t>Mount Vernon</t>
  </si>
  <si>
    <t>Posey</t>
  </si>
  <si>
    <t>9/26/16 GP purchases from Abengoa for $237M</t>
  </si>
  <si>
    <t>Poet Biorefining-Obion LLC</t>
  </si>
  <si>
    <t>TN </t>
  </si>
  <si>
    <t>Rives</t>
  </si>
  <si>
    <t>Obion</t>
  </si>
  <si>
    <t>Otter Tail</t>
  </si>
  <si>
    <t>Shenandoah</t>
  </si>
  <si>
    <t>Page</t>
  </si>
  <si>
    <t>Superior</t>
  </si>
  <si>
    <t>Dickinson</t>
  </si>
  <si>
    <t>06-A-346</t>
  </si>
  <si>
    <t>Hall</t>
  </si>
  <si>
    <t>11-A-707</t>
  </si>
  <si>
    <t>York</t>
  </si>
  <si>
    <t>Katzen</t>
  </si>
  <si>
    <t>GreenAmerica</t>
  </si>
  <si>
    <t>Ord</t>
  </si>
  <si>
    <t>Valley</t>
  </si>
  <si>
    <t>https://www.greenamericabiofuels.com/</t>
  </si>
  <si>
    <t>Greenfield Global</t>
  </si>
  <si>
    <t>Faribault</t>
  </si>
  <si>
    <t>https://greenfield.com/</t>
  </si>
  <si>
    <t>1/27/2021 GAB purchase from GP for $64M | 3/17/09 AgStar Financial purcahses US BioEnergy assets out of bancruptcy for $??M</t>
  </si>
  <si>
    <t>Waseca</t>
  </si>
  <si>
    <t>https://www.hankinsonre.com/janesville</t>
  </si>
  <si>
    <t>10/20 Greenfield purchases shuttered Corn Plus out of recievership</t>
  </si>
  <si>
    <t>Richland</t>
  </si>
  <si>
    <t>https://www.hankinsonre.com/</t>
  </si>
  <si>
    <t>8/4/09 GE purcahses from AgStar Financials re VeraSun bancruptcy</t>
  </si>
  <si>
    <t>OH </t>
  </si>
  <si>
    <t>Lima</t>
  </si>
  <si>
    <t>Allen</t>
  </si>
  <si>
    <t>https://www.guardianlima.com/lima</t>
  </si>
  <si>
    <t>IORY//CSX/NS</t>
  </si>
  <si>
    <t>Sibley</t>
  </si>
  <si>
    <t>https://www.heartlandcorn.com/</t>
  </si>
  <si>
    <t>TC&amp;W/BNSF/UP/CP/CN</t>
  </si>
  <si>
    <t>Deaf Smith</t>
  </si>
  <si>
    <t>https://www.herefordethanol.com/hereford-ethanol-plant/</t>
  </si>
  <si>
    <t>http://www.heronlakebioenergy.com/</t>
  </si>
  <si>
    <t>Redwood</t>
  </si>
  <si>
    <t>http://www.highwaterethanol.com/</t>
  </si>
  <si>
    <t>3/2021 GF purchases HL for $14M (saved plant from bancruptcy)</t>
  </si>
  <si>
    <t>Chickasaw</t>
  </si>
  <si>
    <t>https://www.homelandenergysolutions.com/</t>
  </si>
  <si>
    <t>Pierce</t>
  </si>
  <si>
    <t>07-A-965</t>
  </si>
  <si>
    <t>https://huskerag.com/</t>
  </si>
  <si>
    <t>MO </t>
  </si>
  <si>
    <t>St Joseph</t>
  </si>
  <si>
    <t>Sedgwick</t>
  </si>
  <si>
    <t>Unknown</t>
  </si>
  <si>
    <t>https://www.icmbiofuels.com/</t>
  </si>
  <si>
    <t>Rensselaer</t>
  </si>
  <si>
    <t>Jasper</t>
  </si>
  <si>
    <t>http://www.ibecethanol.com/</t>
  </si>
  <si>
    <t>9/7/16 ICM pruchases from Abengoa out of bancruptcy for $3.1M</t>
  </si>
  <si>
    <t>Kearney</t>
  </si>
  <si>
    <t>https://kaapaethanolcommodities.com/</t>
  </si>
  <si>
    <t>Buffalo</t>
  </si>
  <si>
    <t>Hamilton</t>
  </si>
  <si>
    <t>https://auroracoop.com/</t>
  </si>
  <si>
    <t>4/20 PEIX sells to Aurora for $52.8M | 12/2014 PEIX purchases Aventine for $380M (315M gals)</t>
  </si>
  <si>
    <t>Rice</t>
  </si>
  <si>
    <t>White Fox ICE Flex</t>
  </si>
  <si>
    <t>http://www.kansasethanol.net/</t>
  </si>
  <si>
    <t>9/30/16 KAPPA purchases from Abengoa out of bancruptcy for $115M</t>
  </si>
  <si>
    <t>Lincolnland Agri Energy, LLC</t>
  </si>
  <si>
    <t>Palestine</t>
  </si>
  <si>
    <t>Crawford</t>
  </si>
  <si>
    <t>https://www.lincolnlandagrienergy.com/pages/custom.php?id=5427</t>
  </si>
  <si>
    <t>https://www.lincolnlandagrienergy.com/</t>
  </si>
  <si>
    <t>Story</t>
  </si>
  <si>
    <t>Steam Tube Dryer</t>
  </si>
  <si>
    <t>https://lincolnwayenergy.com/</t>
  </si>
  <si>
    <t>Cherokee</t>
  </si>
  <si>
    <t>05-A-085</t>
  </si>
  <si>
    <t>https://www.littlesiouxcornprocessors.com/</t>
  </si>
  <si>
    <t>1/20 Husker Ag takes operating control with $6.7M purchase of shares</t>
  </si>
  <si>
    <t>Greene</t>
  </si>
  <si>
    <t>03-A-541</t>
  </si>
  <si>
    <t>https://www.ldc.com/us/en/our-facilities/grand-junction-ia/</t>
  </si>
  <si>
    <t>United Cooperative</t>
  </si>
  <si>
    <t>United Energy Necadah</t>
  </si>
  <si>
    <t>Necedah</t>
  </si>
  <si>
    <t>Juneau</t>
  </si>
  <si>
    <t>http://www.marquisgrain.com/index.cfm?show=10&amp;mid=3</t>
  </si>
  <si>
    <t>Marquis Energy</t>
  </si>
  <si>
    <t>Hennepin</t>
  </si>
  <si>
    <t>Putnam</t>
  </si>
  <si>
    <t>Marquis HI PRO</t>
  </si>
  <si>
    <t>DCP Midstream</t>
  </si>
  <si>
    <t>Marysville</t>
  </si>
  <si>
    <t>St. Clair</t>
  </si>
  <si>
    <t>NA</t>
  </si>
  <si>
    <t>CSX/CN</t>
  </si>
  <si>
    <t>MGP</t>
  </si>
  <si>
    <t>Lawrenceburg</t>
  </si>
  <si>
    <t>Dearborn</t>
  </si>
  <si>
    <t>https://www.mgpingredients.com/</t>
  </si>
  <si>
    <t>Perkins</t>
  </si>
  <si>
    <t>Mid-Missouri Energy</t>
  </si>
  <si>
    <t>Malta Bend</t>
  </si>
  <si>
    <t>Saline</t>
  </si>
  <si>
    <t>https://www.midmissourienergy.com/</t>
  </si>
  <si>
    <t>Midwest Renewable Energy</t>
  </si>
  <si>
    <t>Sutherland</t>
  </si>
  <si>
    <t>Lincoln</t>
  </si>
  <si>
    <t>https://www.mre-ethanol.com/</t>
  </si>
  <si>
    <t>Nebraska Corn Processing</t>
  </si>
  <si>
    <t>Cambridge</t>
  </si>
  <si>
    <t>Furnas</t>
  </si>
  <si>
    <t>https://www.nebraskacornprocessing.com/</t>
  </si>
  <si>
    <t>Rex American</t>
  </si>
  <si>
    <t>Turner</t>
  </si>
  <si>
    <t>https://www.rexamerican.com/</t>
  </si>
  <si>
    <t>Gibson City</t>
  </si>
  <si>
    <t>Ford</t>
  </si>
  <si>
    <t>https://www.oneearthenergy.com/Grains/GrainBids.aspx</t>
  </si>
  <si>
    <t>Parallel Products</t>
  </si>
  <si>
    <t>Rancho Cucamonga</t>
  </si>
  <si>
    <t>San Bernardino</t>
  </si>
  <si>
    <t>Waste Stream</t>
  </si>
  <si>
    <t>Waste Stream </t>
  </si>
  <si>
    <t>Louisville</t>
  </si>
  <si>
    <t>Jefferson</t>
  </si>
  <si>
    <t>Innergex Renewable Energy Inc.</t>
  </si>
  <si>
    <t>Stockton</t>
  </si>
  <si>
    <t>San Joaquin</t>
  </si>
  <si>
    <t>D6/D5/D3 </t>
  </si>
  <si>
    <t>11/8/21 Pelican purcahses from Alto for $24M</t>
  </si>
  <si>
    <t>Pennsylvania Grain Processing</t>
  </si>
  <si>
    <t>PA </t>
  </si>
  <si>
    <t>Clearfield</t>
  </si>
  <si>
    <t>https://www.pagrain.com/</t>
  </si>
  <si>
    <t>CN/NS</t>
  </si>
  <si>
    <t>Arizona Grain</t>
  </si>
  <si>
    <t>AZ </t>
  </si>
  <si>
    <t>Maricopa</t>
  </si>
  <si>
    <t>Pinal</t>
  </si>
  <si>
    <t>http://www.pinalenergyllc.com/</t>
  </si>
  <si>
    <t>Innovative Ag Services</t>
  </si>
  <si>
    <t>Steamboat Rock</t>
  </si>
  <si>
    <t>Hardin</t>
  </si>
  <si>
    <t>ICM FOT</t>
  </si>
  <si>
    <t>03-A-628</t>
  </si>
  <si>
    <t xml:space="preserve">Plymouth Energy Llc </t>
  </si>
  <si>
    <t>Merrill</t>
  </si>
  <si>
    <t>Plymouth</t>
  </si>
  <si>
    <t>FQPT P10</t>
  </si>
  <si>
    <t>08-A-373</t>
  </si>
  <si>
    <t>http://www.plymouth-energy.com/</t>
  </si>
  <si>
    <t>ICM low temp vaccum distilation conversion</t>
  </si>
  <si>
    <t>Freeborn</t>
  </si>
  <si>
    <t>Poet</t>
  </si>
  <si>
    <t>https://poet.com/</t>
  </si>
  <si>
    <t>Ida</t>
  </si>
  <si>
    <t>07-A-072</t>
  </si>
  <si>
    <t>None</t>
  </si>
  <si>
    <t>6/1/21 POET purchases from Flint Hills for an undisclosed amount</t>
  </si>
  <si>
    <t>Osceola</t>
  </si>
  <si>
    <t>03-A-1270</t>
  </si>
  <si>
    <t>Cottonwood</t>
  </si>
  <si>
    <t>Tuscola</t>
  </si>
  <si>
    <t>Carroll</t>
  </si>
  <si>
    <t>02-A-788</t>
  </si>
  <si>
    <t>06-A-164</t>
  </si>
  <si>
    <t>Palo Alto</t>
  </si>
  <si>
    <t>04-A-237</t>
  </si>
  <si>
    <t>Buchanan</t>
  </si>
  <si>
    <t>05-A-013</t>
  </si>
  <si>
    <t>D&amp;W/UP/CN</t>
  </si>
  <si>
    <t>Fillmore</t>
  </si>
  <si>
    <t>Seneca</t>
  </si>
  <si>
    <t>04-A-515</t>
  </si>
  <si>
    <t>Worth</t>
  </si>
  <si>
    <t>04-A-025</t>
  </si>
  <si>
    <t>05-A-243</t>
  </si>
  <si>
    <t>Verbio</t>
  </si>
  <si>
    <t>https://www.valero.com/renewables/ethanol</t>
  </si>
  <si>
    <t>05-A-445</t>
  </si>
  <si>
    <t>Audrain</t>
  </si>
  <si>
    <t>KCS</t>
  </si>
  <si>
    <t>Blue Earth</t>
  </si>
  <si>
    <t>CSX/NS</t>
  </si>
  <si>
    <t>3/17/09 Dougherty Funding LLC purcahses VeraSun assets out of bancruptcy for $93M</t>
  </si>
  <si>
    <t>Guthrie</t>
  </si>
  <si>
    <t>06-A-1190</t>
  </si>
  <si>
    <t>Davison</t>
  </si>
  <si>
    <t>Wabash</t>
  </si>
  <si>
    <t>Jay</t>
  </si>
  <si>
    <t>Scottland</t>
  </si>
  <si>
    <t>Bon Homme</t>
  </si>
  <si>
    <t>Shelby</t>
  </si>
  <si>
    <t>http://www.prattenergy.com/</t>
  </si>
  <si>
    <t>Purefield</t>
  </si>
  <si>
    <t>Russell</t>
  </si>
  <si>
    <t>https://www.purefield.com/</t>
  </si>
  <si>
    <t>Quad County Corn Processors </t>
  </si>
  <si>
    <t>04-A-530</t>
  </si>
  <si>
    <t>https://www.quad-county.com/</t>
  </si>
  <si>
    <t>Red River Energy</t>
  </si>
  <si>
    <t>Rosholt</t>
  </si>
  <si>
    <t>Roberts</t>
  </si>
  <si>
    <t>http://www.redriverenergy.com/</t>
  </si>
  <si>
    <t>Red Trail Energy</t>
  </si>
  <si>
    <t>Richardton</t>
  </si>
  <si>
    <t>Stark</t>
  </si>
  <si>
    <t>https://redtrailenergy.com/</t>
  </si>
  <si>
    <t>Spink</t>
  </si>
  <si>
    <t>White Fox ICE +</t>
  </si>
  <si>
    <t>https://redfieldenergy.com/</t>
  </si>
  <si>
    <t>Reeve Agri–Energy</t>
  </si>
  <si>
    <t>Corn /Milo</t>
  </si>
  <si>
    <t>https://www.katzen.com/projectshowcase.aspx?p=93</t>
  </si>
  <si>
    <t>Ringneck Energy</t>
  </si>
  <si>
    <t>Onida</t>
  </si>
  <si>
    <t>Sully</t>
  </si>
  <si>
    <t>https://ringneckenergy.com/</t>
  </si>
  <si>
    <t>RCPE/BNSF/CP/UP</t>
  </si>
  <si>
    <t>Seaboard</t>
  </si>
  <si>
    <t>Madera</t>
  </si>
  <si>
    <t>https://seaboardenergy.com/</t>
  </si>
  <si>
    <t>4/28/21 Seaborad purchases from Alto for $28.3M</t>
  </si>
  <si>
    <t>Show Me Ethanol</t>
  </si>
  <si>
    <t>Carrollton</t>
  </si>
  <si>
    <t>https://www.smealcohol.com/</t>
  </si>
  <si>
    <t>Sioux</t>
  </si>
  <si>
    <t>07-A-465</t>
  </si>
  <si>
    <t>https://www.siouxlandenergy.com/</t>
  </si>
  <si>
    <t>Dakota</t>
  </si>
  <si>
    <t>https://siouxlandethanol.com/</t>
  </si>
  <si>
    <t>South Bend</t>
  </si>
  <si>
    <t>St. Joseph</t>
  </si>
  <si>
    <t>http://www.southbendethanol.com/</t>
  </si>
  <si>
    <t>1/10/18 Mercuria purchases from Noble for $15.5M</t>
  </si>
  <si>
    <t>Pottawattamie</t>
  </si>
  <si>
    <t>06-A-581</t>
  </si>
  <si>
    <t>http://www.sireethanol.com/index.cfm?show=10&amp;mid=15</t>
  </si>
  <si>
    <t>IAIS/UP/BNSF/CSX/CN/CPKC</t>
  </si>
  <si>
    <t>Sterling Ethanol</t>
  </si>
  <si>
    <t>Sterling</t>
  </si>
  <si>
    <t>Logan</t>
  </si>
  <si>
    <t>http://www.sterlingethanol.com/index.cfm?show=10&amp;mid=31</t>
  </si>
  <si>
    <t>Tate &amp; Lyle</t>
  </si>
  <si>
    <t>Loudon</t>
  </si>
  <si>
    <t>https://www.tateandlyle.com/</t>
  </si>
  <si>
    <t>Tharaldson Ethanol</t>
  </si>
  <si>
    <t>Casselton</t>
  </si>
  <si>
    <t>https://www.tharaldsonethanol.com/</t>
  </si>
  <si>
    <t>Calhoun</t>
  </si>
  <si>
    <t>https://www.andersonsinc.com/</t>
  </si>
  <si>
    <t>Clymers</t>
  </si>
  <si>
    <t>04-A-648</t>
  </si>
  <si>
    <t>Greenville</t>
  </si>
  <si>
    <t>Darke</t>
  </si>
  <si>
    <t>Three Rivers Energy</t>
  </si>
  <si>
    <t>Coshocton</t>
  </si>
  <si>
    <t>http://www.threeriversenergyllc.com/</t>
  </si>
  <si>
    <t>Hitchcock</t>
  </si>
  <si>
    <t>http://www.trentonagriproducts.com/</t>
  </si>
  <si>
    <t>United Energy Milton</t>
  </si>
  <si>
    <t>Milton</t>
  </si>
  <si>
    <t>Rock</t>
  </si>
  <si>
    <t>https://www.unitedethanol.com/</t>
  </si>
  <si>
    <t>WSOR/BNSF/CN/CP/UP</t>
  </si>
  <si>
    <t>United WI Grain Producers</t>
  </si>
  <si>
    <t>Friesland</t>
  </si>
  <si>
    <t>https://www.uwgp.com/</t>
  </si>
  <si>
    <t>Buena Vista</t>
  </si>
  <si>
    <t>05-A-139</t>
  </si>
  <si>
    <t>3/17/09 VLO purcahses from US BioEnergy assets for $72M</t>
  </si>
  <si>
    <t>Boone</t>
  </si>
  <si>
    <t>3/17/09 VLO purcahses from US BioEnergy assets for $55M</t>
  </si>
  <si>
    <t>Brookings</t>
  </si>
  <si>
    <t>3/17/09 VLO purcahses VeraSun assets out of bancruptcy for $350M</t>
  </si>
  <si>
    <t>Bloomingburg</t>
  </si>
  <si>
    <t>Fayette</t>
  </si>
  <si>
    <t>IORY/CSX/NS/CN</t>
  </si>
  <si>
    <t>12/09 VLO purchases VeraSun assets out of bancruptcy for $100M</t>
  </si>
  <si>
    <t>Bluffton</t>
  </si>
  <si>
    <t>Wells</t>
  </si>
  <si>
    <t>10/12/2018 VLO purchases from GP for $300M</t>
  </si>
  <si>
    <t>Floyd</t>
  </si>
  <si>
    <t>05-A-725</t>
  </si>
  <si>
    <t>04-A-445</t>
  </si>
  <si>
    <t>O'Brien</t>
  </si>
  <si>
    <t>06-A-1098</t>
  </si>
  <si>
    <t>Lakota</t>
  </si>
  <si>
    <t>Kossuth</t>
  </si>
  <si>
    <t>02-A-832</t>
  </si>
  <si>
    <t>Montgomery</t>
  </si>
  <si>
    <t>3/21/14 VLO purchases from Aventine for ???</t>
  </si>
  <si>
    <t>Zeeland Farm Services, Inc</t>
  </si>
  <si>
    <t>Riga</t>
  </si>
  <si>
    <t>Lenawee</t>
  </si>
  <si>
    <t>ADBF/IORY/NS</t>
  </si>
  <si>
    <t>Butler</t>
  </si>
  <si>
    <t>07-A-174</t>
  </si>
  <si>
    <t>IANR/BNSF</t>
  </si>
  <si>
    <t>White Fox ICE XL</t>
  </si>
  <si>
    <t>http://wpellc.com/</t>
  </si>
  <si>
    <t>Western New York Energy</t>
  </si>
  <si>
    <t>NY </t>
  </si>
  <si>
    <t>Medina</t>
  </si>
  <si>
    <t>Orleans</t>
  </si>
  <si>
    <t>https://www.wnyenergy.com/</t>
  </si>
  <si>
    <t>https://www.white-energy.com/</t>
  </si>
  <si>
    <t>12/17/20 WE purchases from GP for $39M | 12/2015 GPRE purchases from HRE for $94M</t>
  </si>
  <si>
    <t>Hale</t>
  </si>
  <si>
    <t>Yuma Ethanol</t>
  </si>
  <si>
    <t>Yuma</t>
  </si>
  <si>
    <t>http://www.yumaethanol.com/index.cfm?show=10&amp;mid=28</t>
  </si>
  <si>
    <t>Clonbio/Pannonia</t>
  </si>
  <si>
    <t>Johnson Creek</t>
  </si>
  <si>
    <t>Front End Frac</t>
  </si>
  <si>
    <t xml:space="preserve">Corn </t>
  </si>
  <si>
    <t xml:space="preserve">D6 </t>
  </si>
  <si>
    <t>https://www.clonbio.com/</t>
  </si>
  <si>
    <t>6/22 ClonBio buys from VLO for $32M | 2/4/10 VLO purchases from Renew Energy for $72M | 10/7/21 VLO announces layoffs and plant closure</t>
  </si>
  <si>
    <t>SD-02</t>
  </si>
  <si>
    <t>Attis Industries Inc.</t>
  </si>
  <si>
    <t>Fulton</t>
  </si>
  <si>
    <t>Oswego</t>
  </si>
  <si>
    <t>6/3/19 Attis purchases from Sunoco for $20M</t>
  </si>
  <si>
    <t>Colwich</t>
  </si>
  <si>
    <t>AE Innovation</t>
  </si>
  <si>
    <t>Luverne</t>
  </si>
  <si>
    <t>https://gevo.com/</t>
  </si>
  <si>
    <t>MSR/BNSF</t>
  </si>
  <si>
    <t>SD-06</t>
  </si>
  <si>
    <t>Retired</t>
  </si>
  <si>
    <t>Prairie Horizon Agri–Energy</t>
  </si>
  <si>
    <t>7/12/21 Summit Ag purchases, will convert to wheat facility</t>
  </si>
  <si>
    <t>SD-07</t>
  </si>
  <si>
    <t>Grand Forks</t>
  </si>
  <si>
    <t>https://www.redriverbiorefinery.com/</t>
  </si>
  <si>
    <t>SD-08</t>
  </si>
  <si>
    <t>Tyton NC Biofuels</t>
  </si>
  <si>
    <t>NC </t>
  </si>
  <si>
    <t>Raeford</t>
  </si>
  <si>
    <t>Hoke</t>
  </si>
  <si>
    <t>http://tytonbiofuels.com/</t>
  </si>
  <si>
    <t>SD-09</t>
  </si>
  <si>
    <t>AltEn</t>
  </si>
  <si>
    <t xml:space="preserve">Mead </t>
  </si>
  <si>
    <t>VA</t>
  </si>
  <si>
    <t>Hopewell</t>
  </si>
  <si>
    <t>Active</t>
  </si>
  <si>
    <t>Crysalis Biosciences</t>
  </si>
  <si>
    <t xml:space="preserve">Sauget </t>
  </si>
  <si>
    <t>https://scoularview.com/cbloc-2864</t>
  </si>
  <si>
    <t>SD-12</t>
  </si>
  <si>
    <t>Walhalla</t>
  </si>
  <si>
    <t>SD-13</t>
  </si>
  <si>
    <t>Flint Hills Resources Camilla, LLC</t>
  </si>
  <si>
    <t>GA</t>
  </si>
  <si>
    <t>Pelham</t>
  </si>
  <si>
    <t>GOLDEN TRIANGLE ENERGY LLC</t>
  </si>
  <si>
    <t>Craig</t>
  </si>
  <si>
    <t>SD-15</t>
  </si>
  <si>
    <t>PACIFIC ETHANOL CANTON, LLC</t>
  </si>
  <si>
    <t>CANTON</t>
  </si>
  <si>
    <t>No Data</t>
  </si>
  <si>
    <t>SD-16</t>
  </si>
  <si>
    <t>THE ANDERSONS MARATHON HOLDINGS LLC</t>
  </si>
  <si>
    <t>LOGANSPORT</t>
  </si>
  <si>
    <t>Startup</t>
  </si>
  <si>
    <t>Gevo</t>
  </si>
  <si>
    <t>Lake Preston</t>
  </si>
  <si>
    <t>Kingsbury</t>
  </si>
  <si>
    <r>
      <t>44.362778</t>
    </r>
    <r>
      <rPr>
        <sz val="8"/>
        <color rgb="FF474747"/>
        <rFont val="Arial"/>
        <family val="2"/>
      </rPr>
      <t> </t>
    </r>
  </si>
  <si>
    <t>RCPE/BNSF</t>
  </si>
  <si>
    <t>LanzaJet</t>
  </si>
  <si>
    <t>Soperton</t>
  </si>
  <si>
    <t>GC</t>
  </si>
  <si>
    <t>New Energy Blue</t>
  </si>
  <si>
    <t>IATR/up</t>
  </si>
  <si>
    <t>Sumitomo Corporation of Americas</t>
  </si>
  <si>
    <t>S</t>
  </si>
  <si>
    <t>y</t>
  </si>
  <si>
    <t>Plant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</si>
</sst>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0.0"/>
    <numFmt numFmtId="167" formatCode="_(&quot;$&quot;* #,##0.0000_);_(&quot;$&quot;* \(#,##0.0000\);_(&quot;$&quot;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D7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F4F4F"/>
      <name val="Source Sans Pro"/>
      <family val="2"/>
    </font>
    <font>
      <sz val="8"/>
      <color rgb="FF47474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7B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/>
    <xf numFmtId="43" fontId="2" fillId="0" borderId="0"/>
    <xf numFmtId="0" fontId="6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7" fillId="2" borderId="0" xfId="0" applyFont="1" applyFill="1" applyAlignment="1">
      <alignment horizontal="centerContinuous"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>
      <alignment horizontal="center" wrapText="1"/>
    </xf>
    <xf numFmtId="0" fontId="7" fillId="2" borderId="0" xfId="0" quotePrefix="1" applyFont="1" applyFill="1" applyAlignment="1">
      <alignment horizontal="centerContinuous" wrapText="1"/>
    </xf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center" vertical="top"/>
    </xf>
    <xf numFmtId="164" fontId="0" fillId="0" borderId="0" xfId="0" quotePrefix="1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vertical="top"/>
    </xf>
    <xf numFmtId="1" fontId="0" fillId="0" borderId="0" xfId="0" applyNumberForma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165" fontId="2" fillId="0" borderId="0" xfId="2" applyNumberFormat="1"/>
    <xf numFmtId="165" fontId="2" fillId="0" borderId="0" xfId="3" applyNumberFormat="1" applyAlignment="1">
      <alignment horizontal="center"/>
    </xf>
    <xf numFmtId="0" fontId="0" fillId="0" borderId="0" xfId="0" quotePrefix="1" applyAlignment="1">
      <alignment horizontal="center"/>
    </xf>
    <xf numFmtId="0" fontId="6" fillId="0" borderId="0" xfId="4"/>
    <xf numFmtId="164" fontId="0" fillId="0" borderId="0" xfId="0" applyNumberFormat="1" applyAlignment="1">
      <alignment horizontal="center"/>
    </xf>
    <xf numFmtId="0" fontId="10" fillId="0" borderId="0" xfId="0" applyFont="1" applyAlignment="1">
      <alignment vertical="top"/>
    </xf>
    <xf numFmtId="0" fontId="0" fillId="3" borderId="0" xfId="0" applyFill="1"/>
    <xf numFmtId="0" fontId="0" fillId="4" borderId="0" xfId="0" applyFill="1"/>
    <xf numFmtId="166" fontId="0" fillId="0" borderId="0" xfId="0" applyNumberFormat="1" applyAlignment="1">
      <alignment horizontal="center" vertical="top"/>
    </xf>
    <xf numFmtId="0" fontId="0" fillId="0" borderId="0" xfId="0" quotePrefix="1" applyAlignment="1">
      <alignment horizontal="left"/>
    </xf>
    <xf numFmtId="0" fontId="4" fillId="0" borderId="0" xfId="0" applyFont="1" applyAlignment="1">
      <alignment horizontal="center"/>
    </xf>
    <xf numFmtId="165" fontId="0" fillId="0" borderId="0" xfId="2" applyNumberFormat="1" applyFont="1" applyAlignment="1">
      <alignment horizontal="center"/>
    </xf>
    <xf numFmtId="165" fontId="2" fillId="0" borderId="0" xfId="2" applyNumberFormat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left"/>
    </xf>
    <xf numFmtId="0" fontId="11" fillId="0" borderId="0" xfId="0" applyFont="1"/>
    <xf numFmtId="0" fontId="0" fillId="0" borderId="0" xfId="0" quotePrefix="1" applyAlignment="1">
      <alignment horizontal="center" vertical="top"/>
    </xf>
    <xf numFmtId="0" fontId="0" fillId="3" borderId="0" xfId="0" applyFill="1" applyAlignment="1">
      <alignment horizontal="left"/>
    </xf>
    <xf numFmtId="164" fontId="0" fillId="0" borderId="0" xfId="0" quotePrefix="1" applyNumberFormat="1" applyAlignment="1">
      <alignment horizontal="left"/>
    </xf>
    <xf numFmtId="165" fontId="0" fillId="5" borderId="0" xfId="2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7" fontId="0" fillId="0" borderId="0" xfId="1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NumberFormat="1"/>
  </cellXfs>
  <cellStyles count="5">
    <cellStyle name="Comma 2" xfId="2" xr:uid="{62665961-487D-445E-A830-D854C19EE281}"/>
    <cellStyle name="Comma 3" xfId="3" xr:uid="{F5894579-37EA-463C-8A51-B52EBC8323A8}"/>
    <cellStyle name="Currency" xfId="1" builtinId="4"/>
    <cellStyle name="Hyperlink 2" xfId="4" xr:uid="{D0FC1B82-E634-484B-AC52-88CD1A570B96}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OneDrive/Documents/Ethanol%20Industry%20Data/Ethanol%20Production%20DataBase/MASTER%20Plant%20File%20-%20Current.xlsx" TargetMode="External"/><Relationship Id="rId2" Type="http://schemas.openxmlformats.org/officeDocument/2006/relationships/externalLinkPath" Target="file:///C:\Users\ehakm\OneDrive\Documents\Ethanol%20Industry%20Data\Ethanol%20Production%20DataBase\MASTER%20Plant%20File%20-%20Current.xlsx" TargetMode="External"/><Relationship Id="rId1" Type="http://schemas.openxmlformats.org/officeDocument/2006/relationships/externalLinkPath" Target="/Users/ehakm/OneDrive/Documents/Ethanol%20Industry%20Data/Ethanol%20Production%20DataBase/MASTER%20Plant%20File%20-%20Cur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rn Processors"/>
      <sheetName val="Updated FPC List"/>
      <sheetName val="Sheet3"/>
      <sheetName val="Sheet1"/>
      <sheetName val="Plant summary"/>
      <sheetName val="Ethanol Plant Listing 2025"/>
      <sheetName val="EPA Ethanol Capacity 2024"/>
      <sheetName val="Yield"/>
      <sheetName val="Sheet2"/>
      <sheetName val="LCFS Score"/>
      <sheetName val="Corn 2023"/>
      <sheetName val="County (2)"/>
      <sheetName val="Dropdowns"/>
      <sheetName val="Ownership"/>
      <sheetName val="Soybean Processors"/>
      <sheetName val="RD Capacity"/>
      <sheetName val="BioD Capacity"/>
      <sheetName val="SUMMARY"/>
      <sheetName val="New SB Crush Capacity"/>
      <sheetName val="Biodiesel Capacity 2021"/>
      <sheetName val="Carbon Capture "/>
      <sheetName val="RD Production Capacity"/>
      <sheetName val="Bio list"/>
      <sheetName val="Sources"/>
      <sheetName val="County"/>
    </sheetNames>
    <sheetDataSet>
      <sheetData sheetId="0"/>
      <sheetData sheetId="1"/>
      <sheetData sheetId="2">
        <row r="2">
          <cell r="C2" t="str">
            <v>EPM</v>
          </cell>
          <cell r="D2" t="str">
            <v>Pipeline</v>
          </cell>
          <cell r="E2" t="str">
            <v>CI Drop</v>
          </cell>
        </row>
        <row r="3">
          <cell r="C3">
            <v>3662</v>
          </cell>
          <cell r="D3" t="str">
            <v>Summit Carbon Solutions</v>
          </cell>
          <cell r="E3">
            <v>31</v>
          </cell>
          <cell r="H3" t="str">
            <v>Summit Carbon Solutions</v>
          </cell>
          <cell r="I3">
            <v>31</v>
          </cell>
        </row>
        <row r="4">
          <cell r="C4">
            <v>3663</v>
          </cell>
          <cell r="D4" t="str">
            <v>Summit Carbon Solutions</v>
          </cell>
          <cell r="E4">
            <v>31</v>
          </cell>
          <cell r="H4" t="str">
            <v>Direct Inject</v>
          </cell>
          <cell r="I4">
            <v>32</v>
          </cell>
        </row>
        <row r="5">
          <cell r="C5">
            <v>3664</v>
          </cell>
          <cell r="D5" t="str">
            <v>Summit Carbon Solutions</v>
          </cell>
          <cell r="E5">
            <v>31</v>
          </cell>
          <cell r="H5" t="str">
            <v>Tall Grass</v>
          </cell>
          <cell r="I5">
            <v>30</v>
          </cell>
        </row>
        <row r="6">
          <cell r="C6">
            <v>3667</v>
          </cell>
          <cell r="D6" t="str">
            <v>Summit Carbon Solutions</v>
          </cell>
          <cell r="E6">
            <v>31</v>
          </cell>
        </row>
        <row r="7">
          <cell r="C7">
            <v>3669</v>
          </cell>
          <cell r="D7" t="str">
            <v>Summit Carbon Solutions</v>
          </cell>
          <cell r="E7">
            <v>31</v>
          </cell>
        </row>
        <row r="8">
          <cell r="C8">
            <v>3670</v>
          </cell>
          <cell r="D8" t="str">
            <v>Summit Carbon Solutions</v>
          </cell>
          <cell r="E8">
            <v>31</v>
          </cell>
        </row>
        <row r="9">
          <cell r="C9">
            <v>3754</v>
          </cell>
          <cell r="D9" t="str">
            <v>Summit Carbon Solutions</v>
          </cell>
          <cell r="E9">
            <v>31</v>
          </cell>
        </row>
        <row r="10">
          <cell r="C10">
            <v>3671</v>
          </cell>
          <cell r="D10" t="str">
            <v>Summit Carbon Solutions</v>
          </cell>
          <cell r="E10">
            <v>31</v>
          </cell>
        </row>
        <row r="11">
          <cell r="C11">
            <v>3675</v>
          </cell>
          <cell r="D11" t="str">
            <v>Summit Carbon Solutions</v>
          </cell>
          <cell r="E11">
            <v>31</v>
          </cell>
        </row>
        <row r="12">
          <cell r="C12">
            <v>3676</v>
          </cell>
          <cell r="D12" t="str">
            <v>Summit Carbon Solutions</v>
          </cell>
          <cell r="E12">
            <v>31</v>
          </cell>
        </row>
        <row r="13">
          <cell r="C13">
            <v>3677</v>
          </cell>
          <cell r="D13" t="str">
            <v>Summit Carbon Solutions</v>
          </cell>
          <cell r="E13">
            <v>31</v>
          </cell>
        </row>
        <row r="14">
          <cell r="C14">
            <v>3678</v>
          </cell>
          <cell r="D14" t="str">
            <v>Summit Carbon Solutions</v>
          </cell>
          <cell r="E14">
            <v>31</v>
          </cell>
        </row>
        <row r="15">
          <cell r="C15">
            <v>3679</v>
          </cell>
          <cell r="D15" t="str">
            <v>Summit Carbon Solutions</v>
          </cell>
          <cell r="E15">
            <v>31</v>
          </cell>
        </row>
        <row r="16">
          <cell r="C16">
            <v>3680</v>
          </cell>
          <cell r="D16" t="str">
            <v>Summit Carbon Solutions</v>
          </cell>
          <cell r="E16">
            <v>31</v>
          </cell>
        </row>
        <row r="17">
          <cell r="C17">
            <v>3686</v>
          </cell>
          <cell r="D17" t="str">
            <v>Summit Carbon Solutions</v>
          </cell>
          <cell r="E17">
            <v>31</v>
          </cell>
        </row>
        <row r="18">
          <cell r="C18">
            <v>3687</v>
          </cell>
          <cell r="D18" t="str">
            <v>Summit Carbon Solutions</v>
          </cell>
          <cell r="E18">
            <v>31</v>
          </cell>
        </row>
        <row r="19">
          <cell r="C19">
            <v>3693</v>
          </cell>
          <cell r="D19" t="str">
            <v>Summit Carbon Solutions</v>
          </cell>
          <cell r="E19">
            <v>31</v>
          </cell>
        </row>
        <row r="20">
          <cell r="C20">
            <v>3692</v>
          </cell>
          <cell r="D20" t="str">
            <v>Summit Carbon Solutions</v>
          </cell>
          <cell r="E20">
            <v>31</v>
          </cell>
        </row>
        <row r="21">
          <cell r="C21">
            <v>3721</v>
          </cell>
          <cell r="D21" t="str">
            <v>Summit Carbon Solutions</v>
          </cell>
          <cell r="E21">
            <v>31</v>
          </cell>
        </row>
        <row r="22">
          <cell r="C22">
            <v>3722</v>
          </cell>
          <cell r="D22" t="str">
            <v>Summit Carbon Solutions</v>
          </cell>
          <cell r="E22">
            <v>31</v>
          </cell>
        </row>
        <row r="23">
          <cell r="C23">
            <v>3723</v>
          </cell>
          <cell r="D23" t="str">
            <v>Summit Carbon Solutions</v>
          </cell>
          <cell r="E23">
            <v>31</v>
          </cell>
        </row>
        <row r="24">
          <cell r="C24">
            <v>3726</v>
          </cell>
          <cell r="D24" t="str">
            <v>Summit Carbon Solutions</v>
          </cell>
          <cell r="E24">
            <v>31</v>
          </cell>
        </row>
        <row r="25">
          <cell r="C25">
            <v>3727</v>
          </cell>
          <cell r="D25" t="str">
            <v>Summit Carbon Solutions</v>
          </cell>
          <cell r="E25">
            <v>31</v>
          </cell>
        </row>
        <row r="26">
          <cell r="C26">
            <v>3728</v>
          </cell>
          <cell r="D26" t="str">
            <v>Summit Carbon Solutions</v>
          </cell>
          <cell r="E26">
            <v>31</v>
          </cell>
        </row>
        <row r="27">
          <cell r="C27">
            <v>3729</v>
          </cell>
          <cell r="D27" t="str">
            <v>Summit Carbon Solutions</v>
          </cell>
          <cell r="E27">
            <v>31</v>
          </cell>
        </row>
        <row r="28">
          <cell r="C28">
            <v>3615</v>
          </cell>
          <cell r="D28" t="str">
            <v>Summit Carbon Solutions</v>
          </cell>
          <cell r="E28">
            <v>31</v>
          </cell>
        </row>
        <row r="29">
          <cell r="C29">
            <v>3619</v>
          </cell>
          <cell r="D29" t="str">
            <v>Summit Carbon Solutions</v>
          </cell>
          <cell r="E29">
            <v>31</v>
          </cell>
        </row>
        <row r="30">
          <cell r="C30">
            <v>3621</v>
          </cell>
          <cell r="D30" t="str">
            <v>Summit Carbon Solutions</v>
          </cell>
          <cell r="E30">
            <v>31</v>
          </cell>
        </row>
        <row r="31">
          <cell r="C31">
            <v>3546</v>
          </cell>
          <cell r="D31" t="str">
            <v>Summit Carbon Solutions</v>
          </cell>
          <cell r="E31">
            <v>31</v>
          </cell>
        </row>
        <row r="32">
          <cell r="C32">
            <v>3591</v>
          </cell>
          <cell r="D32" t="str">
            <v>Summit Carbon Solutions</v>
          </cell>
          <cell r="E32">
            <v>31</v>
          </cell>
        </row>
        <row r="33">
          <cell r="C33">
            <v>3608</v>
          </cell>
          <cell r="D33" t="str">
            <v>Summit Carbon Solutions</v>
          </cell>
          <cell r="E33">
            <v>31</v>
          </cell>
        </row>
        <row r="34">
          <cell r="C34">
            <v>3632</v>
          </cell>
          <cell r="D34" t="str">
            <v>Summit Carbon Solutions</v>
          </cell>
          <cell r="E34">
            <v>31</v>
          </cell>
        </row>
        <row r="35">
          <cell r="C35">
            <v>3641</v>
          </cell>
          <cell r="D35" t="str">
            <v>Summit Carbon Solutions</v>
          </cell>
          <cell r="E35">
            <v>31</v>
          </cell>
        </row>
        <row r="36">
          <cell r="C36">
            <v>3642</v>
          </cell>
          <cell r="D36" t="str">
            <v>Summit Carbon Solutions</v>
          </cell>
          <cell r="E36">
            <v>31</v>
          </cell>
        </row>
        <row r="37">
          <cell r="C37">
            <v>3643</v>
          </cell>
          <cell r="D37" t="str">
            <v>Summit Carbon Solutions</v>
          </cell>
          <cell r="E37">
            <v>31</v>
          </cell>
        </row>
        <row r="38">
          <cell r="C38">
            <v>3660</v>
          </cell>
          <cell r="D38" t="str">
            <v>Summit Carbon Solutions</v>
          </cell>
          <cell r="E38">
            <v>31</v>
          </cell>
        </row>
        <row r="39">
          <cell r="C39">
            <v>3696</v>
          </cell>
          <cell r="D39" t="str">
            <v>Summit Carbon Solutions</v>
          </cell>
          <cell r="E39">
            <v>31</v>
          </cell>
        </row>
        <row r="40">
          <cell r="C40">
            <v>3706</v>
          </cell>
          <cell r="D40" t="str">
            <v>Summit Carbon Solutions</v>
          </cell>
          <cell r="E40">
            <v>31</v>
          </cell>
        </row>
        <row r="41">
          <cell r="C41">
            <v>3576</v>
          </cell>
          <cell r="D41" t="str">
            <v>Summit Carbon Solutions</v>
          </cell>
          <cell r="E41">
            <v>31</v>
          </cell>
        </row>
        <row r="42">
          <cell r="C42">
            <v>3592</v>
          </cell>
          <cell r="D42" t="str">
            <v>Summit Carbon Solutions</v>
          </cell>
          <cell r="E42">
            <v>31</v>
          </cell>
        </row>
        <row r="43">
          <cell r="C43">
            <v>3611</v>
          </cell>
          <cell r="D43" t="str">
            <v>Summit Carbon Solutions</v>
          </cell>
          <cell r="E43">
            <v>31</v>
          </cell>
        </row>
        <row r="44">
          <cell r="C44">
            <v>3628</v>
          </cell>
          <cell r="D44" t="str">
            <v>Summit Carbon Solutions</v>
          </cell>
          <cell r="E44">
            <v>31</v>
          </cell>
        </row>
        <row r="45">
          <cell r="C45">
            <v>3630</v>
          </cell>
          <cell r="D45" t="str">
            <v>Summit Carbon Solutions</v>
          </cell>
          <cell r="E45">
            <v>31</v>
          </cell>
        </row>
        <row r="46">
          <cell r="C46">
            <v>3652</v>
          </cell>
          <cell r="D46" t="str">
            <v>Summit Carbon Solutions</v>
          </cell>
          <cell r="E46">
            <v>31</v>
          </cell>
        </row>
        <row r="47">
          <cell r="C47">
            <v>3700</v>
          </cell>
          <cell r="D47" t="str">
            <v>Summit Carbon Solutions</v>
          </cell>
          <cell r="E47">
            <v>31</v>
          </cell>
        </row>
        <row r="48">
          <cell r="C48">
            <v>3702</v>
          </cell>
          <cell r="D48" t="str">
            <v>Summit Carbon Solutions</v>
          </cell>
          <cell r="E48">
            <v>31</v>
          </cell>
        </row>
        <row r="49">
          <cell r="C49">
            <v>3711</v>
          </cell>
          <cell r="D49" t="str">
            <v>Summit Carbon Solutions</v>
          </cell>
          <cell r="E49">
            <v>31</v>
          </cell>
        </row>
        <row r="50">
          <cell r="C50">
            <v>3562</v>
          </cell>
          <cell r="D50" t="str">
            <v>Direct Inject</v>
          </cell>
          <cell r="E50">
            <v>32</v>
          </cell>
        </row>
        <row r="51">
          <cell r="C51">
            <v>3573</v>
          </cell>
          <cell r="D51" t="str">
            <v>Direct Inject</v>
          </cell>
          <cell r="E51">
            <v>32</v>
          </cell>
        </row>
        <row r="52">
          <cell r="C52">
            <v>3593</v>
          </cell>
          <cell r="D52" t="str">
            <v>Direct Inject</v>
          </cell>
          <cell r="E52">
            <v>32</v>
          </cell>
        </row>
        <row r="53">
          <cell r="C53">
            <v>3635</v>
          </cell>
          <cell r="D53" t="str">
            <v>Direct Inject</v>
          </cell>
          <cell r="E53">
            <v>32</v>
          </cell>
        </row>
        <row r="54">
          <cell r="C54">
            <v>3644</v>
          </cell>
          <cell r="D54" t="str">
            <v>Direct Inject</v>
          </cell>
          <cell r="E54">
            <v>32</v>
          </cell>
        </row>
        <row r="55">
          <cell r="C55">
            <v>3699</v>
          </cell>
          <cell r="D55" t="str">
            <v>Direct Inject</v>
          </cell>
          <cell r="E55">
            <v>32</v>
          </cell>
        </row>
        <row r="56">
          <cell r="C56">
            <v>3574</v>
          </cell>
          <cell r="D56" t="str">
            <v>Direct Inject</v>
          </cell>
          <cell r="E56">
            <v>32</v>
          </cell>
        </row>
        <row r="57">
          <cell r="C57">
            <v>3694</v>
          </cell>
          <cell r="D57" t="str">
            <v>Direct Inject</v>
          </cell>
          <cell r="E57">
            <v>32</v>
          </cell>
        </row>
        <row r="58">
          <cell r="C58">
            <v>3695</v>
          </cell>
          <cell r="D58" t="str">
            <v>Direct Inject</v>
          </cell>
          <cell r="E58">
            <v>32</v>
          </cell>
        </row>
        <row r="59">
          <cell r="C59">
            <v>3560</v>
          </cell>
          <cell r="D59" t="str">
            <v>Tall Grass</v>
          </cell>
          <cell r="E59">
            <v>30</v>
          </cell>
        </row>
        <row r="60">
          <cell r="C60">
            <v>3561</v>
          </cell>
          <cell r="D60" t="str">
            <v>Tall Grass</v>
          </cell>
          <cell r="E60">
            <v>30</v>
          </cell>
        </row>
        <row r="61">
          <cell r="C61">
            <v>3614</v>
          </cell>
          <cell r="D61" t="str">
            <v>Tall Grass</v>
          </cell>
          <cell r="E61">
            <v>30</v>
          </cell>
        </row>
        <row r="62">
          <cell r="C62">
            <v>3615</v>
          </cell>
          <cell r="D62" t="str">
            <v>Tall Grass</v>
          </cell>
          <cell r="E62">
            <v>30</v>
          </cell>
        </row>
        <row r="63">
          <cell r="C63">
            <v>3622</v>
          </cell>
          <cell r="D63" t="str">
            <v>Tall Grass</v>
          </cell>
          <cell r="E63">
            <v>30</v>
          </cell>
        </row>
        <row r="64">
          <cell r="C64">
            <v>3623</v>
          </cell>
          <cell r="D64" t="str">
            <v>Tall Grass</v>
          </cell>
          <cell r="E64">
            <v>30</v>
          </cell>
        </row>
        <row r="65">
          <cell r="C65">
            <v>3638</v>
          </cell>
          <cell r="D65" t="str">
            <v>Tall Grass</v>
          </cell>
          <cell r="E65">
            <v>30</v>
          </cell>
        </row>
        <row r="66">
          <cell r="C66">
            <v>3672</v>
          </cell>
          <cell r="D66" t="str">
            <v>Tall Grass</v>
          </cell>
          <cell r="E66">
            <v>30</v>
          </cell>
        </row>
        <row r="67">
          <cell r="C67">
            <v>3585</v>
          </cell>
          <cell r="D67" t="str">
            <v>Tall Grass</v>
          </cell>
          <cell r="E67">
            <v>30</v>
          </cell>
        </row>
        <row r="68">
          <cell r="C68">
            <v>3586</v>
          </cell>
          <cell r="D68" t="str">
            <v>Tall Grass</v>
          </cell>
          <cell r="E68">
            <v>30</v>
          </cell>
        </row>
      </sheetData>
      <sheetData sheetId="3"/>
      <sheetData sheetId="4"/>
      <sheetData sheetId="5">
        <row r="3">
          <cell r="B3" t="str">
            <v>EPM</v>
          </cell>
          <cell r="C3" t="str">
            <v>Respondent</v>
          </cell>
          <cell r="D3" t="str">
            <v>City</v>
          </cell>
          <cell r="E3" t="str">
            <v>MMgal/yr</v>
          </cell>
        </row>
        <row r="4">
          <cell r="E4">
            <v>190</v>
          </cell>
        </row>
        <row r="5">
          <cell r="B5">
            <v>3735</v>
          </cell>
          <cell r="C5" t="str">
            <v>Western New York Energy LLC</v>
          </cell>
          <cell r="D5" t="str">
            <v>Medina</v>
          </cell>
          <cell r="E5">
            <v>62</v>
          </cell>
        </row>
        <row r="7">
          <cell r="B7">
            <v>3657</v>
          </cell>
          <cell r="C7" t="str">
            <v>Pennsylvania Grain Processing LLC</v>
          </cell>
          <cell r="D7" t="str">
            <v>Clearfield</v>
          </cell>
          <cell r="E7">
            <v>128</v>
          </cell>
        </row>
        <row r="8">
          <cell r="E8">
            <v>17463</v>
          </cell>
        </row>
        <row r="10">
          <cell r="B10">
            <v>3548</v>
          </cell>
          <cell r="C10" t="str">
            <v>Adkins Energy LLC</v>
          </cell>
          <cell r="D10" t="str">
            <v>Lena</v>
          </cell>
          <cell r="E10">
            <v>60</v>
          </cell>
        </row>
        <row r="11">
          <cell r="B11">
            <v>3562</v>
          </cell>
          <cell r="C11" t="str">
            <v xml:space="preserve">ADM </v>
          </cell>
          <cell r="D11" t="str">
            <v>Decatur</v>
          </cell>
          <cell r="E11">
            <v>375</v>
          </cell>
        </row>
        <row r="12">
          <cell r="B12">
            <v>3553</v>
          </cell>
          <cell r="C12" t="str">
            <v>Alto ICP LLC</v>
          </cell>
          <cell r="D12" t="str">
            <v>Pekin</v>
          </cell>
          <cell r="E12">
            <v>82</v>
          </cell>
        </row>
        <row r="13">
          <cell r="B13">
            <v>3554</v>
          </cell>
          <cell r="C13" t="str">
            <v>Alto Pekin LLC Dry Mill</v>
          </cell>
          <cell r="D13" t="str">
            <v>Pekin</v>
          </cell>
          <cell r="E13">
            <v>63</v>
          </cell>
        </row>
        <row r="14">
          <cell r="B14">
            <v>3555</v>
          </cell>
          <cell r="C14" t="str">
            <v>Alto Pekin LLC Wet Mill</v>
          </cell>
          <cell r="D14" t="str">
            <v>Pekin</v>
          </cell>
          <cell r="E14">
            <v>100</v>
          </cell>
        </row>
        <row r="15">
          <cell r="B15">
            <v>3569</v>
          </cell>
          <cell r="C15" t="str">
            <v>Big River Resources Galva LLC</v>
          </cell>
          <cell r="D15" t="str">
            <v>Galva</v>
          </cell>
          <cell r="E15">
            <v>140</v>
          </cell>
        </row>
        <row r="16">
          <cell r="B16">
            <v>3572</v>
          </cell>
          <cell r="C16" t="str">
            <v>Biourja Renewables LLC</v>
          </cell>
          <cell r="D16" t="str">
            <v xml:space="preserve">Peoria </v>
          </cell>
          <cell r="E16">
            <v>61</v>
          </cell>
        </row>
        <row r="17">
          <cell r="B17">
            <v>3757</v>
          </cell>
          <cell r="C17" t="str">
            <v>Crysalis Biosciences Inc.</v>
          </cell>
          <cell r="D17" t="str">
            <v>Sauget</v>
          </cell>
          <cell r="E17">
            <v>57</v>
          </cell>
        </row>
        <row r="18">
          <cell r="B18">
            <v>3616</v>
          </cell>
          <cell r="C18" t="str">
            <v>Green Plains Madison LLC</v>
          </cell>
          <cell r="D18" t="str">
            <v>Madison</v>
          </cell>
          <cell r="E18">
            <v>100</v>
          </cell>
        </row>
        <row r="19">
          <cell r="B19">
            <v>3589</v>
          </cell>
          <cell r="C19" t="str">
            <v>Illinois River Energy LLC</v>
          </cell>
          <cell r="D19" t="str">
            <v>Rochelle</v>
          </cell>
          <cell r="E19">
            <v>138</v>
          </cell>
        </row>
        <row r="20">
          <cell r="B20">
            <v>3640</v>
          </cell>
          <cell r="C20" t="str">
            <v>Lincolnland Agri-Energy LLC</v>
          </cell>
          <cell r="D20" t="str">
            <v>Palestine</v>
          </cell>
          <cell r="E20">
            <v>68</v>
          </cell>
        </row>
        <row r="21">
          <cell r="B21">
            <v>3644</v>
          </cell>
          <cell r="C21" t="str">
            <v>Marquis Energy LLC</v>
          </cell>
          <cell r="D21" t="str">
            <v>Hennepin</v>
          </cell>
          <cell r="E21">
            <v>400</v>
          </cell>
        </row>
        <row r="22">
          <cell r="B22">
            <v>3653</v>
          </cell>
          <cell r="C22" t="str">
            <v>One Earth Energy LLC</v>
          </cell>
          <cell r="D22" t="str">
            <v>Gibson City</v>
          </cell>
          <cell r="E22">
            <v>150</v>
          </cell>
        </row>
        <row r="23">
          <cell r="B23">
            <v>3588</v>
          </cell>
          <cell r="C23" t="str">
            <v>Patriot Renewable Fuels LLC</v>
          </cell>
          <cell r="D23" t="str">
            <v>Annawan</v>
          </cell>
          <cell r="E23">
            <v>130</v>
          </cell>
        </row>
        <row r="25">
          <cell r="B25">
            <v>3579</v>
          </cell>
          <cell r="C25" t="str">
            <v>Cardinal Ethanol LLC</v>
          </cell>
          <cell r="D25" t="str">
            <v>Union City</v>
          </cell>
          <cell r="E25">
            <v>136</v>
          </cell>
        </row>
        <row r="26">
          <cell r="B26">
            <v>3583</v>
          </cell>
          <cell r="C26" t="str">
            <v>Central Indiana Ethanol</v>
          </cell>
          <cell r="D26" t="str">
            <v>Marion</v>
          </cell>
          <cell r="E26">
            <v>50</v>
          </cell>
        </row>
        <row r="27">
          <cell r="B27">
            <v>3610</v>
          </cell>
          <cell r="C27" t="str">
            <v>Grain Processing Corp</v>
          </cell>
          <cell r="D27" t="str">
            <v>Washington</v>
          </cell>
          <cell r="E27">
            <v>36.72</v>
          </cell>
        </row>
        <row r="28">
          <cell r="B28">
            <v>3617</v>
          </cell>
          <cell r="C28" t="str">
            <v>Green Plains Mount Vernon LLC</v>
          </cell>
          <cell r="D28" t="str">
            <v>Mount Vernon</v>
          </cell>
          <cell r="E28">
            <v>135</v>
          </cell>
        </row>
        <row r="29">
          <cell r="B29">
            <v>3635</v>
          </cell>
          <cell r="C29" t="str">
            <v>Iroquois Bio-Energy Co LLC</v>
          </cell>
          <cell r="D29" t="str">
            <v>Rensselaer</v>
          </cell>
          <cell r="E29">
            <v>65</v>
          </cell>
        </row>
        <row r="30">
          <cell r="B30">
            <v>3661</v>
          </cell>
          <cell r="C30" t="str">
            <v>Poet Biorefining-Alexandria LLC</v>
          </cell>
          <cell r="D30" t="str">
            <v>Alexandria</v>
          </cell>
          <cell r="E30">
            <v>90</v>
          </cell>
        </row>
        <row r="31">
          <cell r="B31">
            <v>3688</v>
          </cell>
          <cell r="C31" t="str">
            <v>Poet Biorefining-Cloverdale</v>
          </cell>
          <cell r="D31" t="str">
            <v>Cloverdale</v>
          </cell>
          <cell r="E31">
            <v>88</v>
          </cell>
        </row>
        <row r="32">
          <cell r="B32">
            <v>3689</v>
          </cell>
          <cell r="C32" t="str">
            <v>Poet Biorefining-North Manchester</v>
          </cell>
          <cell r="D32" t="str">
            <v>North Manchester</v>
          </cell>
          <cell r="E32">
            <v>90</v>
          </cell>
        </row>
        <row r="33">
          <cell r="B33">
            <v>3691</v>
          </cell>
          <cell r="C33" t="str">
            <v>Poet Biorefining-Portland LLC</v>
          </cell>
          <cell r="D33" t="str">
            <v>Portland</v>
          </cell>
          <cell r="E33">
            <v>90</v>
          </cell>
        </row>
        <row r="34">
          <cell r="B34">
            <v>3668</v>
          </cell>
          <cell r="C34" t="str">
            <v>Poet Biorefining-Shelbyville</v>
          </cell>
          <cell r="D34" t="str">
            <v>Shelbyville</v>
          </cell>
          <cell r="E34">
            <v>94</v>
          </cell>
        </row>
        <row r="35">
          <cell r="B35">
            <v>3707</v>
          </cell>
          <cell r="C35" t="str">
            <v>South Bend Ethanol LLC</v>
          </cell>
          <cell r="D35" t="str">
            <v>South Bend</v>
          </cell>
          <cell r="E35">
            <v>100</v>
          </cell>
        </row>
        <row r="36">
          <cell r="B36">
            <v>3713</v>
          </cell>
          <cell r="C36" t="str">
            <v>The Andersons Marathon Holdings LLC</v>
          </cell>
          <cell r="D36" t="str">
            <v>Logansport</v>
          </cell>
          <cell r="E36">
            <v>140</v>
          </cell>
        </row>
        <row r="37">
          <cell r="B37">
            <v>3730</v>
          </cell>
          <cell r="C37" t="str">
            <v>Valero Renewable Fuels LLC</v>
          </cell>
          <cell r="D37" t="str">
            <v>Linden</v>
          </cell>
          <cell r="E37">
            <v>140</v>
          </cell>
        </row>
        <row r="38">
          <cell r="B38">
            <v>3731</v>
          </cell>
          <cell r="C38" t="str">
            <v>Valero Renewable Fuels LLC</v>
          </cell>
          <cell r="D38" t="str">
            <v>Mt Vernon</v>
          </cell>
          <cell r="E38">
            <v>100</v>
          </cell>
        </row>
        <row r="39">
          <cell r="B39">
            <v>3725</v>
          </cell>
          <cell r="C39" t="str">
            <v>Valero Renewable Fuels LLC</v>
          </cell>
          <cell r="D39" t="str">
            <v>Bluffton</v>
          </cell>
          <cell r="E39">
            <v>140</v>
          </cell>
        </row>
        <row r="41">
          <cell r="B41">
            <v>3546</v>
          </cell>
          <cell r="C41" t="str">
            <v>Absolute Energy</v>
          </cell>
          <cell r="D41" t="str">
            <v>St Ansgar</v>
          </cell>
          <cell r="E41">
            <v>130</v>
          </cell>
        </row>
        <row r="42">
          <cell r="B42">
            <v>3558</v>
          </cell>
          <cell r="C42" t="str">
            <v>ADM Cedar Rapids IA Wet Mill</v>
          </cell>
          <cell r="D42" t="str">
            <v>Cedar Rapids</v>
          </cell>
          <cell r="E42">
            <v>240</v>
          </cell>
        </row>
        <row r="43">
          <cell r="B43">
            <v>3559</v>
          </cell>
          <cell r="C43" t="str">
            <v>ADM Clinton IA</v>
          </cell>
          <cell r="D43" t="str">
            <v>Clinton</v>
          </cell>
          <cell r="E43">
            <v>237</v>
          </cell>
        </row>
        <row r="44">
          <cell r="B44">
            <v>3570</v>
          </cell>
          <cell r="C44" t="str">
            <v>Big River Resources West Burlington LLC</v>
          </cell>
          <cell r="D44" t="str">
            <v>West Burlington</v>
          </cell>
          <cell r="E44">
            <v>130</v>
          </cell>
        </row>
        <row r="45">
          <cell r="B45">
            <v>3571</v>
          </cell>
          <cell r="C45" t="str">
            <v>Big River United Energy LLC</v>
          </cell>
          <cell r="D45" t="str">
            <v>Dyersville</v>
          </cell>
          <cell r="E45">
            <v>140</v>
          </cell>
        </row>
        <row r="46">
          <cell r="B46">
            <v>3581</v>
          </cell>
          <cell r="C46" t="str">
            <v>Cargill Inc.</v>
          </cell>
          <cell r="D46" t="str">
            <v>Eddyville</v>
          </cell>
          <cell r="E46">
            <v>71</v>
          </cell>
        </row>
        <row r="47">
          <cell r="B47">
            <v>3582</v>
          </cell>
          <cell r="C47" t="str">
            <v>Cargill Inc.</v>
          </cell>
          <cell r="D47" t="str">
            <v>Ft Dodge</v>
          </cell>
          <cell r="E47">
            <v>130</v>
          </cell>
        </row>
        <row r="48">
          <cell r="B48">
            <v>3591</v>
          </cell>
          <cell r="C48" t="str">
            <v>Corn LP</v>
          </cell>
          <cell r="D48" t="str">
            <v>Goldfield</v>
          </cell>
          <cell r="E48">
            <v>80</v>
          </cell>
        </row>
        <row r="49">
          <cell r="B49">
            <v>3600</v>
          </cell>
          <cell r="C49" t="str">
            <v>Elite Octane LLC</v>
          </cell>
          <cell r="D49" t="str">
            <v>Atlantic</v>
          </cell>
          <cell r="E49">
            <v>175</v>
          </cell>
        </row>
        <row r="50">
          <cell r="B50">
            <v>3608</v>
          </cell>
          <cell r="C50" t="str">
            <v>Golden Grain Energy LLC</v>
          </cell>
          <cell r="D50" t="str">
            <v>Mason City</v>
          </cell>
          <cell r="E50">
            <v>140</v>
          </cell>
        </row>
        <row r="51">
          <cell r="B51">
            <v>3609</v>
          </cell>
          <cell r="C51" t="str">
            <v>Grain Processing Corp</v>
          </cell>
          <cell r="D51" t="str">
            <v>Muscatine</v>
          </cell>
          <cell r="E51">
            <v>82.5</v>
          </cell>
        </row>
        <row r="52">
          <cell r="B52">
            <v>3620</v>
          </cell>
          <cell r="C52" t="str">
            <v>Green Plains Shenandoah LLC</v>
          </cell>
          <cell r="D52" t="str">
            <v>Shenandoah</v>
          </cell>
          <cell r="E52">
            <v>100</v>
          </cell>
        </row>
        <row r="53">
          <cell r="B53">
            <v>3621</v>
          </cell>
          <cell r="C53" t="str">
            <v>Green Plains Superior</v>
          </cell>
          <cell r="D53" t="str">
            <v>Superior</v>
          </cell>
          <cell r="E53">
            <v>68.5</v>
          </cell>
        </row>
        <row r="54">
          <cell r="B54">
            <v>3632</v>
          </cell>
          <cell r="C54" t="str">
            <v>Homeland Energy Solutions LLC</v>
          </cell>
          <cell r="D54" t="str">
            <v>Lawler</v>
          </cell>
          <cell r="E54">
            <v>207</v>
          </cell>
        </row>
        <row r="55">
          <cell r="B55">
            <v>3641</v>
          </cell>
          <cell r="C55" t="str">
            <v>Lincolnway Energy LLC</v>
          </cell>
          <cell r="D55" t="str">
            <v>Nevada</v>
          </cell>
          <cell r="E55">
            <v>90</v>
          </cell>
        </row>
        <row r="56">
          <cell r="B56">
            <v>3642</v>
          </cell>
          <cell r="C56" t="str">
            <v>Little Sioux Corn Processors LLLP</v>
          </cell>
          <cell r="D56" t="str">
            <v>Marcus</v>
          </cell>
          <cell r="E56">
            <v>165</v>
          </cell>
        </row>
        <row r="57">
          <cell r="B57">
            <v>3643</v>
          </cell>
          <cell r="C57" t="str">
            <v>Louis Dreyfus Co.</v>
          </cell>
          <cell r="D57" t="str">
            <v>Grand Junction</v>
          </cell>
          <cell r="E57">
            <v>121.6</v>
          </cell>
        </row>
        <row r="58">
          <cell r="B58">
            <v>3659</v>
          </cell>
          <cell r="C58" t="str">
            <v>Pine Lake Corn Processors</v>
          </cell>
          <cell r="D58" t="str">
            <v>Steamboat</v>
          </cell>
          <cell r="E58">
            <v>87.12</v>
          </cell>
        </row>
        <row r="59">
          <cell r="B59">
            <v>3660</v>
          </cell>
          <cell r="C59" t="str">
            <v>Plymouth Energy LLC</v>
          </cell>
          <cell r="D59" t="str">
            <v>Merrill</v>
          </cell>
          <cell r="E59">
            <v>70</v>
          </cell>
        </row>
        <row r="60">
          <cell r="B60">
            <v>3662</v>
          </cell>
          <cell r="C60" t="str">
            <v>Poet Biorefining-Arthur LLC</v>
          </cell>
          <cell r="D60" t="str">
            <v>Arthur</v>
          </cell>
          <cell r="E60">
            <v>132</v>
          </cell>
        </row>
        <row r="61">
          <cell r="B61">
            <v>3663</v>
          </cell>
          <cell r="C61" t="str">
            <v>Poet Biorefinning-Ashton LLC</v>
          </cell>
          <cell r="D61" t="str">
            <v>Ashton</v>
          </cell>
          <cell r="E61">
            <v>68</v>
          </cell>
        </row>
        <row r="62">
          <cell r="B62">
            <v>3669</v>
          </cell>
          <cell r="C62" t="str">
            <v>Poet Biorefining-Coon Rapids</v>
          </cell>
          <cell r="D62" t="str">
            <v>Coon Rapids</v>
          </cell>
          <cell r="E62">
            <v>65</v>
          </cell>
        </row>
        <row r="63">
          <cell r="B63">
            <v>3670</v>
          </cell>
          <cell r="C63" t="str">
            <v>Poet Biorefining-Corning LLC</v>
          </cell>
          <cell r="D63" t="str">
            <v>Corning</v>
          </cell>
          <cell r="E63">
            <v>90</v>
          </cell>
        </row>
        <row r="64">
          <cell r="B64">
            <v>3671</v>
          </cell>
          <cell r="C64" t="str">
            <v>Poet Biorefining-Fairbank</v>
          </cell>
          <cell r="D64" t="str">
            <v>Fairbank</v>
          </cell>
          <cell r="E64">
            <v>132</v>
          </cell>
        </row>
        <row r="65">
          <cell r="B65">
            <v>3675</v>
          </cell>
          <cell r="C65" t="str">
            <v>Poet Biorefining-Gowrie LLC</v>
          </cell>
          <cell r="D65" t="str">
            <v>Gowrie</v>
          </cell>
          <cell r="E65">
            <v>90</v>
          </cell>
        </row>
        <row r="66">
          <cell r="B66">
            <v>3677</v>
          </cell>
          <cell r="C66" t="str">
            <v>Poet Biorefining-Hanlontown LLC</v>
          </cell>
          <cell r="D66" t="str">
            <v>Hanlontown</v>
          </cell>
          <cell r="E66">
            <v>80</v>
          </cell>
        </row>
        <row r="67">
          <cell r="B67">
            <v>3679</v>
          </cell>
          <cell r="C67" t="str">
            <v>Poet Biorefining-Iowa Falls LLC</v>
          </cell>
          <cell r="D67" t="str">
            <v>Iowa Falls</v>
          </cell>
          <cell r="E67">
            <v>112</v>
          </cell>
        </row>
        <row r="68">
          <cell r="B68">
            <v>3680</v>
          </cell>
          <cell r="C68" t="str">
            <v>Poet Biorefining-Jewell LLC</v>
          </cell>
          <cell r="D68" t="str">
            <v>Jewell</v>
          </cell>
          <cell r="E68">
            <v>90</v>
          </cell>
        </row>
        <row r="69">
          <cell r="B69">
            <v>3686</v>
          </cell>
          <cell r="C69" t="str">
            <v>Poet Biorefining-Menlo</v>
          </cell>
          <cell r="D69" t="str">
            <v>Menlo</v>
          </cell>
          <cell r="E69">
            <v>132</v>
          </cell>
        </row>
        <row r="70">
          <cell r="B70">
            <v>3692</v>
          </cell>
          <cell r="C70" t="str">
            <v>Poet Biorefining-Shell Rock LLC</v>
          </cell>
          <cell r="D70" t="str">
            <v>Shell Rock</v>
          </cell>
          <cell r="E70">
            <v>128</v>
          </cell>
        </row>
        <row r="71">
          <cell r="B71">
            <v>3754</v>
          </cell>
          <cell r="C71" t="str">
            <v>Poet Biorefining-Emmetsburg LLC</v>
          </cell>
          <cell r="D71" t="str">
            <v>Emmetsburg</v>
          </cell>
          <cell r="E71">
            <v>68</v>
          </cell>
        </row>
        <row r="72">
          <cell r="B72">
            <v>3696</v>
          </cell>
          <cell r="C72" t="str">
            <v>Quad County Corn Processors Coop</v>
          </cell>
          <cell r="D72" t="str">
            <v>Galva</v>
          </cell>
          <cell r="E72">
            <v>38</v>
          </cell>
        </row>
        <row r="73">
          <cell r="B73">
            <v>3705</v>
          </cell>
          <cell r="C73" t="str">
            <v>Siouxland Energy Cooperative</v>
          </cell>
          <cell r="D73" t="str">
            <v>Sioux Center</v>
          </cell>
          <cell r="E73">
            <v>65</v>
          </cell>
        </row>
        <row r="74">
          <cell r="B74">
            <v>3708</v>
          </cell>
          <cell r="C74" t="str">
            <v>Southwest Iowa Renewable</v>
          </cell>
          <cell r="D74" t="str">
            <v>Council Bluffs</v>
          </cell>
          <cell r="E74">
            <v>147</v>
          </cell>
        </row>
        <row r="75">
          <cell r="B75">
            <v>3714</v>
          </cell>
          <cell r="C75" t="str">
            <v>The Andersons Marathon Holdings LLC</v>
          </cell>
          <cell r="D75" t="str">
            <v>Denison</v>
          </cell>
          <cell r="E75">
            <v>62</v>
          </cell>
        </row>
        <row r="76">
          <cell r="B76">
            <v>3726</v>
          </cell>
          <cell r="C76" t="str">
            <v>Valero Renewable Fuels LLC</v>
          </cell>
          <cell r="D76" t="str">
            <v>Charles City</v>
          </cell>
          <cell r="E76">
            <v>165</v>
          </cell>
        </row>
        <row r="77">
          <cell r="B77">
            <v>3721</v>
          </cell>
          <cell r="C77" t="str">
            <v>Valero Renewable Fuels LLC</v>
          </cell>
          <cell r="D77" t="str">
            <v>Albert City</v>
          </cell>
          <cell r="E77">
            <v>140</v>
          </cell>
        </row>
        <row r="78">
          <cell r="B78">
            <v>3727</v>
          </cell>
          <cell r="C78" t="str">
            <v>Valero Renewable Fuels LLC</v>
          </cell>
          <cell r="D78" t="str">
            <v>Ft Dodge</v>
          </cell>
          <cell r="E78">
            <v>150</v>
          </cell>
        </row>
        <row r="79">
          <cell r="B79">
            <v>3728</v>
          </cell>
          <cell r="C79" t="str">
            <v>Valero Renewable Fuels LLC</v>
          </cell>
          <cell r="D79" t="str">
            <v>Hartley</v>
          </cell>
          <cell r="E79">
            <v>150</v>
          </cell>
        </row>
        <row r="80">
          <cell r="B80">
            <v>3729</v>
          </cell>
          <cell r="C80" t="str">
            <v>Valero Renewable Fuels LLC</v>
          </cell>
          <cell r="D80" t="str">
            <v>Lakota</v>
          </cell>
          <cell r="E80">
            <v>110</v>
          </cell>
        </row>
        <row r="81">
          <cell r="B81">
            <v>3557</v>
          </cell>
          <cell r="C81" t="str">
            <v>VCP Corn Processing</v>
          </cell>
          <cell r="D81" t="str">
            <v>Cedar Rapids</v>
          </cell>
          <cell r="E81">
            <v>300</v>
          </cell>
        </row>
        <row r="82">
          <cell r="B82">
            <v>3734</v>
          </cell>
          <cell r="C82" t="str">
            <v>Verbio North America LLC</v>
          </cell>
          <cell r="D82" t="str">
            <v>Nevada</v>
          </cell>
          <cell r="E82">
            <v>60</v>
          </cell>
        </row>
        <row r="84">
          <cell r="B84">
            <v>3556</v>
          </cell>
          <cell r="C84" t="str">
            <v>Amber Wave</v>
          </cell>
          <cell r="D84" t="str">
            <v>Phillipsburg</v>
          </cell>
          <cell r="E84">
            <v>50</v>
          </cell>
        </row>
        <row r="85">
          <cell r="B85">
            <v>3564</v>
          </cell>
          <cell r="C85" t="str">
            <v>Arkalon Ethanol LLC</v>
          </cell>
          <cell r="D85" t="str">
            <v>Liberal</v>
          </cell>
          <cell r="E85">
            <v>121</v>
          </cell>
        </row>
        <row r="86">
          <cell r="B86">
            <v>3574</v>
          </cell>
          <cell r="C86" t="str">
            <v>Bonanza Bioenergy LLC</v>
          </cell>
          <cell r="D86" t="str">
            <v>Garden City</v>
          </cell>
          <cell r="E86">
            <v>73.5</v>
          </cell>
        </row>
        <row r="87">
          <cell r="B87">
            <v>3756</v>
          </cell>
          <cell r="C87" t="str">
            <v>Cardinal Colwich LLC</v>
          </cell>
          <cell r="D87" t="str">
            <v>Colwich</v>
          </cell>
          <cell r="E87">
            <v>70</v>
          </cell>
        </row>
        <row r="88">
          <cell r="B88">
            <v>3598</v>
          </cell>
          <cell r="C88" t="str">
            <v>East Kansas Agri-Energy LLC</v>
          </cell>
          <cell r="D88" t="str">
            <v>Garnett</v>
          </cell>
          <cell r="E88">
            <v>48</v>
          </cell>
        </row>
        <row r="89">
          <cell r="B89">
            <v>3639</v>
          </cell>
          <cell r="C89" t="str">
            <v>Kansas Ethanol LLC</v>
          </cell>
          <cell r="D89" t="str">
            <v>Lyons</v>
          </cell>
          <cell r="E89">
            <v>80</v>
          </cell>
        </row>
        <row r="90">
          <cell r="C90" t="str">
            <v>MGP Ingredients Inc</v>
          </cell>
          <cell r="D90" t="str">
            <v>Atchison</v>
          </cell>
          <cell r="E90">
            <v>6</v>
          </cell>
        </row>
        <row r="91">
          <cell r="C91" t="str">
            <v>Nesika Energy LLC</v>
          </cell>
          <cell r="D91" t="str">
            <v>Scandia</v>
          </cell>
          <cell r="E91">
            <v>12</v>
          </cell>
        </row>
        <row r="92">
          <cell r="B92">
            <v>3694</v>
          </cell>
          <cell r="C92" t="str">
            <v>Pratt Energy LLC</v>
          </cell>
          <cell r="D92" t="str">
            <v>Pratt</v>
          </cell>
          <cell r="E92">
            <v>55</v>
          </cell>
        </row>
        <row r="93">
          <cell r="B93">
            <v>3695</v>
          </cell>
          <cell r="C93" t="str">
            <v>Purefield Ingredients LLC</v>
          </cell>
          <cell r="D93" t="str">
            <v>Russell</v>
          </cell>
          <cell r="E93">
            <v>55</v>
          </cell>
        </row>
        <row r="94">
          <cell r="B94">
            <v>3701</v>
          </cell>
          <cell r="C94" t="str">
            <v>Reeve Agri Energy Inc</v>
          </cell>
          <cell r="D94" t="str">
            <v>Garden City</v>
          </cell>
          <cell r="E94">
            <v>20</v>
          </cell>
        </row>
        <row r="95">
          <cell r="B95">
            <v>3736</v>
          </cell>
          <cell r="C95" t="str">
            <v>Western Plains Energy LLC</v>
          </cell>
          <cell r="D95" t="str">
            <v>Oakley</v>
          </cell>
          <cell r="E95">
            <v>52</v>
          </cell>
        </row>
        <row r="97">
          <cell r="B97">
            <v>3590</v>
          </cell>
          <cell r="C97" t="str">
            <v>Commonwealth Agri-Energy</v>
          </cell>
          <cell r="D97" t="str">
            <v>Hopkinsville</v>
          </cell>
          <cell r="E97">
            <v>49</v>
          </cell>
        </row>
        <row r="98">
          <cell r="B98">
            <v>3655</v>
          </cell>
          <cell r="C98" t="str">
            <v>Parallel Products Inc.</v>
          </cell>
          <cell r="D98" t="str">
            <v>Louisville</v>
          </cell>
          <cell r="E98">
            <v>5.5</v>
          </cell>
        </row>
        <row r="100">
          <cell r="B100">
            <v>3578</v>
          </cell>
          <cell r="C100" t="str">
            <v>Carbon Green Bioenergy LLC</v>
          </cell>
          <cell r="D100" t="str">
            <v>Lake Odessa</v>
          </cell>
          <cell r="E100">
            <v>59</v>
          </cell>
        </row>
        <row r="101">
          <cell r="B101">
            <v>3646</v>
          </cell>
          <cell r="C101" t="str">
            <v>Marysville Ethanol LLC</v>
          </cell>
          <cell r="D101" t="str">
            <v>Marysville</v>
          </cell>
          <cell r="E101">
            <v>60</v>
          </cell>
        </row>
        <row r="102">
          <cell r="B102">
            <v>3666</v>
          </cell>
          <cell r="C102" t="str">
            <v>Poet Biorefining-Caro</v>
          </cell>
          <cell r="D102" t="str">
            <v>Caro</v>
          </cell>
          <cell r="E102">
            <v>80</v>
          </cell>
        </row>
        <row r="103">
          <cell r="B103">
            <v>3712</v>
          </cell>
          <cell r="C103" t="str">
            <v>The Andersons Marathon Holdings LLC</v>
          </cell>
          <cell r="D103" t="str">
            <v>Albion</v>
          </cell>
          <cell r="E103">
            <v>147</v>
          </cell>
        </row>
        <row r="105">
          <cell r="B105">
            <v>3563</v>
          </cell>
          <cell r="C105" t="str">
            <v>ADM</v>
          </cell>
          <cell r="D105" t="str">
            <v>Marshall</v>
          </cell>
          <cell r="E105">
            <v>48</v>
          </cell>
        </row>
        <row r="106">
          <cell r="B106">
            <v>3550</v>
          </cell>
          <cell r="C106" t="str">
            <v>Al-Corn Clean Fuel</v>
          </cell>
          <cell r="D106" t="str">
            <v>Claremont</v>
          </cell>
          <cell r="E106">
            <v>130</v>
          </cell>
        </row>
        <row r="107">
          <cell r="B107">
            <v>3576</v>
          </cell>
          <cell r="C107" t="str">
            <v>Bushmills Ethanol Inc.</v>
          </cell>
          <cell r="D107" t="str">
            <v>Atwater</v>
          </cell>
          <cell r="E107">
            <v>90</v>
          </cell>
        </row>
        <row r="108">
          <cell r="B108">
            <v>3587</v>
          </cell>
          <cell r="C108" t="str">
            <v>Chippewa Valley Ethanol Co LLLP</v>
          </cell>
          <cell r="D108" t="str">
            <v>Benson</v>
          </cell>
          <cell r="E108">
            <v>50</v>
          </cell>
        </row>
        <row r="109">
          <cell r="B109">
            <v>3594</v>
          </cell>
          <cell r="C109" t="str">
            <v>Denco II LLC</v>
          </cell>
          <cell r="D109" t="str">
            <v>Morris</v>
          </cell>
          <cell r="E109">
            <v>30</v>
          </cell>
        </row>
        <row r="110">
          <cell r="B110">
            <v>3611</v>
          </cell>
          <cell r="C110" t="str">
            <v>Granite Falls Energy LLC</v>
          </cell>
          <cell r="D110" t="str">
            <v>Granite Falls</v>
          </cell>
          <cell r="E110">
            <v>63</v>
          </cell>
        </row>
        <row r="111">
          <cell r="B111">
            <v>3615</v>
          </cell>
          <cell r="C111" t="str">
            <v>Green Plains Fairmont LLC</v>
          </cell>
          <cell r="D111" t="str">
            <v>Fairmont</v>
          </cell>
          <cell r="E111">
            <v>122.9</v>
          </cell>
        </row>
        <row r="112">
          <cell r="B112">
            <v>3619</v>
          </cell>
          <cell r="C112" t="str">
            <v>Green Plains Otter Tail LLC</v>
          </cell>
          <cell r="D112" t="str">
            <v>Fergus Falls</v>
          </cell>
          <cell r="E112">
            <v>66.599999999999994</v>
          </cell>
        </row>
        <row r="113">
          <cell r="B113">
            <v>3624</v>
          </cell>
          <cell r="C113" t="str">
            <v>Greenfield Global Corn Plus LLC</v>
          </cell>
          <cell r="D113" t="str">
            <v>Fairibault</v>
          </cell>
          <cell r="E113">
            <v>43</v>
          </cell>
        </row>
        <row r="114">
          <cell r="B114">
            <v>3625</v>
          </cell>
          <cell r="C114" t="str">
            <v>Guardian Energy LLC</v>
          </cell>
          <cell r="D114" t="str">
            <v>Janesville</v>
          </cell>
          <cell r="E114">
            <v>164</v>
          </cell>
        </row>
        <row r="115">
          <cell r="B115">
            <v>3628</v>
          </cell>
          <cell r="C115" t="str">
            <v>Heartland Corn Products</v>
          </cell>
          <cell r="D115" t="str">
            <v>Winthrop</v>
          </cell>
          <cell r="E115">
            <v>151</v>
          </cell>
        </row>
        <row r="116">
          <cell r="B116">
            <v>3630</v>
          </cell>
          <cell r="C116" t="str">
            <v>Heron Lake Bioenergy LLC</v>
          </cell>
          <cell r="D116" t="str">
            <v>Heron Lake</v>
          </cell>
          <cell r="E116">
            <v>70</v>
          </cell>
        </row>
        <row r="117">
          <cell r="B117">
            <v>3631</v>
          </cell>
          <cell r="C117" t="str">
            <v>Highwater Ethanol LLC</v>
          </cell>
          <cell r="D117" t="str">
            <v>Lamberton</v>
          </cell>
          <cell r="E117">
            <v>72</v>
          </cell>
        </row>
        <row r="118">
          <cell r="B118">
            <v>3665</v>
          </cell>
          <cell r="C118" t="str">
            <v>Poet Biorefining-Bingham Lake LLC</v>
          </cell>
          <cell r="D118" t="str">
            <v>Bringham Lake</v>
          </cell>
          <cell r="E118">
            <v>35</v>
          </cell>
        </row>
        <row r="119">
          <cell r="B119">
            <v>3674</v>
          </cell>
          <cell r="C119" t="str">
            <v>Poet Biorefining--Glenville LLC</v>
          </cell>
          <cell r="D119" t="str">
            <v>Albert Lea</v>
          </cell>
          <cell r="E119">
            <v>48</v>
          </cell>
        </row>
        <row r="120">
          <cell r="B120">
            <v>3682</v>
          </cell>
          <cell r="C120" t="str">
            <v>Poet Biorefining--Lake Crystal LLC</v>
          </cell>
          <cell r="D120" t="str">
            <v>Lake Crystal</v>
          </cell>
          <cell r="E120">
            <v>68</v>
          </cell>
        </row>
        <row r="121">
          <cell r="B121">
            <v>3690</v>
          </cell>
          <cell r="C121" t="str">
            <v>Poet Biorefining--Preston LLC</v>
          </cell>
          <cell r="D121" t="str">
            <v>Preston</v>
          </cell>
          <cell r="E121">
            <v>55</v>
          </cell>
        </row>
        <row r="122">
          <cell r="B122">
            <v>3733</v>
          </cell>
          <cell r="C122" t="str">
            <v>Valero Renewable Fuels LLC</v>
          </cell>
          <cell r="D122" t="str">
            <v>Welcome</v>
          </cell>
          <cell r="E122">
            <v>150</v>
          </cell>
        </row>
        <row r="124">
          <cell r="B124">
            <v>3283</v>
          </cell>
          <cell r="C124" t="str">
            <v>Golden Triangle Energy LLC</v>
          </cell>
          <cell r="D124" t="str">
            <v>Craig</v>
          </cell>
          <cell r="E124">
            <v>21</v>
          </cell>
        </row>
        <row r="125">
          <cell r="B125">
            <v>3634</v>
          </cell>
          <cell r="C125" t="str">
            <v>ICM Biofuels LLC</v>
          </cell>
          <cell r="D125" t="str">
            <v>Saint Joseph</v>
          </cell>
          <cell r="E125">
            <v>50</v>
          </cell>
        </row>
        <row r="126">
          <cell r="B126">
            <v>3649</v>
          </cell>
          <cell r="C126" t="str">
            <v>Mid-Missouri Energy LLC</v>
          </cell>
          <cell r="D126" t="str">
            <v>Malta Bend</v>
          </cell>
          <cell r="E126">
            <v>66</v>
          </cell>
        </row>
        <row r="127">
          <cell r="B127">
            <v>3681</v>
          </cell>
          <cell r="C127" t="str">
            <v>Poet Biorefining-Laddonia LLC</v>
          </cell>
          <cell r="D127" t="str">
            <v>Laddonia</v>
          </cell>
          <cell r="E127">
            <v>80</v>
          </cell>
        </row>
        <row r="128">
          <cell r="B128">
            <v>3684</v>
          </cell>
          <cell r="C128" t="str">
            <v>Poet Biorefining-Macon LLC</v>
          </cell>
          <cell r="D128" t="str">
            <v>Macon</v>
          </cell>
          <cell r="E128">
            <v>55</v>
          </cell>
        </row>
        <row r="129">
          <cell r="B129">
            <v>3704</v>
          </cell>
          <cell r="C129" t="str">
            <v>Show Me Ethanol</v>
          </cell>
          <cell r="D129" t="str">
            <v>Carrollton</v>
          </cell>
          <cell r="E129">
            <v>65.5</v>
          </cell>
        </row>
        <row r="131">
          <cell r="B131">
            <v>3561</v>
          </cell>
          <cell r="C131" t="str">
            <v>ADM Columbus Wet Mill</v>
          </cell>
          <cell r="D131" t="str">
            <v>Columbus</v>
          </cell>
          <cell r="E131">
            <v>100</v>
          </cell>
        </row>
        <row r="132">
          <cell r="B132">
            <v>3575</v>
          </cell>
          <cell r="C132" t="str">
            <v>Bridgeport Ethanol LLC</v>
          </cell>
          <cell r="D132" t="str">
            <v>Bridgeport</v>
          </cell>
          <cell r="E132">
            <v>60</v>
          </cell>
        </row>
        <row r="133">
          <cell r="B133">
            <v>3580</v>
          </cell>
          <cell r="C133" t="str">
            <v>Cargill Inc.</v>
          </cell>
          <cell r="D133" t="str">
            <v>Blair</v>
          </cell>
          <cell r="E133">
            <v>210</v>
          </cell>
        </row>
        <row r="134">
          <cell r="B134">
            <v>3585</v>
          </cell>
          <cell r="C134" t="str">
            <v>Chief Ethanol Fuels Inc.</v>
          </cell>
          <cell r="D134" t="str">
            <v>Hastings</v>
          </cell>
          <cell r="E134">
            <v>70</v>
          </cell>
        </row>
        <row r="135">
          <cell r="B135">
            <v>3586</v>
          </cell>
          <cell r="C135" t="str">
            <v>Chief Ethanol Fuels Inc.</v>
          </cell>
          <cell r="D135" t="str">
            <v>Lexington</v>
          </cell>
          <cell r="E135">
            <v>52</v>
          </cell>
        </row>
        <row r="136">
          <cell r="B136">
            <v>3584</v>
          </cell>
          <cell r="C136" t="str">
            <v>CIE Norfolk GNS LLC</v>
          </cell>
          <cell r="D136" t="str">
            <v>Norfolk</v>
          </cell>
          <cell r="E136">
            <v>60</v>
          </cell>
        </row>
        <row r="137">
          <cell r="B137">
            <v>3597</v>
          </cell>
          <cell r="C137" t="str">
            <v>E Energy Adams LLC</v>
          </cell>
          <cell r="D137" t="str">
            <v>Adams</v>
          </cell>
          <cell r="E137">
            <v>101</v>
          </cell>
        </row>
        <row r="138">
          <cell r="B138">
            <v>3614</v>
          </cell>
          <cell r="C138" t="str">
            <v>Green Plains Central City LLC</v>
          </cell>
          <cell r="D138" t="str">
            <v>Central City</v>
          </cell>
          <cell r="E138">
            <v>135</v>
          </cell>
        </row>
        <row r="139">
          <cell r="B139">
            <v>3622</v>
          </cell>
          <cell r="C139" t="str">
            <v>Green Plains Wood River LLC</v>
          </cell>
          <cell r="D139" t="str">
            <v>Wood River</v>
          </cell>
          <cell r="E139">
            <v>123.9</v>
          </cell>
        </row>
        <row r="140">
          <cell r="B140">
            <v>3623</v>
          </cell>
          <cell r="C140" t="str">
            <v>Green Plains York LLC</v>
          </cell>
          <cell r="D140" t="str">
            <v>York</v>
          </cell>
          <cell r="E140">
            <v>60</v>
          </cell>
        </row>
        <row r="141">
          <cell r="B141">
            <v>3612</v>
          </cell>
          <cell r="C141" t="str">
            <v>Green America Biofuels Ord LLC</v>
          </cell>
          <cell r="D141" t="str">
            <v>Ord</v>
          </cell>
          <cell r="E141">
            <v>68</v>
          </cell>
        </row>
        <row r="142">
          <cell r="B142">
            <v>3633</v>
          </cell>
          <cell r="C142" t="str">
            <v>Husker Ag LLC</v>
          </cell>
          <cell r="D142" t="str">
            <v>Plainview</v>
          </cell>
          <cell r="E142">
            <v>109</v>
          </cell>
        </row>
        <row r="143">
          <cell r="B143">
            <v>3636</v>
          </cell>
          <cell r="C143" t="str">
            <v>Kaapa Ethanol LLC</v>
          </cell>
          <cell r="D143" t="str">
            <v>Minden</v>
          </cell>
          <cell r="E143">
            <v>87</v>
          </cell>
        </row>
        <row r="144">
          <cell r="B144">
            <v>3637</v>
          </cell>
          <cell r="C144" t="str">
            <v>Kaapa Ethanol Ravenna LLC</v>
          </cell>
          <cell r="D144" t="str">
            <v>Ravenna</v>
          </cell>
          <cell r="E144">
            <v>138</v>
          </cell>
        </row>
        <row r="145">
          <cell r="B145">
            <v>3638</v>
          </cell>
          <cell r="C145" t="str">
            <v>Kaapa Partners Aurora LLC</v>
          </cell>
          <cell r="D145" t="str">
            <v>Aurora</v>
          </cell>
          <cell r="E145">
            <v>109.5</v>
          </cell>
        </row>
        <row r="146">
          <cell r="B146">
            <v>3648</v>
          </cell>
          <cell r="C146" t="str">
            <v>Mid America Agri Products LLC</v>
          </cell>
          <cell r="D146" t="str">
            <v>Madrid</v>
          </cell>
          <cell r="E146">
            <v>50</v>
          </cell>
        </row>
        <row r="147">
          <cell r="B147">
            <v>3650</v>
          </cell>
          <cell r="C147" t="str">
            <v>Midwest Renewable Energy LLC</v>
          </cell>
          <cell r="D147" t="str">
            <v>Sutherland</v>
          </cell>
          <cell r="E147">
            <v>28</v>
          </cell>
        </row>
        <row r="148">
          <cell r="B148">
            <v>3651</v>
          </cell>
          <cell r="C148" t="str">
            <v>Nebraska Corn Processing LLC</v>
          </cell>
          <cell r="D148" t="str">
            <v>Cambridge</v>
          </cell>
          <cell r="E148">
            <v>54</v>
          </cell>
        </row>
        <row r="149">
          <cell r="B149">
            <v>3672</v>
          </cell>
          <cell r="C149" t="str">
            <v>Poet Biorefining-Fairmont</v>
          </cell>
          <cell r="D149" t="str">
            <v>Fairmont</v>
          </cell>
          <cell r="E149">
            <v>128</v>
          </cell>
        </row>
        <row r="150">
          <cell r="B150">
            <v>3613</v>
          </cell>
          <cell r="C150" t="str">
            <v>Sandhills Renewable Energy LLC</v>
          </cell>
          <cell r="D150" t="str">
            <v>Atkinson</v>
          </cell>
          <cell r="E150">
            <v>52.5</v>
          </cell>
        </row>
        <row r="151">
          <cell r="B151">
            <v>3706</v>
          </cell>
          <cell r="C151" t="str">
            <v>Siouxland Ethanol  LLC</v>
          </cell>
          <cell r="D151" t="str">
            <v>Jackson</v>
          </cell>
          <cell r="E151">
            <v>100</v>
          </cell>
        </row>
        <row r="152">
          <cell r="B152">
            <v>3717</v>
          </cell>
          <cell r="C152" t="str">
            <v>Trenton Agri Products LLC</v>
          </cell>
          <cell r="D152" t="str">
            <v>Trenton</v>
          </cell>
          <cell r="E152">
            <v>55</v>
          </cell>
        </row>
        <row r="153">
          <cell r="B153">
            <v>3722</v>
          </cell>
          <cell r="C153" t="str">
            <v>Valero Renewable Fuels</v>
          </cell>
          <cell r="D153" t="str">
            <v>Albion</v>
          </cell>
          <cell r="E153">
            <v>140</v>
          </cell>
        </row>
        <row r="154">
          <cell r="B154">
            <v>3560</v>
          </cell>
          <cell r="C154" t="str">
            <v>VCP Corn Processing</v>
          </cell>
          <cell r="D154" t="str">
            <v>Columbus</v>
          </cell>
          <cell r="E154">
            <v>313</v>
          </cell>
        </row>
        <row r="156">
          <cell r="B156">
            <v>3573</v>
          </cell>
          <cell r="C156" t="str">
            <v>Blue Flint Ethanol LLC</v>
          </cell>
          <cell r="D156" t="str">
            <v>Underwood</v>
          </cell>
          <cell r="E156">
            <v>75.7</v>
          </cell>
        </row>
        <row r="157">
          <cell r="B157">
            <v>3593</v>
          </cell>
          <cell r="C157" t="str">
            <v>Dakota Spirit Agenergy</v>
          </cell>
          <cell r="D157" t="str">
            <v>Spiritwood</v>
          </cell>
          <cell r="E157">
            <v>80</v>
          </cell>
        </row>
        <row r="158">
          <cell r="B158">
            <v>3626</v>
          </cell>
          <cell r="C158" t="str">
            <v>Hankinson Renewable Energy LLC</v>
          </cell>
          <cell r="D158" t="str">
            <v>Hankinson</v>
          </cell>
          <cell r="E158">
            <v>157.4</v>
          </cell>
        </row>
        <row r="159">
          <cell r="B159">
            <v>3699</v>
          </cell>
          <cell r="C159" t="str">
            <v>Red Trail Energy LLC</v>
          </cell>
          <cell r="D159" t="str">
            <v>Richardton</v>
          </cell>
          <cell r="E159">
            <v>70</v>
          </cell>
        </row>
        <row r="160">
          <cell r="B160">
            <v>3711</v>
          </cell>
          <cell r="C160" t="str">
            <v>Tharaldson Ethanol</v>
          </cell>
          <cell r="D160" t="str">
            <v>Casselton</v>
          </cell>
          <cell r="E160">
            <v>165</v>
          </cell>
        </row>
        <row r="162">
          <cell r="B162">
            <v>3716</v>
          </cell>
          <cell r="C162" t="str">
            <v>CE Acquisitions Co LLC</v>
          </cell>
          <cell r="D162" t="str">
            <v>Coshocton</v>
          </cell>
          <cell r="E162">
            <v>50</v>
          </cell>
        </row>
        <row r="163">
          <cell r="B163">
            <v>3627</v>
          </cell>
          <cell r="C163" t="str">
            <v>Guardian Lima LLC</v>
          </cell>
          <cell r="D163" t="str">
            <v>Lima</v>
          </cell>
          <cell r="E163">
            <v>84</v>
          </cell>
        </row>
        <row r="164">
          <cell r="B164">
            <v>3673</v>
          </cell>
          <cell r="C164" t="str">
            <v>Poet Biorefining-Fostoria LLC</v>
          </cell>
          <cell r="D164" t="str">
            <v>Fostoria</v>
          </cell>
          <cell r="E164">
            <v>90</v>
          </cell>
        </row>
        <row r="165">
          <cell r="B165">
            <v>3683</v>
          </cell>
          <cell r="C165" t="str">
            <v>Poet Biorefining-Leipsic LLC</v>
          </cell>
          <cell r="D165" t="str">
            <v>Leipsic</v>
          </cell>
          <cell r="E165">
            <v>90</v>
          </cell>
        </row>
        <row r="166">
          <cell r="B166">
            <v>3685</v>
          </cell>
          <cell r="C166" t="str">
            <v>Poet Biorefining-Marion</v>
          </cell>
          <cell r="D166" t="str">
            <v>Marion</v>
          </cell>
          <cell r="E166">
            <v>162</v>
          </cell>
        </row>
        <row r="167">
          <cell r="B167">
            <v>3715</v>
          </cell>
          <cell r="C167" t="str">
            <v>The Andersons Marathon Holdings LLC</v>
          </cell>
          <cell r="D167" t="str">
            <v>Greenville</v>
          </cell>
          <cell r="E167">
            <v>154</v>
          </cell>
        </row>
        <row r="168">
          <cell r="B168">
            <v>3724</v>
          </cell>
          <cell r="C168" t="str">
            <v>Valero Renewable Fuels LLC</v>
          </cell>
          <cell r="D168" t="str">
            <v>Bloomingburg</v>
          </cell>
          <cell r="E168">
            <v>140</v>
          </cell>
        </row>
        <row r="170">
          <cell r="B170">
            <v>3592</v>
          </cell>
          <cell r="C170" t="str">
            <v>Dakota Ethanol LLC</v>
          </cell>
          <cell r="D170" t="str">
            <v>Wentworth</v>
          </cell>
          <cell r="E170">
            <v>100</v>
          </cell>
        </row>
        <row r="171">
          <cell r="B171">
            <v>3607</v>
          </cell>
          <cell r="C171" t="str">
            <v>Glacial Lakes Energy</v>
          </cell>
          <cell r="D171" t="str">
            <v>Watertown</v>
          </cell>
          <cell r="E171">
            <v>148</v>
          </cell>
        </row>
        <row r="172">
          <cell r="B172">
            <v>3606</v>
          </cell>
          <cell r="C172" t="str">
            <v>Glacial Lakes Energy</v>
          </cell>
          <cell r="D172" t="str">
            <v>Mina</v>
          </cell>
          <cell r="E172">
            <v>162</v>
          </cell>
        </row>
        <row r="173">
          <cell r="B173">
            <v>3604</v>
          </cell>
          <cell r="C173" t="str">
            <v>Hub City Energy LLC</v>
          </cell>
          <cell r="D173" t="str">
            <v>Aberdeen</v>
          </cell>
          <cell r="E173">
            <v>70</v>
          </cell>
        </row>
        <row r="174">
          <cell r="B174">
            <v>3605</v>
          </cell>
          <cell r="C174" t="str">
            <v>Huron Energy LLC</v>
          </cell>
          <cell r="D174" t="str">
            <v>Huron</v>
          </cell>
          <cell r="E174">
            <v>60</v>
          </cell>
        </row>
        <row r="175">
          <cell r="B175">
            <v>3652</v>
          </cell>
          <cell r="C175" t="str">
            <v>Nugen Energy LLC</v>
          </cell>
          <cell r="D175" t="str">
            <v>Marion</v>
          </cell>
          <cell r="E175">
            <v>150</v>
          </cell>
        </row>
        <row r="176">
          <cell r="B176">
            <v>3664</v>
          </cell>
          <cell r="C176" t="str">
            <v>Poet Biorefining- Big Stone LLC</v>
          </cell>
          <cell r="D176" t="str">
            <v>Big Stone</v>
          </cell>
          <cell r="E176">
            <v>105</v>
          </cell>
        </row>
        <row r="177">
          <cell r="B177">
            <v>3667</v>
          </cell>
          <cell r="C177" t="str">
            <v>Poet Biorefining- Chancellor LLC</v>
          </cell>
          <cell r="D177" t="str">
            <v>Chancellor</v>
          </cell>
          <cell r="E177">
            <v>125</v>
          </cell>
        </row>
        <row r="178">
          <cell r="B178">
            <v>3676</v>
          </cell>
          <cell r="C178" t="str">
            <v>Poet Biorefining- Groton LLC</v>
          </cell>
          <cell r="D178" t="str">
            <v>Groton</v>
          </cell>
          <cell r="E178">
            <v>68</v>
          </cell>
        </row>
        <row r="179">
          <cell r="B179">
            <v>3678</v>
          </cell>
          <cell r="C179" t="str">
            <v>Poet Biorefining- Hudson</v>
          </cell>
          <cell r="D179" t="str">
            <v>Hudson</v>
          </cell>
          <cell r="E179">
            <v>80</v>
          </cell>
        </row>
        <row r="180">
          <cell r="B180">
            <v>3687</v>
          </cell>
          <cell r="C180" t="str">
            <v>Poet Biorefining- Mitchell LLC</v>
          </cell>
          <cell r="D180" t="str">
            <v>Mitchell</v>
          </cell>
          <cell r="E180">
            <v>86</v>
          </cell>
        </row>
        <row r="181">
          <cell r="B181">
            <v>3693</v>
          </cell>
          <cell r="C181" t="str">
            <v>Poet Research Center</v>
          </cell>
          <cell r="D181" t="str">
            <v>Scotland</v>
          </cell>
          <cell r="E181">
            <v>12</v>
          </cell>
        </row>
        <row r="182">
          <cell r="B182">
            <v>3698</v>
          </cell>
          <cell r="C182" t="str">
            <v>Red River Energy LLC</v>
          </cell>
          <cell r="D182" t="str">
            <v>Rosholt</v>
          </cell>
          <cell r="E182">
            <v>36</v>
          </cell>
        </row>
        <row r="183">
          <cell r="B183">
            <v>3700</v>
          </cell>
          <cell r="C183" t="str">
            <v>Redfield Energy LLC</v>
          </cell>
          <cell r="D183" t="str">
            <v>Redfield</v>
          </cell>
          <cell r="E183">
            <v>65</v>
          </cell>
        </row>
        <row r="184">
          <cell r="B184">
            <v>3702</v>
          </cell>
          <cell r="C184" t="str">
            <v>Ringneck Energy &amp; Feed LLC</v>
          </cell>
          <cell r="D184" t="str">
            <v>Onida</v>
          </cell>
          <cell r="E184">
            <v>100</v>
          </cell>
        </row>
        <row r="185">
          <cell r="B185">
            <v>3723</v>
          </cell>
          <cell r="C185" t="str">
            <v>Valero Renewable Fuels LLC</v>
          </cell>
          <cell r="D185" t="str">
            <v>Aurora</v>
          </cell>
          <cell r="E185">
            <v>150</v>
          </cell>
        </row>
        <row r="187">
          <cell r="C187" t="str">
            <v>Dynamic Recycling LLC</v>
          </cell>
          <cell r="D187" t="str">
            <v>Bristol</v>
          </cell>
          <cell r="E187">
            <v>4</v>
          </cell>
        </row>
        <row r="188">
          <cell r="B188">
            <v>3618</v>
          </cell>
          <cell r="C188" t="str">
            <v>Green Plains Obion LLC</v>
          </cell>
          <cell r="D188" t="str">
            <v>Obion</v>
          </cell>
          <cell r="E188">
            <v>135</v>
          </cell>
        </row>
        <row r="189">
          <cell r="B189">
            <v>3710</v>
          </cell>
          <cell r="C189" t="str">
            <v>Tate &amp; Lyle</v>
          </cell>
          <cell r="D189" t="str">
            <v>Loudon</v>
          </cell>
          <cell r="E189">
            <v>110</v>
          </cell>
        </row>
        <row r="191">
          <cell r="B191">
            <v>3547</v>
          </cell>
          <cell r="C191" t="str">
            <v>Ace Ethanol LLC</v>
          </cell>
          <cell r="D191" t="str">
            <v>Stanley</v>
          </cell>
          <cell r="E191">
            <v>52</v>
          </cell>
        </row>
        <row r="192">
          <cell r="B192">
            <v>3755</v>
          </cell>
          <cell r="C192" t="str">
            <v>Aztalan Bio LLC</v>
          </cell>
          <cell r="D192" t="str">
            <v>Jefferson</v>
          </cell>
          <cell r="E192">
            <v>106</v>
          </cell>
        </row>
        <row r="193">
          <cell r="B193">
            <v>3567</v>
          </cell>
          <cell r="C193" t="str">
            <v>Badger State Ethanol LLC</v>
          </cell>
          <cell r="D193" t="str">
            <v>Monroe</v>
          </cell>
          <cell r="E193">
            <v>97</v>
          </cell>
        </row>
        <row r="194">
          <cell r="B194">
            <v>3568</v>
          </cell>
          <cell r="C194" t="str">
            <v>Big River Resources Boyceville LLC</v>
          </cell>
          <cell r="D194" t="str">
            <v>Boyceville</v>
          </cell>
          <cell r="E194">
            <v>70</v>
          </cell>
        </row>
        <row r="195">
          <cell r="B195">
            <v>3596</v>
          </cell>
          <cell r="C195" t="str">
            <v>Didion Ethanol LLC</v>
          </cell>
          <cell r="D195" t="str">
            <v>Johnson Creek</v>
          </cell>
          <cell r="E195">
            <v>54</v>
          </cell>
        </row>
        <row r="196">
          <cell r="B196">
            <v>3601</v>
          </cell>
          <cell r="C196" t="str">
            <v>Fox River Valley Ethanol LLC</v>
          </cell>
          <cell r="D196" t="str">
            <v>Oshkosh</v>
          </cell>
          <cell r="E196">
            <v>64</v>
          </cell>
        </row>
        <row r="197">
          <cell r="B197">
            <v>3645</v>
          </cell>
          <cell r="C197" t="str">
            <v>United Energy Necedah LLC</v>
          </cell>
          <cell r="D197" t="str">
            <v>Necedah</v>
          </cell>
          <cell r="E197">
            <v>106</v>
          </cell>
        </row>
        <row r="198">
          <cell r="B198">
            <v>3719</v>
          </cell>
          <cell r="C198" t="str">
            <v>United Ethanol LLC</v>
          </cell>
          <cell r="D198" t="str">
            <v>Milton</v>
          </cell>
          <cell r="E198">
            <v>61</v>
          </cell>
        </row>
        <row r="199">
          <cell r="B199">
            <v>3720</v>
          </cell>
          <cell r="C199" t="str">
            <v>United Wisconsin Grain Producers LLC</v>
          </cell>
          <cell r="D199" t="str">
            <v>Friesland</v>
          </cell>
          <cell r="E199">
            <v>71</v>
          </cell>
        </row>
        <row r="200">
          <cell r="E200">
            <v>430</v>
          </cell>
        </row>
        <row r="202">
          <cell r="B202">
            <v>3629</v>
          </cell>
          <cell r="C202" t="str">
            <v>Hereford Ethanol Partners LP</v>
          </cell>
          <cell r="D202" t="str">
            <v>Hereford</v>
          </cell>
          <cell r="E202">
            <v>120</v>
          </cell>
        </row>
        <row r="203">
          <cell r="B203">
            <v>3595</v>
          </cell>
          <cell r="C203" t="str">
            <v>HET Levelland LLC</v>
          </cell>
          <cell r="D203" t="str">
            <v>Levelland</v>
          </cell>
          <cell r="E203">
            <v>50.274000000000001</v>
          </cell>
        </row>
        <row r="204">
          <cell r="B204">
            <v>3738</v>
          </cell>
          <cell r="C204" t="str">
            <v>Plainview Bioenergy LLC</v>
          </cell>
          <cell r="D204" t="str">
            <v>Plainview</v>
          </cell>
          <cell r="E204">
            <v>130</v>
          </cell>
        </row>
        <row r="205">
          <cell r="B205">
            <v>3737</v>
          </cell>
          <cell r="C205" t="str">
            <v>White Energy Hereford LLC</v>
          </cell>
          <cell r="D205" t="str">
            <v>Hereford</v>
          </cell>
          <cell r="E205">
            <v>130</v>
          </cell>
        </row>
        <row r="206">
          <cell r="E206">
            <v>226</v>
          </cell>
        </row>
        <row r="208">
          <cell r="B208">
            <v>3602</v>
          </cell>
          <cell r="C208" t="str">
            <v>Front Range Energy LLC</v>
          </cell>
          <cell r="D208" t="str">
            <v>Windsor</v>
          </cell>
          <cell r="E208">
            <v>46</v>
          </cell>
        </row>
        <row r="209">
          <cell r="B209">
            <v>3709</v>
          </cell>
          <cell r="C209" t="str">
            <v>Sterling Ethanol LLC</v>
          </cell>
          <cell r="D209" t="str">
            <v>Sterling</v>
          </cell>
          <cell r="E209">
            <v>60</v>
          </cell>
        </row>
        <row r="210">
          <cell r="B210">
            <v>3739</v>
          </cell>
          <cell r="C210" t="str">
            <v>Yuma Ethanol LLC</v>
          </cell>
          <cell r="D210" t="str">
            <v>Yuma</v>
          </cell>
          <cell r="E210">
            <v>60</v>
          </cell>
        </row>
        <row r="212">
          <cell r="B212">
            <v>3552</v>
          </cell>
          <cell r="C212" t="str">
            <v>Alto Magic Valley Ethanol</v>
          </cell>
          <cell r="D212" t="str">
            <v>Burley</v>
          </cell>
          <cell r="E212">
            <v>60</v>
          </cell>
        </row>
        <row r="213">
          <cell r="E213">
            <v>168</v>
          </cell>
        </row>
        <row r="215">
          <cell r="B215">
            <v>3549</v>
          </cell>
          <cell r="C215" t="str">
            <v>Aemetis Advanced Fuels Keys Inc</v>
          </cell>
          <cell r="D215" t="str">
            <v>Ceres</v>
          </cell>
          <cell r="E215">
            <v>70</v>
          </cell>
        </row>
        <row r="216">
          <cell r="B216">
            <v>3577</v>
          </cell>
          <cell r="C216" t="str">
            <v>Calgren Renewable Fuels LLC</v>
          </cell>
          <cell r="D216" t="str">
            <v>Pixley</v>
          </cell>
          <cell r="E216">
            <v>55</v>
          </cell>
        </row>
        <row r="217">
          <cell r="B217">
            <v>3654</v>
          </cell>
          <cell r="C217" t="str">
            <v>Parallel Products</v>
          </cell>
          <cell r="D217" t="str">
            <v>Rancho Cucamonga</v>
          </cell>
          <cell r="E217">
            <v>3</v>
          </cell>
        </row>
        <row r="218">
          <cell r="B218">
            <v>3656</v>
          </cell>
          <cell r="C218" t="str">
            <v>Innergex Renewable Energy Inc.</v>
          </cell>
          <cell r="D218" t="str">
            <v>Stockton</v>
          </cell>
          <cell r="E218">
            <v>60</v>
          </cell>
        </row>
        <row r="219">
          <cell r="B219">
            <v>3703</v>
          </cell>
          <cell r="C219" t="str">
            <v>Seaboard</v>
          </cell>
          <cell r="D219" t="str">
            <v>Madera</v>
          </cell>
          <cell r="E219">
            <v>40</v>
          </cell>
        </row>
        <row r="220">
          <cell r="B220">
            <v>3551</v>
          </cell>
          <cell r="C220" t="str">
            <v>Alto Columbia LLC</v>
          </cell>
          <cell r="D220" t="str">
            <v>Boardman</v>
          </cell>
          <cell r="E220">
            <v>40</v>
          </cell>
        </row>
        <row r="228">
          <cell r="C228" t="str">
            <v>Ethanol Plant Listing 2025</v>
          </cell>
        </row>
      </sheetData>
      <sheetData sheetId="6">
        <row r="5">
          <cell r="B5">
            <v>3735</v>
          </cell>
          <cell r="C5" t="str">
            <v>Western New York Energy LLC</v>
          </cell>
        </row>
        <row r="7">
          <cell r="B7" t="str">
            <v>SD-13</v>
          </cell>
          <cell r="C7" t="str">
            <v>Flint Hills</v>
          </cell>
        </row>
        <row r="9">
          <cell r="B9" t="str">
            <v>SD=08</v>
          </cell>
          <cell r="C9" t="str">
            <v>Tyton NC Biofuels</v>
          </cell>
        </row>
        <row r="12">
          <cell r="B12">
            <v>3657</v>
          </cell>
          <cell r="C12" t="str">
            <v>Pennsylvania Grain Processing LLC</v>
          </cell>
        </row>
        <row r="15">
          <cell r="B15">
            <v>3548</v>
          </cell>
          <cell r="C15" t="str">
            <v>Adkins Energy LLC</v>
          </cell>
        </row>
        <row r="16">
          <cell r="B16">
            <v>3562</v>
          </cell>
          <cell r="C16" t="str">
            <v xml:space="preserve">ADM </v>
          </cell>
        </row>
        <row r="17">
          <cell r="B17">
            <v>3553</v>
          </cell>
          <cell r="C17" t="str">
            <v>Alto ICP LLC</v>
          </cell>
        </row>
        <row r="18">
          <cell r="B18">
            <v>3554</v>
          </cell>
          <cell r="C18" t="str">
            <v>Alto Pekin LLC Dry Mill</v>
          </cell>
        </row>
        <row r="19">
          <cell r="B19">
            <v>3555</v>
          </cell>
          <cell r="C19" t="str">
            <v>Alto Pekin LLC Wet Mill</v>
          </cell>
        </row>
        <row r="20">
          <cell r="B20">
            <v>3569</v>
          </cell>
          <cell r="C20" t="str">
            <v>Big River Resources Galva LLC</v>
          </cell>
        </row>
        <row r="21">
          <cell r="B21">
            <v>3572</v>
          </cell>
          <cell r="C21" t="str">
            <v>Biourja Renewables LLC</v>
          </cell>
        </row>
        <row r="22">
          <cell r="B22">
            <v>3616</v>
          </cell>
          <cell r="C22" t="str">
            <v>Green Plains Madison LLC</v>
          </cell>
        </row>
        <row r="23">
          <cell r="B23">
            <v>3589</v>
          </cell>
          <cell r="C23" t="str">
            <v>CHS - Rochelle</v>
          </cell>
        </row>
        <row r="24">
          <cell r="B24">
            <v>3640</v>
          </cell>
          <cell r="C24" t="str">
            <v>Lincolnland Agri-Energy LLC</v>
          </cell>
        </row>
        <row r="25">
          <cell r="B25">
            <v>3644</v>
          </cell>
          <cell r="C25" t="str">
            <v>Marquis Energy LLC</v>
          </cell>
        </row>
        <row r="26">
          <cell r="B26">
            <v>3653</v>
          </cell>
          <cell r="C26" t="str">
            <v>One Earth Energy LLC</v>
          </cell>
        </row>
        <row r="27">
          <cell r="B27">
            <v>3588</v>
          </cell>
          <cell r="C27" t="str">
            <v>CHS - Annawan</v>
          </cell>
        </row>
        <row r="28">
          <cell r="B28">
            <v>3757</v>
          </cell>
          <cell r="C28" t="str">
            <v>Crysalis Biosciences</v>
          </cell>
        </row>
        <row r="30">
          <cell r="B30">
            <v>3579</v>
          </cell>
          <cell r="C30" t="str">
            <v>Cardinal Ethanol LLC</v>
          </cell>
        </row>
        <row r="31">
          <cell r="B31">
            <v>3583</v>
          </cell>
          <cell r="C31" t="str">
            <v>Central Indiana Ethanol</v>
          </cell>
        </row>
        <row r="32">
          <cell r="B32">
            <v>3610</v>
          </cell>
          <cell r="C32" t="str">
            <v>Grain Processing Corp</v>
          </cell>
        </row>
        <row r="33">
          <cell r="B33">
            <v>3617</v>
          </cell>
          <cell r="C33" t="str">
            <v>Green Plains Mount Vernon LLC</v>
          </cell>
        </row>
        <row r="34">
          <cell r="B34">
            <v>3635</v>
          </cell>
          <cell r="C34" t="str">
            <v>Iroquois Bio-Energy Co LLC</v>
          </cell>
        </row>
        <row r="35">
          <cell r="B35">
            <v>3661</v>
          </cell>
          <cell r="C35" t="str">
            <v>Poet Biorefining-Alexandria LLC</v>
          </cell>
        </row>
        <row r="36">
          <cell r="B36">
            <v>3688</v>
          </cell>
          <cell r="C36" t="str">
            <v>Poet Biorefining-North Manchester</v>
          </cell>
        </row>
        <row r="37">
          <cell r="B37">
            <v>3689</v>
          </cell>
          <cell r="C37" t="str">
            <v>Poet Biorefining-Portland LLC</v>
          </cell>
        </row>
        <row r="38">
          <cell r="B38">
            <v>3691</v>
          </cell>
          <cell r="C38" t="str">
            <v>Poet Biorefining-Shelbyville</v>
          </cell>
        </row>
        <row r="39">
          <cell r="B39">
            <v>3668</v>
          </cell>
          <cell r="C39" t="str">
            <v>Poet Biorefining-Cloverdale</v>
          </cell>
        </row>
        <row r="40">
          <cell r="B40">
            <v>3707</v>
          </cell>
          <cell r="C40" t="str">
            <v>Southbend Ethanol LLC</v>
          </cell>
        </row>
        <row r="41">
          <cell r="B41">
            <v>3713</v>
          </cell>
          <cell r="C41" t="str">
            <v>The Andersons Marathon Holdings LLC</v>
          </cell>
        </row>
        <row r="42">
          <cell r="B42">
            <v>3730</v>
          </cell>
          <cell r="C42" t="str">
            <v>Valero Renewable Fuels LLC</v>
          </cell>
        </row>
        <row r="43">
          <cell r="B43">
            <v>3731</v>
          </cell>
          <cell r="C43" t="str">
            <v>Valero Renewable Fuels LLC</v>
          </cell>
        </row>
        <row r="44">
          <cell r="B44">
            <v>3725</v>
          </cell>
          <cell r="C44" t="str">
            <v>Valero Renewable Fuels LLC</v>
          </cell>
        </row>
        <row r="45">
          <cell r="B45">
            <v>3647</v>
          </cell>
          <cell r="C45" t="str">
            <v>MGP</v>
          </cell>
        </row>
        <row r="47">
          <cell r="B47">
            <v>3546</v>
          </cell>
          <cell r="C47" t="str">
            <v>Absolute Energy</v>
          </cell>
        </row>
        <row r="48">
          <cell r="B48">
            <v>3558</v>
          </cell>
          <cell r="C48" t="str">
            <v>ADM Cedar Rapids IA Wet Mill</v>
          </cell>
        </row>
        <row r="49">
          <cell r="B49">
            <v>3559</v>
          </cell>
          <cell r="C49" t="str">
            <v>ADM Clinton IA</v>
          </cell>
        </row>
        <row r="50">
          <cell r="B50">
            <v>3570</v>
          </cell>
          <cell r="C50" t="str">
            <v>Big River Resources West Burlington LLC</v>
          </cell>
        </row>
        <row r="51">
          <cell r="B51">
            <v>3571</v>
          </cell>
          <cell r="C51" t="str">
            <v>Big River United Energy LLC</v>
          </cell>
        </row>
        <row r="52">
          <cell r="B52">
            <v>3581</v>
          </cell>
          <cell r="C52" t="str">
            <v>Cargill Inc</v>
          </cell>
        </row>
        <row r="53">
          <cell r="B53">
            <v>3582</v>
          </cell>
          <cell r="C53" t="str">
            <v>Cargill Inc</v>
          </cell>
        </row>
        <row r="54">
          <cell r="B54">
            <v>3591</v>
          </cell>
          <cell r="C54" t="str">
            <v>Corn LP</v>
          </cell>
        </row>
        <row r="55">
          <cell r="B55">
            <v>3600</v>
          </cell>
          <cell r="C55" t="str">
            <v>Elite Octane LLC</v>
          </cell>
        </row>
        <row r="56">
          <cell r="B56">
            <v>3608</v>
          </cell>
          <cell r="C56" t="str">
            <v>Golden Grain Energy LLC</v>
          </cell>
        </row>
        <row r="57">
          <cell r="B57">
            <v>3609</v>
          </cell>
          <cell r="C57" t="str">
            <v>Grain Processing Corp</v>
          </cell>
        </row>
        <row r="58">
          <cell r="B58">
            <v>3620</v>
          </cell>
          <cell r="C58" t="str">
            <v>Green Plains Shenandoah LLC</v>
          </cell>
        </row>
        <row r="59">
          <cell r="B59">
            <v>3621</v>
          </cell>
          <cell r="C59" t="str">
            <v>Green Plains Superior</v>
          </cell>
        </row>
        <row r="60">
          <cell r="B60">
            <v>3632</v>
          </cell>
          <cell r="C60" t="str">
            <v>Homeland Energy Solutions LLC</v>
          </cell>
        </row>
        <row r="61">
          <cell r="B61">
            <v>3641</v>
          </cell>
          <cell r="C61" t="str">
            <v>Lincolnway Energy LLC</v>
          </cell>
        </row>
        <row r="62">
          <cell r="B62">
            <v>3642</v>
          </cell>
          <cell r="C62" t="str">
            <v>Little Sioux Corn Processors LLLP</v>
          </cell>
        </row>
        <row r="63">
          <cell r="B63">
            <v>3643</v>
          </cell>
          <cell r="C63" t="str">
            <v>Louis Dreyfus Co</v>
          </cell>
        </row>
        <row r="64">
          <cell r="B64">
            <v>3659</v>
          </cell>
          <cell r="C64" t="str">
            <v>Pine Lake Corn Processors</v>
          </cell>
        </row>
        <row r="65">
          <cell r="B65">
            <v>3660</v>
          </cell>
          <cell r="C65" t="str">
            <v>Plymouth Energy LLC</v>
          </cell>
        </row>
        <row r="66">
          <cell r="B66">
            <v>3662</v>
          </cell>
          <cell r="C66" t="str">
            <v>Poet Biorefinning-Arthur LLC</v>
          </cell>
        </row>
        <row r="67">
          <cell r="B67">
            <v>3663</v>
          </cell>
          <cell r="C67" t="str">
            <v>Poet Biorefinning-Ashton LLC</v>
          </cell>
        </row>
        <row r="68">
          <cell r="B68">
            <v>3669</v>
          </cell>
          <cell r="C68" t="str">
            <v>Poet Biorefinning-Coon Rapids</v>
          </cell>
        </row>
        <row r="69">
          <cell r="B69">
            <v>3670</v>
          </cell>
          <cell r="C69" t="str">
            <v>Poet Biorefinning-Corning LLC</v>
          </cell>
        </row>
        <row r="70">
          <cell r="B70">
            <v>3671</v>
          </cell>
          <cell r="C70" t="str">
            <v>Poet Biorefinning-Fairbank</v>
          </cell>
        </row>
        <row r="71">
          <cell r="B71">
            <v>3675</v>
          </cell>
          <cell r="C71" t="str">
            <v>Poet Biorefinning-Gowrie LLC</v>
          </cell>
        </row>
        <row r="72">
          <cell r="B72">
            <v>3677</v>
          </cell>
          <cell r="C72" t="str">
            <v>Poet Biorefinning-Hanlontown LLC</v>
          </cell>
        </row>
        <row r="73">
          <cell r="B73">
            <v>3679</v>
          </cell>
          <cell r="C73" t="str">
            <v>Poet Biorefinning-Iowa Falls LLC</v>
          </cell>
        </row>
        <row r="74">
          <cell r="B74">
            <v>3680</v>
          </cell>
          <cell r="C74" t="str">
            <v>Poet Biorefinning-Jewell LLC</v>
          </cell>
        </row>
        <row r="75">
          <cell r="B75">
            <v>3686</v>
          </cell>
          <cell r="C75" t="str">
            <v>Poet Biorefinning-Menlo</v>
          </cell>
        </row>
        <row r="76">
          <cell r="B76">
            <v>3692</v>
          </cell>
          <cell r="C76" t="str">
            <v>Poet Biorefinning-Shell Rock LLC</v>
          </cell>
        </row>
        <row r="77">
          <cell r="B77">
            <v>3754</v>
          </cell>
          <cell r="C77" t="str">
            <v>Poet Biorefinning-Emmetsburg LLC</v>
          </cell>
        </row>
        <row r="78">
          <cell r="B78">
            <v>3696</v>
          </cell>
          <cell r="C78" t="str">
            <v>Quad County Corn Processors Coop</v>
          </cell>
        </row>
        <row r="79">
          <cell r="B79">
            <v>3705</v>
          </cell>
          <cell r="C79" t="str">
            <v>Siouxland Energy Cooperative</v>
          </cell>
        </row>
        <row r="80">
          <cell r="B80">
            <v>3708</v>
          </cell>
          <cell r="C80" t="str">
            <v>Sothwest Iowa Renewable</v>
          </cell>
        </row>
        <row r="81">
          <cell r="B81">
            <v>3714</v>
          </cell>
          <cell r="C81" t="str">
            <v>The Andersons Marathon Holdings LLC</v>
          </cell>
        </row>
        <row r="82">
          <cell r="B82">
            <v>3726</v>
          </cell>
          <cell r="C82" t="str">
            <v>Valero Renewable Fuels LLC</v>
          </cell>
        </row>
        <row r="83">
          <cell r="B83">
            <v>3721</v>
          </cell>
          <cell r="C83" t="str">
            <v>Valero Renewable Fuels LLC</v>
          </cell>
        </row>
        <row r="84">
          <cell r="B84">
            <v>3727</v>
          </cell>
          <cell r="C84" t="str">
            <v>Valero Renewable Fuels LLC</v>
          </cell>
        </row>
        <row r="85">
          <cell r="B85">
            <v>3728</v>
          </cell>
          <cell r="C85" t="str">
            <v>Valero Renewable Fuels LLC</v>
          </cell>
        </row>
        <row r="86">
          <cell r="B86">
            <v>3729</v>
          </cell>
          <cell r="C86" t="str">
            <v>Valero Renewable Fuels LLC</v>
          </cell>
        </row>
        <row r="87">
          <cell r="B87">
            <v>3557</v>
          </cell>
          <cell r="C87" t="str">
            <v>VCP Corn Processing</v>
          </cell>
        </row>
        <row r="88">
          <cell r="B88">
            <v>3734</v>
          </cell>
          <cell r="C88" t="str">
            <v>Verbio</v>
          </cell>
        </row>
        <row r="90">
          <cell r="B90">
            <v>3556</v>
          </cell>
          <cell r="C90" t="str">
            <v>Amber Wave</v>
          </cell>
        </row>
        <row r="91">
          <cell r="B91">
            <v>3564</v>
          </cell>
          <cell r="C91" t="str">
            <v>Arkalon Ethanol LLC</v>
          </cell>
        </row>
        <row r="92">
          <cell r="B92">
            <v>3574</v>
          </cell>
          <cell r="C92" t="str">
            <v>Bonanza Bioenergy LLC</v>
          </cell>
        </row>
        <row r="93">
          <cell r="B93">
            <v>3598</v>
          </cell>
          <cell r="C93" t="str">
            <v>East Kansas Agri-Energy LLC</v>
          </cell>
        </row>
        <row r="94">
          <cell r="B94">
            <v>3639</v>
          </cell>
          <cell r="C94" t="str">
            <v>Kansas Ethanol LLC</v>
          </cell>
        </row>
        <row r="95">
          <cell r="C95" t="str">
            <v>MGP Ingridents Inc</v>
          </cell>
        </row>
        <row r="96">
          <cell r="C96" t="str">
            <v>Nesika Energy LLC</v>
          </cell>
        </row>
        <row r="97">
          <cell r="B97">
            <v>3694</v>
          </cell>
          <cell r="C97" t="str">
            <v>Pratt Energy LLC</v>
          </cell>
        </row>
        <row r="98">
          <cell r="B98">
            <v>3695</v>
          </cell>
          <cell r="C98" t="str">
            <v>Purefield Ingredients LLC</v>
          </cell>
        </row>
        <row r="99">
          <cell r="B99">
            <v>3701</v>
          </cell>
          <cell r="C99" t="str">
            <v>Reeve Agri Energy Inc</v>
          </cell>
        </row>
        <row r="100">
          <cell r="B100">
            <v>3736</v>
          </cell>
          <cell r="C100" t="str">
            <v>Western Plains Energy LLC</v>
          </cell>
        </row>
        <row r="101">
          <cell r="B101">
            <v>3756</v>
          </cell>
          <cell r="C101" t="str">
            <v>Cardinal</v>
          </cell>
        </row>
        <row r="104">
          <cell r="B104">
            <v>3590</v>
          </cell>
          <cell r="C104" t="str">
            <v>Commonwealth Agri-Energy</v>
          </cell>
        </row>
        <row r="105">
          <cell r="B105">
            <v>3655</v>
          </cell>
          <cell r="C105" t="str">
            <v>Parallel Products Inc</v>
          </cell>
        </row>
        <row r="107">
          <cell r="B107">
            <v>3578</v>
          </cell>
          <cell r="C107" t="str">
            <v>Carbon Green Bioenergy LLC</v>
          </cell>
        </row>
        <row r="108">
          <cell r="B108">
            <v>3646</v>
          </cell>
          <cell r="C108" t="str">
            <v>Marysville Ethanol LLC</v>
          </cell>
        </row>
        <row r="109">
          <cell r="B109">
            <v>3666</v>
          </cell>
          <cell r="C109" t="str">
            <v>Poet Biorefinning-Caro</v>
          </cell>
        </row>
        <row r="110">
          <cell r="B110">
            <v>3712</v>
          </cell>
          <cell r="C110" t="str">
            <v>The Andersons Marathon Holdings LLC</v>
          </cell>
        </row>
        <row r="111">
          <cell r="B111">
            <v>3732</v>
          </cell>
          <cell r="C111" t="str">
            <v>ZFS Riga LLC</v>
          </cell>
        </row>
        <row r="113">
          <cell r="B113">
            <v>3563</v>
          </cell>
          <cell r="C113" t="str">
            <v>ADM</v>
          </cell>
        </row>
        <row r="114">
          <cell r="B114">
            <v>3550</v>
          </cell>
          <cell r="C114" t="str">
            <v>Al-Corn Clean Fuel</v>
          </cell>
        </row>
        <row r="115">
          <cell r="B115">
            <v>3576</v>
          </cell>
          <cell r="C115" t="str">
            <v>Bushmills Ethanol Inc</v>
          </cell>
        </row>
        <row r="116">
          <cell r="B116">
            <v>3587</v>
          </cell>
          <cell r="C116" t="str">
            <v>Chippewa Valley Ethanol Co LLLP</v>
          </cell>
        </row>
        <row r="117">
          <cell r="B117">
            <v>3594</v>
          </cell>
          <cell r="C117" t="str">
            <v>Denco II LLC</v>
          </cell>
        </row>
        <row r="118">
          <cell r="B118">
            <v>3611</v>
          </cell>
          <cell r="C118" t="str">
            <v>Granite Falls Energy LLC</v>
          </cell>
        </row>
        <row r="119">
          <cell r="B119">
            <v>3615</v>
          </cell>
          <cell r="C119" t="str">
            <v>Green Plains Fairmont LLC</v>
          </cell>
        </row>
        <row r="120">
          <cell r="B120">
            <v>3619</v>
          </cell>
          <cell r="C120" t="str">
            <v>Green Plains Otter Tail LLC</v>
          </cell>
        </row>
        <row r="121">
          <cell r="B121">
            <v>3624</v>
          </cell>
          <cell r="C121" t="str">
            <v>Greenfield Global Corn Plus LLC</v>
          </cell>
        </row>
        <row r="122">
          <cell r="B122">
            <v>3625</v>
          </cell>
          <cell r="C122" t="str">
            <v>Guardian Energy LLC</v>
          </cell>
        </row>
        <row r="123">
          <cell r="B123">
            <v>3628</v>
          </cell>
          <cell r="C123" t="str">
            <v>Heartland Corn Products</v>
          </cell>
        </row>
        <row r="124">
          <cell r="B124">
            <v>3630</v>
          </cell>
          <cell r="C124" t="str">
            <v>Heron Lake Bioenergy LLC</v>
          </cell>
        </row>
        <row r="125">
          <cell r="B125">
            <v>3631</v>
          </cell>
          <cell r="C125" t="str">
            <v>Highwater Ethanol LLC</v>
          </cell>
        </row>
        <row r="126">
          <cell r="B126">
            <v>3665</v>
          </cell>
          <cell r="C126" t="str">
            <v>Poet Biorefining-Bingham Lake LLC</v>
          </cell>
        </row>
        <row r="127">
          <cell r="B127">
            <v>3674</v>
          </cell>
          <cell r="C127" t="str">
            <v>Poet Biorefining--Glenville LLC</v>
          </cell>
        </row>
        <row r="128">
          <cell r="B128">
            <v>3682</v>
          </cell>
          <cell r="C128" t="str">
            <v>Poet Biorefining--Lake Crystal LLC</v>
          </cell>
        </row>
        <row r="129">
          <cell r="B129">
            <v>3690</v>
          </cell>
          <cell r="C129" t="str">
            <v>Poet Biorefining--Preston LLC</v>
          </cell>
        </row>
        <row r="130">
          <cell r="B130">
            <v>3733</v>
          </cell>
          <cell r="C130" t="str">
            <v>Valero Renewable Fuels LLC</v>
          </cell>
        </row>
        <row r="131">
          <cell r="B131">
            <v>3762</v>
          </cell>
          <cell r="C131" t="str">
            <v>Gevo</v>
          </cell>
        </row>
        <row r="133">
          <cell r="B133">
            <v>3283</v>
          </cell>
          <cell r="C133" t="str">
            <v>Golden Triangle Energy LLC</v>
          </cell>
        </row>
        <row r="134">
          <cell r="B134">
            <v>3634</v>
          </cell>
          <cell r="C134" t="str">
            <v>ICM Biofuels LLC</v>
          </cell>
        </row>
        <row r="135">
          <cell r="B135">
            <v>3649</v>
          </cell>
          <cell r="C135" t="str">
            <v>Mid-Missouri Energy LLC</v>
          </cell>
        </row>
        <row r="136">
          <cell r="B136">
            <v>3681</v>
          </cell>
          <cell r="C136" t="str">
            <v>Poet Biorefining-Laddonia LLC</v>
          </cell>
        </row>
        <row r="137">
          <cell r="B137">
            <v>3684</v>
          </cell>
          <cell r="C137" t="str">
            <v>Poet Biorefining-Macon LLC</v>
          </cell>
        </row>
        <row r="138">
          <cell r="B138">
            <v>3704</v>
          </cell>
          <cell r="C138" t="str">
            <v>Show Me Ethanol</v>
          </cell>
        </row>
        <row r="140">
          <cell r="B140">
            <v>3561</v>
          </cell>
          <cell r="C140" t="str">
            <v>ADM Columbus Wet Mill</v>
          </cell>
        </row>
        <row r="141">
          <cell r="B141">
            <v>3575</v>
          </cell>
          <cell r="C141" t="str">
            <v>Bridgeport Ethanol LLC</v>
          </cell>
        </row>
        <row r="142">
          <cell r="B142">
            <v>3580</v>
          </cell>
          <cell r="C142" t="str">
            <v>Cargill Inc</v>
          </cell>
        </row>
        <row r="143">
          <cell r="B143">
            <v>3585</v>
          </cell>
          <cell r="C143" t="str">
            <v>Chief Ethanol Fuels Inc</v>
          </cell>
        </row>
        <row r="144">
          <cell r="B144">
            <v>3586</v>
          </cell>
          <cell r="C144" t="str">
            <v>Chief Ethanol Fuels Inc</v>
          </cell>
        </row>
        <row r="145">
          <cell r="B145">
            <v>3584</v>
          </cell>
          <cell r="C145" t="str">
            <v>CIE Norfolk GNS LLC</v>
          </cell>
        </row>
        <row r="146">
          <cell r="B146">
            <v>3597</v>
          </cell>
          <cell r="C146" t="str">
            <v>E Energy Adams LLC</v>
          </cell>
        </row>
        <row r="147">
          <cell r="B147">
            <v>3614</v>
          </cell>
          <cell r="C147" t="str">
            <v>Green Plains Central City LLC</v>
          </cell>
        </row>
        <row r="148">
          <cell r="B148">
            <v>3622</v>
          </cell>
          <cell r="C148" t="str">
            <v>Green Plains Wood River LLC</v>
          </cell>
        </row>
        <row r="149">
          <cell r="B149">
            <v>3623</v>
          </cell>
          <cell r="C149" t="str">
            <v>Green Plains York LLC</v>
          </cell>
        </row>
        <row r="150">
          <cell r="B150">
            <v>3612</v>
          </cell>
          <cell r="C150" t="str">
            <v>Green America Biofuels Ord LLC</v>
          </cell>
        </row>
        <row r="151">
          <cell r="B151">
            <v>3633</v>
          </cell>
          <cell r="C151" t="str">
            <v>Husker Ag LLC</v>
          </cell>
        </row>
        <row r="152">
          <cell r="B152">
            <v>3636</v>
          </cell>
          <cell r="C152" t="str">
            <v>Kappa Ethanol LLC</v>
          </cell>
        </row>
        <row r="153">
          <cell r="B153">
            <v>3637</v>
          </cell>
          <cell r="C153" t="str">
            <v>Kappa Ethanol Ravenna LLC</v>
          </cell>
        </row>
        <row r="154">
          <cell r="B154">
            <v>3638</v>
          </cell>
          <cell r="C154" t="str">
            <v>Kappa Partners Aurora LLC</v>
          </cell>
        </row>
        <row r="155">
          <cell r="B155">
            <v>3648</v>
          </cell>
          <cell r="C155" t="str">
            <v>Mid America Agri Products LLC</v>
          </cell>
        </row>
        <row r="156">
          <cell r="B156">
            <v>3650</v>
          </cell>
          <cell r="C156" t="str">
            <v>Midwest Renewable Energy LLC</v>
          </cell>
        </row>
        <row r="157">
          <cell r="B157">
            <v>3651</v>
          </cell>
          <cell r="C157" t="str">
            <v>Nebraska Corn Processing LLC</v>
          </cell>
        </row>
        <row r="158">
          <cell r="B158">
            <v>3672</v>
          </cell>
          <cell r="C158" t="str">
            <v>Poet Biorefining-Fairmont</v>
          </cell>
        </row>
        <row r="159">
          <cell r="B159">
            <v>3613</v>
          </cell>
          <cell r="C159" t="str">
            <v>Sandhills Renewable Energy LLC</v>
          </cell>
        </row>
        <row r="160">
          <cell r="B160">
            <v>3706</v>
          </cell>
          <cell r="C160" t="str">
            <v>Siouxland Ethnaol LLC</v>
          </cell>
        </row>
        <row r="161">
          <cell r="B161">
            <v>3717</v>
          </cell>
          <cell r="C161" t="str">
            <v>Trenton Agri Products LLC</v>
          </cell>
        </row>
        <row r="162">
          <cell r="B162">
            <v>3722</v>
          </cell>
          <cell r="C162" t="str">
            <v>Valero Renewable Fuels</v>
          </cell>
        </row>
        <row r="163">
          <cell r="B163">
            <v>3560</v>
          </cell>
          <cell r="C163" t="str">
            <v>VCP Corn Processing</v>
          </cell>
        </row>
        <row r="165">
          <cell r="B165">
            <v>3573</v>
          </cell>
          <cell r="C165" t="str">
            <v>Blue Flint Ethanol LLC</v>
          </cell>
        </row>
        <row r="166">
          <cell r="B166">
            <v>3593</v>
          </cell>
          <cell r="C166" t="str">
            <v>Dakota Spirit Agenergy</v>
          </cell>
        </row>
        <row r="167">
          <cell r="B167">
            <v>3626</v>
          </cell>
          <cell r="C167" t="str">
            <v>Hankinson Renewable Energy LLC</v>
          </cell>
        </row>
        <row r="168">
          <cell r="B168">
            <v>3699</v>
          </cell>
          <cell r="C168" t="str">
            <v>Red Trail Energy LLC</v>
          </cell>
        </row>
        <row r="169">
          <cell r="B169">
            <v>3711</v>
          </cell>
          <cell r="C169" t="str">
            <v>Tharaldson Ethanol</v>
          </cell>
        </row>
        <row r="170">
          <cell r="B170" t="str">
            <v>SD-07</v>
          </cell>
          <cell r="C170" t="str">
            <v>Red River Energy</v>
          </cell>
        </row>
        <row r="173">
          <cell r="B173">
            <v>3716</v>
          </cell>
          <cell r="C173" t="str">
            <v>CE Acquisitions Co LLC</v>
          </cell>
        </row>
        <row r="174">
          <cell r="B174">
            <v>3627</v>
          </cell>
          <cell r="C174" t="str">
            <v>Guardian Lima LLC</v>
          </cell>
        </row>
        <row r="175">
          <cell r="B175">
            <v>3673</v>
          </cell>
          <cell r="C175" t="str">
            <v>Poet Biorefining-Fostoria LLC</v>
          </cell>
        </row>
        <row r="176">
          <cell r="B176">
            <v>3683</v>
          </cell>
          <cell r="C176" t="str">
            <v>Poet Biorefining-Leipsic LLC</v>
          </cell>
        </row>
        <row r="177">
          <cell r="B177">
            <v>3685</v>
          </cell>
          <cell r="C177" t="str">
            <v>Poet Biorefining-Marion</v>
          </cell>
        </row>
        <row r="178">
          <cell r="B178">
            <v>3715</v>
          </cell>
          <cell r="C178" t="str">
            <v>The Andersons Marathon Holdings LLC</v>
          </cell>
        </row>
        <row r="179">
          <cell r="B179">
            <v>3724</v>
          </cell>
          <cell r="C179" t="str">
            <v>Valero Renewable Fuels LLC</v>
          </cell>
        </row>
        <row r="181">
          <cell r="B181">
            <v>3592</v>
          </cell>
          <cell r="C181" t="str">
            <v>Dakota Ethanol LLC</v>
          </cell>
        </row>
        <row r="182">
          <cell r="B182">
            <v>3607</v>
          </cell>
          <cell r="C182" t="str">
            <v>Glacial Lakes Energy</v>
          </cell>
        </row>
        <row r="183">
          <cell r="B183">
            <v>3606</v>
          </cell>
          <cell r="C183" t="str">
            <v>Glacial Lakes Energy</v>
          </cell>
        </row>
        <row r="184">
          <cell r="B184">
            <v>3604</v>
          </cell>
          <cell r="C184" t="str">
            <v>Hub City Energy LLC</v>
          </cell>
        </row>
        <row r="185">
          <cell r="B185">
            <v>3605</v>
          </cell>
          <cell r="C185" t="str">
            <v>Huron Energy LLC</v>
          </cell>
        </row>
        <row r="186">
          <cell r="B186">
            <v>3652</v>
          </cell>
          <cell r="C186" t="str">
            <v>Nugen Energy LLC</v>
          </cell>
        </row>
        <row r="187">
          <cell r="B187">
            <v>3664</v>
          </cell>
          <cell r="C187" t="str">
            <v>Poet Biorefining- Big Stone LLC</v>
          </cell>
        </row>
        <row r="188">
          <cell r="B188">
            <v>3667</v>
          </cell>
          <cell r="C188" t="str">
            <v>Poet Biorefining- Chancellor LLC</v>
          </cell>
        </row>
        <row r="189">
          <cell r="B189">
            <v>3676</v>
          </cell>
          <cell r="C189" t="str">
            <v>Poet Biorefining- Groton LLC</v>
          </cell>
        </row>
        <row r="190">
          <cell r="B190">
            <v>3678</v>
          </cell>
          <cell r="C190" t="str">
            <v>Poet Biorefining- Hudson</v>
          </cell>
        </row>
        <row r="191">
          <cell r="B191">
            <v>3687</v>
          </cell>
          <cell r="C191" t="str">
            <v>Poet Biorefining- Mitchell LLC</v>
          </cell>
        </row>
        <row r="192">
          <cell r="B192">
            <v>3693</v>
          </cell>
          <cell r="C192" t="str">
            <v>Poet Research Center</v>
          </cell>
        </row>
        <row r="193">
          <cell r="B193">
            <v>3698</v>
          </cell>
          <cell r="C193" t="str">
            <v>Red River Energy LLC</v>
          </cell>
        </row>
        <row r="194">
          <cell r="B194">
            <v>3700</v>
          </cell>
          <cell r="C194" t="str">
            <v>Redfield Energy LLC</v>
          </cell>
        </row>
        <row r="195">
          <cell r="B195">
            <v>3702</v>
          </cell>
          <cell r="C195" t="str">
            <v>Ringneck Energy &amp; Feed LLC</v>
          </cell>
        </row>
        <row r="196">
          <cell r="B196">
            <v>3723</v>
          </cell>
          <cell r="C196" t="str">
            <v>Valero Renewable Fuels LLC</v>
          </cell>
        </row>
        <row r="198">
          <cell r="C198" t="str">
            <v>Dynamic Recycling LLC</v>
          </cell>
        </row>
        <row r="199">
          <cell r="B199">
            <v>3618</v>
          </cell>
          <cell r="C199" t="str">
            <v>Green Plains Obion LLC</v>
          </cell>
        </row>
        <row r="200">
          <cell r="B200">
            <v>3710</v>
          </cell>
          <cell r="C200" t="str">
            <v>Tate &amp; Lyle</v>
          </cell>
        </row>
        <row r="202">
          <cell r="B202">
            <v>3547</v>
          </cell>
          <cell r="C202" t="str">
            <v>Ace Ethanol LLC</v>
          </cell>
        </row>
        <row r="203">
          <cell r="B203">
            <v>3755</v>
          </cell>
          <cell r="C203" t="str">
            <v>Aztalan Bio LLC</v>
          </cell>
        </row>
        <row r="204">
          <cell r="B204">
            <v>3567</v>
          </cell>
          <cell r="C204" t="str">
            <v>Badger State Ethanol LLC</v>
          </cell>
        </row>
        <row r="205">
          <cell r="B205">
            <v>3568</v>
          </cell>
          <cell r="C205" t="str">
            <v>Big River Resources Boyceville LLC</v>
          </cell>
        </row>
        <row r="206">
          <cell r="B206">
            <v>3596</v>
          </cell>
          <cell r="C206" t="str">
            <v>Didion Ethanol LLC</v>
          </cell>
        </row>
        <row r="207">
          <cell r="B207">
            <v>3601</v>
          </cell>
          <cell r="C207" t="str">
            <v>Fox River Valley Ethanol LLC</v>
          </cell>
        </row>
        <row r="208">
          <cell r="B208">
            <v>3645</v>
          </cell>
          <cell r="C208" t="str">
            <v>Marquis Energy Wisconsin LLC</v>
          </cell>
        </row>
        <row r="209">
          <cell r="B209">
            <v>3719</v>
          </cell>
          <cell r="C209" t="str">
            <v>United Ethanol LLC</v>
          </cell>
        </row>
        <row r="210">
          <cell r="B210">
            <v>3720</v>
          </cell>
          <cell r="C210" t="str">
            <v>United Wisconsin Grain Producers LLC</v>
          </cell>
        </row>
        <row r="213">
          <cell r="B213">
            <v>3629</v>
          </cell>
          <cell r="C213" t="str">
            <v>Hereford Ethanol Partners LP</v>
          </cell>
        </row>
        <row r="214">
          <cell r="B214">
            <v>3595</v>
          </cell>
          <cell r="C214" t="str">
            <v>HET Levelland LLC</v>
          </cell>
        </row>
        <row r="215">
          <cell r="B215">
            <v>3738</v>
          </cell>
          <cell r="C215" t="str">
            <v>Plainview Bioenergy LLC</v>
          </cell>
        </row>
        <row r="216">
          <cell r="B216">
            <v>3737</v>
          </cell>
          <cell r="C216" t="str">
            <v>White Energy Hereford LLC</v>
          </cell>
        </row>
        <row r="219">
          <cell r="B219">
            <v>3602</v>
          </cell>
          <cell r="C219" t="str">
            <v>Front Range Energy LLC</v>
          </cell>
        </row>
        <row r="220">
          <cell r="B220">
            <v>3709</v>
          </cell>
          <cell r="C220" t="str">
            <v>Sterling Ethanol LLC</v>
          </cell>
        </row>
        <row r="221">
          <cell r="B221">
            <v>3739</v>
          </cell>
          <cell r="C221" t="str">
            <v>Yuma Ethanol LLC</v>
          </cell>
        </row>
        <row r="223">
          <cell r="B223">
            <v>3658</v>
          </cell>
          <cell r="C223" t="str">
            <v>Pinal</v>
          </cell>
        </row>
        <row r="225">
          <cell r="B225">
            <v>3552</v>
          </cell>
          <cell r="C225" t="str">
            <v>Alto Magic Valley Ethanol</v>
          </cell>
        </row>
        <row r="228">
          <cell r="B228">
            <v>3549</v>
          </cell>
          <cell r="C228" t="str">
            <v>Aemetis Advanced Fuels Keys Inc</v>
          </cell>
        </row>
        <row r="229">
          <cell r="B229">
            <v>3577</v>
          </cell>
          <cell r="C229" t="str">
            <v>Calgren Renewable Fuels LLC</v>
          </cell>
        </row>
        <row r="230">
          <cell r="B230">
            <v>3654</v>
          </cell>
          <cell r="C230" t="str">
            <v>Parallel Products</v>
          </cell>
        </row>
        <row r="231">
          <cell r="B231">
            <v>3656</v>
          </cell>
          <cell r="C231" t="str">
            <v>Innergex Renewable Energy Inc.</v>
          </cell>
        </row>
        <row r="232">
          <cell r="B232">
            <v>3703</v>
          </cell>
          <cell r="C232" t="str">
            <v>Seaboard</v>
          </cell>
        </row>
        <row r="235">
          <cell r="B235">
            <v>3551</v>
          </cell>
          <cell r="C235" t="str">
            <v>Alto Columbia LLC</v>
          </cell>
        </row>
      </sheetData>
      <sheetData sheetId="7">
        <row r="4">
          <cell r="K4">
            <v>0.95</v>
          </cell>
        </row>
        <row r="5">
          <cell r="A5" t="str">
            <v>POET Biorefining</v>
          </cell>
          <cell r="B5">
            <v>1</v>
          </cell>
          <cell r="E5" t="str">
            <v>ADM</v>
          </cell>
          <cell r="F5">
            <v>2.88</v>
          </cell>
        </row>
        <row r="6">
          <cell r="A6" t="str">
            <v>FQPT HI PRO</v>
          </cell>
          <cell r="B6">
            <v>1.05</v>
          </cell>
          <cell r="E6" t="str">
            <v>Delta-T</v>
          </cell>
          <cell r="F6">
            <v>2.88</v>
          </cell>
        </row>
        <row r="7">
          <cell r="A7" t="str">
            <v>ICM</v>
          </cell>
          <cell r="B7">
            <v>0.9</v>
          </cell>
          <cell r="E7" t="str">
            <v>ICM</v>
          </cell>
          <cell r="F7">
            <v>2.95</v>
          </cell>
        </row>
        <row r="8">
          <cell r="A8" t="str">
            <v>ICM FOT</v>
          </cell>
          <cell r="B8">
            <v>1.1000000000000001</v>
          </cell>
          <cell r="E8" t="str">
            <v>Katzen</v>
          </cell>
          <cell r="F8">
            <v>2.87</v>
          </cell>
        </row>
        <row r="9">
          <cell r="A9" t="str">
            <v>ADM</v>
          </cell>
          <cell r="B9">
            <v>0.8</v>
          </cell>
          <cell r="E9" t="str">
            <v>Lurgi</v>
          </cell>
          <cell r="F9">
            <v>2.85</v>
          </cell>
        </row>
        <row r="10">
          <cell r="A10" t="str">
            <v>None</v>
          </cell>
          <cell r="B10">
            <v>0.81499999999999995</v>
          </cell>
          <cell r="E10" t="str">
            <v>Poet</v>
          </cell>
          <cell r="F10">
            <v>2.98</v>
          </cell>
        </row>
        <row r="11">
          <cell r="A11" t="str">
            <v>Waste Stream</v>
          </cell>
          <cell r="B11">
            <v>0</v>
          </cell>
          <cell r="E11" t="str">
            <v>Verbio</v>
          </cell>
          <cell r="F11">
            <v>2.9</v>
          </cell>
        </row>
        <row r="12">
          <cell r="A12" t="str">
            <v>Wheat</v>
          </cell>
          <cell r="B12">
            <v>0.2</v>
          </cell>
          <cell r="E12" t="str">
            <v>Vogelbusch</v>
          </cell>
          <cell r="F12">
            <v>2.9</v>
          </cell>
        </row>
        <row r="13">
          <cell r="E13" t="str">
            <v>Wet Mill</v>
          </cell>
          <cell r="F13">
            <v>2.75</v>
          </cell>
        </row>
        <row r="14">
          <cell r="E14" t="str">
            <v>Wheat</v>
          </cell>
          <cell r="F14">
            <v>2.7</v>
          </cell>
        </row>
        <row r="15">
          <cell r="E15" t="str">
            <v>Waste Stream</v>
          </cell>
          <cell r="F15">
            <v>0</v>
          </cell>
        </row>
      </sheetData>
      <sheetData sheetId="8"/>
      <sheetData sheetId="9"/>
      <sheetData sheetId="10">
        <row r="1">
          <cell r="B1" t="str">
            <v>Year</v>
          </cell>
          <cell r="K1" t="str">
            <v>County</v>
          </cell>
          <cell r="L1" t="str">
            <v>Book case</v>
          </cell>
          <cell r="V1" t="str">
            <v>Value</v>
          </cell>
        </row>
        <row r="2">
          <cell r="B2">
            <v>2023</v>
          </cell>
          <cell r="K2" t="str">
            <v>OTHER COUNTIES</v>
          </cell>
          <cell r="L2" t="str">
            <v>Other Counties</v>
          </cell>
          <cell r="V2">
            <v>1383000</v>
          </cell>
        </row>
        <row r="3">
          <cell r="B3">
            <v>2023</v>
          </cell>
          <cell r="K3" t="str">
            <v>BOONE</v>
          </cell>
          <cell r="L3" t="str">
            <v>Boone</v>
          </cell>
          <cell r="V3">
            <v>150000</v>
          </cell>
        </row>
        <row r="4">
          <cell r="B4">
            <v>2023</v>
          </cell>
          <cell r="K4" t="str">
            <v>DALLAS</v>
          </cell>
          <cell r="L4" t="str">
            <v>Dallas</v>
          </cell>
          <cell r="V4">
            <v>122500</v>
          </cell>
        </row>
        <row r="5">
          <cell r="B5">
            <v>2023</v>
          </cell>
          <cell r="K5" t="str">
            <v>GRUNDY</v>
          </cell>
          <cell r="L5" t="str">
            <v>Grundy</v>
          </cell>
          <cell r="V5">
            <v>158500</v>
          </cell>
        </row>
        <row r="6">
          <cell r="B6">
            <v>2023</v>
          </cell>
          <cell r="K6" t="str">
            <v>HAMILTON</v>
          </cell>
          <cell r="L6" t="str">
            <v>Hamilton</v>
          </cell>
          <cell r="V6">
            <v>181000</v>
          </cell>
        </row>
        <row r="7">
          <cell r="B7">
            <v>2023</v>
          </cell>
          <cell r="K7" t="str">
            <v>HARDIN</v>
          </cell>
          <cell r="L7" t="str">
            <v>Hardin</v>
          </cell>
          <cell r="V7">
            <v>180500</v>
          </cell>
        </row>
        <row r="8">
          <cell r="B8">
            <v>2023</v>
          </cell>
          <cell r="K8" t="str">
            <v>JASPER</v>
          </cell>
          <cell r="L8" t="str">
            <v>Jasper</v>
          </cell>
          <cell r="V8">
            <v>169500</v>
          </cell>
        </row>
        <row r="9">
          <cell r="B9">
            <v>2023</v>
          </cell>
          <cell r="K9" t="str">
            <v>MARSHALL</v>
          </cell>
          <cell r="L9" t="str">
            <v>Marshall</v>
          </cell>
          <cell r="V9">
            <v>147500</v>
          </cell>
        </row>
        <row r="10">
          <cell r="B10">
            <v>2023</v>
          </cell>
          <cell r="K10" t="str">
            <v>POLK</v>
          </cell>
          <cell r="L10" t="str">
            <v>Polk</v>
          </cell>
          <cell r="V10">
            <v>73500</v>
          </cell>
        </row>
        <row r="11">
          <cell r="B11">
            <v>2023</v>
          </cell>
          <cell r="K11" t="str">
            <v>POWESHIEK</v>
          </cell>
          <cell r="L11" t="str">
            <v>Poweshiek</v>
          </cell>
          <cell r="V11">
            <v>140500</v>
          </cell>
        </row>
        <row r="12">
          <cell r="B12">
            <v>2023</v>
          </cell>
          <cell r="K12" t="str">
            <v>STORY</v>
          </cell>
          <cell r="L12" t="str">
            <v>Story</v>
          </cell>
          <cell r="V12">
            <v>152500</v>
          </cell>
        </row>
        <row r="13">
          <cell r="B13">
            <v>2023</v>
          </cell>
          <cell r="K13" t="str">
            <v>TAMA</v>
          </cell>
          <cell r="L13" t="str">
            <v>Tama</v>
          </cell>
          <cell r="V13">
            <v>165500</v>
          </cell>
        </row>
        <row r="14">
          <cell r="B14">
            <v>2023</v>
          </cell>
          <cell r="K14" t="str">
            <v>WEBSTER</v>
          </cell>
          <cell r="L14" t="str">
            <v>Webster</v>
          </cell>
          <cell r="V14">
            <v>195000</v>
          </cell>
        </row>
        <row r="15">
          <cell r="B15">
            <v>2023</v>
          </cell>
          <cell r="K15" t="str">
            <v>BENTON</v>
          </cell>
          <cell r="L15" t="str">
            <v>Benton</v>
          </cell>
          <cell r="V15">
            <v>192000</v>
          </cell>
        </row>
        <row r="16">
          <cell r="B16">
            <v>2023</v>
          </cell>
          <cell r="K16" t="str">
            <v>CEDAR</v>
          </cell>
          <cell r="L16" t="str">
            <v>Cedar</v>
          </cell>
          <cell r="V16">
            <v>152000</v>
          </cell>
        </row>
        <row r="17">
          <cell r="B17">
            <v>2023</v>
          </cell>
          <cell r="K17" t="str">
            <v>CLINTON</v>
          </cell>
          <cell r="L17" t="str">
            <v>Clinton</v>
          </cell>
          <cell r="V17">
            <v>187500</v>
          </cell>
        </row>
        <row r="18">
          <cell r="B18">
            <v>2023</v>
          </cell>
          <cell r="K18" t="str">
            <v>IOWA</v>
          </cell>
          <cell r="L18" t="str">
            <v>Iowa</v>
          </cell>
          <cell r="V18">
            <v>119000</v>
          </cell>
        </row>
        <row r="19">
          <cell r="B19">
            <v>2023</v>
          </cell>
          <cell r="K19" t="str">
            <v>JACKSON</v>
          </cell>
          <cell r="L19" t="str">
            <v>Jackson</v>
          </cell>
          <cell r="V19">
            <v>118500</v>
          </cell>
        </row>
        <row r="20">
          <cell r="B20">
            <v>2023</v>
          </cell>
          <cell r="K20" t="str">
            <v>JOHNSON</v>
          </cell>
          <cell r="L20" t="str">
            <v>Johnson</v>
          </cell>
          <cell r="V20">
            <v>106000</v>
          </cell>
        </row>
        <row r="21">
          <cell r="B21">
            <v>2023</v>
          </cell>
          <cell r="K21" t="str">
            <v>JONES</v>
          </cell>
          <cell r="L21" t="str">
            <v>Jones</v>
          </cell>
          <cell r="V21">
            <v>147000</v>
          </cell>
        </row>
        <row r="22">
          <cell r="B22">
            <v>2023</v>
          </cell>
          <cell r="K22" t="str">
            <v>LINN</v>
          </cell>
          <cell r="L22" t="str">
            <v>Linn</v>
          </cell>
          <cell r="V22">
            <v>147000</v>
          </cell>
        </row>
        <row r="23">
          <cell r="B23">
            <v>2023</v>
          </cell>
          <cell r="K23" t="str">
            <v>MUSCATINE</v>
          </cell>
          <cell r="L23" t="str">
            <v>Muscatine</v>
          </cell>
          <cell r="V23">
            <v>88700</v>
          </cell>
        </row>
        <row r="24">
          <cell r="B24">
            <v>2023</v>
          </cell>
          <cell r="K24" t="str">
            <v>SCOTT</v>
          </cell>
          <cell r="L24" t="str">
            <v>Scott</v>
          </cell>
          <cell r="V24">
            <v>104500</v>
          </cell>
        </row>
        <row r="25">
          <cell r="B25">
            <v>2023</v>
          </cell>
          <cell r="K25" t="str">
            <v>BUTLER</v>
          </cell>
          <cell r="L25" t="str">
            <v>Butler</v>
          </cell>
          <cell r="V25">
            <v>160500</v>
          </cell>
        </row>
        <row r="26">
          <cell r="B26">
            <v>2023</v>
          </cell>
          <cell r="K26" t="str">
            <v>FLOYD</v>
          </cell>
          <cell r="L26" t="str">
            <v>Floyd</v>
          </cell>
          <cell r="V26">
            <v>139500</v>
          </cell>
        </row>
        <row r="27">
          <cell r="B27">
            <v>2023</v>
          </cell>
          <cell r="K27" t="str">
            <v>FRANKLIN</v>
          </cell>
          <cell r="L27" t="str">
            <v>Franklin</v>
          </cell>
          <cell r="V27">
            <v>191000</v>
          </cell>
        </row>
        <row r="28">
          <cell r="B28">
            <v>2023</v>
          </cell>
          <cell r="K28" t="str">
            <v>HANCOCK</v>
          </cell>
          <cell r="L28" t="str">
            <v>Hancock</v>
          </cell>
          <cell r="V28">
            <v>184000</v>
          </cell>
        </row>
        <row r="29">
          <cell r="B29">
            <v>2023</v>
          </cell>
          <cell r="K29" t="str">
            <v>HUMBOLDT</v>
          </cell>
          <cell r="L29" t="str">
            <v>Humboldt</v>
          </cell>
          <cell r="V29">
            <v>129500</v>
          </cell>
        </row>
        <row r="30">
          <cell r="B30">
            <v>2023</v>
          </cell>
          <cell r="K30" t="str">
            <v>MITCHELL</v>
          </cell>
          <cell r="L30" t="str">
            <v>Mitchell</v>
          </cell>
          <cell r="V30">
            <v>151500</v>
          </cell>
        </row>
        <row r="31">
          <cell r="B31">
            <v>2023</v>
          </cell>
          <cell r="K31" t="str">
            <v>WINNEBAGO</v>
          </cell>
          <cell r="L31" t="str">
            <v>Winnebago</v>
          </cell>
          <cell r="V31">
            <v>120000</v>
          </cell>
        </row>
        <row r="32">
          <cell r="B32">
            <v>2023</v>
          </cell>
          <cell r="K32" t="str">
            <v>WORTH</v>
          </cell>
          <cell r="L32" t="str">
            <v>Worth</v>
          </cell>
          <cell r="V32">
            <v>111500</v>
          </cell>
        </row>
        <row r="33">
          <cell r="B33">
            <v>2023</v>
          </cell>
          <cell r="K33" t="str">
            <v>WRIGHT</v>
          </cell>
          <cell r="L33" t="str">
            <v>Wright</v>
          </cell>
          <cell r="V33">
            <v>171000</v>
          </cell>
        </row>
        <row r="34">
          <cell r="B34">
            <v>2023</v>
          </cell>
          <cell r="K34" t="str">
            <v>ALLAMAKEE</v>
          </cell>
          <cell r="L34" t="str">
            <v>Allamakee</v>
          </cell>
          <cell r="V34">
            <v>93200</v>
          </cell>
        </row>
        <row r="35">
          <cell r="B35">
            <v>2023</v>
          </cell>
          <cell r="K35" t="str">
            <v>BREMER</v>
          </cell>
          <cell r="L35" t="str">
            <v>Bremer</v>
          </cell>
          <cell r="V35">
            <v>121000</v>
          </cell>
        </row>
        <row r="36">
          <cell r="B36">
            <v>2023</v>
          </cell>
          <cell r="K36" t="str">
            <v>BUCHANAN</v>
          </cell>
          <cell r="L36" t="str">
            <v>Buchanan</v>
          </cell>
          <cell r="V36">
            <v>185500</v>
          </cell>
        </row>
        <row r="37">
          <cell r="B37">
            <v>2023</v>
          </cell>
          <cell r="K37" t="str">
            <v>CHICKASAW</v>
          </cell>
          <cell r="L37" t="str">
            <v>Chickasaw</v>
          </cell>
          <cell r="V37">
            <v>147000</v>
          </cell>
        </row>
        <row r="38">
          <cell r="B38">
            <v>2023</v>
          </cell>
          <cell r="K38" t="str">
            <v>CLAYTON</v>
          </cell>
          <cell r="L38" t="str">
            <v>Clayton</v>
          </cell>
          <cell r="V38">
            <v>140500</v>
          </cell>
        </row>
        <row r="39">
          <cell r="B39">
            <v>2023</v>
          </cell>
          <cell r="K39" t="str">
            <v>DELAWARE</v>
          </cell>
          <cell r="L39" t="str">
            <v>Delaware</v>
          </cell>
          <cell r="V39">
            <v>187500</v>
          </cell>
        </row>
        <row r="40">
          <cell r="B40">
            <v>2023</v>
          </cell>
          <cell r="K40" t="str">
            <v>DUBUQUE</v>
          </cell>
          <cell r="L40" t="str">
            <v>Dubuque</v>
          </cell>
          <cell r="V40">
            <v>148500</v>
          </cell>
        </row>
        <row r="41">
          <cell r="B41">
            <v>2023</v>
          </cell>
          <cell r="K41" t="str">
            <v>FAYETTE</v>
          </cell>
          <cell r="L41" t="str">
            <v>Fayette</v>
          </cell>
          <cell r="V41">
            <v>189000</v>
          </cell>
        </row>
        <row r="42">
          <cell r="B42">
            <v>2023</v>
          </cell>
          <cell r="K42" t="str">
            <v>HOWARD</v>
          </cell>
          <cell r="L42" t="str">
            <v>Howard</v>
          </cell>
          <cell r="V42">
            <v>133000</v>
          </cell>
        </row>
        <row r="43">
          <cell r="B43">
            <v>2023</v>
          </cell>
          <cell r="K43" t="str">
            <v>WINNESHIEK</v>
          </cell>
          <cell r="L43" t="str">
            <v>Winneshiek</v>
          </cell>
          <cell r="V43">
            <v>165500</v>
          </cell>
        </row>
        <row r="44">
          <cell r="B44">
            <v>2023</v>
          </cell>
          <cell r="K44" t="str">
            <v>BUENA VISTA</v>
          </cell>
          <cell r="L44" t="str">
            <v>Buena Vista</v>
          </cell>
          <cell r="V44">
            <v>162000</v>
          </cell>
        </row>
        <row r="45">
          <cell r="B45">
            <v>2023</v>
          </cell>
          <cell r="K45" t="str">
            <v>CHEROKEE</v>
          </cell>
          <cell r="L45" t="str">
            <v>Cherokee</v>
          </cell>
          <cell r="V45">
            <v>148500</v>
          </cell>
        </row>
        <row r="46">
          <cell r="B46">
            <v>2023</v>
          </cell>
          <cell r="K46" t="str">
            <v>CLAY</v>
          </cell>
          <cell r="L46" t="str">
            <v>Clay</v>
          </cell>
          <cell r="V46">
            <v>145000</v>
          </cell>
        </row>
        <row r="47">
          <cell r="B47">
            <v>2023</v>
          </cell>
          <cell r="K47" t="str">
            <v>DICKINSON</v>
          </cell>
          <cell r="L47" t="str">
            <v>Dickinson</v>
          </cell>
          <cell r="V47">
            <v>92500</v>
          </cell>
        </row>
        <row r="48">
          <cell r="B48">
            <v>2023</v>
          </cell>
          <cell r="K48" t="str">
            <v>LYON</v>
          </cell>
          <cell r="L48" t="str">
            <v>Lyon</v>
          </cell>
          <cell r="V48">
            <v>185500</v>
          </cell>
        </row>
        <row r="49">
          <cell r="B49">
            <v>2023</v>
          </cell>
          <cell r="K49" t="str">
            <v>O BRIEN</v>
          </cell>
          <cell r="L49" t="str">
            <v>O Brien</v>
          </cell>
          <cell r="V49">
            <v>170500</v>
          </cell>
        </row>
        <row r="50">
          <cell r="B50">
            <v>2023</v>
          </cell>
          <cell r="K50" t="str">
            <v>OSCEOLA</v>
          </cell>
          <cell r="L50" t="str">
            <v>Osceola</v>
          </cell>
          <cell r="V50">
            <v>118000</v>
          </cell>
        </row>
        <row r="51">
          <cell r="B51">
            <v>2023</v>
          </cell>
          <cell r="K51" t="str">
            <v>PALO ALTO</v>
          </cell>
          <cell r="L51" t="str">
            <v>Palo Alto</v>
          </cell>
          <cell r="V51">
            <v>160000</v>
          </cell>
        </row>
        <row r="52">
          <cell r="B52">
            <v>2023</v>
          </cell>
          <cell r="K52" t="str">
            <v>PLYMOUTH</v>
          </cell>
          <cell r="L52" t="str">
            <v>Plymouth</v>
          </cell>
          <cell r="V52">
            <v>234000</v>
          </cell>
        </row>
        <row r="53">
          <cell r="B53">
            <v>2023</v>
          </cell>
          <cell r="K53" t="str">
            <v>POCAHONTAS</v>
          </cell>
          <cell r="L53" t="str">
            <v>Pocahontas</v>
          </cell>
          <cell r="V53">
            <v>178500</v>
          </cell>
        </row>
        <row r="54">
          <cell r="B54">
            <v>2023</v>
          </cell>
          <cell r="K54" t="str">
            <v>SIOUX</v>
          </cell>
          <cell r="L54" t="str">
            <v>Sioux</v>
          </cell>
          <cell r="V54">
            <v>245500</v>
          </cell>
        </row>
        <row r="55">
          <cell r="B55">
            <v>2023</v>
          </cell>
          <cell r="K55" t="str">
            <v>APPANOOSE</v>
          </cell>
          <cell r="L55" t="str">
            <v>Appanoose</v>
          </cell>
          <cell r="V55">
            <v>38500</v>
          </cell>
        </row>
        <row r="56">
          <cell r="B56">
            <v>2023</v>
          </cell>
          <cell r="K56" t="str">
            <v>DECATUR</v>
          </cell>
          <cell r="L56" t="str">
            <v>Decatur</v>
          </cell>
          <cell r="V56">
            <v>43100</v>
          </cell>
        </row>
        <row r="57">
          <cell r="B57">
            <v>2023</v>
          </cell>
          <cell r="K57" t="str">
            <v>LUCAS</v>
          </cell>
          <cell r="L57" t="str">
            <v>Lucas</v>
          </cell>
          <cell r="V57">
            <v>36100</v>
          </cell>
        </row>
        <row r="58">
          <cell r="B58">
            <v>2023</v>
          </cell>
          <cell r="K58" t="str">
            <v>MADISON</v>
          </cell>
          <cell r="L58" t="str">
            <v>Madison</v>
          </cell>
          <cell r="V58">
            <v>64800</v>
          </cell>
        </row>
        <row r="59">
          <cell r="B59">
            <v>2023</v>
          </cell>
          <cell r="K59" t="str">
            <v>MARION</v>
          </cell>
          <cell r="L59" t="str">
            <v>Marion</v>
          </cell>
          <cell r="V59">
            <v>75300</v>
          </cell>
        </row>
        <row r="60">
          <cell r="B60">
            <v>2023</v>
          </cell>
          <cell r="K60" t="str">
            <v>MONROE</v>
          </cell>
          <cell r="L60" t="str">
            <v>Monroe</v>
          </cell>
          <cell r="V60">
            <v>29700</v>
          </cell>
        </row>
        <row r="61">
          <cell r="B61">
            <v>2023</v>
          </cell>
          <cell r="K61" t="str">
            <v>UNION</v>
          </cell>
          <cell r="L61" t="str">
            <v>Union</v>
          </cell>
          <cell r="V61">
            <v>59300</v>
          </cell>
        </row>
        <row r="62">
          <cell r="B62">
            <v>2023</v>
          </cell>
          <cell r="K62" t="str">
            <v>WARREN</v>
          </cell>
          <cell r="L62" t="str">
            <v>Warren</v>
          </cell>
          <cell r="V62">
            <v>61900</v>
          </cell>
        </row>
        <row r="63">
          <cell r="B63">
            <v>2023</v>
          </cell>
          <cell r="K63" t="str">
            <v>DAVIS</v>
          </cell>
          <cell r="L63" t="str">
            <v>Davis</v>
          </cell>
          <cell r="V63">
            <v>50900</v>
          </cell>
        </row>
        <row r="64">
          <cell r="B64">
            <v>2023</v>
          </cell>
          <cell r="K64" t="str">
            <v>DES MOINES</v>
          </cell>
          <cell r="L64" t="str">
            <v>Des Moines</v>
          </cell>
          <cell r="V64">
            <v>74200</v>
          </cell>
        </row>
        <row r="65">
          <cell r="B65">
            <v>2023</v>
          </cell>
          <cell r="K65" t="str">
            <v>HENRY</v>
          </cell>
          <cell r="L65" t="str">
            <v>Henry</v>
          </cell>
          <cell r="V65">
            <v>77300</v>
          </cell>
        </row>
        <row r="66">
          <cell r="B66">
            <v>2023</v>
          </cell>
          <cell r="K66" t="str">
            <v>JEFFERSON</v>
          </cell>
          <cell r="L66" t="str">
            <v>Jefferson</v>
          </cell>
          <cell r="V66">
            <v>72500</v>
          </cell>
        </row>
        <row r="67">
          <cell r="B67">
            <v>2023</v>
          </cell>
          <cell r="K67" t="str">
            <v>KEOKUK</v>
          </cell>
          <cell r="L67" t="str">
            <v>Keokuk</v>
          </cell>
          <cell r="V67">
            <v>121000</v>
          </cell>
        </row>
        <row r="68">
          <cell r="B68">
            <v>2023</v>
          </cell>
          <cell r="K68" t="str">
            <v>LEE</v>
          </cell>
          <cell r="L68" t="str">
            <v>Lee</v>
          </cell>
          <cell r="V68">
            <v>75600</v>
          </cell>
        </row>
        <row r="69">
          <cell r="B69">
            <v>2023</v>
          </cell>
          <cell r="K69" t="str">
            <v>MAHASKA</v>
          </cell>
          <cell r="L69" t="str">
            <v>Mahaska</v>
          </cell>
          <cell r="V69">
            <v>128000</v>
          </cell>
        </row>
        <row r="70">
          <cell r="B70">
            <v>2023</v>
          </cell>
          <cell r="K70" t="str">
            <v>VAN BUREN</v>
          </cell>
          <cell r="L70" t="str">
            <v>Van Buren</v>
          </cell>
          <cell r="V70">
            <v>51500</v>
          </cell>
        </row>
        <row r="71">
          <cell r="B71">
            <v>2023</v>
          </cell>
          <cell r="K71" t="str">
            <v>WAPELLO</v>
          </cell>
          <cell r="L71" t="str">
            <v>Wapello</v>
          </cell>
          <cell r="V71">
            <v>58400</v>
          </cell>
        </row>
        <row r="72">
          <cell r="B72">
            <v>2023</v>
          </cell>
          <cell r="K72" t="str">
            <v>WASHINGTON</v>
          </cell>
          <cell r="L72" t="str">
            <v>Washington</v>
          </cell>
          <cell r="V72">
            <v>115500</v>
          </cell>
        </row>
        <row r="73">
          <cell r="B73">
            <v>2023</v>
          </cell>
          <cell r="K73" t="str">
            <v>FREMONT</v>
          </cell>
          <cell r="L73" t="str">
            <v>Fremont</v>
          </cell>
          <cell r="V73">
            <v>119000</v>
          </cell>
        </row>
        <row r="74">
          <cell r="B74">
            <v>2023</v>
          </cell>
          <cell r="K74" t="str">
            <v>MILLS</v>
          </cell>
          <cell r="L74" t="str">
            <v>Mills</v>
          </cell>
          <cell r="V74">
            <v>95500</v>
          </cell>
        </row>
        <row r="75">
          <cell r="B75">
            <v>2023</v>
          </cell>
          <cell r="K75" t="str">
            <v>MONTGOMERY</v>
          </cell>
          <cell r="L75" t="str">
            <v>Montgomery</v>
          </cell>
          <cell r="V75">
            <v>94500</v>
          </cell>
        </row>
        <row r="76">
          <cell r="B76">
            <v>2023</v>
          </cell>
          <cell r="K76" t="str">
            <v>PAGE</v>
          </cell>
          <cell r="L76" t="str">
            <v>Page</v>
          </cell>
          <cell r="V76">
            <v>112000</v>
          </cell>
        </row>
        <row r="77">
          <cell r="B77">
            <v>2023</v>
          </cell>
          <cell r="K77" t="str">
            <v>POTTAWATTAMIE</v>
          </cell>
          <cell r="L77" t="str">
            <v>Pottawattamie</v>
          </cell>
          <cell r="V77">
            <v>240500</v>
          </cell>
        </row>
        <row r="78">
          <cell r="B78">
            <v>2023</v>
          </cell>
          <cell r="K78" t="str">
            <v>TAYLOR</v>
          </cell>
          <cell r="L78" t="str">
            <v>Taylor</v>
          </cell>
          <cell r="V78">
            <v>84500</v>
          </cell>
        </row>
        <row r="79">
          <cell r="B79">
            <v>2023</v>
          </cell>
          <cell r="K79" t="str">
            <v>AUDUBON</v>
          </cell>
          <cell r="L79" t="str">
            <v>Audubon</v>
          </cell>
          <cell r="V79">
            <v>107500</v>
          </cell>
        </row>
        <row r="80">
          <cell r="B80">
            <v>2023</v>
          </cell>
          <cell r="K80" t="str">
            <v>CALHOUN</v>
          </cell>
          <cell r="L80" t="str">
            <v>Calhoun</v>
          </cell>
          <cell r="V80">
            <v>168000</v>
          </cell>
        </row>
        <row r="81">
          <cell r="B81">
            <v>2023</v>
          </cell>
          <cell r="K81" t="str">
            <v>CARROLL</v>
          </cell>
          <cell r="L81" t="str">
            <v>Carroll</v>
          </cell>
          <cell r="V81">
            <v>173500</v>
          </cell>
        </row>
        <row r="82">
          <cell r="B82">
            <v>2023</v>
          </cell>
          <cell r="K82" t="str">
            <v>CRAWFORD</v>
          </cell>
          <cell r="L82" t="str">
            <v>Crawford</v>
          </cell>
          <cell r="V82">
            <v>197500</v>
          </cell>
        </row>
        <row r="83">
          <cell r="B83">
            <v>2023</v>
          </cell>
          <cell r="K83" t="str">
            <v>GREENE</v>
          </cell>
          <cell r="L83" t="str">
            <v>Greene</v>
          </cell>
          <cell r="V83">
            <v>163500</v>
          </cell>
        </row>
        <row r="84">
          <cell r="B84">
            <v>2023</v>
          </cell>
          <cell r="K84" t="str">
            <v>HARRISON</v>
          </cell>
          <cell r="L84" t="str">
            <v>Harrison</v>
          </cell>
          <cell r="V84">
            <v>175000</v>
          </cell>
        </row>
        <row r="85">
          <cell r="B85">
            <v>2023</v>
          </cell>
          <cell r="K85" t="str">
            <v>IDA</v>
          </cell>
          <cell r="L85" t="str">
            <v>Ida</v>
          </cell>
          <cell r="V85">
            <v>126500</v>
          </cell>
        </row>
        <row r="86">
          <cell r="B86">
            <v>2023</v>
          </cell>
          <cell r="K86" t="str">
            <v>MONONA</v>
          </cell>
          <cell r="L86" t="str">
            <v>Monona</v>
          </cell>
          <cell r="V86">
            <v>170000</v>
          </cell>
        </row>
        <row r="87">
          <cell r="B87">
            <v>2023</v>
          </cell>
          <cell r="K87" t="str">
            <v>SAC</v>
          </cell>
          <cell r="L87" t="str">
            <v>Sac</v>
          </cell>
          <cell r="V87">
            <v>166500</v>
          </cell>
        </row>
        <row r="88">
          <cell r="B88">
            <v>2023</v>
          </cell>
          <cell r="K88" t="str">
            <v>SHELBY</v>
          </cell>
          <cell r="L88" t="str">
            <v>Shelby</v>
          </cell>
          <cell r="V88">
            <v>170500</v>
          </cell>
        </row>
        <row r="89">
          <cell r="B89">
            <v>2023</v>
          </cell>
          <cell r="K89" t="str">
            <v>WOODBURY</v>
          </cell>
          <cell r="L89" t="str">
            <v>Woodbury</v>
          </cell>
          <cell r="V89">
            <v>211000</v>
          </cell>
        </row>
        <row r="90">
          <cell r="B90">
            <v>2022</v>
          </cell>
          <cell r="K90" t="str">
            <v>OTHER COUNTIES</v>
          </cell>
          <cell r="L90" t="str">
            <v>Other Counties</v>
          </cell>
          <cell r="V90">
            <v>100400</v>
          </cell>
        </row>
        <row r="91">
          <cell r="B91">
            <v>2022</v>
          </cell>
          <cell r="K91" t="str">
            <v>BOONE</v>
          </cell>
          <cell r="L91" t="str">
            <v>Boone</v>
          </cell>
          <cell r="V91">
            <v>152500</v>
          </cell>
        </row>
        <row r="92">
          <cell r="B92">
            <v>2022</v>
          </cell>
          <cell r="K92" t="str">
            <v>DALLAS</v>
          </cell>
          <cell r="L92" t="str">
            <v>Dallas</v>
          </cell>
          <cell r="V92">
            <v>130000</v>
          </cell>
        </row>
        <row r="93">
          <cell r="B93">
            <v>2022</v>
          </cell>
          <cell r="K93" t="str">
            <v>GRUNDY</v>
          </cell>
          <cell r="L93" t="str">
            <v>Grundy</v>
          </cell>
          <cell r="V93">
            <v>155500</v>
          </cell>
        </row>
        <row r="94">
          <cell r="B94">
            <v>2022</v>
          </cell>
          <cell r="K94" t="str">
            <v>HAMILTON</v>
          </cell>
          <cell r="L94" t="str">
            <v>Hamilton</v>
          </cell>
          <cell r="V94">
            <v>181000</v>
          </cell>
        </row>
        <row r="95">
          <cell r="B95">
            <v>2022</v>
          </cell>
          <cell r="K95" t="str">
            <v>HARDIN</v>
          </cell>
          <cell r="L95" t="str">
            <v>Hardin</v>
          </cell>
          <cell r="V95">
            <v>174000</v>
          </cell>
        </row>
        <row r="96">
          <cell r="B96">
            <v>2022</v>
          </cell>
          <cell r="K96" t="str">
            <v>JASPER</v>
          </cell>
          <cell r="L96" t="str">
            <v>Jasper</v>
          </cell>
          <cell r="V96">
            <v>173000</v>
          </cell>
        </row>
        <row r="97">
          <cell r="B97">
            <v>2022</v>
          </cell>
          <cell r="K97" t="str">
            <v>MARSHALL</v>
          </cell>
          <cell r="L97" t="str">
            <v>Marshall</v>
          </cell>
          <cell r="V97">
            <v>149500</v>
          </cell>
        </row>
        <row r="98">
          <cell r="B98">
            <v>2022</v>
          </cell>
          <cell r="K98" t="str">
            <v>POLK</v>
          </cell>
          <cell r="L98" t="str">
            <v>Polk</v>
          </cell>
          <cell r="V98">
            <v>71700</v>
          </cell>
        </row>
        <row r="99">
          <cell r="B99">
            <v>2022</v>
          </cell>
          <cell r="K99" t="str">
            <v>POWESHIEK</v>
          </cell>
          <cell r="L99" t="str">
            <v>Poweshiek</v>
          </cell>
          <cell r="V99">
            <v>139500</v>
          </cell>
        </row>
        <row r="100">
          <cell r="B100">
            <v>2022</v>
          </cell>
          <cell r="K100" t="str">
            <v>STORY</v>
          </cell>
          <cell r="L100" t="str">
            <v>Story</v>
          </cell>
          <cell r="V100">
            <v>158000</v>
          </cell>
        </row>
        <row r="101">
          <cell r="B101">
            <v>2022</v>
          </cell>
          <cell r="K101" t="str">
            <v>TAMA</v>
          </cell>
          <cell r="L101" t="str">
            <v>Tama</v>
          </cell>
          <cell r="V101">
            <v>170500</v>
          </cell>
        </row>
        <row r="102">
          <cell r="B102">
            <v>2022</v>
          </cell>
          <cell r="K102" t="str">
            <v>WEBSTER</v>
          </cell>
          <cell r="L102" t="str">
            <v>Webster</v>
          </cell>
          <cell r="V102">
            <v>195000</v>
          </cell>
        </row>
        <row r="103">
          <cell r="B103">
            <v>2022</v>
          </cell>
          <cell r="K103" t="str">
            <v>BENTON</v>
          </cell>
          <cell r="L103" t="str">
            <v>Benton</v>
          </cell>
          <cell r="V103">
            <v>188000</v>
          </cell>
        </row>
        <row r="104">
          <cell r="B104">
            <v>2022</v>
          </cell>
          <cell r="K104" t="str">
            <v>CEDAR</v>
          </cell>
          <cell r="L104" t="str">
            <v>Cedar</v>
          </cell>
          <cell r="V104">
            <v>149500</v>
          </cell>
        </row>
        <row r="105">
          <cell r="B105">
            <v>2022</v>
          </cell>
          <cell r="K105" t="str">
            <v>CLINTON</v>
          </cell>
          <cell r="L105" t="str">
            <v>Clinton</v>
          </cell>
          <cell r="V105">
            <v>184000</v>
          </cell>
        </row>
        <row r="106">
          <cell r="B106">
            <v>2022</v>
          </cell>
          <cell r="K106" t="str">
            <v>IOWA</v>
          </cell>
          <cell r="L106" t="str">
            <v>Iowa</v>
          </cell>
          <cell r="V106">
            <v>122000</v>
          </cell>
        </row>
        <row r="107">
          <cell r="B107">
            <v>2022</v>
          </cell>
          <cell r="K107" t="str">
            <v>JACKSON</v>
          </cell>
          <cell r="L107" t="str">
            <v>Jackson</v>
          </cell>
          <cell r="V107">
            <v>114500</v>
          </cell>
        </row>
        <row r="108">
          <cell r="B108">
            <v>2022</v>
          </cell>
          <cell r="K108" t="str">
            <v>JOHNSON</v>
          </cell>
          <cell r="L108" t="str">
            <v>Johnson</v>
          </cell>
          <cell r="V108">
            <v>99900</v>
          </cell>
        </row>
        <row r="109">
          <cell r="B109">
            <v>2022</v>
          </cell>
          <cell r="K109" t="str">
            <v>JONES</v>
          </cell>
          <cell r="L109" t="str">
            <v>Jones</v>
          </cell>
          <cell r="V109">
            <v>148500</v>
          </cell>
        </row>
        <row r="110">
          <cell r="B110">
            <v>2022</v>
          </cell>
          <cell r="K110" t="str">
            <v>LINN</v>
          </cell>
          <cell r="L110" t="str">
            <v>Linn</v>
          </cell>
          <cell r="V110">
            <v>143000</v>
          </cell>
        </row>
        <row r="111">
          <cell r="B111">
            <v>2022</v>
          </cell>
          <cell r="K111" t="str">
            <v>MUSCATINE</v>
          </cell>
          <cell r="L111" t="str">
            <v>Muscatine</v>
          </cell>
          <cell r="V111">
            <v>89000</v>
          </cell>
        </row>
        <row r="112">
          <cell r="B112">
            <v>2022</v>
          </cell>
          <cell r="K112" t="str">
            <v>SCOTT</v>
          </cell>
          <cell r="L112" t="str">
            <v>Scott</v>
          </cell>
          <cell r="V112">
            <v>104500</v>
          </cell>
        </row>
        <row r="113">
          <cell r="B113">
            <v>2022</v>
          </cell>
          <cell r="K113" t="str">
            <v>BUTLER</v>
          </cell>
          <cell r="L113" t="str">
            <v>Butler</v>
          </cell>
          <cell r="V113">
            <v>162000</v>
          </cell>
        </row>
        <row r="114">
          <cell r="B114">
            <v>2022</v>
          </cell>
          <cell r="K114" t="str">
            <v>CERRO GORDO</v>
          </cell>
          <cell r="L114" t="str">
            <v>Cerro Gordo</v>
          </cell>
          <cell r="V114">
            <v>163500</v>
          </cell>
        </row>
        <row r="115">
          <cell r="B115">
            <v>2022</v>
          </cell>
          <cell r="K115" t="str">
            <v>FLOYD</v>
          </cell>
          <cell r="L115" t="str">
            <v>Floyd</v>
          </cell>
          <cell r="V115">
            <v>140500</v>
          </cell>
        </row>
        <row r="116">
          <cell r="B116">
            <v>2022</v>
          </cell>
          <cell r="K116" t="str">
            <v>FRANKLIN</v>
          </cell>
          <cell r="L116" t="str">
            <v>Franklin</v>
          </cell>
          <cell r="V116">
            <v>188500</v>
          </cell>
        </row>
        <row r="117">
          <cell r="B117">
            <v>2022</v>
          </cell>
          <cell r="K117" t="str">
            <v>HANCOCK</v>
          </cell>
          <cell r="L117" t="str">
            <v>Hancock</v>
          </cell>
          <cell r="V117">
            <v>170500</v>
          </cell>
        </row>
        <row r="118">
          <cell r="B118">
            <v>2022</v>
          </cell>
          <cell r="K118" t="str">
            <v>HUMBOLDT</v>
          </cell>
          <cell r="L118" t="str">
            <v>Humboldt</v>
          </cell>
          <cell r="V118">
            <v>128000</v>
          </cell>
        </row>
        <row r="119">
          <cell r="B119">
            <v>2022</v>
          </cell>
          <cell r="K119" t="str">
            <v>KOSSUTH</v>
          </cell>
          <cell r="L119" t="str">
            <v>Kossuth</v>
          </cell>
          <cell r="V119">
            <v>292000</v>
          </cell>
        </row>
        <row r="120">
          <cell r="B120">
            <v>2022</v>
          </cell>
          <cell r="K120" t="str">
            <v>MITCHELL</v>
          </cell>
          <cell r="L120" t="str">
            <v>Mitchell</v>
          </cell>
          <cell r="V120">
            <v>148000</v>
          </cell>
        </row>
        <row r="121">
          <cell r="B121">
            <v>2022</v>
          </cell>
          <cell r="K121" t="str">
            <v>WINNEBAGO</v>
          </cell>
          <cell r="L121" t="str">
            <v>Winnebago</v>
          </cell>
          <cell r="V121">
            <v>115000</v>
          </cell>
        </row>
        <row r="122">
          <cell r="B122">
            <v>2022</v>
          </cell>
          <cell r="K122" t="str">
            <v>WORTH</v>
          </cell>
          <cell r="L122" t="str">
            <v>Worth</v>
          </cell>
          <cell r="V122">
            <v>112000</v>
          </cell>
        </row>
        <row r="123">
          <cell r="B123">
            <v>2022</v>
          </cell>
          <cell r="K123" t="str">
            <v>WRIGHT</v>
          </cell>
          <cell r="L123" t="str">
            <v>Wright</v>
          </cell>
          <cell r="V123">
            <v>173500</v>
          </cell>
        </row>
        <row r="124">
          <cell r="B124">
            <v>2022</v>
          </cell>
          <cell r="K124" t="str">
            <v>ALLAMAKEE</v>
          </cell>
          <cell r="L124" t="str">
            <v>Allamakee</v>
          </cell>
          <cell r="V124">
            <v>90900</v>
          </cell>
        </row>
        <row r="125">
          <cell r="B125">
            <v>2022</v>
          </cell>
          <cell r="K125" t="str">
            <v>BLACK HAWK</v>
          </cell>
          <cell r="L125" t="str">
            <v>Black Hawk</v>
          </cell>
          <cell r="V125">
            <v>134000</v>
          </cell>
        </row>
        <row r="126">
          <cell r="B126">
            <v>2022</v>
          </cell>
          <cell r="K126" t="str">
            <v>BREMER</v>
          </cell>
          <cell r="L126" t="str">
            <v>Bremer</v>
          </cell>
          <cell r="V126">
            <v>114500</v>
          </cell>
        </row>
        <row r="127">
          <cell r="B127">
            <v>2022</v>
          </cell>
          <cell r="K127" t="str">
            <v>BUCHANAN</v>
          </cell>
          <cell r="L127" t="str">
            <v>Buchanan</v>
          </cell>
          <cell r="V127">
            <v>170500</v>
          </cell>
        </row>
        <row r="128">
          <cell r="B128">
            <v>2022</v>
          </cell>
          <cell r="K128" t="str">
            <v>CHICKASAW</v>
          </cell>
          <cell r="L128" t="str">
            <v>Chickasaw</v>
          </cell>
          <cell r="V128">
            <v>146000</v>
          </cell>
        </row>
        <row r="129">
          <cell r="B129">
            <v>2022</v>
          </cell>
          <cell r="K129" t="str">
            <v>CLAYTON</v>
          </cell>
          <cell r="L129" t="str">
            <v>Clayton</v>
          </cell>
          <cell r="V129">
            <v>136500</v>
          </cell>
        </row>
        <row r="130">
          <cell r="B130">
            <v>2022</v>
          </cell>
          <cell r="K130" t="str">
            <v>DELAWARE</v>
          </cell>
          <cell r="L130" t="str">
            <v>Delaware</v>
          </cell>
          <cell r="V130">
            <v>178000</v>
          </cell>
        </row>
        <row r="131">
          <cell r="B131">
            <v>2022</v>
          </cell>
          <cell r="K131" t="str">
            <v>DUBUQUE</v>
          </cell>
          <cell r="L131" t="str">
            <v>Dubuque</v>
          </cell>
          <cell r="V131">
            <v>145000</v>
          </cell>
        </row>
        <row r="132">
          <cell r="B132">
            <v>2022</v>
          </cell>
          <cell r="K132" t="str">
            <v>FAYETTE</v>
          </cell>
          <cell r="L132" t="str">
            <v>Fayette</v>
          </cell>
          <cell r="V132">
            <v>184000</v>
          </cell>
        </row>
        <row r="133">
          <cell r="B133">
            <v>2022</v>
          </cell>
          <cell r="K133" t="str">
            <v>HOWARD</v>
          </cell>
          <cell r="L133" t="str">
            <v>Howard</v>
          </cell>
          <cell r="V133">
            <v>134500</v>
          </cell>
        </row>
        <row r="134">
          <cell r="B134">
            <v>2022</v>
          </cell>
          <cell r="K134" t="str">
            <v>WINNESHIEK</v>
          </cell>
          <cell r="L134" t="str">
            <v>Winneshiek</v>
          </cell>
          <cell r="V134">
            <v>157500</v>
          </cell>
        </row>
        <row r="135">
          <cell r="B135">
            <v>2022</v>
          </cell>
          <cell r="K135" t="str">
            <v>BUENA VISTA</v>
          </cell>
          <cell r="L135" t="str">
            <v>Buena Vista</v>
          </cell>
          <cell r="V135">
            <v>162000</v>
          </cell>
        </row>
        <row r="136">
          <cell r="B136">
            <v>2022</v>
          </cell>
          <cell r="K136" t="str">
            <v>CHEROKEE</v>
          </cell>
          <cell r="L136" t="str">
            <v>Cherokee</v>
          </cell>
          <cell r="V136">
            <v>147500</v>
          </cell>
        </row>
        <row r="137">
          <cell r="B137">
            <v>2022</v>
          </cell>
          <cell r="K137" t="str">
            <v>CLAY</v>
          </cell>
          <cell r="L137" t="str">
            <v>Clay</v>
          </cell>
          <cell r="V137">
            <v>149000</v>
          </cell>
        </row>
        <row r="138">
          <cell r="B138">
            <v>2022</v>
          </cell>
          <cell r="K138" t="str">
            <v>DICKINSON</v>
          </cell>
          <cell r="L138" t="str">
            <v>Dickinson</v>
          </cell>
          <cell r="V138">
            <v>94100</v>
          </cell>
        </row>
        <row r="139">
          <cell r="B139">
            <v>2022</v>
          </cell>
          <cell r="K139" t="str">
            <v>EMMET</v>
          </cell>
          <cell r="L139" t="str">
            <v>Emmet</v>
          </cell>
          <cell r="V139">
            <v>110500</v>
          </cell>
        </row>
        <row r="140">
          <cell r="B140">
            <v>2022</v>
          </cell>
          <cell r="K140" t="str">
            <v>LYON</v>
          </cell>
          <cell r="L140" t="str">
            <v>Lyon</v>
          </cell>
          <cell r="V140">
            <v>182500</v>
          </cell>
        </row>
        <row r="141">
          <cell r="B141">
            <v>2022</v>
          </cell>
          <cell r="K141" t="str">
            <v>O BRIEN</v>
          </cell>
          <cell r="L141" t="str">
            <v>O Brien</v>
          </cell>
          <cell r="V141">
            <v>167000</v>
          </cell>
        </row>
        <row r="142">
          <cell r="B142">
            <v>2022</v>
          </cell>
          <cell r="K142" t="str">
            <v>OSCEOLA</v>
          </cell>
          <cell r="L142" t="str">
            <v>Osceola</v>
          </cell>
          <cell r="V142">
            <v>119000</v>
          </cell>
        </row>
        <row r="143">
          <cell r="B143">
            <v>2022</v>
          </cell>
          <cell r="K143" t="str">
            <v>PALO ALTO</v>
          </cell>
          <cell r="L143" t="str">
            <v>Palo Alto</v>
          </cell>
          <cell r="V143">
            <v>166500</v>
          </cell>
        </row>
        <row r="144">
          <cell r="B144">
            <v>2022</v>
          </cell>
          <cell r="K144" t="str">
            <v>PLYMOUTH</v>
          </cell>
          <cell r="L144" t="str">
            <v>Plymouth</v>
          </cell>
          <cell r="V144">
            <v>232000</v>
          </cell>
        </row>
        <row r="145">
          <cell r="B145">
            <v>2022</v>
          </cell>
          <cell r="K145" t="str">
            <v>POCAHONTAS</v>
          </cell>
          <cell r="L145" t="str">
            <v>Pocahontas</v>
          </cell>
          <cell r="V145">
            <v>175000</v>
          </cell>
        </row>
        <row r="146">
          <cell r="B146">
            <v>2022</v>
          </cell>
          <cell r="K146" t="str">
            <v>SIOUX</v>
          </cell>
          <cell r="L146" t="str">
            <v>Sioux</v>
          </cell>
          <cell r="V146">
            <v>246000</v>
          </cell>
        </row>
        <row r="147">
          <cell r="B147">
            <v>2022</v>
          </cell>
          <cell r="K147" t="str">
            <v>APPANOOSE</v>
          </cell>
          <cell r="L147" t="str">
            <v>Appanoose</v>
          </cell>
          <cell r="V147">
            <v>30000</v>
          </cell>
        </row>
        <row r="148">
          <cell r="B148">
            <v>2022</v>
          </cell>
          <cell r="K148" t="str">
            <v>DECATUR</v>
          </cell>
          <cell r="L148" t="str">
            <v>Decatur</v>
          </cell>
          <cell r="V148">
            <v>32300</v>
          </cell>
        </row>
        <row r="149">
          <cell r="B149">
            <v>2022</v>
          </cell>
          <cell r="K149" t="str">
            <v>LUCAS</v>
          </cell>
          <cell r="L149" t="str">
            <v>Lucas</v>
          </cell>
          <cell r="V149">
            <v>31600</v>
          </cell>
        </row>
        <row r="150">
          <cell r="B150">
            <v>2022</v>
          </cell>
          <cell r="K150" t="str">
            <v>MADISON</v>
          </cell>
          <cell r="L150" t="str">
            <v>Madison</v>
          </cell>
          <cell r="V150">
            <v>69300</v>
          </cell>
        </row>
        <row r="151">
          <cell r="B151">
            <v>2022</v>
          </cell>
          <cell r="K151" t="str">
            <v>MARION</v>
          </cell>
          <cell r="L151" t="str">
            <v>Marion</v>
          </cell>
          <cell r="V151">
            <v>74800</v>
          </cell>
        </row>
        <row r="152">
          <cell r="B152">
            <v>2022</v>
          </cell>
          <cell r="K152" t="str">
            <v>MONROE</v>
          </cell>
          <cell r="L152" t="str">
            <v>Monroe</v>
          </cell>
          <cell r="V152">
            <v>23500</v>
          </cell>
        </row>
        <row r="153">
          <cell r="B153">
            <v>2022</v>
          </cell>
          <cell r="K153" t="str">
            <v>RINGGOLD</v>
          </cell>
          <cell r="L153" t="str">
            <v>Ringgold</v>
          </cell>
          <cell r="V153">
            <v>53000</v>
          </cell>
        </row>
        <row r="154">
          <cell r="B154">
            <v>2022</v>
          </cell>
          <cell r="K154" t="str">
            <v>UNION</v>
          </cell>
          <cell r="L154" t="str">
            <v>Union</v>
          </cell>
          <cell r="V154">
            <v>54500</v>
          </cell>
        </row>
        <row r="155">
          <cell r="B155">
            <v>2022</v>
          </cell>
          <cell r="K155" t="str">
            <v>WARREN</v>
          </cell>
          <cell r="L155" t="str">
            <v>Warren</v>
          </cell>
          <cell r="V155">
            <v>60800</v>
          </cell>
        </row>
        <row r="156">
          <cell r="B156">
            <v>2022</v>
          </cell>
          <cell r="K156" t="str">
            <v>WAYNE</v>
          </cell>
          <cell r="L156" t="str">
            <v>Wayne</v>
          </cell>
          <cell r="V156">
            <v>55500</v>
          </cell>
        </row>
        <row r="157">
          <cell r="B157">
            <v>2022</v>
          </cell>
          <cell r="K157" t="str">
            <v>DAVIS</v>
          </cell>
          <cell r="L157" t="str">
            <v>Davis</v>
          </cell>
          <cell r="V157">
            <v>43600</v>
          </cell>
        </row>
        <row r="158">
          <cell r="B158">
            <v>2022</v>
          </cell>
          <cell r="K158" t="str">
            <v>DES MOINES</v>
          </cell>
          <cell r="L158" t="str">
            <v>Des Moines</v>
          </cell>
          <cell r="V158">
            <v>69900</v>
          </cell>
        </row>
        <row r="159">
          <cell r="B159">
            <v>2022</v>
          </cell>
          <cell r="K159" t="str">
            <v>HENRY</v>
          </cell>
          <cell r="L159" t="str">
            <v>Henry</v>
          </cell>
          <cell r="V159">
            <v>78300</v>
          </cell>
        </row>
        <row r="160">
          <cell r="B160">
            <v>2022</v>
          </cell>
          <cell r="K160" t="str">
            <v>JEFFERSON</v>
          </cell>
          <cell r="L160" t="str">
            <v>Jefferson</v>
          </cell>
          <cell r="V160">
            <v>69800</v>
          </cell>
        </row>
        <row r="161">
          <cell r="B161">
            <v>2022</v>
          </cell>
          <cell r="K161" t="str">
            <v>KEOKUK</v>
          </cell>
          <cell r="L161" t="str">
            <v>Keokuk</v>
          </cell>
          <cell r="V161">
            <v>118500</v>
          </cell>
        </row>
        <row r="162">
          <cell r="B162">
            <v>2022</v>
          </cell>
          <cell r="K162" t="str">
            <v>LEE</v>
          </cell>
          <cell r="L162" t="str">
            <v>Lee</v>
          </cell>
          <cell r="V162">
            <v>72600</v>
          </cell>
        </row>
        <row r="163">
          <cell r="B163">
            <v>2022</v>
          </cell>
          <cell r="K163" t="str">
            <v>LOUISA</v>
          </cell>
          <cell r="L163" t="str">
            <v>Louisa</v>
          </cell>
          <cell r="V163">
            <v>78000</v>
          </cell>
        </row>
        <row r="164">
          <cell r="B164">
            <v>2022</v>
          </cell>
          <cell r="K164" t="str">
            <v>MAHASKA</v>
          </cell>
          <cell r="L164" t="str">
            <v>Mahaska</v>
          </cell>
          <cell r="V164">
            <v>127500</v>
          </cell>
        </row>
        <row r="165">
          <cell r="B165">
            <v>2022</v>
          </cell>
          <cell r="K165" t="str">
            <v>VAN BUREN</v>
          </cell>
          <cell r="L165" t="str">
            <v>Van Buren</v>
          </cell>
          <cell r="V165">
            <v>54200</v>
          </cell>
        </row>
        <row r="166">
          <cell r="B166">
            <v>2022</v>
          </cell>
          <cell r="K166" t="str">
            <v>WAPELLO</v>
          </cell>
          <cell r="L166" t="str">
            <v>Wapello</v>
          </cell>
          <cell r="V166">
            <v>55500</v>
          </cell>
        </row>
        <row r="167">
          <cell r="B167">
            <v>2022</v>
          </cell>
          <cell r="K167" t="str">
            <v>WASHINGTON</v>
          </cell>
          <cell r="L167" t="str">
            <v>Washington</v>
          </cell>
          <cell r="V167">
            <v>114500</v>
          </cell>
        </row>
        <row r="168">
          <cell r="B168">
            <v>2022</v>
          </cell>
          <cell r="K168" t="str">
            <v>ADAIR</v>
          </cell>
          <cell r="L168" t="str">
            <v>Adair</v>
          </cell>
          <cell r="V168">
            <v>110500</v>
          </cell>
        </row>
        <row r="169">
          <cell r="B169">
            <v>2022</v>
          </cell>
          <cell r="K169" t="str">
            <v>CASS</v>
          </cell>
          <cell r="L169" t="str">
            <v>Cass</v>
          </cell>
          <cell r="V169">
            <v>127500</v>
          </cell>
        </row>
        <row r="170">
          <cell r="B170">
            <v>2022</v>
          </cell>
          <cell r="K170" t="str">
            <v>FREMONT</v>
          </cell>
          <cell r="L170" t="str">
            <v>Fremont</v>
          </cell>
          <cell r="V170">
            <v>113000</v>
          </cell>
        </row>
        <row r="171">
          <cell r="B171">
            <v>2022</v>
          </cell>
          <cell r="K171" t="str">
            <v>MILLS</v>
          </cell>
          <cell r="L171" t="str">
            <v>Mills</v>
          </cell>
          <cell r="V171">
            <v>95900</v>
          </cell>
        </row>
        <row r="172">
          <cell r="B172">
            <v>2022</v>
          </cell>
          <cell r="K172" t="str">
            <v>MONTGOMERY</v>
          </cell>
          <cell r="L172" t="str">
            <v>Montgomery</v>
          </cell>
          <cell r="V172">
            <v>92000</v>
          </cell>
        </row>
        <row r="173">
          <cell r="B173">
            <v>2022</v>
          </cell>
          <cell r="K173" t="str">
            <v>PAGE</v>
          </cell>
          <cell r="L173" t="str">
            <v>Page</v>
          </cell>
          <cell r="V173">
            <v>115500</v>
          </cell>
        </row>
        <row r="174">
          <cell r="B174">
            <v>2022</v>
          </cell>
          <cell r="K174" t="str">
            <v>POTTAWATTAMIE</v>
          </cell>
          <cell r="L174" t="str">
            <v>Pottawattamie</v>
          </cell>
          <cell r="V174">
            <v>235500</v>
          </cell>
        </row>
        <row r="175">
          <cell r="B175">
            <v>2022</v>
          </cell>
          <cell r="K175" t="str">
            <v>TAYLOR</v>
          </cell>
          <cell r="L175" t="str">
            <v>Taylor</v>
          </cell>
          <cell r="V175">
            <v>80900</v>
          </cell>
        </row>
        <row r="176">
          <cell r="B176">
            <v>2022</v>
          </cell>
          <cell r="K176" t="str">
            <v>AUDUBON</v>
          </cell>
          <cell r="L176" t="str">
            <v>Audubon</v>
          </cell>
          <cell r="V176">
            <v>110500</v>
          </cell>
        </row>
        <row r="177">
          <cell r="B177">
            <v>2022</v>
          </cell>
          <cell r="K177" t="str">
            <v>CALHOUN</v>
          </cell>
          <cell r="L177" t="str">
            <v>Calhoun</v>
          </cell>
          <cell r="V177">
            <v>175500</v>
          </cell>
        </row>
        <row r="178">
          <cell r="B178">
            <v>2022</v>
          </cell>
          <cell r="K178" t="str">
            <v>CARROLL</v>
          </cell>
          <cell r="L178" t="str">
            <v>Carroll</v>
          </cell>
          <cell r="V178">
            <v>176000</v>
          </cell>
        </row>
        <row r="179">
          <cell r="B179">
            <v>2022</v>
          </cell>
          <cell r="K179" t="str">
            <v>CRAWFORD</v>
          </cell>
          <cell r="L179" t="str">
            <v>Crawford</v>
          </cell>
          <cell r="V179">
            <v>202500</v>
          </cell>
        </row>
        <row r="180">
          <cell r="B180">
            <v>2022</v>
          </cell>
          <cell r="K180" t="str">
            <v>GREENE</v>
          </cell>
          <cell r="L180" t="str">
            <v>Greene</v>
          </cell>
          <cell r="V180">
            <v>165000</v>
          </cell>
        </row>
        <row r="181">
          <cell r="B181">
            <v>2022</v>
          </cell>
          <cell r="K181" t="str">
            <v>GUTHRIE</v>
          </cell>
          <cell r="L181" t="str">
            <v>Guthrie</v>
          </cell>
          <cell r="V181">
            <v>106500</v>
          </cell>
        </row>
        <row r="182">
          <cell r="B182">
            <v>2022</v>
          </cell>
          <cell r="K182" t="str">
            <v>HARRISON</v>
          </cell>
          <cell r="L182" t="str">
            <v>Harrison</v>
          </cell>
          <cell r="V182">
            <v>176000</v>
          </cell>
        </row>
        <row r="183">
          <cell r="B183">
            <v>2022</v>
          </cell>
          <cell r="K183" t="str">
            <v>IDA</v>
          </cell>
          <cell r="L183" t="str">
            <v>Ida</v>
          </cell>
          <cell r="V183">
            <v>122500</v>
          </cell>
        </row>
        <row r="184">
          <cell r="B184">
            <v>2022</v>
          </cell>
          <cell r="K184" t="str">
            <v>MONONA</v>
          </cell>
          <cell r="L184" t="str">
            <v>Monona</v>
          </cell>
          <cell r="V184">
            <v>167000</v>
          </cell>
        </row>
        <row r="185">
          <cell r="B185">
            <v>2022</v>
          </cell>
          <cell r="K185" t="str">
            <v>SAC</v>
          </cell>
          <cell r="L185" t="str">
            <v>Sac</v>
          </cell>
          <cell r="V185">
            <v>164500</v>
          </cell>
        </row>
        <row r="186">
          <cell r="B186">
            <v>2022</v>
          </cell>
          <cell r="K186" t="str">
            <v>SHELBY</v>
          </cell>
          <cell r="L186" t="str">
            <v>Shelby</v>
          </cell>
          <cell r="V186">
            <v>167000</v>
          </cell>
        </row>
        <row r="187">
          <cell r="B187">
            <v>2022</v>
          </cell>
          <cell r="K187" t="str">
            <v>WOODBURY</v>
          </cell>
          <cell r="L187" t="str">
            <v>Woodbury</v>
          </cell>
          <cell r="V187">
            <v>199000</v>
          </cell>
        </row>
        <row r="188">
          <cell r="B188">
            <v>2021</v>
          </cell>
          <cell r="K188" t="str">
            <v>OTHER COUNTIES</v>
          </cell>
          <cell r="L188" t="str">
            <v>Other Counties</v>
          </cell>
          <cell r="V188">
            <v>1687800</v>
          </cell>
        </row>
        <row r="189">
          <cell r="B189">
            <v>2021</v>
          </cell>
          <cell r="K189" t="str">
            <v>BOONE</v>
          </cell>
          <cell r="L189" t="str">
            <v>Boone</v>
          </cell>
          <cell r="V189">
            <v>144000</v>
          </cell>
        </row>
        <row r="190">
          <cell r="B190">
            <v>2021</v>
          </cell>
          <cell r="K190" t="str">
            <v>DALLAS</v>
          </cell>
          <cell r="L190" t="str">
            <v>Dallas</v>
          </cell>
          <cell r="V190">
            <v>119000</v>
          </cell>
        </row>
        <row r="191">
          <cell r="B191">
            <v>2021</v>
          </cell>
          <cell r="K191" t="str">
            <v>GRUNDY</v>
          </cell>
          <cell r="L191" t="str">
            <v>Grundy</v>
          </cell>
          <cell r="V191">
            <v>153000</v>
          </cell>
        </row>
        <row r="192">
          <cell r="B192">
            <v>2021</v>
          </cell>
          <cell r="K192" t="str">
            <v>HARDIN</v>
          </cell>
          <cell r="L192" t="str">
            <v>Hardin</v>
          </cell>
          <cell r="V192">
            <v>178500</v>
          </cell>
        </row>
        <row r="193">
          <cell r="B193">
            <v>2021</v>
          </cell>
          <cell r="K193" t="str">
            <v>JASPER</v>
          </cell>
          <cell r="L193" t="str">
            <v>Jasper</v>
          </cell>
          <cell r="V193">
            <v>166000</v>
          </cell>
        </row>
        <row r="194">
          <cell r="B194">
            <v>2021</v>
          </cell>
          <cell r="K194" t="str">
            <v>MARSHALL</v>
          </cell>
          <cell r="L194" t="str">
            <v>Marshall</v>
          </cell>
          <cell r="V194">
            <v>136000</v>
          </cell>
        </row>
        <row r="195">
          <cell r="B195">
            <v>2021</v>
          </cell>
          <cell r="K195" t="str">
            <v>POLK</v>
          </cell>
          <cell r="L195" t="str">
            <v>Polk</v>
          </cell>
          <cell r="V195">
            <v>71000</v>
          </cell>
        </row>
        <row r="196">
          <cell r="B196">
            <v>2021</v>
          </cell>
          <cell r="K196" t="str">
            <v>POWESHIEK</v>
          </cell>
          <cell r="L196" t="str">
            <v>Poweshiek</v>
          </cell>
          <cell r="V196">
            <v>137000</v>
          </cell>
        </row>
        <row r="197">
          <cell r="B197">
            <v>2021</v>
          </cell>
          <cell r="K197" t="str">
            <v>STORY</v>
          </cell>
          <cell r="L197" t="str">
            <v>Story</v>
          </cell>
          <cell r="V197">
            <v>142500</v>
          </cell>
        </row>
        <row r="198">
          <cell r="B198">
            <v>2021</v>
          </cell>
          <cell r="K198" t="str">
            <v>TAMA</v>
          </cell>
          <cell r="L198" t="str">
            <v>Tama</v>
          </cell>
          <cell r="V198">
            <v>160000</v>
          </cell>
        </row>
        <row r="199">
          <cell r="B199">
            <v>2021</v>
          </cell>
          <cell r="K199" t="str">
            <v>WEBSTER</v>
          </cell>
          <cell r="L199" t="str">
            <v>Webster</v>
          </cell>
          <cell r="V199">
            <v>196500</v>
          </cell>
        </row>
        <row r="200">
          <cell r="B200">
            <v>2021</v>
          </cell>
          <cell r="K200" t="str">
            <v>BENTON</v>
          </cell>
          <cell r="L200" t="str">
            <v>Benton</v>
          </cell>
          <cell r="V200">
            <v>180500</v>
          </cell>
        </row>
        <row r="201">
          <cell r="B201">
            <v>2021</v>
          </cell>
          <cell r="K201" t="str">
            <v>CEDAR</v>
          </cell>
          <cell r="L201" t="str">
            <v>Cedar</v>
          </cell>
          <cell r="V201">
            <v>149000</v>
          </cell>
        </row>
        <row r="202">
          <cell r="B202">
            <v>2021</v>
          </cell>
          <cell r="K202" t="str">
            <v>CLINTON</v>
          </cell>
          <cell r="L202" t="str">
            <v>Clinton</v>
          </cell>
          <cell r="V202">
            <v>186000</v>
          </cell>
        </row>
        <row r="203">
          <cell r="B203">
            <v>2021</v>
          </cell>
          <cell r="K203" t="str">
            <v>JACKSON</v>
          </cell>
          <cell r="L203" t="str">
            <v>Jackson</v>
          </cell>
          <cell r="V203">
            <v>117000</v>
          </cell>
        </row>
        <row r="204">
          <cell r="B204">
            <v>2021</v>
          </cell>
          <cell r="K204" t="str">
            <v>MUSCATINE</v>
          </cell>
          <cell r="L204" t="str">
            <v>Muscatine</v>
          </cell>
          <cell r="V204">
            <v>86800</v>
          </cell>
        </row>
        <row r="205">
          <cell r="B205">
            <v>2021</v>
          </cell>
          <cell r="K205" t="str">
            <v>SCOTT</v>
          </cell>
          <cell r="L205" t="str">
            <v>Scott</v>
          </cell>
          <cell r="V205">
            <v>105000</v>
          </cell>
        </row>
        <row r="206">
          <cell r="B206">
            <v>2021</v>
          </cell>
          <cell r="K206" t="str">
            <v>BUTLER</v>
          </cell>
          <cell r="L206" t="str">
            <v>Butler</v>
          </cell>
          <cell r="V206">
            <v>163500</v>
          </cell>
        </row>
        <row r="207">
          <cell r="B207">
            <v>2021</v>
          </cell>
          <cell r="K207" t="str">
            <v>CERRO GORDO</v>
          </cell>
          <cell r="L207" t="str">
            <v>Cerro Gordo</v>
          </cell>
          <cell r="V207">
            <v>161500</v>
          </cell>
        </row>
        <row r="208">
          <cell r="B208">
            <v>2021</v>
          </cell>
          <cell r="K208" t="str">
            <v>FLOYD</v>
          </cell>
          <cell r="L208" t="str">
            <v>Floyd</v>
          </cell>
          <cell r="V208">
            <v>143500</v>
          </cell>
        </row>
        <row r="209">
          <cell r="B209">
            <v>2021</v>
          </cell>
          <cell r="K209" t="str">
            <v>FRANKLIN</v>
          </cell>
          <cell r="L209" t="str">
            <v>Franklin</v>
          </cell>
          <cell r="V209">
            <v>191000</v>
          </cell>
        </row>
        <row r="210">
          <cell r="B210">
            <v>2021</v>
          </cell>
          <cell r="K210" t="str">
            <v>HANCOCK</v>
          </cell>
          <cell r="L210" t="str">
            <v>Hancock</v>
          </cell>
          <cell r="V210">
            <v>185000</v>
          </cell>
        </row>
        <row r="211">
          <cell r="B211">
            <v>2021</v>
          </cell>
          <cell r="K211" t="str">
            <v>HUMBOLDT</v>
          </cell>
          <cell r="L211" t="str">
            <v>Humboldt</v>
          </cell>
          <cell r="V211">
            <v>128000</v>
          </cell>
        </row>
        <row r="212">
          <cell r="B212">
            <v>2021</v>
          </cell>
          <cell r="K212" t="str">
            <v>KOSSUTH</v>
          </cell>
          <cell r="L212" t="str">
            <v>Kossuth</v>
          </cell>
          <cell r="V212">
            <v>304500</v>
          </cell>
        </row>
        <row r="213">
          <cell r="B213">
            <v>2021</v>
          </cell>
          <cell r="K213" t="str">
            <v>MITCHELL</v>
          </cell>
          <cell r="L213" t="str">
            <v>Mitchell</v>
          </cell>
          <cell r="V213">
            <v>149000</v>
          </cell>
        </row>
        <row r="214">
          <cell r="B214">
            <v>2021</v>
          </cell>
          <cell r="K214" t="str">
            <v>WINNEBAGO</v>
          </cell>
          <cell r="L214" t="str">
            <v>Winnebago</v>
          </cell>
          <cell r="V214">
            <v>117500</v>
          </cell>
        </row>
        <row r="215">
          <cell r="B215">
            <v>2021</v>
          </cell>
          <cell r="K215" t="str">
            <v>WORTH</v>
          </cell>
          <cell r="L215" t="str">
            <v>Worth</v>
          </cell>
          <cell r="V215">
            <v>108500</v>
          </cell>
        </row>
        <row r="216">
          <cell r="B216">
            <v>2021</v>
          </cell>
          <cell r="K216" t="str">
            <v>WRIGHT</v>
          </cell>
          <cell r="L216" t="str">
            <v>Wright</v>
          </cell>
          <cell r="V216">
            <v>171500</v>
          </cell>
        </row>
        <row r="217">
          <cell r="B217">
            <v>2021</v>
          </cell>
          <cell r="K217" t="str">
            <v>ALLAMAKEE</v>
          </cell>
          <cell r="L217" t="str">
            <v>Allamakee</v>
          </cell>
          <cell r="V217">
            <v>93900</v>
          </cell>
        </row>
        <row r="218">
          <cell r="B218">
            <v>2021</v>
          </cell>
          <cell r="K218" t="str">
            <v>BLACK HAWK</v>
          </cell>
          <cell r="L218" t="str">
            <v>Black Hawk</v>
          </cell>
          <cell r="V218">
            <v>140000</v>
          </cell>
        </row>
        <row r="219">
          <cell r="B219">
            <v>2021</v>
          </cell>
          <cell r="K219" t="str">
            <v>BREMER</v>
          </cell>
          <cell r="L219" t="str">
            <v>Bremer</v>
          </cell>
          <cell r="V219">
            <v>121500</v>
          </cell>
        </row>
        <row r="220">
          <cell r="B220">
            <v>2021</v>
          </cell>
          <cell r="K220" t="str">
            <v>BUCHANAN</v>
          </cell>
          <cell r="L220" t="str">
            <v>Buchanan</v>
          </cell>
          <cell r="V220">
            <v>180000</v>
          </cell>
        </row>
        <row r="221">
          <cell r="B221">
            <v>2021</v>
          </cell>
          <cell r="K221" t="str">
            <v>CHICKASAW</v>
          </cell>
          <cell r="L221" t="str">
            <v>Chickasaw</v>
          </cell>
          <cell r="V221">
            <v>146000</v>
          </cell>
        </row>
        <row r="222">
          <cell r="B222">
            <v>2021</v>
          </cell>
          <cell r="K222" t="str">
            <v>CLAYTON</v>
          </cell>
          <cell r="L222" t="str">
            <v>Clayton</v>
          </cell>
          <cell r="V222">
            <v>142500</v>
          </cell>
        </row>
        <row r="223">
          <cell r="B223">
            <v>2021</v>
          </cell>
          <cell r="K223" t="str">
            <v>DELAWARE</v>
          </cell>
          <cell r="L223" t="str">
            <v>Delaware</v>
          </cell>
          <cell r="V223">
            <v>181500</v>
          </cell>
        </row>
        <row r="224">
          <cell r="B224">
            <v>2021</v>
          </cell>
          <cell r="K224" t="str">
            <v>DUBUQUE</v>
          </cell>
          <cell r="L224" t="str">
            <v>Dubuque</v>
          </cell>
          <cell r="V224">
            <v>146500</v>
          </cell>
        </row>
        <row r="225">
          <cell r="B225">
            <v>2021</v>
          </cell>
          <cell r="K225" t="str">
            <v>FAYETTE</v>
          </cell>
          <cell r="L225" t="str">
            <v>Fayette</v>
          </cell>
          <cell r="V225">
            <v>190000</v>
          </cell>
        </row>
        <row r="226">
          <cell r="B226">
            <v>2021</v>
          </cell>
          <cell r="K226" t="str">
            <v>HOWARD</v>
          </cell>
          <cell r="L226" t="str">
            <v>Howard</v>
          </cell>
          <cell r="V226">
            <v>128500</v>
          </cell>
        </row>
        <row r="227">
          <cell r="B227">
            <v>2021</v>
          </cell>
          <cell r="K227" t="str">
            <v>WINNESHIEK</v>
          </cell>
          <cell r="L227" t="str">
            <v>Winneshiek</v>
          </cell>
          <cell r="V227">
            <v>161500</v>
          </cell>
        </row>
        <row r="228">
          <cell r="B228">
            <v>2021</v>
          </cell>
          <cell r="K228" t="str">
            <v>BUENA VISTA</v>
          </cell>
          <cell r="L228" t="str">
            <v>Buena Vista</v>
          </cell>
          <cell r="V228">
            <v>160000</v>
          </cell>
        </row>
        <row r="229">
          <cell r="B229">
            <v>2021</v>
          </cell>
          <cell r="K229" t="str">
            <v>CLAY</v>
          </cell>
          <cell r="L229" t="str">
            <v>Clay</v>
          </cell>
          <cell r="V229">
            <v>145500</v>
          </cell>
        </row>
        <row r="230">
          <cell r="B230">
            <v>2021</v>
          </cell>
          <cell r="K230" t="str">
            <v>DICKINSON</v>
          </cell>
          <cell r="L230" t="str">
            <v>Dickinson</v>
          </cell>
          <cell r="V230">
            <v>91600</v>
          </cell>
        </row>
        <row r="231">
          <cell r="B231">
            <v>2021</v>
          </cell>
          <cell r="K231" t="str">
            <v>EMMET</v>
          </cell>
          <cell r="L231" t="str">
            <v>Emmet</v>
          </cell>
          <cell r="V231">
            <v>110000</v>
          </cell>
        </row>
        <row r="232">
          <cell r="B232">
            <v>2021</v>
          </cell>
          <cell r="K232" t="str">
            <v>LYON</v>
          </cell>
          <cell r="L232" t="str">
            <v>Lyon</v>
          </cell>
          <cell r="V232">
            <v>185500</v>
          </cell>
        </row>
        <row r="233">
          <cell r="B233">
            <v>2021</v>
          </cell>
          <cell r="K233" t="str">
            <v>O BRIEN</v>
          </cell>
          <cell r="L233" t="str">
            <v>O Brien</v>
          </cell>
          <cell r="V233">
            <v>171500</v>
          </cell>
        </row>
        <row r="234">
          <cell r="B234">
            <v>2021</v>
          </cell>
          <cell r="K234" t="str">
            <v>OSCEOLA</v>
          </cell>
          <cell r="L234" t="str">
            <v>Osceola</v>
          </cell>
          <cell r="V234">
            <v>119500</v>
          </cell>
        </row>
        <row r="235">
          <cell r="B235">
            <v>2021</v>
          </cell>
          <cell r="K235" t="str">
            <v>PALO ALTO</v>
          </cell>
          <cell r="L235" t="str">
            <v>Palo Alto</v>
          </cell>
          <cell r="V235">
            <v>158000</v>
          </cell>
        </row>
        <row r="236">
          <cell r="B236">
            <v>2021</v>
          </cell>
          <cell r="K236" t="str">
            <v>PLYMOUTH</v>
          </cell>
          <cell r="L236" t="str">
            <v>Plymouth</v>
          </cell>
          <cell r="V236">
            <v>232500</v>
          </cell>
        </row>
        <row r="237">
          <cell r="B237">
            <v>2021</v>
          </cell>
          <cell r="K237" t="str">
            <v>POCAHONTAS</v>
          </cell>
          <cell r="L237" t="str">
            <v>Pocahontas</v>
          </cell>
          <cell r="V237">
            <v>175000</v>
          </cell>
        </row>
        <row r="238">
          <cell r="B238">
            <v>2021</v>
          </cell>
          <cell r="K238" t="str">
            <v>SIOUX</v>
          </cell>
          <cell r="L238" t="str">
            <v>Sioux</v>
          </cell>
          <cell r="V238">
            <v>248500</v>
          </cell>
        </row>
        <row r="239">
          <cell r="B239">
            <v>2021</v>
          </cell>
          <cell r="K239" t="str">
            <v>APPANOOSE</v>
          </cell>
          <cell r="L239" t="str">
            <v>Appanoose</v>
          </cell>
          <cell r="V239">
            <v>34200</v>
          </cell>
        </row>
        <row r="240">
          <cell r="B240">
            <v>2021</v>
          </cell>
          <cell r="K240" t="str">
            <v>LUCAS</v>
          </cell>
          <cell r="L240" t="str">
            <v>Lucas</v>
          </cell>
          <cell r="V240">
            <v>32900</v>
          </cell>
        </row>
        <row r="241">
          <cell r="B241">
            <v>2021</v>
          </cell>
          <cell r="K241" t="str">
            <v>MADISON</v>
          </cell>
          <cell r="L241" t="str">
            <v>Madison</v>
          </cell>
          <cell r="V241">
            <v>65600</v>
          </cell>
        </row>
        <row r="242">
          <cell r="B242">
            <v>2021</v>
          </cell>
          <cell r="K242" t="str">
            <v>MARION</v>
          </cell>
          <cell r="L242" t="str">
            <v>Marion</v>
          </cell>
          <cell r="V242">
            <v>74100</v>
          </cell>
        </row>
        <row r="243">
          <cell r="B243">
            <v>2021</v>
          </cell>
          <cell r="K243" t="str">
            <v>MONROE</v>
          </cell>
          <cell r="L243" t="str">
            <v>Monroe</v>
          </cell>
          <cell r="V243">
            <v>30500</v>
          </cell>
        </row>
        <row r="244">
          <cell r="B244">
            <v>2021</v>
          </cell>
          <cell r="K244" t="str">
            <v>RINGGOLD</v>
          </cell>
          <cell r="L244" t="str">
            <v>Ringgold</v>
          </cell>
          <cell r="V244">
            <v>49900</v>
          </cell>
        </row>
        <row r="245">
          <cell r="B245">
            <v>2021</v>
          </cell>
          <cell r="K245" t="str">
            <v>UNION</v>
          </cell>
          <cell r="L245" t="str">
            <v>Union</v>
          </cell>
          <cell r="V245">
            <v>55500</v>
          </cell>
        </row>
        <row r="246">
          <cell r="B246">
            <v>2021</v>
          </cell>
          <cell r="K246" t="str">
            <v>WAYNE</v>
          </cell>
          <cell r="L246" t="str">
            <v>Wayne</v>
          </cell>
          <cell r="V246">
            <v>58300</v>
          </cell>
        </row>
        <row r="247">
          <cell r="B247">
            <v>2021</v>
          </cell>
          <cell r="K247" t="str">
            <v>DAVIS</v>
          </cell>
          <cell r="L247" t="str">
            <v>Davis</v>
          </cell>
          <cell r="V247">
            <v>50300</v>
          </cell>
        </row>
        <row r="248">
          <cell r="B248">
            <v>2021</v>
          </cell>
          <cell r="K248" t="str">
            <v>HENRY</v>
          </cell>
          <cell r="L248" t="str">
            <v>Henry</v>
          </cell>
          <cell r="V248">
            <v>76800</v>
          </cell>
        </row>
        <row r="249">
          <cell r="B249">
            <v>2021</v>
          </cell>
          <cell r="K249" t="str">
            <v>JEFFERSON</v>
          </cell>
          <cell r="L249" t="str">
            <v>Jefferson</v>
          </cell>
          <cell r="V249">
            <v>71500</v>
          </cell>
        </row>
        <row r="250">
          <cell r="B250">
            <v>2021</v>
          </cell>
          <cell r="K250" t="str">
            <v>KEOKUK</v>
          </cell>
          <cell r="L250" t="str">
            <v>Keokuk</v>
          </cell>
          <cell r="V250">
            <v>121500</v>
          </cell>
        </row>
        <row r="251">
          <cell r="B251">
            <v>2021</v>
          </cell>
          <cell r="K251" t="str">
            <v>LEE</v>
          </cell>
          <cell r="L251" t="str">
            <v>Lee</v>
          </cell>
          <cell r="V251">
            <v>75500</v>
          </cell>
        </row>
        <row r="252">
          <cell r="B252">
            <v>2021</v>
          </cell>
          <cell r="K252" t="str">
            <v>LOUISA</v>
          </cell>
          <cell r="L252" t="str">
            <v>Louisa</v>
          </cell>
          <cell r="V252">
            <v>79000</v>
          </cell>
        </row>
        <row r="253">
          <cell r="B253">
            <v>2021</v>
          </cell>
          <cell r="K253" t="str">
            <v>MAHASKA</v>
          </cell>
          <cell r="L253" t="str">
            <v>Mahaska</v>
          </cell>
          <cell r="V253">
            <v>130500</v>
          </cell>
        </row>
        <row r="254">
          <cell r="B254">
            <v>2021</v>
          </cell>
          <cell r="K254" t="str">
            <v>VAN BUREN</v>
          </cell>
          <cell r="L254" t="str">
            <v>Van Buren</v>
          </cell>
          <cell r="V254">
            <v>49700</v>
          </cell>
        </row>
        <row r="255">
          <cell r="B255">
            <v>2021</v>
          </cell>
          <cell r="K255" t="str">
            <v>WAPELLO</v>
          </cell>
          <cell r="L255" t="str">
            <v>Wapello</v>
          </cell>
          <cell r="V255">
            <v>58800</v>
          </cell>
        </row>
        <row r="256">
          <cell r="B256">
            <v>2021</v>
          </cell>
          <cell r="K256" t="str">
            <v>CASS</v>
          </cell>
          <cell r="L256" t="str">
            <v>Cass</v>
          </cell>
          <cell r="V256">
            <v>130000</v>
          </cell>
        </row>
        <row r="257">
          <cell r="B257">
            <v>2021</v>
          </cell>
          <cell r="K257" t="str">
            <v>FREMONT</v>
          </cell>
          <cell r="L257" t="str">
            <v>Fremont</v>
          </cell>
          <cell r="V257">
            <v>114500</v>
          </cell>
        </row>
        <row r="258">
          <cell r="B258">
            <v>2021</v>
          </cell>
          <cell r="K258" t="str">
            <v>MILLS</v>
          </cell>
          <cell r="L258" t="str">
            <v>Mills</v>
          </cell>
          <cell r="V258">
            <v>93100</v>
          </cell>
        </row>
        <row r="259">
          <cell r="B259">
            <v>2021</v>
          </cell>
          <cell r="K259" t="str">
            <v>MONTGOMERY</v>
          </cell>
          <cell r="L259" t="str">
            <v>Montgomery</v>
          </cell>
          <cell r="V259">
            <v>92000</v>
          </cell>
        </row>
        <row r="260">
          <cell r="B260">
            <v>2021</v>
          </cell>
          <cell r="K260" t="str">
            <v>PAGE</v>
          </cell>
          <cell r="L260" t="str">
            <v>Page</v>
          </cell>
          <cell r="V260">
            <v>108000</v>
          </cell>
        </row>
        <row r="261">
          <cell r="B261">
            <v>2021</v>
          </cell>
          <cell r="K261" t="str">
            <v>POTTAWATTAMIE</v>
          </cell>
          <cell r="L261" t="str">
            <v>Pottawattamie</v>
          </cell>
          <cell r="V261">
            <v>233500</v>
          </cell>
        </row>
        <row r="262">
          <cell r="B262">
            <v>2021</v>
          </cell>
          <cell r="K262" t="str">
            <v>TAYLOR</v>
          </cell>
          <cell r="L262" t="str">
            <v>Taylor</v>
          </cell>
          <cell r="V262">
            <v>82200</v>
          </cell>
        </row>
        <row r="263">
          <cell r="B263">
            <v>2021</v>
          </cell>
          <cell r="K263" t="str">
            <v>AUDUBON</v>
          </cell>
          <cell r="L263" t="str">
            <v>Audubon</v>
          </cell>
          <cell r="V263">
            <v>106000</v>
          </cell>
        </row>
        <row r="264">
          <cell r="B264">
            <v>2021</v>
          </cell>
          <cell r="K264" t="str">
            <v>CALHOUN</v>
          </cell>
          <cell r="L264" t="str">
            <v>Calhoun</v>
          </cell>
          <cell r="V264">
            <v>163000</v>
          </cell>
        </row>
        <row r="265">
          <cell r="B265">
            <v>2021</v>
          </cell>
          <cell r="K265" t="str">
            <v>CARROLL</v>
          </cell>
          <cell r="L265" t="str">
            <v>Carroll</v>
          </cell>
          <cell r="V265">
            <v>171000</v>
          </cell>
        </row>
        <row r="266">
          <cell r="B266">
            <v>2021</v>
          </cell>
          <cell r="K266" t="str">
            <v>CRAWFORD</v>
          </cell>
          <cell r="L266" t="str">
            <v>Crawford</v>
          </cell>
          <cell r="V266">
            <v>196500</v>
          </cell>
        </row>
        <row r="267">
          <cell r="B267">
            <v>2021</v>
          </cell>
          <cell r="K267" t="str">
            <v>GREENE</v>
          </cell>
          <cell r="L267" t="str">
            <v>Greene</v>
          </cell>
          <cell r="V267">
            <v>159000</v>
          </cell>
        </row>
        <row r="268">
          <cell r="B268">
            <v>2021</v>
          </cell>
          <cell r="K268" t="str">
            <v>GUTHRIE</v>
          </cell>
          <cell r="L268" t="str">
            <v>Guthrie</v>
          </cell>
          <cell r="V268">
            <v>105500</v>
          </cell>
        </row>
        <row r="269">
          <cell r="B269">
            <v>2021</v>
          </cell>
          <cell r="K269" t="str">
            <v>IDA</v>
          </cell>
          <cell r="L269" t="str">
            <v>Ida</v>
          </cell>
          <cell r="V269">
            <v>124500</v>
          </cell>
        </row>
        <row r="270">
          <cell r="B270">
            <v>2021</v>
          </cell>
          <cell r="K270" t="str">
            <v>MONONA</v>
          </cell>
          <cell r="L270" t="str">
            <v>Monona</v>
          </cell>
          <cell r="V270">
            <v>172000</v>
          </cell>
        </row>
        <row r="271">
          <cell r="B271">
            <v>2021</v>
          </cell>
          <cell r="K271" t="str">
            <v>SAC</v>
          </cell>
          <cell r="L271" t="str">
            <v>Sac</v>
          </cell>
          <cell r="V271">
            <v>163500</v>
          </cell>
        </row>
        <row r="272">
          <cell r="B272">
            <v>2021</v>
          </cell>
          <cell r="K272" t="str">
            <v>WOODBURY</v>
          </cell>
          <cell r="L272" t="str">
            <v>Woodbury</v>
          </cell>
          <cell r="V272">
            <v>202500</v>
          </cell>
        </row>
        <row r="273">
          <cell r="B273">
            <v>2020</v>
          </cell>
          <cell r="K273" t="str">
            <v>OTHER COUNTIES</v>
          </cell>
          <cell r="L273" t="str">
            <v>Other Counties</v>
          </cell>
          <cell r="V273">
            <v>649300</v>
          </cell>
        </row>
        <row r="274">
          <cell r="B274">
            <v>2020</v>
          </cell>
          <cell r="K274" t="str">
            <v>BOONE</v>
          </cell>
          <cell r="L274" t="str">
            <v>Boone</v>
          </cell>
          <cell r="V274">
            <v>162500</v>
          </cell>
        </row>
        <row r="275">
          <cell r="B275">
            <v>2020</v>
          </cell>
          <cell r="K275" t="str">
            <v>DALLAS</v>
          </cell>
          <cell r="L275" t="str">
            <v>Dallas</v>
          </cell>
          <cell r="V275">
            <v>135000</v>
          </cell>
        </row>
        <row r="276">
          <cell r="B276">
            <v>2020</v>
          </cell>
          <cell r="K276" t="str">
            <v>GRUNDY</v>
          </cell>
          <cell r="L276" t="str">
            <v>Grundy</v>
          </cell>
          <cell r="V276">
            <v>164500</v>
          </cell>
        </row>
        <row r="277">
          <cell r="B277">
            <v>2020</v>
          </cell>
          <cell r="K277" t="str">
            <v>HAMILTON</v>
          </cell>
          <cell r="L277" t="str">
            <v>Hamilton</v>
          </cell>
          <cell r="V277">
            <v>200500</v>
          </cell>
        </row>
        <row r="278">
          <cell r="B278">
            <v>2020</v>
          </cell>
          <cell r="K278" t="str">
            <v>HARDIN</v>
          </cell>
          <cell r="L278" t="str">
            <v>Hardin</v>
          </cell>
          <cell r="V278">
            <v>195500</v>
          </cell>
        </row>
        <row r="279">
          <cell r="B279">
            <v>2020</v>
          </cell>
          <cell r="K279" t="str">
            <v>POLK</v>
          </cell>
          <cell r="L279" t="str">
            <v>Polk</v>
          </cell>
          <cell r="V279">
            <v>76400</v>
          </cell>
        </row>
        <row r="280">
          <cell r="B280">
            <v>2020</v>
          </cell>
          <cell r="K280" t="str">
            <v>POWESHIEK</v>
          </cell>
          <cell r="L280" t="str">
            <v>Poweshiek</v>
          </cell>
          <cell r="V280">
            <v>150000</v>
          </cell>
        </row>
        <row r="281">
          <cell r="B281">
            <v>2020</v>
          </cell>
          <cell r="K281" t="str">
            <v>STORY</v>
          </cell>
          <cell r="L281" t="str">
            <v>Story</v>
          </cell>
          <cell r="V281">
            <v>167000</v>
          </cell>
        </row>
        <row r="282">
          <cell r="B282">
            <v>2020</v>
          </cell>
          <cell r="K282" t="str">
            <v>TAMA</v>
          </cell>
          <cell r="L282" t="str">
            <v>Tama</v>
          </cell>
          <cell r="V282">
            <v>175500</v>
          </cell>
        </row>
        <row r="283">
          <cell r="B283">
            <v>2020</v>
          </cell>
          <cell r="K283" t="str">
            <v>WEBSTER</v>
          </cell>
          <cell r="L283" t="str">
            <v>Webster</v>
          </cell>
          <cell r="V283">
            <v>214000</v>
          </cell>
        </row>
        <row r="284">
          <cell r="B284">
            <v>2020</v>
          </cell>
          <cell r="K284" t="str">
            <v>BENTON</v>
          </cell>
          <cell r="L284" t="str">
            <v>Benton</v>
          </cell>
          <cell r="V284">
            <v>192500</v>
          </cell>
        </row>
        <row r="285">
          <cell r="B285">
            <v>2020</v>
          </cell>
          <cell r="K285" t="str">
            <v>CEDAR</v>
          </cell>
          <cell r="L285" t="str">
            <v>Cedar</v>
          </cell>
          <cell r="V285">
            <v>156000</v>
          </cell>
        </row>
        <row r="286">
          <cell r="B286">
            <v>2020</v>
          </cell>
          <cell r="K286" t="str">
            <v>CLINTON</v>
          </cell>
          <cell r="L286" t="str">
            <v>Clinton</v>
          </cell>
          <cell r="V286">
            <v>192500</v>
          </cell>
        </row>
        <row r="287">
          <cell r="B287">
            <v>2020</v>
          </cell>
          <cell r="K287" t="str">
            <v>IOWA</v>
          </cell>
          <cell r="L287" t="str">
            <v>Iowa</v>
          </cell>
          <cell r="V287">
            <v>127000</v>
          </cell>
        </row>
        <row r="288">
          <cell r="B288">
            <v>2020</v>
          </cell>
          <cell r="K288" t="str">
            <v>JACKSON</v>
          </cell>
          <cell r="L288" t="str">
            <v>Jackson</v>
          </cell>
          <cell r="V288">
            <v>122500</v>
          </cell>
        </row>
        <row r="289">
          <cell r="B289">
            <v>2020</v>
          </cell>
          <cell r="K289" t="str">
            <v>JOHNSON</v>
          </cell>
          <cell r="L289" t="str">
            <v>Johnson</v>
          </cell>
          <cell r="V289">
            <v>104000</v>
          </cell>
        </row>
        <row r="290">
          <cell r="B290">
            <v>2020</v>
          </cell>
          <cell r="K290" t="str">
            <v>JONES</v>
          </cell>
          <cell r="L290" t="str">
            <v>Jones</v>
          </cell>
          <cell r="V290">
            <v>155500</v>
          </cell>
        </row>
        <row r="291">
          <cell r="B291">
            <v>2020</v>
          </cell>
          <cell r="K291" t="str">
            <v>LINN</v>
          </cell>
          <cell r="L291" t="str">
            <v>Linn</v>
          </cell>
          <cell r="V291">
            <v>153500</v>
          </cell>
        </row>
        <row r="292">
          <cell r="B292">
            <v>2020</v>
          </cell>
          <cell r="K292" t="str">
            <v>MUSCATINE</v>
          </cell>
          <cell r="L292" t="str">
            <v>Muscatine</v>
          </cell>
          <cell r="V292">
            <v>91900</v>
          </cell>
        </row>
        <row r="293">
          <cell r="B293">
            <v>2020</v>
          </cell>
          <cell r="K293" t="str">
            <v>SCOTT</v>
          </cell>
          <cell r="L293" t="str">
            <v>Scott</v>
          </cell>
          <cell r="V293">
            <v>110000</v>
          </cell>
        </row>
        <row r="294">
          <cell r="B294">
            <v>2020</v>
          </cell>
          <cell r="K294" t="str">
            <v>BUTLER</v>
          </cell>
          <cell r="L294" t="str">
            <v>Butler</v>
          </cell>
          <cell r="V294">
            <v>176500</v>
          </cell>
        </row>
        <row r="295">
          <cell r="B295">
            <v>2020</v>
          </cell>
          <cell r="K295" t="str">
            <v>CERRO GORDO</v>
          </cell>
          <cell r="L295" t="str">
            <v>Cerro Gordo</v>
          </cell>
          <cell r="V295">
            <v>176000</v>
          </cell>
        </row>
        <row r="296">
          <cell r="B296">
            <v>2020</v>
          </cell>
          <cell r="K296" t="str">
            <v>FLOYD</v>
          </cell>
          <cell r="L296" t="str">
            <v>Floyd</v>
          </cell>
          <cell r="V296">
            <v>146500</v>
          </cell>
        </row>
        <row r="297">
          <cell r="B297">
            <v>2020</v>
          </cell>
          <cell r="K297" t="str">
            <v>FRANKLIN</v>
          </cell>
          <cell r="L297" t="str">
            <v>Franklin</v>
          </cell>
          <cell r="V297">
            <v>213000</v>
          </cell>
        </row>
        <row r="298">
          <cell r="B298">
            <v>2020</v>
          </cell>
          <cell r="K298" t="str">
            <v>HANCOCK</v>
          </cell>
          <cell r="L298" t="str">
            <v>Hancock</v>
          </cell>
          <cell r="V298">
            <v>197000</v>
          </cell>
        </row>
        <row r="299">
          <cell r="B299">
            <v>2020</v>
          </cell>
          <cell r="K299" t="str">
            <v>HUMBOLDT</v>
          </cell>
          <cell r="L299" t="str">
            <v>Humboldt</v>
          </cell>
          <cell r="V299">
            <v>143000</v>
          </cell>
        </row>
        <row r="300">
          <cell r="B300">
            <v>2020</v>
          </cell>
          <cell r="K300" t="str">
            <v>KOSSUTH</v>
          </cell>
          <cell r="L300" t="str">
            <v>Kossuth</v>
          </cell>
          <cell r="V300">
            <v>307500</v>
          </cell>
        </row>
        <row r="301">
          <cell r="B301">
            <v>2020</v>
          </cell>
          <cell r="K301" t="str">
            <v>MITCHELL</v>
          </cell>
          <cell r="L301" t="str">
            <v>Mitchell</v>
          </cell>
          <cell r="V301">
            <v>153500</v>
          </cell>
        </row>
        <row r="302">
          <cell r="B302">
            <v>2020</v>
          </cell>
          <cell r="K302" t="str">
            <v>WINNEBAGO</v>
          </cell>
          <cell r="L302" t="str">
            <v>Winnebago</v>
          </cell>
          <cell r="V302">
            <v>122500</v>
          </cell>
        </row>
        <row r="303">
          <cell r="B303">
            <v>2020</v>
          </cell>
          <cell r="K303" t="str">
            <v>WORTH</v>
          </cell>
          <cell r="L303" t="str">
            <v>Worth</v>
          </cell>
          <cell r="V303">
            <v>116000</v>
          </cell>
        </row>
        <row r="304">
          <cell r="B304">
            <v>2020</v>
          </cell>
          <cell r="K304" t="str">
            <v>WRIGHT</v>
          </cell>
          <cell r="L304" t="str">
            <v>Wright</v>
          </cell>
          <cell r="V304">
            <v>187000</v>
          </cell>
        </row>
        <row r="305">
          <cell r="B305">
            <v>2020</v>
          </cell>
          <cell r="K305" t="str">
            <v>ALLAMAKEE</v>
          </cell>
          <cell r="L305" t="str">
            <v>Allamakee</v>
          </cell>
          <cell r="V305">
            <v>96000</v>
          </cell>
        </row>
        <row r="306">
          <cell r="B306">
            <v>2020</v>
          </cell>
          <cell r="K306" t="str">
            <v>BLACK HAWK</v>
          </cell>
          <cell r="L306" t="str">
            <v>Black Hawk</v>
          </cell>
          <cell r="V306">
            <v>150000</v>
          </cell>
        </row>
        <row r="307">
          <cell r="B307">
            <v>2020</v>
          </cell>
          <cell r="K307" t="str">
            <v>BREMER</v>
          </cell>
          <cell r="L307" t="str">
            <v>Bremer</v>
          </cell>
          <cell r="V307">
            <v>128000</v>
          </cell>
        </row>
        <row r="308">
          <cell r="B308">
            <v>2020</v>
          </cell>
          <cell r="K308" t="str">
            <v>BUCHANAN</v>
          </cell>
          <cell r="L308" t="str">
            <v>Buchanan</v>
          </cell>
          <cell r="V308">
            <v>200000</v>
          </cell>
        </row>
        <row r="309">
          <cell r="B309">
            <v>2020</v>
          </cell>
          <cell r="K309" t="str">
            <v>CHICKASAW</v>
          </cell>
          <cell r="L309" t="str">
            <v>Chickasaw</v>
          </cell>
          <cell r="V309">
            <v>153500</v>
          </cell>
        </row>
        <row r="310">
          <cell r="B310">
            <v>2020</v>
          </cell>
          <cell r="K310" t="str">
            <v>CLAYTON</v>
          </cell>
          <cell r="L310" t="str">
            <v>Clayton</v>
          </cell>
          <cell r="V310">
            <v>150000</v>
          </cell>
        </row>
        <row r="311">
          <cell r="B311">
            <v>2020</v>
          </cell>
          <cell r="K311" t="str">
            <v>DELAWARE</v>
          </cell>
          <cell r="L311" t="str">
            <v>Delaware</v>
          </cell>
          <cell r="V311">
            <v>200000</v>
          </cell>
        </row>
        <row r="312">
          <cell r="B312">
            <v>2020</v>
          </cell>
          <cell r="K312" t="str">
            <v>DUBUQUE</v>
          </cell>
          <cell r="L312" t="str">
            <v>Dubuque</v>
          </cell>
          <cell r="V312">
            <v>152500</v>
          </cell>
        </row>
        <row r="313">
          <cell r="B313">
            <v>2020</v>
          </cell>
          <cell r="K313" t="str">
            <v>FAYETTE</v>
          </cell>
          <cell r="L313" t="str">
            <v>Fayette</v>
          </cell>
          <cell r="V313">
            <v>197500</v>
          </cell>
        </row>
        <row r="314">
          <cell r="B314">
            <v>2020</v>
          </cell>
          <cell r="K314" t="str">
            <v>HOWARD</v>
          </cell>
          <cell r="L314" t="str">
            <v>Howard</v>
          </cell>
          <cell r="V314">
            <v>134500</v>
          </cell>
        </row>
        <row r="315">
          <cell r="B315">
            <v>2020</v>
          </cell>
          <cell r="K315" t="str">
            <v>WINNESHIEK</v>
          </cell>
          <cell r="L315" t="str">
            <v>Winneshiek</v>
          </cell>
          <cell r="V315">
            <v>167500</v>
          </cell>
        </row>
        <row r="316">
          <cell r="B316">
            <v>2020</v>
          </cell>
          <cell r="K316" t="str">
            <v>BUENA VISTA</v>
          </cell>
          <cell r="L316" t="str">
            <v>Buena Vista</v>
          </cell>
          <cell r="V316">
            <v>167500</v>
          </cell>
        </row>
        <row r="317">
          <cell r="B317">
            <v>2020</v>
          </cell>
          <cell r="K317" t="str">
            <v>CHEROKEE</v>
          </cell>
          <cell r="L317" t="str">
            <v>Cherokee</v>
          </cell>
          <cell r="V317">
            <v>151500</v>
          </cell>
        </row>
        <row r="318">
          <cell r="B318">
            <v>2020</v>
          </cell>
          <cell r="K318" t="str">
            <v>CLAY</v>
          </cell>
          <cell r="L318" t="str">
            <v>Clay</v>
          </cell>
          <cell r="V318">
            <v>153500</v>
          </cell>
        </row>
        <row r="319">
          <cell r="B319">
            <v>2020</v>
          </cell>
          <cell r="K319" t="str">
            <v>DICKINSON</v>
          </cell>
          <cell r="L319" t="str">
            <v>Dickinson</v>
          </cell>
          <cell r="V319">
            <v>97800</v>
          </cell>
        </row>
        <row r="320">
          <cell r="B320">
            <v>2020</v>
          </cell>
          <cell r="K320" t="str">
            <v>EMMET</v>
          </cell>
          <cell r="L320" t="str">
            <v>Emmet</v>
          </cell>
          <cell r="V320">
            <v>116000</v>
          </cell>
        </row>
        <row r="321">
          <cell r="B321">
            <v>2020</v>
          </cell>
          <cell r="K321" t="str">
            <v>LYON</v>
          </cell>
          <cell r="L321" t="str">
            <v>Lyon</v>
          </cell>
          <cell r="V321">
            <v>191000</v>
          </cell>
        </row>
        <row r="322">
          <cell r="B322">
            <v>2020</v>
          </cell>
          <cell r="K322" t="str">
            <v>O BRIEN</v>
          </cell>
          <cell r="L322" t="str">
            <v>O Brien</v>
          </cell>
          <cell r="V322">
            <v>178000</v>
          </cell>
        </row>
        <row r="323">
          <cell r="B323">
            <v>2020</v>
          </cell>
          <cell r="K323" t="str">
            <v>OSCEOLA</v>
          </cell>
          <cell r="L323" t="str">
            <v>Osceola</v>
          </cell>
          <cell r="V323">
            <v>125000</v>
          </cell>
        </row>
        <row r="324">
          <cell r="B324">
            <v>2020</v>
          </cell>
          <cell r="K324" t="str">
            <v>PALO ALTO</v>
          </cell>
          <cell r="L324" t="str">
            <v>Palo Alto</v>
          </cell>
          <cell r="V324">
            <v>175000</v>
          </cell>
        </row>
        <row r="325">
          <cell r="B325">
            <v>2020</v>
          </cell>
          <cell r="K325" t="str">
            <v>POCAHONTAS</v>
          </cell>
          <cell r="L325" t="str">
            <v>Pocahontas</v>
          </cell>
          <cell r="V325">
            <v>181500</v>
          </cell>
        </row>
        <row r="326">
          <cell r="B326">
            <v>2020</v>
          </cell>
          <cell r="K326" t="str">
            <v>SIOUX</v>
          </cell>
          <cell r="L326" t="str">
            <v>Sioux</v>
          </cell>
          <cell r="V326">
            <v>263000</v>
          </cell>
        </row>
        <row r="327">
          <cell r="B327">
            <v>2020</v>
          </cell>
          <cell r="K327" t="str">
            <v>APPANOOSE</v>
          </cell>
          <cell r="L327" t="str">
            <v>Appanoose</v>
          </cell>
          <cell r="V327">
            <v>31300</v>
          </cell>
        </row>
        <row r="328">
          <cell r="B328">
            <v>2020</v>
          </cell>
          <cell r="K328" t="str">
            <v>CLARKE</v>
          </cell>
          <cell r="L328" t="str">
            <v>Clarke</v>
          </cell>
          <cell r="V328">
            <v>32500</v>
          </cell>
        </row>
        <row r="329">
          <cell r="B329">
            <v>2020</v>
          </cell>
          <cell r="K329" t="str">
            <v>DECATUR</v>
          </cell>
          <cell r="L329" t="str">
            <v>Decatur</v>
          </cell>
          <cell r="V329">
            <v>31900</v>
          </cell>
        </row>
        <row r="330">
          <cell r="B330">
            <v>2020</v>
          </cell>
          <cell r="K330" t="str">
            <v>LUCAS</v>
          </cell>
          <cell r="L330" t="str">
            <v>Lucas</v>
          </cell>
          <cell r="V330">
            <v>31700</v>
          </cell>
        </row>
        <row r="331">
          <cell r="B331">
            <v>2020</v>
          </cell>
          <cell r="K331" t="str">
            <v>MADISON</v>
          </cell>
          <cell r="L331" t="str">
            <v>Madison</v>
          </cell>
          <cell r="V331">
            <v>69500</v>
          </cell>
        </row>
        <row r="332">
          <cell r="B332">
            <v>2020</v>
          </cell>
          <cell r="K332" t="str">
            <v>MONROE</v>
          </cell>
          <cell r="L332" t="str">
            <v>Monroe</v>
          </cell>
          <cell r="V332">
            <v>23000</v>
          </cell>
        </row>
        <row r="333">
          <cell r="B333">
            <v>2020</v>
          </cell>
          <cell r="K333" t="str">
            <v>RINGGOLD</v>
          </cell>
          <cell r="L333" t="str">
            <v>Ringgold</v>
          </cell>
          <cell r="V333">
            <v>52400</v>
          </cell>
        </row>
        <row r="334">
          <cell r="B334">
            <v>2020</v>
          </cell>
          <cell r="K334" t="str">
            <v>UNION</v>
          </cell>
          <cell r="L334" t="str">
            <v>Union</v>
          </cell>
          <cell r="V334">
            <v>55700</v>
          </cell>
        </row>
        <row r="335">
          <cell r="B335">
            <v>2020</v>
          </cell>
          <cell r="K335" t="str">
            <v>WARREN</v>
          </cell>
          <cell r="L335" t="str">
            <v>Warren</v>
          </cell>
          <cell r="V335">
            <v>61400</v>
          </cell>
        </row>
        <row r="336">
          <cell r="B336">
            <v>2020</v>
          </cell>
          <cell r="K336" t="str">
            <v>WAYNE</v>
          </cell>
          <cell r="L336" t="str">
            <v>Wayne</v>
          </cell>
          <cell r="V336">
            <v>55200</v>
          </cell>
        </row>
        <row r="337">
          <cell r="B337">
            <v>2020</v>
          </cell>
          <cell r="K337" t="str">
            <v>DAVIS</v>
          </cell>
          <cell r="L337" t="str">
            <v>Davis</v>
          </cell>
          <cell r="V337">
            <v>46500</v>
          </cell>
        </row>
        <row r="338">
          <cell r="B338">
            <v>2020</v>
          </cell>
          <cell r="K338" t="str">
            <v>DES MOINES</v>
          </cell>
          <cell r="L338" t="str">
            <v>Des Moines</v>
          </cell>
          <cell r="V338">
            <v>72100</v>
          </cell>
        </row>
        <row r="339">
          <cell r="B339">
            <v>2020</v>
          </cell>
          <cell r="K339" t="str">
            <v>HENRY</v>
          </cell>
          <cell r="L339" t="str">
            <v>Henry</v>
          </cell>
          <cell r="V339">
            <v>79300</v>
          </cell>
        </row>
        <row r="340">
          <cell r="B340">
            <v>2020</v>
          </cell>
          <cell r="K340" t="str">
            <v>JEFFERSON</v>
          </cell>
          <cell r="L340" t="str">
            <v>Jefferson</v>
          </cell>
          <cell r="V340">
            <v>72100</v>
          </cell>
        </row>
        <row r="341">
          <cell r="B341">
            <v>2020</v>
          </cell>
          <cell r="K341" t="str">
            <v>KEOKUK</v>
          </cell>
          <cell r="L341" t="str">
            <v>Keokuk</v>
          </cell>
          <cell r="V341">
            <v>123000</v>
          </cell>
        </row>
        <row r="342">
          <cell r="B342">
            <v>2020</v>
          </cell>
          <cell r="K342" t="str">
            <v>LEE</v>
          </cell>
          <cell r="L342" t="str">
            <v>Lee</v>
          </cell>
          <cell r="V342">
            <v>77500</v>
          </cell>
        </row>
        <row r="343">
          <cell r="B343">
            <v>2020</v>
          </cell>
          <cell r="K343" t="str">
            <v>LOUISA</v>
          </cell>
          <cell r="L343" t="str">
            <v>Louisa</v>
          </cell>
          <cell r="V343">
            <v>79200</v>
          </cell>
        </row>
        <row r="344">
          <cell r="B344">
            <v>2020</v>
          </cell>
          <cell r="K344" t="str">
            <v>MAHASKA</v>
          </cell>
          <cell r="L344" t="str">
            <v>Mahaska</v>
          </cell>
          <cell r="V344">
            <v>136000</v>
          </cell>
        </row>
        <row r="345">
          <cell r="B345">
            <v>2020</v>
          </cell>
          <cell r="K345" t="str">
            <v>VAN BUREN</v>
          </cell>
          <cell r="L345" t="str">
            <v>Van Buren</v>
          </cell>
          <cell r="V345">
            <v>53800</v>
          </cell>
        </row>
        <row r="346">
          <cell r="B346">
            <v>2020</v>
          </cell>
          <cell r="K346" t="str">
            <v>WAPELLO</v>
          </cell>
          <cell r="L346" t="str">
            <v>Wapello</v>
          </cell>
          <cell r="V346">
            <v>56200</v>
          </cell>
        </row>
        <row r="347">
          <cell r="B347">
            <v>2020</v>
          </cell>
          <cell r="K347" t="str">
            <v>WASHINGTON</v>
          </cell>
          <cell r="L347" t="str">
            <v>Washington</v>
          </cell>
          <cell r="V347">
            <v>120000</v>
          </cell>
        </row>
        <row r="348">
          <cell r="B348">
            <v>2020</v>
          </cell>
          <cell r="K348" t="str">
            <v>ADAIR</v>
          </cell>
          <cell r="L348" t="str">
            <v>Adair</v>
          </cell>
          <cell r="V348">
            <v>109000</v>
          </cell>
        </row>
        <row r="349">
          <cell r="B349">
            <v>2020</v>
          </cell>
          <cell r="K349" t="str">
            <v>ADAMS</v>
          </cell>
          <cell r="L349" t="str">
            <v>Adams</v>
          </cell>
          <cell r="V349">
            <v>70000</v>
          </cell>
        </row>
        <row r="350">
          <cell r="B350">
            <v>2020</v>
          </cell>
          <cell r="K350" t="str">
            <v>CASS</v>
          </cell>
          <cell r="L350" t="str">
            <v>Cass</v>
          </cell>
          <cell r="V350">
            <v>129500</v>
          </cell>
        </row>
        <row r="351">
          <cell r="B351">
            <v>2020</v>
          </cell>
          <cell r="K351" t="str">
            <v>FREMONT</v>
          </cell>
          <cell r="L351" t="str">
            <v>Fremont</v>
          </cell>
          <cell r="V351">
            <v>115000</v>
          </cell>
        </row>
        <row r="352">
          <cell r="B352">
            <v>2020</v>
          </cell>
          <cell r="K352" t="str">
            <v>MILLS</v>
          </cell>
          <cell r="L352" t="str">
            <v>Mills</v>
          </cell>
          <cell r="V352">
            <v>97300</v>
          </cell>
        </row>
        <row r="353">
          <cell r="B353">
            <v>2020</v>
          </cell>
          <cell r="K353" t="str">
            <v>MONTGOMERY</v>
          </cell>
          <cell r="L353" t="str">
            <v>Montgomery</v>
          </cell>
          <cell r="V353">
            <v>92700</v>
          </cell>
        </row>
        <row r="354">
          <cell r="B354">
            <v>2020</v>
          </cell>
          <cell r="K354" t="str">
            <v>PAGE</v>
          </cell>
          <cell r="L354" t="str">
            <v>Page</v>
          </cell>
          <cell r="V354">
            <v>118000</v>
          </cell>
        </row>
        <row r="355">
          <cell r="B355">
            <v>2020</v>
          </cell>
          <cell r="K355" t="str">
            <v>POTTAWATTAMIE</v>
          </cell>
          <cell r="L355" t="str">
            <v>Pottawattamie</v>
          </cell>
          <cell r="V355">
            <v>247000</v>
          </cell>
        </row>
        <row r="356">
          <cell r="B356">
            <v>2020</v>
          </cell>
          <cell r="K356" t="str">
            <v>TAYLOR</v>
          </cell>
          <cell r="L356" t="str">
            <v>Taylor</v>
          </cell>
          <cell r="V356">
            <v>82300</v>
          </cell>
        </row>
        <row r="357">
          <cell r="B357">
            <v>2020</v>
          </cell>
          <cell r="K357" t="str">
            <v>AUDUBON</v>
          </cell>
          <cell r="L357" t="str">
            <v>Audubon</v>
          </cell>
          <cell r="V357">
            <v>112000</v>
          </cell>
        </row>
        <row r="358">
          <cell r="B358">
            <v>2020</v>
          </cell>
          <cell r="K358" t="str">
            <v>CALHOUN</v>
          </cell>
          <cell r="L358" t="str">
            <v>Calhoun</v>
          </cell>
          <cell r="V358">
            <v>182000</v>
          </cell>
        </row>
        <row r="359">
          <cell r="B359">
            <v>2020</v>
          </cell>
          <cell r="K359" t="str">
            <v>CARROLL</v>
          </cell>
          <cell r="L359" t="str">
            <v>Carroll</v>
          </cell>
          <cell r="V359">
            <v>189000</v>
          </cell>
        </row>
        <row r="360">
          <cell r="B360">
            <v>2020</v>
          </cell>
          <cell r="K360" t="str">
            <v>CRAWFORD</v>
          </cell>
          <cell r="L360" t="str">
            <v>Crawford</v>
          </cell>
          <cell r="V360">
            <v>211000</v>
          </cell>
        </row>
        <row r="361">
          <cell r="B361">
            <v>2020</v>
          </cell>
          <cell r="K361" t="str">
            <v>GREENE</v>
          </cell>
          <cell r="L361" t="str">
            <v>Greene</v>
          </cell>
          <cell r="V361">
            <v>171500</v>
          </cell>
        </row>
        <row r="362">
          <cell r="B362">
            <v>2020</v>
          </cell>
          <cell r="K362" t="str">
            <v>GUTHRIE</v>
          </cell>
          <cell r="L362" t="str">
            <v>Guthrie</v>
          </cell>
          <cell r="V362">
            <v>110500</v>
          </cell>
        </row>
        <row r="363">
          <cell r="B363">
            <v>2020</v>
          </cell>
          <cell r="K363" t="str">
            <v>HARRISON</v>
          </cell>
          <cell r="L363" t="str">
            <v>Harrison</v>
          </cell>
          <cell r="V363">
            <v>186500</v>
          </cell>
        </row>
        <row r="364">
          <cell r="B364">
            <v>2020</v>
          </cell>
          <cell r="K364" t="str">
            <v>IDA</v>
          </cell>
          <cell r="L364" t="str">
            <v>Ida</v>
          </cell>
          <cell r="V364">
            <v>127500</v>
          </cell>
        </row>
        <row r="365">
          <cell r="B365">
            <v>2020</v>
          </cell>
          <cell r="K365" t="str">
            <v>MONONA</v>
          </cell>
          <cell r="L365" t="str">
            <v>Monona</v>
          </cell>
          <cell r="V365">
            <v>174500</v>
          </cell>
        </row>
        <row r="366">
          <cell r="B366">
            <v>2020</v>
          </cell>
          <cell r="K366" t="str">
            <v>SAC</v>
          </cell>
          <cell r="L366" t="str">
            <v>Sac</v>
          </cell>
          <cell r="V366">
            <v>167500</v>
          </cell>
        </row>
        <row r="367">
          <cell r="B367">
            <v>2020</v>
          </cell>
          <cell r="K367" t="str">
            <v>SHELBY</v>
          </cell>
          <cell r="L367" t="str">
            <v>Shelby</v>
          </cell>
          <cell r="V367">
            <v>175000</v>
          </cell>
        </row>
        <row r="368">
          <cell r="B368">
            <v>2020</v>
          </cell>
          <cell r="K368" t="str">
            <v>WOODBURY</v>
          </cell>
          <cell r="L368" t="str">
            <v>Woodbury</v>
          </cell>
          <cell r="V368">
            <v>208500</v>
          </cell>
        </row>
        <row r="369">
          <cell r="B369">
            <v>2019</v>
          </cell>
          <cell r="K369" t="str">
            <v>BOONE</v>
          </cell>
          <cell r="L369" t="str">
            <v>Boone</v>
          </cell>
          <cell r="V369">
            <v>162000</v>
          </cell>
        </row>
        <row r="370">
          <cell r="B370">
            <v>2019</v>
          </cell>
          <cell r="K370" t="str">
            <v>DALLAS</v>
          </cell>
          <cell r="L370" t="str">
            <v>Dallas</v>
          </cell>
          <cell r="V370">
            <v>130000</v>
          </cell>
        </row>
        <row r="371">
          <cell r="B371">
            <v>2019</v>
          </cell>
          <cell r="K371" t="str">
            <v>GRUNDY</v>
          </cell>
          <cell r="L371" t="str">
            <v>Grundy</v>
          </cell>
          <cell r="V371">
            <v>166000</v>
          </cell>
        </row>
        <row r="372">
          <cell r="B372">
            <v>2019</v>
          </cell>
          <cell r="K372" t="str">
            <v>HAMILTON</v>
          </cell>
          <cell r="L372" t="str">
            <v>Hamilton</v>
          </cell>
          <cell r="V372">
            <v>194000</v>
          </cell>
        </row>
        <row r="373">
          <cell r="B373">
            <v>2019</v>
          </cell>
          <cell r="K373" t="str">
            <v>HARDIN</v>
          </cell>
          <cell r="L373" t="str">
            <v>Hardin</v>
          </cell>
          <cell r="V373">
            <v>196000</v>
          </cell>
        </row>
        <row r="374">
          <cell r="B374">
            <v>2019</v>
          </cell>
          <cell r="K374" t="str">
            <v>JASPER</v>
          </cell>
          <cell r="L374" t="str">
            <v>Jasper</v>
          </cell>
          <cell r="V374">
            <v>180000</v>
          </cell>
        </row>
        <row r="375">
          <cell r="B375">
            <v>2019</v>
          </cell>
          <cell r="K375" t="str">
            <v>MARSHALL</v>
          </cell>
          <cell r="L375" t="str">
            <v>Marshall</v>
          </cell>
          <cell r="V375">
            <v>155000</v>
          </cell>
        </row>
        <row r="376">
          <cell r="B376">
            <v>2019</v>
          </cell>
          <cell r="K376" t="str">
            <v>POLK</v>
          </cell>
          <cell r="L376" t="str">
            <v>Polk</v>
          </cell>
          <cell r="V376">
            <v>78000</v>
          </cell>
        </row>
        <row r="377">
          <cell r="B377">
            <v>2019</v>
          </cell>
          <cell r="K377" t="str">
            <v>POWESHIEK</v>
          </cell>
          <cell r="L377" t="str">
            <v>Poweshiek</v>
          </cell>
          <cell r="V377">
            <v>153000</v>
          </cell>
        </row>
        <row r="378">
          <cell r="B378">
            <v>2019</v>
          </cell>
          <cell r="K378" t="str">
            <v>STORY</v>
          </cell>
          <cell r="L378" t="str">
            <v>Story</v>
          </cell>
          <cell r="V378">
            <v>169000</v>
          </cell>
        </row>
        <row r="379">
          <cell r="B379">
            <v>2019</v>
          </cell>
          <cell r="K379" t="str">
            <v>TAMA</v>
          </cell>
          <cell r="L379" t="str">
            <v>Tama</v>
          </cell>
          <cell r="V379">
            <v>175000</v>
          </cell>
        </row>
        <row r="380">
          <cell r="B380">
            <v>2019</v>
          </cell>
          <cell r="K380" t="str">
            <v>WEBSTER</v>
          </cell>
          <cell r="L380" t="str">
            <v>Webster</v>
          </cell>
          <cell r="V380">
            <v>208000</v>
          </cell>
        </row>
        <row r="381">
          <cell r="B381">
            <v>2019</v>
          </cell>
          <cell r="K381" t="str">
            <v>BENTON</v>
          </cell>
          <cell r="L381" t="str">
            <v>Benton</v>
          </cell>
          <cell r="V381">
            <v>194000</v>
          </cell>
        </row>
        <row r="382">
          <cell r="B382">
            <v>2019</v>
          </cell>
          <cell r="K382" t="str">
            <v>CEDAR</v>
          </cell>
          <cell r="L382" t="str">
            <v>Cedar</v>
          </cell>
          <cell r="V382">
            <v>157000</v>
          </cell>
        </row>
        <row r="383">
          <cell r="B383">
            <v>2019</v>
          </cell>
          <cell r="K383" t="str">
            <v>CLINTON</v>
          </cell>
          <cell r="L383" t="str">
            <v>Clinton</v>
          </cell>
          <cell r="V383">
            <v>188000</v>
          </cell>
        </row>
        <row r="384">
          <cell r="B384">
            <v>2019</v>
          </cell>
          <cell r="K384" t="str">
            <v>IOWA</v>
          </cell>
          <cell r="L384" t="str">
            <v>Iowa</v>
          </cell>
          <cell r="V384">
            <v>115000</v>
          </cell>
        </row>
        <row r="385">
          <cell r="B385">
            <v>2019</v>
          </cell>
          <cell r="K385" t="str">
            <v>JACKSON</v>
          </cell>
          <cell r="L385" t="str">
            <v>Jackson</v>
          </cell>
          <cell r="V385">
            <v>119000</v>
          </cell>
        </row>
        <row r="386">
          <cell r="B386">
            <v>2019</v>
          </cell>
          <cell r="K386" t="str">
            <v>JOHNSON</v>
          </cell>
          <cell r="L386" t="str">
            <v>Johnson</v>
          </cell>
          <cell r="V386">
            <v>103000</v>
          </cell>
        </row>
        <row r="387">
          <cell r="B387">
            <v>2019</v>
          </cell>
          <cell r="K387" t="str">
            <v>JONES</v>
          </cell>
          <cell r="L387" t="str">
            <v>Jones</v>
          </cell>
          <cell r="V387">
            <v>151000</v>
          </cell>
        </row>
        <row r="388">
          <cell r="B388">
            <v>2019</v>
          </cell>
          <cell r="K388" t="str">
            <v>LINN</v>
          </cell>
          <cell r="L388" t="str">
            <v>Linn</v>
          </cell>
          <cell r="V388">
            <v>154000</v>
          </cell>
        </row>
        <row r="389">
          <cell r="B389">
            <v>2019</v>
          </cell>
          <cell r="K389" t="str">
            <v>MUSCATINE</v>
          </cell>
          <cell r="L389" t="str">
            <v>Muscatine</v>
          </cell>
          <cell r="V389">
            <v>86000</v>
          </cell>
        </row>
        <row r="390">
          <cell r="B390">
            <v>2019</v>
          </cell>
          <cell r="K390" t="str">
            <v>SCOTT</v>
          </cell>
          <cell r="L390" t="str">
            <v>Scott</v>
          </cell>
          <cell r="V390">
            <v>105000</v>
          </cell>
        </row>
        <row r="391">
          <cell r="B391">
            <v>2019</v>
          </cell>
          <cell r="K391" t="str">
            <v>BUTLER</v>
          </cell>
          <cell r="L391" t="str">
            <v>Butler</v>
          </cell>
          <cell r="V391">
            <v>171000</v>
          </cell>
        </row>
        <row r="392">
          <cell r="B392">
            <v>2019</v>
          </cell>
          <cell r="K392" t="str">
            <v>CERRO GORDO</v>
          </cell>
          <cell r="L392" t="str">
            <v>Cerro Gordo</v>
          </cell>
          <cell r="V392">
            <v>172000</v>
          </cell>
        </row>
        <row r="393">
          <cell r="B393">
            <v>2019</v>
          </cell>
          <cell r="K393" t="str">
            <v>FLOYD</v>
          </cell>
          <cell r="L393" t="str">
            <v>Floyd</v>
          </cell>
          <cell r="V393">
            <v>143000</v>
          </cell>
        </row>
        <row r="394">
          <cell r="B394">
            <v>2019</v>
          </cell>
          <cell r="K394" t="str">
            <v>FRANKLIN</v>
          </cell>
          <cell r="L394" t="str">
            <v>Franklin</v>
          </cell>
          <cell r="V394">
            <v>206000</v>
          </cell>
        </row>
        <row r="395">
          <cell r="B395">
            <v>2019</v>
          </cell>
          <cell r="K395" t="str">
            <v>HANCOCK</v>
          </cell>
          <cell r="L395" t="str">
            <v>Hancock</v>
          </cell>
          <cell r="V395">
            <v>197000</v>
          </cell>
        </row>
        <row r="396">
          <cell r="B396">
            <v>2019</v>
          </cell>
          <cell r="K396" t="str">
            <v>HUMBOLDT</v>
          </cell>
          <cell r="L396" t="str">
            <v>Humboldt</v>
          </cell>
          <cell r="V396">
            <v>136000</v>
          </cell>
        </row>
        <row r="397">
          <cell r="B397">
            <v>2019</v>
          </cell>
          <cell r="K397" t="str">
            <v>KOSSUTH</v>
          </cell>
          <cell r="L397" t="str">
            <v>Kossuth</v>
          </cell>
          <cell r="V397">
            <v>313000</v>
          </cell>
        </row>
        <row r="398">
          <cell r="B398">
            <v>2019</v>
          </cell>
          <cell r="K398" t="str">
            <v>MITCHELL</v>
          </cell>
          <cell r="L398" t="str">
            <v>Mitchell</v>
          </cell>
          <cell r="V398">
            <v>154000</v>
          </cell>
        </row>
        <row r="399">
          <cell r="B399">
            <v>2019</v>
          </cell>
          <cell r="K399" t="str">
            <v>WINNEBAGO</v>
          </cell>
          <cell r="L399" t="str">
            <v>Winnebago</v>
          </cell>
          <cell r="V399">
            <v>122000</v>
          </cell>
        </row>
        <row r="400">
          <cell r="B400">
            <v>2019</v>
          </cell>
          <cell r="K400" t="str">
            <v>WORTH</v>
          </cell>
          <cell r="L400" t="str">
            <v>Worth</v>
          </cell>
          <cell r="V400">
            <v>111000</v>
          </cell>
        </row>
        <row r="401">
          <cell r="B401">
            <v>2019</v>
          </cell>
          <cell r="K401" t="str">
            <v>WRIGHT</v>
          </cell>
          <cell r="L401" t="str">
            <v>Wright</v>
          </cell>
          <cell r="V401">
            <v>184000</v>
          </cell>
        </row>
        <row r="402">
          <cell r="B402">
            <v>2019</v>
          </cell>
          <cell r="K402" t="str">
            <v>ALLAMAKEE</v>
          </cell>
          <cell r="L402" t="str">
            <v>Allamakee</v>
          </cell>
          <cell r="V402">
            <v>97000</v>
          </cell>
        </row>
        <row r="403">
          <cell r="B403">
            <v>2019</v>
          </cell>
          <cell r="K403" t="str">
            <v>BLACK HAWK</v>
          </cell>
          <cell r="L403" t="str">
            <v>Black Hawk</v>
          </cell>
          <cell r="V403">
            <v>146000</v>
          </cell>
        </row>
        <row r="404">
          <cell r="B404">
            <v>2019</v>
          </cell>
          <cell r="K404" t="str">
            <v>BREMER</v>
          </cell>
          <cell r="L404" t="str">
            <v>Bremer</v>
          </cell>
          <cell r="V404">
            <v>127000</v>
          </cell>
        </row>
        <row r="405">
          <cell r="B405">
            <v>2019</v>
          </cell>
          <cell r="K405" t="str">
            <v>BUCHANAN</v>
          </cell>
          <cell r="L405" t="str">
            <v>Buchanan</v>
          </cell>
          <cell r="V405">
            <v>193500</v>
          </cell>
        </row>
        <row r="406">
          <cell r="B406">
            <v>2019</v>
          </cell>
          <cell r="K406" t="str">
            <v>CHICKASAW</v>
          </cell>
          <cell r="L406" t="str">
            <v>Chickasaw</v>
          </cell>
          <cell r="V406">
            <v>150000</v>
          </cell>
        </row>
        <row r="407">
          <cell r="B407">
            <v>2019</v>
          </cell>
          <cell r="K407" t="str">
            <v>CLAYTON</v>
          </cell>
          <cell r="L407" t="str">
            <v>Clayton</v>
          </cell>
          <cell r="V407">
            <v>152000</v>
          </cell>
        </row>
        <row r="408">
          <cell r="B408">
            <v>2019</v>
          </cell>
          <cell r="K408" t="str">
            <v>DELAWARE</v>
          </cell>
          <cell r="L408" t="str">
            <v>Delaware</v>
          </cell>
          <cell r="V408">
            <v>200000</v>
          </cell>
        </row>
        <row r="409">
          <cell r="B409">
            <v>2019</v>
          </cell>
          <cell r="K409" t="str">
            <v>DUBUQUE</v>
          </cell>
          <cell r="L409" t="str">
            <v>Dubuque</v>
          </cell>
          <cell r="V409">
            <v>150000</v>
          </cell>
        </row>
        <row r="410">
          <cell r="B410">
            <v>2019</v>
          </cell>
          <cell r="K410" t="str">
            <v>FAYETTE</v>
          </cell>
          <cell r="L410" t="str">
            <v>Fayette</v>
          </cell>
          <cell r="V410">
            <v>200000</v>
          </cell>
        </row>
        <row r="411">
          <cell r="B411">
            <v>2019</v>
          </cell>
          <cell r="K411" t="str">
            <v>HOWARD</v>
          </cell>
          <cell r="L411" t="str">
            <v>Howard</v>
          </cell>
          <cell r="V411">
            <v>133000</v>
          </cell>
        </row>
        <row r="412">
          <cell r="B412">
            <v>2019</v>
          </cell>
          <cell r="K412" t="str">
            <v>WINNESHIEK</v>
          </cell>
          <cell r="L412" t="str">
            <v>Winneshiek</v>
          </cell>
          <cell r="V412">
            <v>171500</v>
          </cell>
        </row>
        <row r="413">
          <cell r="B413">
            <v>2019</v>
          </cell>
          <cell r="K413" t="str">
            <v>BUENA VISTA</v>
          </cell>
          <cell r="L413" t="str">
            <v>Buena Vista</v>
          </cell>
          <cell r="V413">
            <v>169000</v>
          </cell>
        </row>
        <row r="414">
          <cell r="B414">
            <v>2019</v>
          </cell>
          <cell r="K414" t="str">
            <v>CHEROKEE</v>
          </cell>
          <cell r="L414" t="str">
            <v>Cherokee</v>
          </cell>
          <cell r="V414">
            <v>152000</v>
          </cell>
        </row>
        <row r="415">
          <cell r="B415">
            <v>2019</v>
          </cell>
          <cell r="K415" t="str">
            <v>CLAY</v>
          </cell>
          <cell r="L415" t="str">
            <v>Clay</v>
          </cell>
          <cell r="V415">
            <v>150000</v>
          </cell>
        </row>
        <row r="416">
          <cell r="B416">
            <v>2019</v>
          </cell>
          <cell r="K416" t="str">
            <v>DICKINSON</v>
          </cell>
          <cell r="L416" t="str">
            <v>Dickinson</v>
          </cell>
          <cell r="V416">
            <v>93000</v>
          </cell>
        </row>
        <row r="417">
          <cell r="B417">
            <v>2019</v>
          </cell>
          <cell r="K417" t="str">
            <v>LYON</v>
          </cell>
          <cell r="L417" t="str">
            <v>Lyon</v>
          </cell>
          <cell r="V417">
            <v>187000</v>
          </cell>
        </row>
        <row r="418">
          <cell r="B418">
            <v>2019</v>
          </cell>
          <cell r="K418" t="str">
            <v>O BRIEN</v>
          </cell>
          <cell r="L418" t="str">
            <v>O Brien</v>
          </cell>
          <cell r="V418">
            <v>177000</v>
          </cell>
        </row>
        <row r="419">
          <cell r="B419">
            <v>2019</v>
          </cell>
          <cell r="K419" t="str">
            <v>OSCEOLA</v>
          </cell>
          <cell r="L419" t="str">
            <v>Osceola</v>
          </cell>
          <cell r="V419">
            <v>120000</v>
          </cell>
        </row>
        <row r="420">
          <cell r="B420">
            <v>2019</v>
          </cell>
          <cell r="K420" t="str">
            <v>OTHER (COMBINED) COUNTIES</v>
          </cell>
          <cell r="L420" t="str">
            <v>Other (Combined) Counties</v>
          </cell>
          <cell r="V420">
            <v>297000</v>
          </cell>
        </row>
        <row r="421">
          <cell r="B421">
            <v>2019</v>
          </cell>
          <cell r="K421" t="str">
            <v>PALO ALTO</v>
          </cell>
          <cell r="L421" t="str">
            <v>Palo Alto</v>
          </cell>
          <cell r="V421">
            <v>162000</v>
          </cell>
        </row>
        <row r="422">
          <cell r="B422">
            <v>2019</v>
          </cell>
          <cell r="K422" t="str">
            <v>PLYMOUTH</v>
          </cell>
          <cell r="L422" t="str">
            <v>Plymouth</v>
          </cell>
          <cell r="V422">
            <v>235000</v>
          </cell>
        </row>
        <row r="423">
          <cell r="B423">
            <v>2019</v>
          </cell>
          <cell r="K423" t="str">
            <v>SIOUX</v>
          </cell>
          <cell r="L423" t="str">
            <v>Sioux</v>
          </cell>
          <cell r="V423">
            <v>263000</v>
          </cell>
        </row>
        <row r="424">
          <cell r="B424">
            <v>2019</v>
          </cell>
          <cell r="K424" t="str">
            <v>APPANOOSE</v>
          </cell>
          <cell r="L424" t="str">
            <v>Appanoose</v>
          </cell>
          <cell r="V424">
            <v>30100</v>
          </cell>
        </row>
        <row r="425">
          <cell r="B425">
            <v>2019</v>
          </cell>
          <cell r="K425" t="str">
            <v>MADISON</v>
          </cell>
          <cell r="L425" t="str">
            <v>Madison</v>
          </cell>
          <cell r="V425">
            <v>67200</v>
          </cell>
        </row>
        <row r="426">
          <cell r="B426">
            <v>2019</v>
          </cell>
          <cell r="K426" t="str">
            <v>MARION</v>
          </cell>
          <cell r="L426" t="str">
            <v>Marion</v>
          </cell>
          <cell r="V426">
            <v>74800</v>
          </cell>
        </row>
        <row r="427">
          <cell r="B427">
            <v>2019</v>
          </cell>
          <cell r="K427" t="str">
            <v>MONROE</v>
          </cell>
          <cell r="L427" t="str">
            <v>Monroe</v>
          </cell>
          <cell r="V427">
            <v>26200</v>
          </cell>
        </row>
        <row r="428">
          <cell r="B428">
            <v>2019</v>
          </cell>
          <cell r="K428" t="str">
            <v>OTHER (COMBINED) COUNTIES</v>
          </cell>
          <cell r="L428" t="str">
            <v>Other (Combined) Counties</v>
          </cell>
          <cell r="V428">
            <v>212700</v>
          </cell>
        </row>
        <row r="429">
          <cell r="B429">
            <v>2019</v>
          </cell>
          <cell r="K429" t="str">
            <v>UNION</v>
          </cell>
          <cell r="L429" t="str">
            <v>Union</v>
          </cell>
          <cell r="V429">
            <v>55100</v>
          </cell>
        </row>
        <row r="430">
          <cell r="B430">
            <v>2019</v>
          </cell>
          <cell r="K430" t="str">
            <v>WAYNE</v>
          </cell>
          <cell r="L430" t="str">
            <v>Wayne</v>
          </cell>
          <cell r="V430">
            <v>56900</v>
          </cell>
        </row>
        <row r="431">
          <cell r="B431">
            <v>2019</v>
          </cell>
          <cell r="K431" t="str">
            <v>DAVIS</v>
          </cell>
          <cell r="L431" t="str">
            <v>Davis</v>
          </cell>
          <cell r="V431">
            <v>49000</v>
          </cell>
        </row>
        <row r="432">
          <cell r="B432">
            <v>2019</v>
          </cell>
          <cell r="K432" t="str">
            <v>DES MOINES</v>
          </cell>
          <cell r="L432" t="str">
            <v>Des Moines</v>
          </cell>
          <cell r="V432">
            <v>68500</v>
          </cell>
        </row>
        <row r="433">
          <cell r="B433">
            <v>2019</v>
          </cell>
          <cell r="K433" t="str">
            <v>HENRY</v>
          </cell>
          <cell r="L433" t="str">
            <v>Henry</v>
          </cell>
          <cell r="V433">
            <v>75600</v>
          </cell>
        </row>
        <row r="434">
          <cell r="B434">
            <v>2019</v>
          </cell>
          <cell r="K434" t="str">
            <v>JEFFERSON</v>
          </cell>
          <cell r="L434" t="str">
            <v>Jefferson</v>
          </cell>
          <cell r="V434">
            <v>70200</v>
          </cell>
        </row>
        <row r="435">
          <cell r="B435">
            <v>2019</v>
          </cell>
          <cell r="K435" t="str">
            <v>KEOKUK</v>
          </cell>
          <cell r="L435" t="str">
            <v>Keokuk</v>
          </cell>
          <cell r="V435">
            <v>122500</v>
          </cell>
        </row>
        <row r="436">
          <cell r="B436">
            <v>2019</v>
          </cell>
          <cell r="K436" t="str">
            <v>LEE</v>
          </cell>
          <cell r="L436" t="str">
            <v>Lee</v>
          </cell>
          <cell r="V436">
            <v>70800</v>
          </cell>
        </row>
        <row r="437">
          <cell r="B437">
            <v>2019</v>
          </cell>
          <cell r="K437" t="str">
            <v>LOUISA</v>
          </cell>
          <cell r="L437" t="str">
            <v>Louisa</v>
          </cell>
          <cell r="V437">
            <v>78200</v>
          </cell>
        </row>
        <row r="438">
          <cell r="B438">
            <v>2019</v>
          </cell>
          <cell r="K438" t="str">
            <v>MAHASKA</v>
          </cell>
          <cell r="L438" t="str">
            <v>Mahaska</v>
          </cell>
          <cell r="V438">
            <v>130400</v>
          </cell>
        </row>
        <row r="439">
          <cell r="B439">
            <v>2019</v>
          </cell>
          <cell r="K439" t="str">
            <v>VAN BUREN</v>
          </cell>
          <cell r="L439" t="str">
            <v>Van Buren</v>
          </cell>
          <cell r="V439">
            <v>47000</v>
          </cell>
        </row>
        <row r="440">
          <cell r="B440">
            <v>2019</v>
          </cell>
          <cell r="K440" t="str">
            <v>WAPELLO</v>
          </cell>
          <cell r="L440" t="str">
            <v>Wapello</v>
          </cell>
          <cell r="V440">
            <v>56800</v>
          </cell>
        </row>
        <row r="441">
          <cell r="B441">
            <v>2019</v>
          </cell>
          <cell r="K441" t="str">
            <v>WASHINGTON</v>
          </cell>
          <cell r="L441" t="str">
            <v>Washington</v>
          </cell>
          <cell r="V441">
            <v>118000</v>
          </cell>
        </row>
        <row r="442">
          <cell r="B442">
            <v>2019</v>
          </cell>
          <cell r="K442" t="str">
            <v>ADAIR</v>
          </cell>
          <cell r="L442" t="str">
            <v>Adair</v>
          </cell>
          <cell r="V442">
            <v>110500</v>
          </cell>
        </row>
        <row r="443">
          <cell r="B443">
            <v>2019</v>
          </cell>
          <cell r="K443" t="str">
            <v>CASS</v>
          </cell>
          <cell r="L443" t="str">
            <v>Cass</v>
          </cell>
          <cell r="V443">
            <v>136000</v>
          </cell>
        </row>
        <row r="444">
          <cell r="B444">
            <v>2019</v>
          </cell>
          <cell r="K444" t="str">
            <v>MILLS</v>
          </cell>
          <cell r="L444" t="str">
            <v>Mills</v>
          </cell>
          <cell r="V444">
            <v>83500</v>
          </cell>
        </row>
        <row r="445">
          <cell r="B445">
            <v>2019</v>
          </cell>
          <cell r="K445" t="str">
            <v>MONTGOMERY</v>
          </cell>
          <cell r="L445" t="str">
            <v>Montgomery</v>
          </cell>
          <cell r="V445">
            <v>92500</v>
          </cell>
        </row>
        <row r="446">
          <cell r="B446">
            <v>2019</v>
          </cell>
          <cell r="K446" t="str">
            <v>OTHER (COMBINED) COUNTIES</v>
          </cell>
          <cell r="L446" t="str">
            <v>Other (Combined) Counties</v>
          </cell>
          <cell r="V446">
            <v>165500</v>
          </cell>
        </row>
        <row r="447">
          <cell r="B447">
            <v>2019</v>
          </cell>
          <cell r="K447" t="str">
            <v>PAGE</v>
          </cell>
          <cell r="L447" t="str">
            <v>Page</v>
          </cell>
          <cell r="V447">
            <v>113000</v>
          </cell>
        </row>
        <row r="448">
          <cell r="B448">
            <v>2019</v>
          </cell>
          <cell r="K448" t="str">
            <v>POTTAWATTAMIE</v>
          </cell>
          <cell r="L448" t="str">
            <v>Pottawattamie</v>
          </cell>
          <cell r="V448">
            <v>235000</v>
          </cell>
        </row>
        <row r="449">
          <cell r="B449">
            <v>2019</v>
          </cell>
          <cell r="K449" t="str">
            <v>TAYLOR</v>
          </cell>
          <cell r="L449" t="str">
            <v>Taylor</v>
          </cell>
          <cell r="V449">
            <v>85000</v>
          </cell>
        </row>
        <row r="450">
          <cell r="B450">
            <v>2019</v>
          </cell>
          <cell r="K450" t="str">
            <v>AUDUBON</v>
          </cell>
          <cell r="L450" t="str">
            <v>Audubon</v>
          </cell>
          <cell r="V450">
            <v>109000</v>
          </cell>
        </row>
        <row r="451">
          <cell r="B451">
            <v>2019</v>
          </cell>
          <cell r="K451" t="str">
            <v>CALHOUN</v>
          </cell>
          <cell r="L451" t="str">
            <v>Calhoun</v>
          </cell>
          <cell r="V451">
            <v>179000</v>
          </cell>
        </row>
        <row r="452">
          <cell r="B452">
            <v>2019</v>
          </cell>
          <cell r="K452" t="str">
            <v>CARROLL</v>
          </cell>
          <cell r="L452" t="str">
            <v>Carroll</v>
          </cell>
          <cell r="V452">
            <v>184000</v>
          </cell>
        </row>
        <row r="453">
          <cell r="B453">
            <v>2019</v>
          </cell>
          <cell r="K453" t="str">
            <v>CRAWFORD</v>
          </cell>
          <cell r="L453" t="str">
            <v>Crawford</v>
          </cell>
          <cell r="V453">
            <v>206000</v>
          </cell>
        </row>
        <row r="454">
          <cell r="B454">
            <v>2019</v>
          </cell>
          <cell r="K454" t="str">
            <v>GREENE</v>
          </cell>
          <cell r="L454" t="str">
            <v>Greene</v>
          </cell>
          <cell r="V454">
            <v>175000</v>
          </cell>
        </row>
        <row r="455">
          <cell r="B455">
            <v>2019</v>
          </cell>
          <cell r="K455" t="str">
            <v>GUTHRIE</v>
          </cell>
          <cell r="L455" t="str">
            <v>Guthrie</v>
          </cell>
          <cell r="V455">
            <v>112000</v>
          </cell>
        </row>
        <row r="456">
          <cell r="B456">
            <v>2019</v>
          </cell>
          <cell r="K456" t="str">
            <v>MONONA</v>
          </cell>
          <cell r="L456" t="str">
            <v>Monona</v>
          </cell>
          <cell r="V456">
            <v>173000</v>
          </cell>
        </row>
        <row r="457">
          <cell r="B457">
            <v>2019</v>
          </cell>
          <cell r="K457" t="str">
            <v>OTHER (COMBINED) COUNTIES</v>
          </cell>
          <cell r="L457" t="str">
            <v>Other (Combined) Counties</v>
          </cell>
          <cell r="V457">
            <v>303000</v>
          </cell>
        </row>
        <row r="458">
          <cell r="B458">
            <v>2019</v>
          </cell>
          <cell r="K458" t="str">
            <v>SAC</v>
          </cell>
          <cell r="L458" t="str">
            <v>Sac</v>
          </cell>
          <cell r="V458">
            <v>174000</v>
          </cell>
        </row>
        <row r="459">
          <cell r="B459">
            <v>2019</v>
          </cell>
          <cell r="K459" t="str">
            <v>SHELBY</v>
          </cell>
          <cell r="L459" t="str">
            <v>Shelby</v>
          </cell>
          <cell r="V459">
            <v>173000</v>
          </cell>
        </row>
        <row r="460">
          <cell r="B460">
            <v>2019</v>
          </cell>
          <cell r="K460" t="str">
            <v>WOODBURY</v>
          </cell>
          <cell r="L460" t="str">
            <v>Woodbury</v>
          </cell>
          <cell r="V460">
            <v>209000</v>
          </cell>
        </row>
        <row r="461">
          <cell r="B461">
            <v>2018</v>
          </cell>
          <cell r="K461" t="str">
            <v>BOONE</v>
          </cell>
          <cell r="L461" t="str">
            <v>Boone</v>
          </cell>
          <cell r="V461">
            <v>154500</v>
          </cell>
        </row>
        <row r="462">
          <cell r="B462">
            <v>2018</v>
          </cell>
          <cell r="K462" t="str">
            <v>DALLAS</v>
          </cell>
          <cell r="L462" t="str">
            <v>Dallas</v>
          </cell>
          <cell r="V462">
            <v>132000</v>
          </cell>
        </row>
        <row r="463">
          <cell r="B463">
            <v>2018</v>
          </cell>
          <cell r="K463" t="str">
            <v>GRUNDY</v>
          </cell>
          <cell r="L463" t="str">
            <v>Grundy</v>
          </cell>
          <cell r="V463">
            <v>158500</v>
          </cell>
        </row>
        <row r="464">
          <cell r="B464">
            <v>2018</v>
          </cell>
          <cell r="K464" t="str">
            <v>HAMILTON</v>
          </cell>
          <cell r="L464" t="str">
            <v>Hamilton</v>
          </cell>
          <cell r="V464">
            <v>192500</v>
          </cell>
        </row>
        <row r="465">
          <cell r="B465">
            <v>2018</v>
          </cell>
          <cell r="K465" t="str">
            <v>HARDIN</v>
          </cell>
          <cell r="L465" t="str">
            <v>Hardin</v>
          </cell>
          <cell r="V465">
            <v>183500</v>
          </cell>
        </row>
        <row r="466">
          <cell r="B466">
            <v>2018</v>
          </cell>
          <cell r="K466" t="str">
            <v>JASPER</v>
          </cell>
          <cell r="L466" t="str">
            <v>Jasper</v>
          </cell>
          <cell r="V466">
            <v>173500</v>
          </cell>
        </row>
        <row r="467">
          <cell r="B467">
            <v>2018</v>
          </cell>
          <cell r="K467" t="str">
            <v>MARSHALL</v>
          </cell>
          <cell r="L467" t="str">
            <v>Marshall</v>
          </cell>
          <cell r="V467">
            <v>152500</v>
          </cell>
        </row>
        <row r="468">
          <cell r="B468">
            <v>2018</v>
          </cell>
          <cell r="K468" t="str">
            <v>POLK</v>
          </cell>
          <cell r="L468" t="str">
            <v>Polk</v>
          </cell>
          <cell r="V468">
            <v>78000</v>
          </cell>
        </row>
        <row r="469">
          <cell r="B469">
            <v>2018</v>
          </cell>
          <cell r="K469" t="str">
            <v>POWESHIEK</v>
          </cell>
          <cell r="L469" t="str">
            <v>Poweshiek</v>
          </cell>
          <cell r="V469">
            <v>145500</v>
          </cell>
        </row>
        <row r="470">
          <cell r="B470">
            <v>2018</v>
          </cell>
          <cell r="K470" t="str">
            <v>STORY</v>
          </cell>
          <cell r="L470" t="str">
            <v>Story</v>
          </cell>
          <cell r="V470">
            <v>160000</v>
          </cell>
        </row>
        <row r="471">
          <cell r="B471">
            <v>2018</v>
          </cell>
          <cell r="K471" t="str">
            <v>TAMA</v>
          </cell>
          <cell r="L471" t="str">
            <v>Tama</v>
          </cell>
          <cell r="V471">
            <v>171500</v>
          </cell>
        </row>
        <row r="472">
          <cell r="B472">
            <v>2018</v>
          </cell>
          <cell r="K472" t="str">
            <v>WEBSTER</v>
          </cell>
          <cell r="L472" t="str">
            <v>Webster</v>
          </cell>
          <cell r="V472">
            <v>200000</v>
          </cell>
        </row>
        <row r="473">
          <cell r="B473">
            <v>2018</v>
          </cell>
          <cell r="K473" t="str">
            <v>BENTON</v>
          </cell>
          <cell r="L473" t="str">
            <v>Benton</v>
          </cell>
          <cell r="V473">
            <v>191500</v>
          </cell>
        </row>
        <row r="474">
          <cell r="B474">
            <v>2018</v>
          </cell>
          <cell r="K474" t="str">
            <v>CEDAR</v>
          </cell>
          <cell r="L474" t="str">
            <v>Cedar</v>
          </cell>
          <cell r="V474">
            <v>154500</v>
          </cell>
        </row>
        <row r="475">
          <cell r="B475">
            <v>2018</v>
          </cell>
          <cell r="K475" t="str">
            <v>CLINTON</v>
          </cell>
          <cell r="L475" t="str">
            <v>Clinton</v>
          </cell>
          <cell r="V475">
            <v>190500</v>
          </cell>
        </row>
        <row r="476">
          <cell r="B476">
            <v>2018</v>
          </cell>
          <cell r="K476" t="str">
            <v>IOWA</v>
          </cell>
          <cell r="L476" t="str">
            <v>Iowa</v>
          </cell>
          <cell r="V476">
            <v>125500</v>
          </cell>
        </row>
        <row r="477">
          <cell r="B477">
            <v>2018</v>
          </cell>
          <cell r="K477" t="str">
            <v>JACKSON</v>
          </cell>
          <cell r="L477" t="str">
            <v>Jackson</v>
          </cell>
          <cell r="V477">
            <v>121500</v>
          </cell>
        </row>
        <row r="478">
          <cell r="B478">
            <v>2018</v>
          </cell>
          <cell r="K478" t="str">
            <v>JOHNSON</v>
          </cell>
          <cell r="L478" t="str">
            <v>Johnson</v>
          </cell>
          <cell r="V478">
            <v>107000</v>
          </cell>
        </row>
        <row r="479">
          <cell r="B479">
            <v>2018</v>
          </cell>
          <cell r="K479" t="str">
            <v>JONES</v>
          </cell>
          <cell r="L479" t="str">
            <v>Jones</v>
          </cell>
          <cell r="V479">
            <v>153000</v>
          </cell>
        </row>
        <row r="480">
          <cell r="B480">
            <v>2018</v>
          </cell>
          <cell r="K480" t="str">
            <v>LINN</v>
          </cell>
          <cell r="L480" t="str">
            <v>Linn</v>
          </cell>
          <cell r="V480">
            <v>151000</v>
          </cell>
        </row>
        <row r="481">
          <cell r="B481">
            <v>2018</v>
          </cell>
          <cell r="K481" t="str">
            <v>MUSCATINE</v>
          </cell>
          <cell r="L481" t="str">
            <v>Muscatine</v>
          </cell>
          <cell r="V481">
            <v>93000</v>
          </cell>
        </row>
        <row r="482">
          <cell r="B482">
            <v>2018</v>
          </cell>
          <cell r="K482" t="str">
            <v>SCOTT</v>
          </cell>
          <cell r="L482" t="str">
            <v>Scott</v>
          </cell>
          <cell r="V482">
            <v>110500</v>
          </cell>
        </row>
        <row r="483">
          <cell r="B483">
            <v>2018</v>
          </cell>
          <cell r="K483" t="str">
            <v>BUTLER</v>
          </cell>
          <cell r="L483" t="str">
            <v>Butler</v>
          </cell>
          <cell r="V483">
            <v>165500</v>
          </cell>
        </row>
        <row r="484">
          <cell r="B484">
            <v>2018</v>
          </cell>
          <cell r="K484" t="str">
            <v>CERRO GORDO</v>
          </cell>
          <cell r="L484" t="str">
            <v>Cerro Gordo</v>
          </cell>
          <cell r="V484">
            <v>162500</v>
          </cell>
        </row>
        <row r="485">
          <cell r="B485">
            <v>2018</v>
          </cell>
          <cell r="K485" t="str">
            <v>FLOYD</v>
          </cell>
          <cell r="L485" t="str">
            <v>Floyd</v>
          </cell>
          <cell r="V485">
            <v>141000</v>
          </cell>
        </row>
        <row r="486">
          <cell r="B486">
            <v>2018</v>
          </cell>
          <cell r="K486" t="str">
            <v>FRANKLIN</v>
          </cell>
          <cell r="L486" t="str">
            <v>Franklin</v>
          </cell>
          <cell r="V486">
            <v>203000</v>
          </cell>
        </row>
        <row r="487">
          <cell r="B487">
            <v>2018</v>
          </cell>
          <cell r="K487" t="str">
            <v>HANCOCK</v>
          </cell>
          <cell r="L487" t="str">
            <v>Hancock</v>
          </cell>
          <cell r="V487">
            <v>184500</v>
          </cell>
        </row>
        <row r="488">
          <cell r="B488">
            <v>2018</v>
          </cell>
          <cell r="K488" t="str">
            <v>HUMBOLDT</v>
          </cell>
          <cell r="L488" t="str">
            <v>Humboldt</v>
          </cell>
          <cell r="V488">
            <v>136500</v>
          </cell>
        </row>
        <row r="489">
          <cell r="B489">
            <v>2018</v>
          </cell>
          <cell r="K489" t="str">
            <v>KOSSUTH</v>
          </cell>
          <cell r="L489" t="str">
            <v>Kossuth</v>
          </cell>
          <cell r="V489">
            <v>304000</v>
          </cell>
        </row>
        <row r="490">
          <cell r="B490">
            <v>2018</v>
          </cell>
          <cell r="K490" t="str">
            <v>MITCHELL</v>
          </cell>
          <cell r="L490" t="str">
            <v>Mitchell</v>
          </cell>
          <cell r="V490">
            <v>146500</v>
          </cell>
        </row>
        <row r="491">
          <cell r="B491">
            <v>2018</v>
          </cell>
          <cell r="K491" t="str">
            <v>WINNEBAGO</v>
          </cell>
          <cell r="L491" t="str">
            <v>Winnebago</v>
          </cell>
          <cell r="V491">
            <v>120000</v>
          </cell>
        </row>
        <row r="492">
          <cell r="B492">
            <v>2018</v>
          </cell>
          <cell r="K492" t="str">
            <v>WORTH</v>
          </cell>
          <cell r="L492" t="str">
            <v>Worth</v>
          </cell>
          <cell r="V492">
            <v>111500</v>
          </cell>
        </row>
        <row r="493">
          <cell r="B493">
            <v>2018</v>
          </cell>
          <cell r="K493" t="str">
            <v>WRIGHT</v>
          </cell>
          <cell r="L493" t="str">
            <v>Wright</v>
          </cell>
          <cell r="V493">
            <v>182000</v>
          </cell>
        </row>
        <row r="494">
          <cell r="B494">
            <v>2018</v>
          </cell>
          <cell r="K494" t="str">
            <v>ALLAMAKEE</v>
          </cell>
          <cell r="L494" t="str">
            <v>Allamakee</v>
          </cell>
          <cell r="V494">
            <v>93500</v>
          </cell>
        </row>
        <row r="495">
          <cell r="B495">
            <v>2018</v>
          </cell>
          <cell r="K495" t="str">
            <v>BLACK HAWK</v>
          </cell>
          <cell r="L495" t="str">
            <v>Black Hawk</v>
          </cell>
          <cell r="V495">
            <v>146500</v>
          </cell>
        </row>
        <row r="496">
          <cell r="B496">
            <v>2018</v>
          </cell>
          <cell r="K496" t="str">
            <v>BREMER</v>
          </cell>
          <cell r="L496" t="str">
            <v>Bremer</v>
          </cell>
          <cell r="V496">
            <v>124000</v>
          </cell>
        </row>
        <row r="497">
          <cell r="B497">
            <v>2018</v>
          </cell>
          <cell r="K497" t="str">
            <v>BUCHANAN</v>
          </cell>
          <cell r="L497" t="str">
            <v>Buchanan</v>
          </cell>
          <cell r="V497">
            <v>189500</v>
          </cell>
        </row>
        <row r="498">
          <cell r="B498">
            <v>2018</v>
          </cell>
          <cell r="K498" t="str">
            <v>CHICKASAW</v>
          </cell>
          <cell r="L498" t="str">
            <v>Chickasaw</v>
          </cell>
          <cell r="V498">
            <v>148500</v>
          </cell>
        </row>
        <row r="499">
          <cell r="B499">
            <v>2018</v>
          </cell>
          <cell r="K499" t="str">
            <v>CLAYTON</v>
          </cell>
          <cell r="L499" t="str">
            <v>Clayton</v>
          </cell>
          <cell r="V499">
            <v>149000</v>
          </cell>
        </row>
        <row r="500">
          <cell r="B500">
            <v>2018</v>
          </cell>
          <cell r="K500" t="str">
            <v>DELAWARE</v>
          </cell>
          <cell r="L500" t="str">
            <v>Delaware</v>
          </cell>
          <cell r="V500">
            <v>189500</v>
          </cell>
        </row>
        <row r="501">
          <cell r="B501">
            <v>2018</v>
          </cell>
          <cell r="K501" t="str">
            <v>DUBUQUE</v>
          </cell>
          <cell r="L501" t="str">
            <v>Dubuque</v>
          </cell>
          <cell r="V501">
            <v>149000</v>
          </cell>
        </row>
        <row r="502">
          <cell r="B502">
            <v>2018</v>
          </cell>
          <cell r="K502" t="str">
            <v>FAYETTE</v>
          </cell>
          <cell r="L502" t="str">
            <v>Fayette</v>
          </cell>
          <cell r="V502">
            <v>191500</v>
          </cell>
        </row>
        <row r="503">
          <cell r="B503">
            <v>2018</v>
          </cell>
          <cell r="K503" t="str">
            <v>HOWARD</v>
          </cell>
          <cell r="L503" t="str">
            <v>Howard</v>
          </cell>
          <cell r="V503">
            <v>131000</v>
          </cell>
        </row>
        <row r="504">
          <cell r="B504">
            <v>2018</v>
          </cell>
          <cell r="K504" t="str">
            <v>WINNESHIEK</v>
          </cell>
          <cell r="L504" t="str">
            <v>Winneshiek</v>
          </cell>
          <cell r="V504">
            <v>165000</v>
          </cell>
        </row>
        <row r="505">
          <cell r="B505">
            <v>2018</v>
          </cell>
          <cell r="K505" t="str">
            <v>BUENA VISTA</v>
          </cell>
          <cell r="L505" t="str">
            <v>Buena Vista</v>
          </cell>
          <cell r="V505">
            <v>164000</v>
          </cell>
        </row>
        <row r="506">
          <cell r="B506">
            <v>2018</v>
          </cell>
          <cell r="K506" t="str">
            <v>CHEROKEE</v>
          </cell>
          <cell r="L506" t="str">
            <v>Cherokee</v>
          </cell>
          <cell r="V506">
            <v>148000</v>
          </cell>
        </row>
        <row r="507">
          <cell r="B507">
            <v>2018</v>
          </cell>
          <cell r="K507" t="str">
            <v>CLAY</v>
          </cell>
          <cell r="L507" t="str">
            <v>Clay</v>
          </cell>
          <cell r="V507">
            <v>145500</v>
          </cell>
        </row>
        <row r="508">
          <cell r="B508">
            <v>2018</v>
          </cell>
          <cell r="K508" t="str">
            <v>DICKINSON</v>
          </cell>
          <cell r="L508" t="str">
            <v>Dickinson</v>
          </cell>
          <cell r="V508">
            <v>90000</v>
          </cell>
        </row>
        <row r="509">
          <cell r="B509">
            <v>2018</v>
          </cell>
          <cell r="K509" t="str">
            <v>EMMET</v>
          </cell>
          <cell r="L509" t="str">
            <v>Emmet</v>
          </cell>
          <cell r="V509">
            <v>110500</v>
          </cell>
        </row>
        <row r="510">
          <cell r="B510">
            <v>2018</v>
          </cell>
          <cell r="K510" t="str">
            <v>LYON</v>
          </cell>
          <cell r="L510" t="str">
            <v>Lyon</v>
          </cell>
          <cell r="V510">
            <v>184500</v>
          </cell>
        </row>
        <row r="511">
          <cell r="B511">
            <v>2018</v>
          </cell>
          <cell r="K511" t="str">
            <v>O BRIEN</v>
          </cell>
          <cell r="L511" t="str">
            <v>O Brien</v>
          </cell>
          <cell r="V511">
            <v>167000</v>
          </cell>
        </row>
        <row r="512">
          <cell r="B512">
            <v>2018</v>
          </cell>
          <cell r="K512" t="str">
            <v>OSCEOLA</v>
          </cell>
          <cell r="L512" t="str">
            <v>Osceola</v>
          </cell>
          <cell r="V512">
            <v>116000</v>
          </cell>
        </row>
        <row r="513">
          <cell r="B513">
            <v>2018</v>
          </cell>
          <cell r="K513" t="str">
            <v>PALO ALTO</v>
          </cell>
          <cell r="L513" t="str">
            <v>Palo Alto</v>
          </cell>
          <cell r="V513">
            <v>166500</v>
          </cell>
        </row>
        <row r="514">
          <cell r="B514">
            <v>2018</v>
          </cell>
          <cell r="K514" t="str">
            <v>PLYMOUTH</v>
          </cell>
          <cell r="L514" t="str">
            <v>Plymouth</v>
          </cell>
          <cell r="V514">
            <v>226500</v>
          </cell>
        </row>
        <row r="515">
          <cell r="B515">
            <v>2018</v>
          </cell>
          <cell r="K515" t="str">
            <v>POCAHONTAS</v>
          </cell>
          <cell r="L515" t="str">
            <v>Pocahontas</v>
          </cell>
          <cell r="V515">
            <v>179500</v>
          </cell>
        </row>
        <row r="516">
          <cell r="B516">
            <v>2018</v>
          </cell>
          <cell r="K516" t="str">
            <v>SIOUX</v>
          </cell>
          <cell r="L516" t="str">
            <v>Sioux</v>
          </cell>
          <cell r="V516">
            <v>249000</v>
          </cell>
        </row>
        <row r="517">
          <cell r="B517">
            <v>2018</v>
          </cell>
          <cell r="K517" t="str">
            <v>CLARKE</v>
          </cell>
          <cell r="L517" t="str">
            <v>Clarke</v>
          </cell>
          <cell r="V517">
            <v>32900</v>
          </cell>
        </row>
        <row r="518">
          <cell r="B518">
            <v>2018</v>
          </cell>
          <cell r="K518" t="str">
            <v>DECATUR</v>
          </cell>
          <cell r="L518" t="str">
            <v>Decatur</v>
          </cell>
          <cell r="V518">
            <v>34200</v>
          </cell>
        </row>
        <row r="519">
          <cell r="B519">
            <v>2018</v>
          </cell>
          <cell r="K519" t="str">
            <v>MADISON</v>
          </cell>
          <cell r="L519" t="str">
            <v>Madison</v>
          </cell>
          <cell r="V519">
            <v>70000</v>
          </cell>
        </row>
        <row r="520">
          <cell r="B520">
            <v>2018</v>
          </cell>
          <cell r="K520" t="str">
            <v>MARION</v>
          </cell>
          <cell r="L520" t="str">
            <v>Marion</v>
          </cell>
          <cell r="V520">
            <v>76300</v>
          </cell>
        </row>
        <row r="521">
          <cell r="B521">
            <v>2018</v>
          </cell>
          <cell r="K521" t="str">
            <v>MONROE</v>
          </cell>
          <cell r="L521" t="str">
            <v>Monroe</v>
          </cell>
          <cell r="V521">
            <v>28000</v>
          </cell>
        </row>
        <row r="522">
          <cell r="B522">
            <v>2018</v>
          </cell>
          <cell r="K522" t="str">
            <v>OTHER (COMBINED) COUNTIES</v>
          </cell>
          <cell r="L522" t="str">
            <v>Other (Combined) Counties</v>
          </cell>
          <cell r="V522">
            <v>62300</v>
          </cell>
        </row>
        <row r="523">
          <cell r="B523">
            <v>2018</v>
          </cell>
          <cell r="K523" t="str">
            <v>RINGGOLD</v>
          </cell>
          <cell r="L523" t="str">
            <v>Ringgold</v>
          </cell>
          <cell r="V523">
            <v>50900</v>
          </cell>
        </row>
        <row r="524">
          <cell r="B524">
            <v>2018</v>
          </cell>
          <cell r="K524" t="str">
            <v>UNION</v>
          </cell>
          <cell r="L524" t="str">
            <v>Union</v>
          </cell>
          <cell r="V524">
            <v>55200</v>
          </cell>
        </row>
        <row r="525">
          <cell r="B525">
            <v>2018</v>
          </cell>
          <cell r="K525" t="str">
            <v>WARREN</v>
          </cell>
          <cell r="L525" t="str">
            <v>Warren</v>
          </cell>
          <cell r="V525">
            <v>60700</v>
          </cell>
        </row>
        <row r="526">
          <cell r="B526">
            <v>2018</v>
          </cell>
          <cell r="K526" t="str">
            <v>WAYNE</v>
          </cell>
          <cell r="L526" t="str">
            <v>Wayne</v>
          </cell>
          <cell r="V526">
            <v>53500</v>
          </cell>
        </row>
        <row r="527">
          <cell r="B527">
            <v>2018</v>
          </cell>
          <cell r="K527" t="str">
            <v>DES MOINES</v>
          </cell>
          <cell r="L527" t="str">
            <v>Des Moines</v>
          </cell>
          <cell r="V527">
            <v>70500</v>
          </cell>
        </row>
        <row r="528">
          <cell r="B528">
            <v>2018</v>
          </cell>
          <cell r="K528" t="str">
            <v>HENRY</v>
          </cell>
          <cell r="L528" t="str">
            <v>Henry</v>
          </cell>
          <cell r="V528">
            <v>81100</v>
          </cell>
        </row>
        <row r="529">
          <cell r="B529">
            <v>2018</v>
          </cell>
          <cell r="K529" t="str">
            <v>JEFFERSON</v>
          </cell>
          <cell r="L529" t="str">
            <v>Jefferson</v>
          </cell>
          <cell r="V529">
            <v>71600</v>
          </cell>
        </row>
        <row r="530">
          <cell r="B530">
            <v>2018</v>
          </cell>
          <cell r="K530" t="str">
            <v>KEOKUK</v>
          </cell>
          <cell r="L530" t="str">
            <v>Keokuk</v>
          </cell>
          <cell r="V530">
            <v>119000</v>
          </cell>
        </row>
        <row r="531">
          <cell r="B531">
            <v>2018</v>
          </cell>
          <cell r="K531" t="str">
            <v>LEE</v>
          </cell>
          <cell r="L531" t="str">
            <v>Lee</v>
          </cell>
          <cell r="V531">
            <v>74400</v>
          </cell>
        </row>
        <row r="532">
          <cell r="B532">
            <v>2018</v>
          </cell>
          <cell r="K532" t="str">
            <v>LOUISA</v>
          </cell>
          <cell r="L532" t="str">
            <v>Louisa</v>
          </cell>
          <cell r="V532">
            <v>80200</v>
          </cell>
        </row>
        <row r="533">
          <cell r="B533">
            <v>2018</v>
          </cell>
          <cell r="K533" t="str">
            <v>MAHASKA</v>
          </cell>
          <cell r="L533" t="str">
            <v>Mahaska</v>
          </cell>
          <cell r="V533">
            <v>131000</v>
          </cell>
        </row>
        <row r="534">
          <cell r="B534">
            <v>2018</v>
          </cell>
          <cell r="K534" t="str">
            <v>OTHER (COMBINED) COUNTIES</v>
          </cell>
          <cell r="L534" t="str">
            <v>Other (Combined) Counties</v>
          </cell>
          <cell r="V534">
            <v>103500</v>
          </cell>
        </row>
        <row r="535">
          <cell r="B535">
            <v>2018</v>
          </cell>
          <cell r="K535" t="str">
            <v>VAN BUREN</v>
          </cell>
          <cell r="L535" t="str">
            <v>Van Buren</v>
          </cell>
          <cell r="V535">
            <v>52700</v>
          </cell>
        </row>
        <row r="536">
          <cell r="B536">
            <v>2018</v>
          </cell>
          <cell r="K536" t="str">
            <v>WASHINGTON</v>
          </cell>
          <cell r="L536" t="str">
            <v>Washington</v>
          </cell>
          <cell r="V536">
            <v>120000</v>
          </cell>
        </row>
        <row r="537">
          <cell r="B537">
            <v>2018</v>
          </cell>
          <cell r="K537" t="str">
            <v>ADAIR</v>
          </cell>
          <cell r="L537" t="str">
            <v>Adair</v>
          </cell>
          <cell r="V537">
            <v>108500</v>
          </cell>
        </row>
        <row r="538">
          <cell r="B538">
            <v>2018</v>
          </cell>
          <cell r="K538" t="str">
            <v>ADAMS</v>
          </cell>
          <cell r="L538" t="str">
            <v>Adams</v>
          </cell>
          <cell r="V538">
            <v>71000</v>
          </cell>
        </row>
        <row r="539">
          <cell r="B539">
            <v>2018</v>
          </cell>
          <cell r="K539" t="str">
            <v>CASS</v>
          </cell>
          <cell r="L539" t="str">
            <v>Cass</v>
          </cell>
          <cell r="V539">
            <v>128000</v>
          </cell>
        </row>
        <row r="540">
          <cell r="B540">
            <v>2018</v>
          </cell>
          <cell r="K540" t="str">
            <v>FREMONT</v>
          </cell>
          <cell r="L540" t="str">
            <v>Fremont</v>
          </cell>
          <cell r="V540">
            <v>116500</v>
          </cell>
        </row>
        <row r="541">
          <cell r="B541">
            <v>2018</v>
          </cell>
          <cell r="K541" t="str">
            <v>MONTGOMERY</v>
          </cell>
          <cell r="L541" t="str">
            <v>Montgomery</v>
          </cell>
          <cell r="V541">
            <v>93300</v>
          </cell>
        </row>
        <row r="542">
          <cell r="B542">
            <v>2018</v>
          </cell>
          <cell r="K542" t="str">
            <v>OTHER (COMBINED) COUNTIES</v>
          </cell>
          <cell r="L542" t="str">
            <v>Other (Combined) Counties</v>
          </cell>
          <cell r="V542">
            <v>335800</v>
          </cell>
        </row>
        <row r="543">
          <cell r="B543">
            <v>2018</v>
          </cell>
          <cell r="K543" t="str">
            <v>PAGE</v>
          </cell>
          <cell r="L543" t="str">
            <v>Page</v>
          </cell>
          <cell r="V543">
            <v>115500</v>
          </cell>
        </row>
        <row r="544">
          <cell r="B544">
            <v>2018</v>
          </cell>
          <cell r="K544" t="str">
            <v>TAYLOR</v>
          </cell>
          <cell r="L544" t="str">
            <v>Taylor</v>
          </cell>
          <cell r="V544">
            <v>81400</v>
          </cell>
        </row>
        <row r="545">
          <cell r="B545">
            <v>2018</v>
          </cell>
          <cell r="K545" t="str">
            <v>AUDUBON</v>
          </cell>
          <cell r="L545" t="str">
            <v>Audubon</v>
          </cell>
          <cell r="V545">
            <v>111500</v>
          </cell>
        </row>
        <row r="546">
          <cell r="B546">
            <v>2018</v>
          </cell>
          <cell r="K546" t="str">
            <v>CALHOUN</v>
          </cell>
          <cell r="L546" t="str">
            <v>Calhoun</v>
          </cell>
          <cell r="V546">
            <v>172000</v>
          </cell>
        </row>
        <row r="547">
          <cell r="B547">
            <v>2018</v>
          </cell>
          <cell r="K547" t="str">
            <v>CARROLL</v>
          </cell>
          <cell r="L547" t="str">
            <v>Carroll</v>
          </cell>
          <cell r="V547">
            <v>183000</v>
          </cell>
        </row>
        <row r="548">
          <cell r="B548">
            <v>2018</v>
          </cell>
          <cell r="K548" t="str">
            <v>CRAWFORD</v>
          </cell>
          <cell r="L548" t="str">
            <v>Crawford</v>
          </cell>
          <cell r="V548">
            <v>201500</v>
          </cell>
        </row>
        <row r="549">
          <cell r="B549">
            <v>2018</v>
          </cell>
          <cell r="K549" t="str">
            <v>GREENE</v>
          </cell>
          <cell r="L549" t="str">
            <v>Greene</v>
          </cell>
          <cell r="V549">
            <v>166500</v>
          </cell>
        </row>
        <row r="550">
          <cell r="B550">
            <v>2018</v>
          </cell>
          <cell r="K550" t="str">
            <v>GUTHRIE</v>
          </cell>
          <cell r="L550" t="str">
            <v>Guthrie</v>
          </cell>
          <cell r="V550">
            <v>107000</v>
          </cell>
        </row>
        <row r="551">
          <cell r="B551">
            <v>2018</v>
          </cell>
          <cell r="K551" t="str">
            <v>HARRISON</v>
          </cell>
          <cell r="L551" t="str">
            <v>Harrison</v>
          </cell>
          <cell r="V551">
            <v>173000</v>
          </cell>
        </row>
        <row r="552">
          <cell r="B552">
            <v>2018</v>
          </cell>
          <cell r="K552" t="str">
            <v>IDA</v>
          </cell>
          <cell r="L552" t="str">
            <v>Ida</v>
          </cell>
          <cell r="V552">
            <v>124000</v>
          </cell>
        </row>
        <row r="553">
          <cell r="B553">
            <v>2018</v>
          </cell>
          <cell r="K553" t="str">
            <v>MONONA</v>
          </cell>
          <cell r="L553" t="str">
            <v>Monona</v>
          </cell>
          <cell r="V553">
            <v>167000</v>
          </cell>
        </row>
        <row r="554">
          <cell r="B554">
            <v>2018</v>
          </cell>
          <cell r="K554" t="str">
            <v>SAC</v>
          </cell>
          <cell r="L554" t="str">
            <v>Sac</v>
          </cell>
          <cell r="V554">
            <v>162000</v>
          </cell>
        </row>
        <row r="555">
          <cell r="B555">
            <v>2018</v>
          </cell>
          <cell r="K555" t="str">
            <v>SHELBY</v>
          </cell>
          <cell r="L555" t="str">
            <v>Shelby</v>
          </cell>
          <cell r="V555">
            <v>172500</v>
          </cell>
        </row>
        <row r="556">
          <cell r="B556">
            <v>2018</v>
          </cell>
          <cell r="K556" t="str">
            <v>WOODBURY</v>
          </cell>
          <cell r="L556" t="str">
            <v>Woodbury</v>
          </cell>
          <cell r="V556">
            <v>201000</v>
          </cell>
        </row>
        <row r="557">
          <cell r="B557">
            <v>2017</v>
          </cell>
          <cell r="K557" t="str">
            <v>BOONE</v>
          </cell>
          <cell r="L557" t="str">
            <v>Boone</v>
          </cell>
          <cell r="V557">
            <v>158500</v>
          </cell>
        </row>
        <row r="558">
          <cell r="B558">
            <v>2017</v>
          </cell>
          <cell r="K558" t="str">
            <v>DALLAS</v>
          </cell>
          <cell r="L558" t="str">
            <v>Dallas</v>
          </cell>
          <cell r="V558">
            <v>135500</v>
          </cell>
        </row>
        <row r="559">
          <cell r="B559">
            <v>2017</v>
          </cell>
          <cell r="K559" t="str">
            <v>GRUNDY</v>
          </cell>
          <cell r="L559" t="str">
            <v>Grundy</v>
          </cell>
          <cell r="V559">
            <v>160500</v>
          </cell>
        </row>
        <row r="560">
          <cell r="B560">
            <v>2017</v>
          </cell>
          <cell r="K560" t="str">
            <v>HAMILTON</v>
          </cell>
          <cell r="L560" t="str">
            <v>Hamilton</v>
          </cell>
          <cell r="V560">
            <v>192500</v>
          </cell>
        </row>
        <row r="561">
          <cell r="B561">
            <v>2017</v>
          </cell>
          <cell r="K561" t="str">
            <v>HARDIN</v>
          </cell>
          <cell r="L561" t="str">
            <v>Hardin</v>
          </cell>
          <cell r="V561">
            <v>189500</v>
          </cell>
        </row>
        <row r="562">
          <cell r="B562">
            <v>2017</v>
          </cell>
          <cell r="K562" t="str">
            <v>JASPER</v>
          </cell>
          <cell r="L562" t="str">
            <v>Jasper</v>
          </cell>
          <cell r="V562">
            <v>173000</v>
          </cell>
        </row>
        <row r="563">
          <cell r="B563">
            <v>2017</v>
          </cell>
          <cell r="K563" t="str">
            <v>MARSHALL</v>
          </cell>
          <cell r="L563" t="str">
            <v>Marshall</v>
          </cell>
          <cell r="V563">
            <v>148500</v>
          </cell>
        </row>
        <row r="564">
          <cell r="B564">
            <v>2017</v>
          </cell>
          <cell r="K564" t="str">
            <v>POLK</v>
          </cell>
          <cell r="L564" t="str">
            <v>Polk</v>
          </cell>
          <cell r="V564">
            <v>79000</v>
          </cell>
        </row>
        <row r="565">
          <cell r="B565">
            <v>2017</v>
          </cell>
          <cell r="K565" t="str">
            <v>POWESHIEK</v>
          </cell>
          <cell r="L565" t="str">
            <v>Poweshiek</v>
          </cell>
          <cell r="V565">
            <v>149500</v>
          </cell>
        </row>
        <row r="566">
          <cell r="B566">
            <v>2017</v>
          </cell>
          <cell r="K566" t="str">
            <v>STORY</v>
          </cell>
          <cell r="L566" t="str">
            <v>Story</v>
          </cell>
          <cell r="V566">
            <v>167500</v>
          </cell>
        </row>
        <row r="567">
          <cell r="B567">
            <v>2017</v>
          </cell>
          <cell r="K567" t="str">
            <v>TAMA</v>
          </cell>
          <cell r="L567" t="str">
            <v>Tama</v>
          </cell>
          <cell r="V567">
            <v>168000</v>
          </cell>
        </row>
        <row r="568">
          <cell r="B568">
            <v>2017</v>
          </cell>
          <cell r="K568" t="str">
            <v>WEBSTER</v>
          </cell>
          <cell r="L568" t="str">
            <v>Webster</v>
          </cell>
          <cell r="V568">
            <v>203000</v>
          </cell>
        </row>
        <row r="569">
          <cell r="B569">
            <v>2017</v>
          </cell>
          <cell r="K569" t="str">
            <v>BENTON</v>
          </cell>
          <cell r="L569" t="str">
            <v>Benton</v>
          </cell>
          <cell r="V569">
            <v>194000</v>
          </cell>
        </row>
        <row r="570">
          <cell r="B570">
            <v>2017</v>
          </cell>
          <cell r="K570" t="str">
            <v>CEDAR</v>
          </cell>
          <cell r="L570" t="str">
            <v>Cedar</v>
          </cell>
          <cell r="V570">
            <v>154500</v>
          </cell>
        </row>
        <row r="571">
          <cell r="B571">
            <v>2017</v>
          </cell>
          <cell r="K571" t="str">
            <v>CLINTON</v>
          </cell>
          <cell r="L571" t="str">
            <v>Clinton</v>
          </cell>
          <cell r="V571">
            <v>197000</v>
          </cell>
        </row>
        <row r="572">
          <cell r="B572">
            <v>2017</v>
          </cell>
          <cell r="K572" t="str">
            <v>IOWA</v>
          </cell>
          <cell r="L572" t="str">
            <v>Iowa</v>
          </cell>
          <cell r="V572">
            <v>124000</v>
          </cell>
        </row>
        <row r="573">
          <cell r="B573">
            <v>2017</v>
          </cell>
          <cell r="K573" t="str">
            <v>JACKSON</v>
          </cell>
          <cell r="L573" t="str">
            <v>Jackson</v>
          </cell>
          <cell r="V573">
            <v>118500</v>
          </cell>
        </row>
        <row r="574">
          <cell r="B574">
            <v>2017</v>
          </cell>
          <cell r="K574" t="str">
            <v>JOHNSON</v>
          </cell>
          <cell r="L574" t="str">
            <v>Johnson</v>
          </cell>
          <cell r="V574">
            <v>109500</v>
          </cell>
        </row>
        <row r="575">
          <cell r="B575">
            <v>2017</v>
          </cell>
          <cell r="K575" t="str">
            <v>JONES</v>
          </cell>
          <cell r="L575" t="str">
            <v>Jones</v>
          </cell>
          <cell r="V575">
            <v>153000</v>
          </cell>
        </row>
        <row r="576">
          <cell r="B576">
            <v>2017</v>
          </cell>
          <cell r="K576" t="str">
            <v>LINN</v>
          </cell>
          <cell r="L576" t="str">
            <v>Linn</v>
          </cell>
          <cell r="V576">
            <v>151000</v>
          </cell>
        </row>
        <row r="577">
          <cell r="B577">
            <v>2017</v>
          </cell>
          <cell r="K577" t="str">
            <v>MUSCATINE</v>
          </cell>
          <cell r="L577" t="str">
            <v>Muscatine</v>
          </cell>
          <cell r="V577">
            <v>87000</v>
          </cell>
        </row>
        <row r="578">
          <cell r="B578">
            <v>2017</v>
          </cell>
          <cell r="K578" t="str">
            <v>SCOTT</v>
          </cell>
          <cell r="L578" t="str">
            <v>Scott</v>
          </cell>
          <cell r="V578">
            <v>108500</v>
          </cell>
        </row>
        <row r="579">
          <cell r="B579">
            <v>2017</v>
          </cell>
          <cell r="K579" t="str">
            <v>BUTLER</v>
          </cell>
          <cell r="L579" t="str">
            <v>Butler</v>
          </cell>
          <cell r="V579">
            <v>162000</v>
          </cell>
        </row>
        <row r="580">
          <cell r="B580">
            <v>2017</v>
          </cell>
          <cell r="K580" t="str">
            <v>CERRO GORDO</v>
          </cell>
          <cell r="L580" t="str">
            <v>Cerro Gordo</v>
          </cell>
          <cell r="V580">
            <v>163500</v>
          </cell>
        </row>
        <row r="581">
          <cell r="B581">
            <v>2017</v>
          </cell>
          <cell r="K581" t="str">
            <v>FLOYD</v>
          </cell>
          <cell r="L581" t="str">
            <v>Floyd</v>
          </cell>
          <cell r="V581">
            <v>140500</v>
          </cell>
        </row>
        <row r="582">
          <cell r="B582">
            <v>2017</v>
          </cell>
          <cell r="K582" t="str">
            <v>FRANKLIN</v>
          </cell>
          <cell r="L582" t="str">
            <v>Franklin</v>
          </cell>
          <cell r="V582">
            <v>201000</v>
          </cell>
        </row>
        <row r="583">
          <cell r="B583">
            <v>2017</v>
          </cell>
          <cell r="K583" t="str">
            <v>HANCOCK</v>
          </cell>
          <cell r="L583" t="str">
            <v>Hancock</v>
          </cell>
          <cell r="V583">
            <v>188000</v>
          </cell>
        </row>
        <row r="584">
          <cell r="B584">
            <v>2017</v>
          </cell>
          <cell r="K584" t="str">
            <v>HUMBOLDT</v>
          </cell>
          <cell r="L584" t="str">
            <v>Humboldt</v>
          </cell>
          <cell r="V584">
            <v>133500</v>
          </cell>
        </row>
        <row r="585">
          <cell r="B585">
            <v>2017</v>
          </cell>
          <cell r="K585" t="str">
            <v>KOSSUTH</v>
          </cell>
          <cell r="L585" t="str">
            <v>Kossuth</v>
          </cell>
          <cell r="V585">
            <v>311500</v>
          </cell>
        </row>
        <row r="586">
          <cell r="B586">
            <v>2017</v>
          </cell>
          <cell r="K586" t="str">
            <v>MITCHELL</v>
          </cell>
          <cell r="L586" t="str">
            <v>Mitchell</v>
          </cell>
          <cell r="V586">
            <v>150000</v>
          </cell>
        </row>
        <row r="587">
          <cell r="B587">
            <v>2017</v>
          </cell>
          <cell r="K587" t="str">
            <v>WINNEBAGO</v>
          </cell>
          <cell r="L587" t="str">
            <v>Winnebago</v>
          </cell>
          <cell r="V587">
            <v>123000</v>
          </cell>
        </row>
        <row r="588">
          <cell r="B588">
            <v>2017</v>
          </cell>
          <cell r="K588" t="str">
            <v>WORTH</v>
          </cell>
          <cell r="L588" t="str">
            <v>Worth</v>
          </cell>
          <cell r="V588">
            <v>106000</v>
          </cell>
        </row>
        <row r="589">
          <cell r="B589">
            <v>2017</v>
          </cell>
          <cell r="K589" t="str">
            <v>WRIGHT</v>
          </cell>
          <cell r="L589" t="str">
            <v>Wright</v>
          </cell>
          <cell r="V589">
            <v>183000</v>
          </cell>
        </row>
        <row r="590">
          <cell r="B590">
            <v>2017</v>
          </cell>
          <cell r="K590" t="str">
            <v>ALLAMAKEE</v>
          </cell>
          <cell r="L590" t="str">
            <v>Allamakee</v>
          </cell>
          <cell r="V590">
            <v>91500</v>
          </cell>
        </row>
        <row r="591">
          <cell r="B591">
            <v>2017</v>
          </cell>
          <cell r="K591" t="str">
            <v>BLACK HAWK</v>
          </cell>
          <cell r="L591" t="str">
            <v>Black Hawk</v>
          </cell>
          <cell r="V591">
            <v>143500</v>
          </cell>
        </row>
        <row r="592">
          <cell r="B592">
            <v>2017</v>
          </cell>
          <cell r="K592" t="str">
            <v>BREMER</v>
          </cell>
          <cell r="L592" t="str">
            <v>Bremer</v>
          </cell>
          <cell r="V592">
            <v>120000</v>
          </cell>
        </row>
        <row r="593">
          <cell r="B593">
            <v>2017</v>
          </cell>
          <cell r="K593" t="str">
            <v>BUCHANAN</v>
          </cell>
          <cell r="L593" t="str">
            <v>Buchanan</v>
          </cell>
          <cell r="V593">
            <v>187000</v>
          </cell>
        </row>
        <row r="594">
          <cell r="B594">
            <v>2017</v>
          </cell>
          <cell r="K594" t="str">
            <v>CHICKASAW</v>
          </cell>
          <cell r="L594" t="str">
            <v>Chickasaw</v>
          </cell>
          <cell r="V594">
            <v>150500</v>
          </cell>
        </row>
        <row r="595">
          <cell r="B595">
            <v>2017</v>
          </cell>
          <cell r="K595" t="str">
            <v>CLAYTON</v>
          </cell>
          <cell r="L595" t="str">
            <v>Clayton</v>
          </cell>
          <cell r="V595">
            <v>151000</v>
          </cell>
        </row>
        <row r="596">
          <cell r="B596">
            <v>2017</v>
          </cell>
          <cell r="K596" t="str">
            <v>DELAWARE</v>
          </cell>
          <cell r="L596" t="str">
            <v>Delaware</v>
          </cell>
          <cell r="V596">
            <v>194000</v>
          </cell>
        </row>
        <row r="597">
          <cell r="B597">
            <v>2017</v>
          </cell>
          <cell r="K597" t="str">
            <v>DUBUQUE</v>
          </cell>
          <cell r="L597" t="str">
            <v>Dubuque</v>
          </cell>
          <cell r="V597">
            <v>151500</v>
          </cell>
        </row>
        <row r="598">
          <cell r="B598">
            <v>2017</v>
          </cell>
          <cell r="K598" t="str">
            <v>FAYETTE</v>
          </cell>
          <cell r="L598" t="str">
            <v>Fayette</v>
          </cell>
          <cell r="V598">
            <v>191000</v>
          </cell>
        </row>
        <row r="599">
          <cell r="B599">
            <v>2017</v>
          </cell>
          <cell r="K599" t="str">
            <v>HOWARD</v>
          </cell>
          <cell r="L599" t="str">
            <v>Howard</v>
          </cell>
          <cell r="V599">
            <v>124000</v>
          </cell>
        </row>
        <row r="600">
          <cell r="B600">
            <v>2017</v>
          </cell>
          <cell r="K600" t="str">
            <v>WINNESHIEK</v>
          </cell>
          <cell r="L600" t="str">
            <v>Winneshiek</v>
          </cell>
          <cell r="V600">
            <v>171000</v>
          </cell>
        </row>
        <row r="601">
          <cell r="B601">
            <v>2017</v>
          </cell>
          <cell r="K601" t="str">
            <v>BUENA VISTA</v>
          </cell>
          <cell r="L601" t="str">
            <v>Buena Vista</v>
          </cell>
          <cell r="V601">
            <v>166500</v>
          </cell>
        </row>
        <row r="602">
          <cell r="B602">
            <v>2017</v>
          </cell>
          <cell r="K602" t="str">
            <v>CHEROKEE</v>
          </cell>
          <cell r="L602" t="str">
            <v>Cherokee</v>
          </cell>
          <cell r="V602">
            <v>146500</v>
          </cell>
        </row>
        <row r="603">
          <cell r="B603">
            <v>2017</v>
          </cell>
          <cell r="K603" t="str">
            <v>CLAY</v>
          </cell>
          <cell r="L603" t="str">
            <v>Clay</v>
          </cell>
          <cell r="V603">
            <v>151000</v>
          </cell>
        </row>
        <row r="604">
          <cell r="B604">
            <v>2017</v>
          </cell>
          <cell r="K604" t="str">
            <v>DICKINSON</v>
          </cell>
          <cell r="L604" t="str">
            <v>Dickinson</v>
          </cell>
          <cell r="V604">
            <v>91000</v>
          </cell>
        </row>
        <row r="605">
          <cell r="B605">
            <v>2017</v>
          </cell>
          <cell r="K605" t="str">
            <v>EMMET</v>
          </cell>
          <cell r="L605" t="str">
            <v>Emmet</v>
          </cell>
          <cell r="V605">
            <v>119500</v>
          </cell>
        </row>
        <row r="606">
          <cell r="B606">
            <v>2017</v>
          </cell>
          <cell r="K606" t="str">
            <v>LYON</v>
          </cell>
          <cell r="L606" t="str">
            <v>Lyon</v>
          </cell>
          <cell r="V606">
            <v>181000</v>
          </cell>
        </row>
        <row r="607">
          <cell r="B607">
            <v>2017</v>
          </cell>
          <cell r="K607" t="str">
            <v>O BRIEN</v>
          </cell>
          <cell r="L607" t="str">
            <v>O Brien</v>
          </cell>
          <cell r="V607">
            <v>170000</v>
          </cell>
        </row>
        <row r="608">
          <cell r="B608">
            <v>2017</v>
          </cell>
          <cell r="K608" t="str">
            <v>OSCEOLA</v>
          </cell>
          <cell r="L608" t="str">
            <v>Osceola</v>
          </cell>
          <cell r="V608">
            <v>127000</v>
          </cell>
        </row>
        <row r="609">
          <cell r="B609">
            <v>2017</v>
          </cell>
          <cell r="K609" t="str">
            <v>PALO ALTO</v>
          </cell>
          <cell r="L609" t="str">
            <v>Palo Alto</v>
          </cell>
          <cell r="V609">
            <v>174000</v>
          </cell>
        </row>
        <row r="610">
          <cell r="B610">
            <v>2017</v>
          </cell>
          <cell r="K610" t="str">
            <v>PLYMOUTH</v>
          </cell>
          <cell r="L610" t="str">
            <v>Plymouth</v>
          </cell>
          <cell r="V610">
            <v>234000</v>
          </cell>
        </row>
        <row r="611">
          <cell r="B611">
            <v>2017</v>
          </cell>
          <cell r="K611" t="str">
            <v>POCAHONTAS</v>
          </cell>
          <cell r="L611" t="str">
            <v>Pocahontas</v>
          </cell>
          <cell r="V611">
            <v>183500</v>
          </cell>
        </row>
        <row r="612">
          <cell r="B612">
            <v>2017</v>
          </cell>
          <cell r="K612" t="str">
            <v>SIOUX</v>
          </cell>
          <cell r="L612" t="str">
            <v>Sioux</v>
          </cell>
          <cell r="V612">
            <v>257000</v>
          </cell>
        </row>
        <row r="613">
          <cell r="B613">
            <v>2017</v>
          </cell>
          <cell r="K613" t="str">
            <v>APPANOOSE</v>
          </cell>
          <cell r="L613" t="str">
            <v>Appanoose</v>
          </cell>
          <cell r="V613">
            <v>29800</v>
          </cell>
        </row>
        <row r="614">
          <cell r="B614">
            <v>2017</v>
          </cell>
          <cell r="K614" t="str">
            <v>MADISON</v>
          </cell>
          <cell r="L614" t="str">
            <v>Madison</v>
          </cell>
          <cell r="V614">
            <v>67900</v>
          </cell>
        </row>
        <row r="615">
          <cell r="B615">
            <v>2017</v>
          </cell>
          <cell r="K615" t="str">
            <v>MARION</v>
          </cell>
          <cell r="L615" t="str">
            <v>Marion</v>
          </cell>
          <cell r="V615">
            <v>75100</v>
          </cell>
        </row>
        <row r="616">
          <cell r="B616">
            <v>2017</v>
          </cell>
          <cell r="K616" t="str">
            <v>MONROE</v>
          </cell>
          <cell r="L616" t="str">
            <v>Monroe</v>
          </cell>
          <cell r="V616">
            <v>30700</v>
          </cell>
        </row>
        <row r="617">
          <cell r="B617">
            <v>2017</v>
          </cell>
          <cell r="K617" t="str">
            <v>OTHER (COMBINED) COUNTIES</v>
          </cell>
          <cell r="L617" t="str">
            <v>Other (Combined) Counties</v>
          </cell>
          <cell r="V617">
            <v>159400</v>
          </cell>
        </row>
        <row r="618">
          <cell r="B618">
            <v>2017</v>
          </cell>
          <cell r="K618" t="str">
            <v>RINGGOLD</v>
          </cell>
          <cell r="L618" t="str">
            <v>Ringgold</v>
          </cell>
          <cell r="V618">
            <v>52700</v>
          </cell>
        </row>
        <row r="619">
          <cell r="B619">
            <v>2017</v>
          </cell>
          <cell r="K619" t="str">
            <v>UNION</v>
          </cell>
          <cell r="L619" t="str">
            <v>Union</v>
          </cell>
          <cell r="V619">
            <v>52100</v>
          </cell>
        </row>
        <row r="620">
          <cell r="B620">
            <v>2017</v>
          </cell>
          <cell r="K620" t="str">
            <v>WARREN</v>
          </cell>
          <cell r="L620" t="str">
            <v>Warren</v>
          </cell>
          <cell r="V620">
            <v>60300</v>
          </cell>
        </row>
        <row r="621">
          <cell r="B621">
            <v>2017</v>
          </cell>
          <cell r="K621" t="str">
            <v>DAVIS</v>
          </cell>
          <cell r="L621" t="str">
            <v>Davis</v>
          </cell>
          <cell r="V621">
            <v>49500</v>
          </cell>
        </row>
        <row r="622">
          <cell r="B622">
            <v>2017</v>
          </cell>
          <cell r="K622" t="str">
            <v>DES MOINES</v>
          </cell>
          <cell r="L622" t="str">
            <v>Des Moines</v>
          </cell>
          <cell r="V622">
            <v>71900</v>
          </cell>
        </row>
        <row r="623">
          <cell r="B623">
            <v>2017</v>
          </cell>
          <cell r="K623" t="str">
            <v>HENRY</v>
          </cell>
          <cell r="L623" t="str">
            <v>Henry</v>
          </cell>
          <cell r="V623">
            <v>82500</v>
          </cell>
        </row>
        <row r="624">
          <cell r="B624">
            <v>2017</v>
          </cell>
          <cell r="K624" t="str">
            <v>JEFFERSON</v>
          </cell>
          <cell r="L624" t="str">
            <v>Jefferson</v>
          </cell>
          <cell r="V624">
            <v>74000</v>
          </cell>
        </row>
        <row r="625">
          <cell r="B625">
            <v>2017</v>
          </cell>
          <cell r="K625" t="str">
            <v>KEOKUK</v>
          </cell>
          <cell r="L625" t="str">
            <v>Keokuk</v>
          </cell>
          <cell r="V625">
            <v>117500</v>
          </cell>
        </row>
        <row r="626">
          <cell r="B626">
            <v>2017</v>
          </cell>
          <cell r="K626" t="str">
            <v>LEE</v>
          </cell>
          <cell r="L626" t="str">
            <v>Lee</v>
          </cell>
          <cell r="V626">
            <v>76500</v>
          </cell>
        </row>
        <row r="627">
          <cell r="B627">
            <v>2017</v>
          </cell>
          <cell r="K627" t="str">
            <v>LOUISA</v>
          </cell>
          <cell r="L627" t="str">
            <v>Louisa</v>
          </cell>
          <cell r="V627">
            <v>84300</v>
          </cell>
        </row>
        <row r="628">
          <cell r="B628">
            <v>2017</v>
          </cell>
          <cell r="K628" t="str">
            <v>MAHASKA</v>
          </cell>
          <cell r="L628" t="str">
            <v>Mahaska</v>
          </cell>
          <cell r="V628">
            <v>134000</v>
          </cell>
        </row>
        <row r="629">
          <cell r="B629">
            <v>2017</v>
          </cell>
          <cell r="K629" t="str">
            <v>VAN BUREN</v>
          </cell>
          <cell r="L629" t="str">
            <v>Van Buren</v>
          </cell>
          <cell r="V629">
            <v>49400</v>
          </cell>
        </row>
        <row r="630">
          <cell r="B630">
            <v>2017</v>
          </cell>
          <cell r="K630" t="str">
            <v>WAPELLO</v>
          </cell>
          <cell r="L630" t="str">
            <v>Wapello</v>
          </cell>
          <cell r="V630">
            <v>55900</v>
          </cell>
        </row>
        <row r="631">
          <cell r="B631">
            <v>2017</v>
          </cell>
          <cell r="K631" t="str">
            <v>WASHINGTON</v>
          </cell>
          <cell r="L631" t="str">
            <v>Washington</v>
          </cell>
          <cell r="V631">
            <v>121500</v>
          </cell>
        </row>
        <row r="632">
          <cell r="B632">
            <v>2017</v>
          </cell>
          <cell r="K632" t="str">
            <v>ADAIR</v>
          </cell>
          <cell r="L632" t="str">
            <v>Adair</v>
          </cell>
          <cell r="V632">
            <v>108500</v>
          </cell>
        </row>
        <row r="633">
          <cell r="B633">
            <v>2017</v>
          </cell>
          <cell r="K633" t="str">
            <v>ADAMS</v>
          </cell>
          <cell r="L633" t="str">
            <v>Adams</v>
          </cell>
          <cell r="V633">
            <v>71500</v>
          </cell>
        </row>
        <row r="634">
          <cell r="B634">
            <v>2017</v>
          </cell>
          <cell r="K634" t="str">
            <v>CASS</v>
          </cell>
          <cell r="L634" t="str">
            <v>Cass</v>
          </cell>
          <cell r="V634">
            <v>132000</v>
          </cell>
        </row>
        <row r="635">
          <cell r="B635">
            <v>2017</v>
          </cell>
          <cell r="K635" t="str">
            <v>FREMONT</v>
          </cell>
          <cell r="L635" t="str">
            <v>Fremont</v>
          </cell>
          <cell r="V635">
            <v>113000</v>
          </cell>
        </row>
        <row r="636">
          <cell r="B636">
            <v>2017</v>
          </cell>
          <cell r="K636" t="str">
            <v>MILLS</v>
          </cell>
          <cell r="L636" t="str">
            <v>Mills</v>
          </cell>
          <cell r="V636">
            <v>91500</v>
          </cell>
        </row>
        <row r="637">
          <cell r="B637">
            <v>2017</v>
          </cell>
          <cell r="K637" t="str">
            <v>MONTGOMERY</v>
          </cell>
          <cell r="L637" t="str">
            <v>Montgomery</v>
          </cell>
          <cell r="V637">
            <v>94500</v>
          </cell>
        </row>
        <row r="638">
          <cell r="B638">
            <v>2017</v>
          </cell>
          <cell r="K638" t="str">
            <v>PAGE</v>
          </cell>
          <cell r="L638" t="str">
            <v>Page</v>
          </cell>
          <cell r="V638">
            <v>110000</v>
          </cell>
        </row>
        <row r="639">
          <cell r="B639">
            <v>2017</v>
          </cell>
          <cell r="K639" t="str">
            <v>POTTAWATTAMIE</v>
          </cell>
          <cell r="L639" t="str">
            <v>Pottawattamie</v>
          </cell>
          <cell r="V639">
            <v>239500</v>
          </cell>
        </row>
        <row r="640">
          <cell r="B640">
            <v>2017</v>
          </cell>
          <cell r="K640" t="str">
            <v>TAYLOR</v>
          </cell>
          <cell r="L640" t="str">
            <v>Taylor</v>
          </cell>
          <cell r="V640">
            <v>80500</v>
          </cell>
        </row>
        <row r="641">
          <cell r="B641">
            <v>2017</v>
          </cell>
          <cell r="K641" t="str">
            <v>AUDUBON</v>
          </cell>
          <cell r="L641" t="str">
            <v>Audubon</v>
          </cell>
          <cell r="V641">
            <v>106000</v>
          </cell>
        </row>
        <row r="642">
          <cell r="B642">
            <v>2017</v>
          </cell>
          <cell r="K642" t="str">
            <v>CALHOUN</v>
          </cell>
          <cell r="L642" t="str">
            <v>Calhoun</v>
          </cell>
          <cell r="V642">
            <v>175000</v>
          </cell>
        </row>
        <row r="643">
          <cell r="B643">
            <v>2017</v>
          </cell>
          <cell r="K643" t="str">
            <v>CARROLL</v>
          </cell>
          <cell r="L643" t="str">
            <v>Carroll</v>
          </cell>
          <cell r="V643">
            <v>182000</v>
          </cell>
        </row>
        <row r="644">
          <cell r="B644">
            <v>2017</v>
          </cell>
          <cell r="K644" t="str">
            <v>CRAWFORD</v>
          </cell>
          <cell r="L644" t="str">
            <v>Crawford</v>
          </cell>
          <cell r="V644">
            <v>205500</v>
          </cell>
        </row>
        <row r="645">
          <cell r="B645">
            <v>2017</v>
          </cell>
          <cell r="K645" t="str">
            <v>GREENE</v>
          </cell>
          <cell r="L645" t="str">
            <v>Greene</v>
          </cell>
          <cell r="V645">
            <v>170500</v>
          </cell>
        </row>
        <row r="646">
          <cell r="B646">
            <v>2017</v>
          </cell>
          <cell r="K646" t="str">
            <v>GUTHRIE</v>
          </cell>
          <cell r="L646" t="str">
            <v>Guthrie</v>
          </cell>
          <cell r="V646">
            <v>106500</v>
          </cell>
        </row>
        <row r="647">
          <cell r="B647">
            <v>2017</v>
          </cell>
          <cell r="K647" t="str">
            <v>HARRISON</v>
          </cell>
          <cell r="L647" t="str">
            <v>Harrison</v>
          </cell>
          <cell r="V647">
            <v>175000</v>
          </cell>
        </row>
        <row r="648">
          <cell r="B648">
            <v>2017</v>
          </cell>
          <cell r="K648" t="str">
            <v>IDA</v>
          </cell>
          <cell r="L648" t="str">
            <v>Ida</v>
          </cell>
          <cell r="V648">
            <v>125000</v>
          </cell>
        </row>
        <row r="649">
          <cell r="B649">
            <v>2017</v>
          </cell>
          <cell r="K649" t="str">
            <v>MONONA</v>
          </cell>
          <cell r="L649" t="str">
            <v>Monona</v>
          </cell>
          <cell r="V649">
            <v>171000</v>
          </cell>
        </row>
        <row r="650">
          <cell r="B650">
            <v>2017</v>
          </cell>
          <cell r="K650" t="str">
            <v>SAC</v>
          </cell>
          <cell r="L650" t="str">
            <v>Sac</v>
          </cell>
          <cell r="V650">
            <v>164500</v>
          </cell>
        </row>
        <row r="651">
          <cell r="B651">
            <v>2017</v>
          </cell>
          <cell r="K651" t="str">
            <v>SHELBY</v>
          </cell>
          <cell r="L651" t="str">
            <v>Shelby</v>
          </cell>
          <cell r="V651">
            <v>172000</v>
          </cell>
        </row>
        <row r="652">
          <cell r="B652">
            <v>2017</v>
          </cell>
          <cell r="K652" t="str">
            <v>WOODBURY</v>
          </cell>
          <cell r="L652" t="str">
            <v>Woodbury</v>
          </cell>
          <cell r="V652">
            <v>201000</v>
          </cell>
        </row>
        <row r="653">
          <cell r="B653">
            <v>2016</v>
          </cell>
          <cell r="K653" t="str">
            <v>BOONE</v>
          </cell>
          <cell r="L653" t="str">
            <v>Boone</v>
          </cell>
          <cell r="V653">
            <v>168000</v>
          </cell>
        </row>
        <row r="654">
          <cell r="B654">
            <v>2016</v>
          </cell>
          <cell r="K654" t="str">
            <v>DALLAS</v>
          </cell>
          <cell r="L654" t="str">
            <v>Dallas</v>
          </cell>
          <cell r="V654">
            <v>145500</v>
          </cell>
        </row>
        <row r="655">
          <cell r="B655">
            <v>2016</v>
          </cell>
          <cell r="K655" t="str">
            <v>GRUNDY</v>
          </cell>
          <cell r="L655" t="str">
            <v>Grundy</v>
          </cell>
          <cell r="V655">
            <v>166500</v>
          </cell>
        </row>
        <row r="656">
          <cell r="B656">
            <v>2016</v>
          </cell>
          <cell r="K656" t="str">
            <v>HAMILTON</v>
          </cell>
          <cell r="L656" t="str">
            <v>Hamilton</v>
          </cell>
          <cell r="V656">
            <v>210000</v>
          </cell>
        </row>
        <row r="657">
          <cell r="B657">
            <v>2016</v>
          </cell>
          <cell r="K657" t="str">
            <v>HARDIN</v>
          </cell>
          <cell r="L657" t="str">
            <v>Hardin</v>
          </cell>
          <cell r="V657">
            <v>197000</v>
          </cell>
        </row>
        <row r="658">
          <cell r="B658">
            <v>2016</v>
          </cell>
          <cell r="K658" t="str">
            <v>JASPER</v>
          </cell>
          <cell r="L658" t="str">
            <v>Jasper</v>
          </cell>
          <cell r="V658">
            <v>180000</v>
          </cell>
        </row>
        <row r="659">
          <cell r="B659">
            <v>2016</v>
          </cell>
          <cell r="K659" t="str">
            <v>MARSHALL</v>
          </cell>
          <cell r="L659" t="str">
            <v>Marshall</v>
          </cell>
          <cell r="V659">
            <v>161000</v>
          </cell>
        </row>
        <row r="660">
          <cell r="B660">
            <v>2016</v>
          </cell>
          <cell r="K660" t="str">
            <v>POLK</v>
          </cell>
          <cell r="L660" t="str">
            <v>Polk</v>
          </cell>
          <cell r="V660">
            <v>86000</v>
          </cell>
        </row>
        <row r="661">
          <cell r="B661">
            <v>2016</v>
          </cell>
          <cell r="K661" t="str">
            <v>POWESHIEK</v>
          </cell>
          <cell r="L661" t="str">
            <v>Poweshiek</v>
          </cell>
          <cell r="V661">
            <v>147000</v>
          </cell>
        </row>
        <row r="662">
          <cell r="B662">
            <v>2016</v>
          </cell>
          <cell r="K662" t="str">
            <v>STORY</v>
          </cell>
          <cell r="L662" t="str">
            <v>Story</v>
          </cell>
          <cell r="V662">
            <v>174500</v>
          </cell>
        </row>
        <row r="663">
          <cell r="B663">
            <v>2016</v>
          </cell>
          <cell r="K663" t="str">
            <v>TAMA</v>
          </cell>
          <cell r="L663" t="str">
            <v>Tama</v>
          </cell>
          <cell r="V663">
            <v>166500</v>
          </cell>
        </row>
        <row r="664">
          <cell r="B664">
            <v>2016</v>
          </cell>
          <cell r="K664" t="str">
            <v>WEBSTER</v>
          </cell>
          <cell r="L664" t="str">
            <v>Webster</v>
          </cell>
          <cell r="V664">
            <v>230000</v>
          </cell>
        </row>
        <row r="665">
          <cell r="B665">
            <v>2016</v>
          </cell>
          <cell r="K665" t="str">
            <v>BENTON</v>
          </cell>
          <cell r="L665" t="str">
            <v>Benton</v>
          </cell>
          <cell r="V665">
            <v>206000</v>
          </cell>
        </row>
        <row r="666">
          <cell r="B666">
            <v>2016</v>
          </cell>
          <cell r="K666" t="str">
            <v>CEDAR</v>
          </cell>
          <cell r="L666" t="str">
            <v>Cedar</v>
          </cell>
          <cell r="V666">
            <v>162500</v>
          </cell>
        </row>
        <row r="667">
          <cell r="B667">
            <v>2016</v>
          </cell>
          <cell r="K667" t="str">
            <v>CLINTON</v>
          </cell>
          <cell r="L667" t="str">
            <v>Clinton</v>
          </cell>
          <cell r="V667">
            <v>193000</v>
          </cell>
        </row>
        <row r="668">
          <cell r="B668">
            <v>2016</v>
          </cell>
          <cell r="K668" t="str">
            <v>IOWA</v>
          </cell>
          <cell r="L668" t="str">
            <v>Iowa</v>
          </cell>
          <cell r="V668">
            <v>131000</v>
          </cell>
        </row>
        <row r="669">
          <cell r="B669">
            <v>2016</v>
          </cell>
          <cell r="K669" t="str">
            <v>JACKSON</v>
          </cell>
          <cell r="L669" t="str">
            <v>Jackson</v>
          </cell>
          <cell r="V669">
            <v>118000</v>
          </cell>
        </row>
        <row r="670">
          <cell r="B670">
            <v>2016</v>
          </cell>
          <cell r="K670" t="str">
            <v>JOHNSON</v>
          </cell>
          <cell r="L670" t="str">
            <v>Johnson</v>
          </cell>
          <cell r="V670">
            <v>108000</v>
          </cell>
        </row>
        <row r="671">
          <cell r="B671">
            <v>2016</v>
          </cell>
          <cell r="K671" t="str">
            <v>JONES</v>
          </cell>
          <cell r="L671" t="str">
            <v>Jones</v>
          </cell>
          <cell r="V671">
            <v>158000</v>
          </cell>
        </row>
        <row r="672">
          <cell r="B672">
            <v>2016</v>
          </cell>
          <cell r="K672" t="str">
            <v>LINN</v>
          </cell>
          <cell r="L672" t="str">
            <v>Linn</v>
          </cell>
          <cell r="V672">
            <v>150500</v>
          </cell>
        </row>
        <row r="673">
          <cell r="B673">
            <v>2016</v>
          </cell>
          <cell r="K673" t="str">
            <v>MUSCATINE</v>
          </cell>
          <cell r="L673" t="str">
            <v>Muscatine</v>
          </cell>
          <cell r="V673">
            <v>93000</v>
          </cell>
        </row>
        <row r="674">
          <cell r="B674">
            <v>2016</v>
          </cell>
          <cell r="K674" t="str">
            <v>SCOTT</v>
          </cell>
          <cell r="L674" t="str">
            <v>Scott</v>
          </cell>
          <cell r="V674">
            <v>107000</v>
          </cell>
        </row>
        <row r="675">
          <cell r="B675">
            <v>2016</v>
          </cell>
          <cell r="K675" t="str">
            <v>BUTLER</v>
          </cell>
          <cell r="L675" t="str">
            <v>Butler</v>
          </cell>
          <cell r="V675">
            <v>181000</v>
          </cell>
        </row>
        <row r="676">
          <cell r="B676">
            <v>2016</v>
          </cell>
          <cell r="K676" t="str">
            <v>CERRO GORDO</v>
          </cell>
          <cell r="L676" t="str">
            <v>Cerro Gordo</v>
          </cell>
          <cell r="V676">
            <v>177500</v>
          </cell>
        </row>
        <row r="677">
          <cell r="B677">
            <v>2016</v>
          </cell>
          <cell r="K677" t="str">
            <v>FLOYD</v>
          </cell>
          <cell r="L677" t="str">
            <v>Floyd</v>
          </cell>
          <cell r="V677">
            <v>150500</v>
          </cell>
        </row>
        <row r="678">
          <cell r="B678">
            <v>2016</v>
          </cell>
          <cell r="K678" t="str">
            <v>FRANKLIN</v>
          </cell>
          <cell r="L678" t="str">
            <v>Franklin</v>
          </cell>
          <cell r="V678">
            <v>214000</v>
          </cell>
        </row>
        <row r="679">
          <cell r="B679">
            <v>2016</v>
          </cell>
          <cell r="K679" t="str">
            <v>HANCOCK</v>
          </cell>
          <cell r="L679" t="str">
            <v>Hancock</v>
          </cell>
          <cell r="V679">
            <v>200500</v>
          </cell>
        </row>
        <row r="680">
          <cell r="B680">
            <v>2016</v>
          </cell>
          <cell r="K680" t="str">
            <v>HUMBOLDT</v>
          </cell>
          <cell r="L680" t="str">
            <v>Humboldt</v>
          </cell>
          <cell r="V680">
            <v>145000</v>
          </cell>
        </row>
        <row r="681">
          <cell r="B681">
            <v>2016</v>
          </cell>
          <cell r="K681" t="str">
            <v>KOSSUTH</v>
          </cell>
          <cell r="L681" t="str">
            <v>Kossuth</v>
          </cell>
          <cell r="V681">
            <v>338000</v>
          </cell>
        </row>
        <row r="682">
          <cell r="B682">
            <v>2016</v>
          </cell>
          <cell r="K682" t="str">
            <v>MITCHELL</v>
          </cell>
          <cell r="L682" t="str">
            <v>Mitchell</v>
          </cell>
          <cell r="V682">
            <v>160500</v>
          </cell>
        </row>
        <row r="683">
          <cell r="B683">
            <v>2016</v>
          </cell>
          <cell r="K683" t="str">
            <v>WINNEBAGO</v>
          </cell>
          <cell r="L683" t="str">
            <v>Winnebago</v>
          </cell>
          <cell r="V683">
            <v>139000</v>
          </cell>
        </row>
        <row r="684">
          <cell r="B684">
            <v>2016</v>
          </cell>
          <cell r="K684" t="str">
            <v>WORTH</v>
          </cell>
          <cell r="L684" t="str">
            <v>Worth</v>
          </cell>
          <cell r="V684">
            <v>121000</v>
          </cell>
        </row>
        <row r="685">
          <cell r="B685">
            <v>2016</v>
          </cell>
          <cell r="K685" t="str">
            <v>WRIGHT</v>
          </cell>
          <cell r="L685" t="str">
            <v>Wright</v>
          </cell>
          <cell r="V685">
            <v>200000</v>
          </cell>
        </row>
        <row r="686">
          <cell r="B686">
            <v>2016</v>
          </cell>
          <cell r="K686" t="str">
            <v>ALLAMAKEE</v>
          </cell>
          <cell r="L686" t="str">
            <v>Allamakee</v>
          </cell>
          <cell r="V686">
            <v>92000</v>
          </cell>
        </row>
        <row r="687">
          <cell r="B687">
            <v>2016</v>
          </cell>
          <cell r="K687" t="str">
            <v>BLACK HAWK</v>
          </cell>
          <cell r="L687" t="str">
            <v>Black Hawk</v>
          </cell>
          <cell r="V687">
            <v>154000</v>
          </cell>
        </row>
        <row r="688">
          <cell r="B688">
            <v>2016</v>
          </cell>
          <cell r="K688" t="str">
            <v>BREMER</v>
          </cell>
          <cell r="L688" t="str">
            <v>Bremer</v>
          </cell>
          <cell r="V688">
            <v>129000</v>
          </cell>
        </row>
        <row r="689">
          <cell r="B689">
            <v>2016</v>
          </cell>
          <cell r="K689" t="str">
            <v>BUCHANAN</v>
          </cell>
          <cell r="L689" t="str">
            <v>Buchanan</v>
          </cell>
          <cell r="V689">
            <v>197500</v>
          </cell>
        </row>
        <row r="690">
          <cell r="B690">
            <v>2016</v>
          </cell>
          <cell r="K690" t="str">
            <v>CHICKASAW</v>
          </cell>
          <cell r="L690" t="str">
            <v>Chickasaw</v>
          </cell>
          <cell r="V690">
            <v>158000</v>
          </cell>
        </row>
        <row r="691">
          <cell r="B691">
            <v>2016</v>
          </cell>
          <cell r="K691" t="str">
            <v>CLAYTON</v>
          </cell>
          <cell r="L691" t="str">
            <v>Clayton</v>
          </cell>
          <cell r="V691">
            <v>153000</v>
          </cell>
        </row>
        <row r="692">
          <cell r="B692">
            <v>2016</v>
          </cell>
          <cell r="K692" t="str">
            <v>DELAWARE</v>
          </cell>
          <cell r="L692" t="str">
            <v>Delaware</v>
          </cell>
          <cell r="V692">
            <v>194000</v>
          </cell>
        </row>
        <row r="693">
          <cell r="B693">
            <v>2016</v>
          </cell>
          <cell r="K693" t="str">
            <v>DUBUQUE</v>
          </cell>
          <cell r="L693" t="str">
            <v>Dubuque</v>
          </cell>
          <cell r="V693">
            <v>151500</v>
          </cell>
        </row>
        <row r="694">
          <cell r="B694">
            <v>2016</v>
          </cell>
          <cell r="K694" t="str">
            <v>FAYETTE</v>
          </cell>
          <cell r="L694" t="str">
            <v>Fayette</v>
          </cell>
          <cell r="V694">
            <v>196000</v>
          </cell>
        </row>
        <row r="695">
          <cell r="B695">
            <v>2016</v>
          </cell>
          <cell r="K695" t="str">
            <v>HOWARD</v>
          </cell>
          <cell r="L695" t="str">
            <v>Howard</v>
          </cell>
          <cell r="V695">
            <v>132500</v>
          </cell>
        </row>
        <row r="696">
          <cell r="B696">
            <v>2016</v>
          </cell>
          <cell r="K696" t="str">
            <v>WINNESHIEK</v>
          </cell>
          <cell r="L696" t="str">
            <v>Winneshiek</v>
          </cell>
          <cell r="V696">
            <v>169500</v>
          </cell>
        </row>
        <row r="697">
          <cell r="B697">
            <v>2016</v>
          </cell>
          <cell r="K697" t="str">
            <v>BUENA VISTA</v>
          </cell>
          <cell r="L697" t="str">
            <v>Buena Vista</v>
          </cell>
          <cell r="V697">
            <v>170000</v>
          </cell>
        </row>
        <row r="698">
          <cell r="B698">
            <v>2016</v>
          </cell>
          <cell r="K698" t="str">
            <v>CHEROKEE</v>
          </cell>
          <cell r="L698" t="str">
            <v>Cherokee</v>
          </cell>
          <cell r="V698">
            <v>152000</v>
          </cell>
        </row>
        <row r="699">
          <cell r="B699">
            <v>2016</v>
          </cell>
          <cell r="K699" t="str">
            <v>CLAY</v>
          </cell>
          <cell r="L699" t="str">
            <v>Clay</v>
          </cell>
          <cell r="V699">
            <v>157000</v>
          </cell>
        </row>
        <row r="700">
          <cell r="B700">
            <v>2016</v>
          </cell>
          <cell r="K700" t="str">
            <v>DICKINSON</v>
          </cell>
          <cell r="L700" t="str">
            <v>Dickinson</v>
          </cell>
          <cell r="V700">
            <v>92000</v>
          </cell>
        </row>
        <row r="701">
          <cell r="B701">
            <v>2016</v>
          </cell>
          <cell r="K701" t="str">
            <v>EMMET</v>
          </cell>
          <cell r="L701" t="str">
            <v>Emmet</v>
          </cell>
          <cell r="V701">
            <v>124500</v>
          </cell>
        </row>
        <row r="702">
          <cell r="B702">
            <v>2016</v>
          </cell>
          <cell r="K702" t="str">
            <v>LYON</v>
          </cell>
          <cell r="L702" t="str">
            <v>Lyon</v>
          </cell>
          <cell r="V702">
            <v>184000</v>
          </cell>
        </row>
        <row r="703">
          <cell r="B703">
            <v>2016</v>
          </cell>
          <cell r="K703" t="str">
            <v>O BRIEN</v>
          </cell>
          <cell r="L703" t="str">
            <v>O Brien</v>
          </cell>
          <cell r="V703">
            <v>173000</v>
          </cell>
        </row>
        <row r="704">
          <cell r="B704">
            <v>2016</v>
          </cell>
          <cell r="K704" t="str">
            <v>OSCEOLA</v>
          </cell>
          <cell r="L704" t="str">
            <v>Osceola</v>
          </cell>
          <cell r="V704">
            <v>125000</v>
          </cell>
        </row>
        <row r="705">
          <cell r="B705">
            <v>2016</v>
          </cell>
          <cell r="K705" t="str">
            <v>PALO ALTO</v>
          </cell>
          <cell r="L705" t="str">
            <v>Palo Alto</v>
          </cell>
          <cell r="V705">
            <v>182000</v>
          </cell>
        </row>
        <row r="706">
          <cell r="B706">
            <v>2016</v>
          </cell>
          <cell r="K706" t="str">
            <v>PLYMOUTH</v>
          </cell>
          <cell r="L706" t="str">
            <v>Plymouth</v>
          </cell>
          <cell r="V706">
            <v>230500</v>
          </cell>
        </row>
        <row r="707">
          <cell r="B707">
            <v>2016</v>
          </cell>
          <cell r="K707" t="str">
            <v>POCAHONTAS</v>
          </cell>
          <cell r="L707" t="str">
            <v>Pocahontas</v>
          </cell>
          <cell r="V707">
            <v>185000</v>
          </cell>
        </row>
        <row r="708">
          <cell r="B708">
            <v>2016</v>
          </cell>
          <cell r="K708" t="str">
            <v>SIOUX</v>
          </cell>
          <cell r="L708" t="str">
            <v>Sioux</v>
          </cell>
          <cell r="V708">
            <v>254000</v>
          </cell>
        </row>
        <row r="709">
          <cell r="B709">
            <v>2016</v>
          </cell>
          <cell r="K709" t="str">
            <v>APPANOOSE</v>
          </cell>
          <cell r="L709" t="str">
            <v>Appanoose</v>
          </cell>
          <cell r="V709">
            <v>31100</v>
          </cell>
        </row>
        <row r="710">
          <cell r="B710">
            <v>2016</v>
          </cell>
          <cell r="K710" t="str">
            <v>CLARKE</v>
          </cell>
          <cell r="L710" t="str">
            <v>Clarke</v>
          </cell>
          <cell r="V710">
            <v>34800</v>
          </cell>
        </row>
        <row r="711">
          <cell r="B711">
            <v>2016</v>
          </cell>
          <cell r="K711" t="str">
            <v>DECATUR</v>
          </cell>
          <cell r="L711" t="str">
            <v>Decatur</v>
          </cell>
          <cell r="V711">
            <v>37000</v>
          </cell>
        </row>
        <row r="712">
          <cell r="B712">
            <v>2016</v>
          </cell>
          <cell r="K712" t="str">
            <v>LUCAS</v>
          </cell>
          <cell r="L712" t="str">
            <v>Lucas</v>
          </cell>
          <cell r="V712">
            <v>31600</v>
          </cell>
        </row>
        <row r="713">
          <cell r="B713">
            <v>2016</v>
          </cell>
          <cell r="K713" t="str">
            <v>MADISON</v>
          </cell>
          <cell r="L713" t="str">
            <v>Madison</v>
          </cell>
          <cell r="V713">
            <v>75100</v>
          </cell>
        </row>
        <row r="714">
          <cell r="B714">
            <v>2016</v>
          </cell>
          <cell r="K714" t="str">
            <v>MARION</v>
          </cell>
          <cell r="L714" t="str">
            <v>Marion</v>
          </cell>
          <cell r="V714">
            <v>82600</v>
          </cell>
        </row>
        <row r="715">
          <cell r="B715">
            <v>2016</v>
          </cell>
          <cell r="K715" t="str">
            <v>MONROE</v>
          </cell>
          <cell r="L715" t="str">
            <v>Monroe</v>
          </cell>
          <cell r="V715">
            <v>30000</v>
          </cell>
        </row>
        <row r="716">
          <cell r="B716">
            <v>2016</v>
          </cell>
          <cell r="K716" t="str">
            <v>RINGGOLD</v>
          </cell>
          <cell r="L716" t="str">
            <v>Ringgold</v>
          </cell>
          <cell r="V716">
            <v>55000</v>
          </cell>
        </row>
        <row r="717">
          <cell r="B717">
            <v>2016</v>
          </cell>
          <cell r="K717" t="str">
            <v>UNION</v>
          </cell>
          <cell r="L717" t="str">
            <v>Union</v>
          </cell>
          <cell r="V717">
            <v>56400</v>
          </cell>
        </row>
        <row r="718">
          <cell r="B718">
            <v>2016</v>
          </cell>
          <cell r="K718" t="str">
            <v>WARREN</v>
          </cell>
          <cell r="L718" t="str">
            <v>Warren</v>
          </cell>
          <cell r="V718">
            <v>69400</v>
          </cell>
        </row>
        <row r="719">
          <cell r="B719">
            <v>2016</v>
          </cell>
          <cell r="K719" t="str">
            <v>WAYNE</v>
          </cell>
          <cell r="L719" t="str">
            <v>Wayne</v>
          </cell>
          <cell r="V719">
            <v>61000</v>
          </cell>
        </row>
        <row r="720">
          <cell r="B720">
            <v>2016</v>
          </cell>
          <cell r="K720" t="str">
            <v>DAVIS</v>
          </cell>
          <cell r="L720" t="str">
            <v>Davis</v>
          </cell>
          <cell r="V720">
            <v>48500</v>
          </cell>
        </row>
        <row r="721">
          <cell r="B721">
            <v>2016</v>
          </cell>
          <cell r="K721" t="str">
            <v>DES MOINES</v>
          </cell>
          <cell r="L721" t="str">
            <v>Des Moines</v>
          </cell>
          <cell r="V721">
            <v>71200</v>
          </cell>
        </row>
        <row r="722">
          <cell r="B722">
            <v>2016</v>
          </cell>
          <cell r="K722" t="str">
            <v>HENRY</v>
          </cell>
          <cell r="L722" t="str">
            <v>Henry</v>
          </cell>
          <cell r="V722">
            <v>84500</v>
          </cell>
        </row>
        <row r="723">
          <cell r="B723">
            <v>2016</v>
          </cell>
          <cell r="K723" t="str">
            <v>JEFFERSON</v>
          </cell>
          <cell r="L723" t="str">
            <v>Jefferson</v>
          </cell>
          <cell r="V723">
            <v>73700</v>
          </cell>
        </row>
        <row r="724">
          <cell r="B724">
            <v>2016</v>
          </cell>
          <cell r="K724" t="str">
            <v>KEOKUK</v>
          </cell>
          <cell r="L724" t="str">
            <v>Keokuk</v>
          </cell>
          <cell r="V724">
            <v>119000</v>
          </cell>
        </row>
        <row r="725">
          <cell r="B725">
            <v>2016</v>
          </cell>
          <cell r="K725" t="str">
            <v>LEE</v>
          </cell>
          <cell r="L725" t="str">
            <v>Lee</v>
          </cell>
          <cell r="V725">
            <v>77500</v>
          </cell>
        </row>
        <row r="726">
          <cell r="B726">
            <v>2016</v>
          </cell>
          <cell r="K726" t="str">
            <v>LOUISA</v>
          </cell>
          <cell r="L726" t="str">
            <v>Louisa</v>
          </cell>
          <cell r="V726">
            <v>84900</v>
          </cell>
        </row>
        <row r="727">
          <cell r="B727">
            <v>2016</v>
          </cell>
          <cell r="K727" t="str">
            <v>MAHASKA</v>
          </cell>
          <cell r="L727" t="str">
            <v>Mahaska</v>
          </cell>
          <cell r="V727">
            <v>137000</v>
          </cell>
        </row>
        <row r="728">
          <cell r="B728">
            <v>2016</v>
          </cell>
          <cell r="K728" t="str">
            <v>VAN BUREN</v>
          </cell>
          <cell r="L728" t="str">
            <v>Van Buren</v>
          </cell>
          <cell r="V728">
            <v>55100</v>
          </cell>
        </row>
        <row r="729">
          <cell r="B729">
            <v>2016</v>
          </cell>
          <cell r="K729" t="str">
            <v>WAPELLO</v>
          </cell>
          <cell r="L729" t="str">
            <v>Wapello</v>
          </cell>
          <cell r="V729">
            <v>61600</v>
          </cell>
        </row>
        <row r="730">
          <cell r="B730">
            <v>2016</v>
          </cell>
          <cell r="K730" t="str">
            <v>WASHINGTON</v>
          </cell>
          <cell r="L730" t="str">
            <v>Washington</v>
          </cell>
          <cell r="V730">
            <v>120000</v>
          </cell>
        </row>
        <row r="731">
          <cell r="B731">
            <v>2016</v>
          </cell>
          <cell r="K731" t="str">
            <v>ADAIR</v>
          </cell>
          <cell r="L731" t="str">
            <v>Adair</v>
          </cell>
          <cell r="V731">
            <v>115000</v>
          </cell>
        </row>
        <row r="732">
          <cell r="B732">
            <v>2016</v>
          </cell>
          <cell r="K732" t="str">
            <v>ADAMS</v>
          </cell>
          <cell r="L732" t="str">
            <v>Adams</v>
          </cell>
          <cell r="V732">
            <v>74000</v>
          </cell>
        </row>
        <row r="733">
          <cell r="B733">
            <v>2016</v>
          </cell>
          <cell r="K733" t="str">
            <v>CASS</v>
          </cell>
          <cell r="L733" t="str">
            <v>Cass</v>
          </cell>
          <cell r="V733">
            <v>134500</v>
          </cell>
        </row>
        <row r="734">
          <cell r="B734">
            <v>2016</v>
          </cell>
          <cell r="K734" t="str">
            <v>FREMONT</v>
          </cell>
          <cell r="L734" t="str">
            <v>Fremont</v>
          </cell>
          <cell r="V734">
            <v>120000</v>
          </cell>
        </row>
        <row r="735">
          <cell r="B735">
            <v>2016</v>
          </cell>
          <cell r="K735" t="str">
            <v>MILLS</v>
          </cell>
          <cell r="L735" t="str">
            <v>Mills</v>
          </cell>
          <cell r="V735">
            <v>100000</v>
          </cell>
        </row>
        <row r="736">
          <cell r="B736">
            <v>2016</v>
          </cell>
          <cell r="K736" t="str">
            <v>MONTGOMERY</v>
          </cell>
          <cell r="L736" t="str">
            <v>Montgomery</v>
          </cell>
          <cell r="V736">
            <v>98000</v>
          </cell>
        </row>
        <row r="737">
          <cell r="B737">
            <v>2016</v>
          </cell>
          <cell r="K737" t="str">
            <v>PAGE</v>
          </cell>
          <cell r="L737" t="str">
            <v>Page</v>
          </cell>
          <cell r="V737">
            <v>118000</v>
          </cell>
        </row>
        <row r="738">
          <cell r="B738">
            <v>2016</v>
          </cell>
          <cell r="K738" t="str">
            <v>POTTAWATTAMIE</v>
          </cell>
          <cell r="L738" t="str">
            <v>Pottawattamie</v>
          </cell>
          <cell r="V738">
            <v>254500</v>
          </cell>
        </row>
        <row r="739">
          <cell r="B739">
            <v>2016</v>
          </cell>
          <cell r="K739" t="str">
            <v>TAYLOR</v>
          </cell>
          <cell r="L739" t="str">
            <v>Taylor</v>
          </cell>
          <cell r="V739">
            <v>82000</v>
          </cell>
        </row>
        <row r="740">
          <cell r="B740">
            <v>2016</v>
          </cell>
          <cell r="K740" t="str">
            <v>AUDUBON</v>
          </cell>
          <cell r="L740" t="str">
            <v>Audubon</v>
          </cell>
          <cell r="V740">
            <v>114000</v>
          </cell>
        </row>
        <row r="741">
          <cell r="B741">
            <v>2016</v>
          </cell>
          <cell r="K741" t="str">
            <v>CALHOUN</v>
          </cell>
          <cell r="L741" t="str">
            <v>Calhoun</v>
          </cell>
          <cell r="V741">
            <v>184000</v>
          </cell>
        </row>
        <row r="742">
          <cell r="B742">
            <v>2016</v>
          </cell>
          <cell r="K742" t="str">
            <v>CARROLL</v>
          </cell>
          <cell r="L742" t="str">
            <v>Carroll</v>
          </cell>
          <cell r="V742">
            <v>195500</v>
          </cell>
        </row>
        <row r="743">
          <cell r="B743">
            <v>2016</v>
          </cell>
          <cell r="K743" t="str">
            <v>CRAWFORD</v>
          </cell>
          <cell r="L743" t="str">
            <v>Crawford</v>
          </cell>
          <cell r="V743">
            <v>224500</v>
          </cell>
        </row>
        <row r="744">
          <cell r="B744">
            <v>2016</v>
          </cell>
          <cell r="K744" t="str">
            <v>GREENE</v>
          </cell>
          <cell r="L744" t="str">
            <v>Greene</v>
          </cell>
          <cell r="V744">
            <v>180000</v>
          </cell>
        </row>
        <row r="745">
          <cell r="B745">
            <v>2016</v>
          </cell>
          <cell r="K745" t="str">
            <v>GUTHRIE</v>
          </cell>
          <cell r="L745" t="str">
            <v>Guthrie</v>
          </cell>
          <cell r="V745">
            <v>111000</v>
          </cell>
        </row>
        <row r="746">
          <cell r="B746">
            <v>2016</v>
          </cell>
          <cell r="K746" t="str">
            <v>HARRISON</v>
          </cell>
          <cell r="L746" t="str">
            <v>Harrison</v>
          </cell>
          <cell r="V746">
            <v>183500</v>
          </cell>
        </row>
        <row r="747">
          <cell r="B747">
            <v>2016</v>
          </cell>
          <cell r="K747" t="str">
            <v>IDA</v>
          </cell>
          <cell r="L747" t="str">
            <v>Ida</v>
          </cell>
          <cell r="V747">
            <v>134000</v>
          </cell>
        </row>
        <row r="748">
          <cell r="B748">
            <v>2016</v>
          </cell>
          <cell r="K748" t="str">
            <v>MONONA</v>
          </cell>
          <cell r="L748" t="str">
            <v>Monona</v>
          </cell>
          <cell r="V748">
            <v>174500</v>
          </cell>
        </row>
        <row r="749">
          <cell r="B749">
            <v>2016</v>
          </cell>
          <cell r="K749" t="str">
            <v>SAC</v>
          </cell>
          <cell r="L749" t="str">
            <v>Sac</v>
          </cell>
          <cell r="V749">
            <v>170000</v>
          </cell>
        </row>
        <row r="750">
          <cell r="B750">
            <v>2016</v>
          </cell>
          <cell r="K750" t="str">
            <v>SHELBY</v>
          </cell>
          <cell r="L750" t="str">
            <v>Shelby</v>
          </cell>
          <cell r="V750">
            <v>180000</v>
          </cell>
        </row>
        <row r="751">
          <cell r="B751">
            <v>2016</v>
          </cell>
          <cell r="K751" t="str">
            <v>WOODBURY</v>
          </cell>
          <cell r="L751" t="str">
            <v>Woodbury</v>
          </cell>
          <cell r="V751">
            <v>214000</v>
          </cell>
        </row>
        <row r="752">
          <cell r="B752">
            <v>2015</v>
          </cell>
          <cell r="K752" t="str">
            <v>BOONE</v>
          </cell>
          <cell r="L752" t="str">
            <v>Boone</v>
          </cell>
          <cell r="V752">
            <v>164000</v>
          </cell>
        </row>
        <row r="753">
          <cell r="B753">
            <v>2015</v>
          </cell>
          <cell r="K753" t="str">
            <v>DALLAS</v>
          </cell>
          <cell r="L753" t="str">
            <v>Dallas</v>
          </cell>
          <cell r="V753">
            <v>137000</v>
          </cell>
        </row>
        <row r="754">
          <cell r="B754">
            <v>2015</v>
          </cell>
          <cell r="K754" t="str">
            <v>GRUNDY</v>
          </cell>
          <cell r="L754" t="str">
            <v>Grundy</v>
          </cell>
          <cell r="V754">
            <v>161500</v>
          </cell>
        </row>
        <row r="755">
          <cell r="B755">
            <v>2015</v>
          </cell>
          <cell r="K755" t="str">
            <v>HAMILTON</v>
          </cell>
          <cell r="L755" t="str">
            <v>Hamilton</v>
          </cell>
          <cell r="V755">
            <v>195000</v>
          </cell>
        </row>
        <row r="756">
          <cell r="B756">
            <v>2015</v>
          </cell>
          <cell r="K756" t="str">
            <v>HARDIN</v>
          </cell>
          <cell r="L756" t="str">
            <v>Hardin</v>
          </cell>
          <cell r="V756">
            <v>188500</v>
          </cell>
        </row>
        <row r="757">
          <cell r="B757">
            <v>2015</v>
          </cell>
          <cell r="K757" t="str">
            <v>JASPER</v>
          </cell>
          <cell r="L757" t="str">
            <v>Jasper</v>
          </cell>
          <cell r="V757">
            <v>172500</v>
          </cell>
        </row>
        <row r="758">
          <cell r="B758">
            <v>2015</v>
          </cell>
          <cell r="K758" t="str">
            <v>MARSHALL</v>
          </cell>
          <cell r="L758" t="str">
            <v>Marshall</v>
          </cell>
          <cell r="V758">
            <v>153500</v>
          </cell>
        </row>
        <row r="759">
          <cell r="B759">
            <v>2015</v>
          </cell>
          <cell r="K759" t="str">
            <v>POLK</v>
          </cell>
          <cell r="L759" t="str">
            <v>Polk</v>
          </cell>
          <cell r="V759">
            <v>81500</v>
          </cell>
        </row>
        <row r="760">
          <cell r="B760">
            <v>2015</v>
          </cell>
          <cell r="K760" t="str">
            <v>POWESHIEK</v>
          </cell>
          <cell r="L760" t="str">
            <v>Poweshiek</v>
          </cell>
          <cell r="V760">
            <v>145000</v>
          </cell>
        </row>
        <row r="761">
          <cell r="B761">
            <v>2015</v>
          </cell>
          <cell r="K761" t="str">
            <v>STORY</v>
          </cell>
          <cell r="L761" t="str">
            <v>Story</v>
          </cell>
          <cell r="V761">
            <v>164500</v>
          </cell>
        </row>
        <row r="762">
          <cell r="B762">
            <v>2015</v>
          </cell>
          <cell r="K762" t="str">
            <v>TAMA</v>
          </cell>
          <cell r="L762" t="str">
            <v>Tama</v>
          </cell>
          <cell r="V762">
            <v>169500</v>
          </cell>
        </row>
        <row r="763">
          <cell r="B763">
            <v>2015</v>
          </cell>
          <cell r="K763" t="str">
            <v>WEBSTER</v>
          </cell>
          <cell r="L763" t="str">
            <v>Webster</v>
          </cell>
          <cell r="V763">
            <v>209500</v>
          </cell>
        </row>
        <row r="764">
          <cell r="B764">
            <v>2015</v>
          </cell>
          <cell r="K764" t="str">
            <v>BENTON</v>
          </cell>
          <cell r="L764" t="str">
            <v>Benton</v>
          </cell>
          <cell r="V764">
            <v>194000</v>
          </cell>
        </row>
        <row r="765">
          <cell r="B765">
            <v>2015</v>
          </cell>
          <cell r="K765" t="str">
            <v>CEDAR</v>
          </cell>
          <cell r="L765" t="str">
            <v>Cedar</v>
          </cell>
          <cell r="V765">
            <v>157000</v>
          </cell>
        </row>
        <row r="766">
          <cell r="B766">
            <v>2015</v>
          </cell>
          <cell r="K766" t="str">
            <v>CLINTON</v>
          </cell>
          <cell r="L766" t="str">
            <v>Clinton</v>
          </cell>
          <cell r="V766">
            <v>193500</v>
          </cell>
        </row>
        <row r="767">
          <cell r="B767">
            <v>2015</v>
          </cell>
          <cell r="K767" t="str">
            <v>IOWA</v>
          </cell>
          <cell r="L767" t="str">
            <v>Iowa</v>
          </cell>
          <cell r="V767">
            <v>123500</v>
          </cell>
        </row>
        <row r="768">
          <cell r="B768">
            <v>2015</v>
          </cell>
          <cell r="K768" t="str">
            <v>JACKSON</v>
          </cell>
          <cell r="L768" t="str">
            <v>Jackson</v>
          </cell>
          <cell r="V768">
            <v>117500</v>
          </cell>
        </row>
        <row r="769">
          <cell r="B769">
            <v>2015</v>
          </cell>
          <cell r="K769" t="str">
            <v>JOHNSON</v>
          </cell>
          <cell r="L769" t="str">
            <v>Johnson</v>
          </cell>
          <cell r="V769">
            <v>111500</v>
          </cell>
        </row>
        <row r="770">
          <cell r="B770">
            <v>2015</v>
          </cell>
          <cell r="K770" t="str">
            <v>JONES</v>
          </cell>
          <cell r="L770" t="str">
            <v>Jones</v>
          </cell>
          <cell r="V770">
            <v>150500</v>
          </cell>
        </row>
        <row r="771">
          <cell r="B771">
            <v>2015</v>
          </cell>
          <cell r="K771" t="str">
            <v>LINN</v>
          </cell>
          <cell r="L771" t="str">
            <v>Linn</v>
          </cell>
          <cell r="V771">
            <v>151000</v>
          </cell>
        </row>
        <row r="772">
          <cell r="B772">
            <v>2015</v>
          </cell>
          <cell r="K772" t="str">
            <v>MUSCATINE</v>
          </cell>
          <cell r="L772" t="str">
            <v>Muscatine</v>
          </cell>
          <cell r="V772">
            <v>90000</v>
          </cell>
        </row>
        <row r="773">
          <cell r="B773">
            <v>2015</v>
          </cell>
          <cell r="K773" t="str">
            <v>SCOTT</v>
          </cell>
          <cell r="L773" t="str">
            <v>Scott</v>
          </cell>
          <cell r="V773">
            <v>110500</v>
          </cell>
        </row>
        <row r="774">
          <cell r="B774">
            <v>2015</v>
          </cell>
          <cell r="K774" t="str">
            <v>BUTLER</v>
          </cell>
          <cell r="L774" t="str">
            <v>Butler</v>
          </cell>
          <cell r="V774">
            <v>156500</v>
          </cell>
        </row>
        <row r="775">
          <cell r="B775">
            <v>2015</v>
          </cell>
          <cell r="K775" t="str">
            <v>CERRO GORDO</v>
          </cell>
          <cell r="L775" t="str">
            <v>Cerro Gordo</v>
          </cell>
          <cell r="V775">
            <v>163500</v>
          </cell>
        </row>
        <row r="776">
          <cell r="B776">
            <v>2015</v>
          </cell>
          <cell r="K776" t="str">
            <v>FLOYD</v>
          </cell>
          <cell r="L776" t="str">
            <v>Floyd</v>
          </cell>
          <cell r="V776">
            <v>139500</v>
          </cell>
        </row>
        <row r="777">
          <cell r="B777">
            <v>2015</v>
          </cell>
          <cell r="K777" t="str">
            <v>FRANKLIN</v>
          </cell>
          <cell r="L777" t="str">
            <v>Franklin</v>
          </cell>
          <cell r="V777">
            <v>198500</v>
          </cell>
        </row>
        <row r="778">
          <cell r="B778">
            <v>2015</v>
          </cell>
          <cell r="K778" t="str">
            <v>HANCOCK</v>
          </cell>
          <cell r="L778" t="str">
            <v>Hancock</v>
          </cell>
          <cell r="V778">
            <v>190500</v>
          </cell>
        </row>
        <row r="779">
          <cell r="B779">
            <v>2015</v>
          </cell>
          <cell r="K779" t="str">
            <v>HUMBOLDT</v>
          </cell>
          <cell r="L779" t="str">
            <v>Humboldt</v>
          </cell>
          <cell r="V779">
            <v>136000</v>
          </cell>
        </row>
        <row r="780">
          <cell r="B780">
            <v>2015</v>
          </cell>
          <cell r="K780" t="str">
            <v>KOSSUTH</v>
          </cell>
          <cell r="L780" t="str">
            <v>Kossuth</v>
          </cell>
          <cell r="V780">
            <v>318500</v>
          </cell>
        </row>
        <row r="781">
          <cell r="B781">
            <v>2015</v>
          </cell>
          <cell r="K781" t="str">
            <v>MITCHELL</v>
          </cell>
          <cell r="L781" t="str">
            <v>Mitchell</v>
          </cell>
          <cell r="V781">
            <v>151000</v>
          </cell>
        </row>
        <row r="782">
          <cell r="B782">
            <v>2015</v>
          </cell>
          <cell r="K782" t="str">
            <v>WINNEBAGO</v>
          </cell>
          <cell r="L782" t="str">
            <v>Winnebago</v>
          </cell>
          <cell r="V782">
            <v>126500</v>
          </cell>
        </row>
        <row r="783">
          <cell r="B783">
            <v>2015</v>
          </cell>
          <cell r="K783" t="str">
            <v>WORTH</v>
          </cell>
          <cell r="L783" t="str">
            <v>Worth</v>
          </cell>
          <cell r="V783">
            <v>112500</v>
          </cell>
        </row>
        <row r="784">
          <cell r="B784">
            <v>2015</v>
          </cell>
          <cell r="K784" t="str">
            <v>WRIGHT</v>
          </cell>
          <cell r="L784" t="str">
            <v>Wright</v>
          </cell>
          <cell r="V784">
            <v>180000</v>
          </cell>
        </row>
        <row r="785">
          <cell r="B785">
            <v>2015</v>
          </cell>
          <cell r="K785" t="str">
            <v>ALLAMAKEE</v>
          </cell>
          <cell r="L785" t="str">
            <v>Allamakee</v>
          </cell>
          <cell r="V785">
            <v>90000</v>
          </cell>
        </row>
        <row r="786">
          <cell r="B786">
            <v>2015</v>
          </cell>
          <cell r="K786" t="str">
            <v>BLACK HAWK</v>
          </cell>
          <cell r="L786" t="str">
            <v>Black Hawk</v>
          </cell>
          <cell r="V786">
            <v>145500</v>
          </cell>
        </row>
        <row r="787">
          <cell r="B787">
            <v>2015</v>
          </cell>
          <cell r="K787" t="str">
            <v>BREMER</v>
          </cell>
          <cell r="L787" t="str">
            <v>Bremer</v>
          </cell>
          <cell r="V787">
            <v>123000</v>
          </cell>
        </row>
        <row r="788">
          <cell r="B788">
            <v>2015</v>
          </cell>
          <cell r="K788" t="str">
            <v>BUCHANAN</v>
          </cell>
          <cell r="L788" t="str">
            <v>Buchanan</v>
          </cell>
          <cell r="V788">
            <v>191500</v>
          </cell>
        </row>
        <row r="789">
          <cell r="B789">
            <v>2015</v>
          </cell>
          <cell r="K789" t="str">
            <v>CHICKASAW</v>
          </cell>
          <cell r="L789" t="str">
            <v>Chickasaw</v>
          </cell>
          <cell r="V789">
            <v>148500</v>
          </cell>
        </row>
        <row r="790">
          <cell r="B790">
            <v>2015</v>
          </cell>
          <cell r="K790" t="str">
            <v>CLAYTON</v>
          </cell>
          <cell r="L790" t="str">
            <v>Clayton</v>
          </cell>
          <cell r="V790">
            <v>153000</v>
          </cell>
        </row>
        <row r="791">
          <cell r="B791">
            <v>2015</v>
          </cell>
          <cell r="K791" t="str">
            <v>DELAWARE</v>
          </cell>
          <cell r="L791" t="str">
            <v>Delaware</v>
          </cell>
          <cell r="V791">
            <v>195000</v>
          </cell>
        </row>
        <row r="792">
          <cell r="B792">
            <v>2015</v>
          </cell>
          <cell r="K792" t="str">
            <v>DUBUQUE</v>
          </cell>
          <cell r="L792" t="str">
            <v>Dubuque</v>
          </cell>
          <cell r="V792">
            <v>150500</v>
          </cell>
        </row>
        <row r="793">
          <cell r="B793">
            <v>2015</v>
          </cell>
          <cell r="K793" t="str">
            <v>FAYETTE</v>
          </cell>
          <cell r="L793" t="str">
            <v>Fayette</v>
          </cell>
          <cell r="V793">
            <v>190000</v>
          </cell>
        </row>
        <row r="794">
          <cell r="B794">
            <v>2015</v>
          </cell>
          <cell r="K794" t="str">
            <v>HOWARD</v>
          </cell>
          <cell r="L794" t="str">
            <v>Howard</v>
          </cell>
          <cell r="V794">
            <v>126000</v>
          </cell>
        </row>
        <row r="795">
          <cell r="B795">
            <v>2015</v>
          </cell>
          <cell r="K795" t="str">
            <v>WINNESHIEK</v>
          </cell>
          <cell r="L795" t="str">
            <v>Winneshiek</v>
          </cell>
          <cell r="V795">
            <v>169000</v>
          </cell>
        </row>
        <row r="796">
          <cell r="B796">
            <v>2015</v>
          </cell>
          <cell r="K796" t="str">
            <v>BUENA VISTA</v>
          </cell>
          <cell r="L796" t="str">
            <v>Buena Vista</v>
          </cell>
          <cell r="V796">
            <v>166000</v>
          </cell>
        </row>
        <row r="797">
          <cell r="B797">
            <v>2015</v>
          </cell>
          <cell r="K797" t="str">
            <v>CHEROKEE</v>
          </cell>
          <cell r="L797" t="str">
            <v>Cherokee</v>
          </cell>
          <cell r="V797">
            <v>150500</v>
          </cell>
        </row>
        <row r="798">
          <cell r="B798">
            <v>2015</v>
          </cell>
          <cell r="K798" t="str">
            <v>CLAY</v>
          </cell>
          <cell r="L798" t="str">
            <v>Clay</v>
          </cell>
          <cell r="V798">
            <v>155500</v>
          </cell>
        </row>
        <row r="799">
          <cell r="B799">
            <v>2015</v>
          </cell>
          <cell r="K799" t="str">
            <v>DICKINSON</v>
          </cell>
          <cell r="L799" t="str">
            <v>Dickinson</v>
          </cell>
          <cell r="V799">
            <v>93500</v>
          </cell>
        </row>
        <row r="800">
          <cell r="B800">
            <v>2015</v>
          </cell>
          <cell r="K800" t="str">
            <v>EMMET</v>
          </cell>
          <cell r="L800" t="str">
            <v>Emmet</v>
          </cell>
          <cell r="V800">
            <v>122500</v>
          </cell>
        </row>
        <row r="801">
          <cell r="B801">
            <v>2015</v>
          </cell>
          <cell r="K801" t="str">
            <v>LYON</v>
          </cell>
          <cell r="L801" t="str">
            <v>Lyon</v>
          </cell>
          <cell r="V801">
            <v>182000</v>
          </cell>
        </row>
        <row r="802">
          <cell r="B802">
            <v>2015</v>
          </cell>
          <cell r="K802" t="str">
            <v>O BRIEN</v>
          </cell>
          <cell r="L802" t="str">
            <v>O Brien</v>
          </cell>
          <cell r="V802">
            <v>171500</v>
          </cell>
        </row>
        <row r="803">
          <cell r="B803">
            <v>2015</v>
          </cell>
          <cell r="K803" t="str">
            <v>OSCEOLA</v>
          </cell>
          <cell r="L803" t="str">
            <v>Osceola</v>
          </cell>
          <cell r="V803">
            <v>126500</v>
          </cell>
        </row>
        <row r="804">
          <cell r="B804">
            <v>2015</v>
          </cell>
          <cell r="K804" t="str">
            <v>PALO ALTO</v>
          </cell>
          <cell r="L804" t="str">
            <v>Palo Alto</v>
          </cell>
          <cell r="V804">
            <v>179000</v>
          </cell>
        </row>
        <row r="805">
          <cell r="B805">
            <v>2015</v>
          </cell>
          <cell r="K805" t="str">
            <v>PLYMOUTH</v>
          </cell>
          <cell r="L805" t="str">
            <v>Plymouth</v>
          </cell>
          <cell r="V805">
            <v>236500</v>
          </cell>
        </row>
        <row r="806">
          <cell r="B806">
            <v>2015</v>
          </cell>
          <cell r="K806" t="str">
            <v>POCAHONTAS</v>
          </cell>
          <cell r="L806" t="str">
            <v>Pocahontas</v>
          </cell>
          <cell r="V806">
            <v>186000</v>
          </cell>
        </row>
        <row r="807">
          <cell r="B807">
            <v>2015</v>
          </cell>
          <cell r="K807" t="str">
            <v>SIOUX</v>
          </cell>
          <cell r="L807" t="str">
            <v>Sioux</v>
          </cell>
          <cell r="V807">
            <v>258500</v>
          </cell>
        </row>
        <row r="808">
          <cell r="B808">
            <v>2015</v>
          </cell>
          <cell r="K808" t="str">
            <v>APPANOOSE</v>
          </cell>
          <cell r="L808" t="str">
            <v>Appanoose</v>
          </cell>
          <cell r="V808">
            <v>35000</v>
          </cell>
        </row>
        <row r="809">
          <cell r="B809">
            <v>2015</v>
          </cell>
          <cell r="K809" t="str">
            <v>CLARKE</v>
          </cell>
          <cell r="L809" t="str">
            <v>Clarke</v>
          </cell>
          <cell r="V809">
            <v>39000</v>
          </cell>
        </row>
        <row r="810">
          <cell r="B810">
            <v>2015</v>
          </cell>
          <cell r="K810" t="str">
            <v>DECATUR</v>
          </cell>
          <cell r="L810" t="str">
            <v>Decatur</v>
          </cell>
          <cell r="V810">
            <v>37000</v>
          </cell>
        </row>
        <row r="811">
          <cell r="B811">
            <v>2015</v>
          </cell>
          <cell r="K811" t="str">
            <v>LUCAS</v>
          </cell>
          <cell r="L811" t="str">
            <v>Lucas</v>
          </cell>
          <cell r="V811">
            <v>34000</v>
          </cell>
        </row>
        <row r="812">
          <cell r="B812">
            <v>2015</v>
          </cell>
          <cell r="K812" t="str">
            <v>MADISON</v>
          </cell>
          <cell r="L812" t="str">
            <v>Madison</v>
          </cell>
          <cell r="V812">
            <v>70500</v>
          </cell>
        </row>
        <row r="813">
          <cell r="B813">
            <v>2015</v>
          </cell>
          <cell r="K813" t="str">
            <v>MARION</v>
          </cell>
          <cell r="L813" t="str">
            <v>Marion</v>
          </cell>
          <cell r="V813">
            <v>78500</v>
          </cell>
        </row>
        <row r="814">
          <cell r="B814">
            <v>2015</v>
          </cell>
          <cell r="K814" t="str">
            <v>OTHER (COMBINED) COUNTIES</v>
          </cell>
          <cell r="L814" t="str">
            <v>Other (Combined) Counties</v>
          </cell>
          <cell r="V814">
            <v>88500</v>
          </cell>
        </row>
        <row r="815">
          <cell r="B815">
            <v>2015</v>
          </cell>
          <cell r="K815" t="str">
            <v>RINGGOLD</v>
          </cell>
          <cell r="L815" t="str">
            <v>Ringgold</v>
          </cell>
          <cell r="V815">
            <v>56000</v>
          </cell>
        </row>
        <row r="816">
          <cell r="B816">
            <v>2015</v>
          </cell>
          <cell r="K816" t="str">
            <v>WARREN</v>
          </cell>
          <cell r="L816" t="str">
            <v>Warren</v>
          </cell>
          <cell r="V816">
            <v>64500</v>
          </cell>
        </row>
        <row r="817">
          <cell r="B817">
            <v>2015</v>
          </cell>
          <cell r="K817" t="str">
            <v>WAYNE</v>
          </cell>
          <cell r="L817" t="str">
            <v>Wayne</v>
          </cell>
          <cell r="V817">
            <v>65000</v>
          </cell>
        </row>
        <row r="818">
          <cell r="B818">
            <v>2015</v>
          </cell>
          <cell r="K818" t="str">
            <v>DAVIS</v>
          </cell>
          <cell r="L818" t="str">
            <v>Davis</v>
          </cell>
          <cell r="V818">
            <v>50000</v>
          </cell>
        </row>
        <row r="819">
          <cell r="B819">
            <v>2015</v>
          </cell>
          <cell r="K819" t="str">
            <v>DES MOINES</v>
          </cell>
          <cell r="L819" t="str">
            <v>Des Moines</v>
          </cell>
          <cell r="V819">
            <v>70800</v>
          </cell>
        </row>
        <row r="820">
          <cell r="B820">
            <v>2015</v>
          </cell>
          <cell r="K820" t="str">
            <v>HENRY</v>
          </cell>
          <cell r="L820" t="str">
            <v>Henry</v>
          </cell>
          <cell r="V820">
            <v>79700</v>
          </cell>
        </row>
        <row r="821">
          <cell r="B821">
            <v>2015</v>
          </cell>
          <cell r="K821" t="str">
            <v>JEFFERSON</v>
          </cell>
          <cell r="L821" t="str">
            <v>Jefferson</v>
          </cell>
          <cell r="V821">
            <v>74800</v>
          </cell>
        </row>
        <row r="822">
          <cell r="B822">
            <v>2015</v>
          </cell>
          <cell r="K822" t="str">
            <v>KEOKUK</v>
          </cell>
          <cell r="L822" t="str">
            <v>Keokuk</v>
          </cell>
          <cell r="V822">
            <v>119000</v>
          </cell>
        </row>
        <row r="823">
          <cell r="B823">
            <v>2015</v>
          </cell>
          <cell r="K823" t="str">
            <v>LEE</v>
          </cell>
          <cell r="L823" t="str">
            <v>Lee</v>
          </cell>
          <cell r="V823">
            <v>76000</v>
          </cell>
        </row>
        <row r="824">
          <cell r="B824">
            <v>2015</v>
          </cell>
          <cell r="K824" t="str">
            <v>LOUISA</v>
          </cell>
          <cell r="L824" t="str">
            <v>Louisa</v>
          </cell>
          <cell r="V824">
            <v>87000</v>
          </cell>
        </row>
        <row r="825">
          <cell r="B825">
            <v>2015</v>
          </cell>
          <cell r="K825" t="str">
            <v>MAHASKA</v>
          </cell>
          <cell r="L825" t="str">
            <v>Mahaska</v>
          </cell>
          <cell r="V825">
            <v>135000</v>
          </cell>
        </row>
        <row r="826">
          <cell r="B826">
            <v>2015</v>
          </cell>
          <cell r="K826" t="str">
            <v>VAN BUREN</v>
          </cell>
          <cell r="L826" t="str">
            <v>Van Buren</v>
          </cell>
          <cell r="V826">
            <v>48900</v>
          </cell>
        </row>
        <row r="827">
          <cell r="B827">
            <v>2015</v>
          </cell>
          <cell r="K827" t="str">
            <v>WAPELLO</v>
          </cell>
          <cell r="L827" t="str">
            <v>Wapello</v>
          </cell>
          <cell r="V827">
            <v>57800</v>
          </cell>
        </row>
        <row r="828">
          <cell r="B828">
            <v>2015</v>
          </cell>
          <cell r="K828" t="str">
            <v>WASHINGTON</v>
          </cell>
          <cell r="L828" t="str">
            <v>Washington</v>
          </cell>
          <cell r="V828">
            <v>118000</v>
          </cell>
        </row>
        <row r="829">
          <cell r="B829">
            <v>2015</v>
          </cell>
          <cell r="K829" t="str">
            <v>ADAIR</v>
          </cell>
          <cell r="L829" t="str">
            <v>Adair</v>
          </cell>
          <cell r="V829">
            <v>112000</v>
          </cell>
        </row>
        <row r="830">
          <cell r="B830">
            <v>2015</v>
          </cell>
          <cell r="K830" t="str">
            <v>ADAMS</v>
          </cell>
          <cell r="L830" t="str">
            <v>Adams</v>
          </cell>
          <cell r="V830">
            <v>74400</v>
          </cell>
        </row>
        <row r="831">
          <cell r="B831">
            <v>2015</v>
          </cell>
          <cell r="K831" t="str">
            <v>CASS</v>
          </cell>
          <cell r="L831" t="str">
            <v>Cass</v>
          </cell>
          <cell r="V831">
            <v>137000</v>
          </cell>
        </row>
        <row r="832">
          <cell r="B832">
            <v>2015</v>
          </cell>
          <cell r="K832" t="str">
            <v>FREMONT</v>
          </cell>
          <cell r="L832" t="str">
            <v>Fremont</v>
          </cell>
          <cell r="V832">
            <v>113500</v>
          </cell>
        </row>
        <row r="833">
          <cell r="B833">
            <v>2015</v>
          </cell>
          <cell r="K833" t="str">
            <v>MONTGOMERY</v>
          </cell>
          <cell r="L833" t="str">
            <v>Montgomery</v>
          </cell>
          <cell r="V833">
            <v>94900</v>
          </cell>
        </row>
        <row r="834">
          <cell r="B834">
            <v>2015</v>
          </cell>
          <cell r="K834" t="str">
            <v>OTHER (COMBINED) COUNTIES</v>
          </cell>
          <cell r="L834" t="str">
            <v>Other (Combined) Counties</v>
          </cell>
          <cell r="V834">
            <v>174700</v>
          </cell>
        </row>
        <row r="835">
          <cell r="B835">
            <v>2015</v>
          </cell>
          <cell r="K835" t="str">
            <v>PAGE</v>
          </cell>
          <cell r="L835" t="str">
            <v>Page</v>
          </cell>
          <cell r="V835">
            <v>110500</v>
          </cell>
        </row>
        <row r="836">
          <cell r="B836">
            <v>2015</v>
          </cell>
          <cell r="K836" t="str">
            <v>POTTAWATTAMIE</v>
          </cell>
          <cell r="L836" t="str">
            <v>Pottawattamie</v>
          </cell>
          <cell r="V836">
            <v>244000</v>
          </cell>
        </row>
        <row r="837">
          <cell r="B837">
            <v>2015</v>
          </cell>
          <cell r="K837" t="str">
            <v>AUDUBON</v>
          </cell>
          <cell r="L837" t="str">
            <v>Audubon</v>
          </cell>
          <cell r="V837">
            <v>110000</v>
          </cell>
        </row>
        <row r="838">
          <cell r="B838">
            <v>2015</v>
          </cell>
          <cell r="K838" t="str">
            <v>CALHOUN</v>
          </cell>
          <cell r="L838" t="str">
            <v>Calhoun</v>
          </cell>
          <cell r="V838">
            <v>177000</v>
          </cell>
        </row>
        <row r="839">
          <cell r="B839">
            <v>2015</v>
          </cell>
          <cell r="K839" t="str">
            <v>CARROLL</v>
          </cell>
          <cell r="L839" t="str">
            <v>Carroll</v>
          </cell>
          <cell r="V839">
            <v>187000</v>
          </cell>
        </row>
        <row r="840">
          <cell r="B840">
            <v>2015</v>
          </cell>
          <cell r="K840" t="str">
            <v>CRAWFORD</v>
          </cell>
          <cell r="L840" t="str">
            <v>Crawford</v>
          </cell>
          <cell r="V840">
            <v>218500</v>
          </cell>
        </row>
        <row r="841">
          <cell r="B841">
            <v>2015</v>
          </cell>
          <cell r="K841" t="str">
            <v>GREENE</v>
          </cell>
          <cell r="L841" t="str">
            <v>Greene</v>
          </cell>
          <cell r="V841">
            <v>173500</v>
          </cell>
        </row>
        <row r="842">
          <cell r="B842">
            <v>2015</v>
          </cell>
          <cell r="K842" t="str">
            <v>GUTHRIE</v>
          </cell>
          <cell r="L842" t="str">
            <v>Guthrie</v>
          </cell>
          <cell r="V842">
            <v>116500</v>
          </cell>
        </row>
        <row r="843">
          <cell r="B843">
            <v>2015</v>
          </cell>
          <cell r="K843" t="str">
            <v>HARRISON</v>
          </cell>
          <cell r="L843" t="str">
            <v>Harrison</v>
          </cell>
          <cell r="V843">
            <v>178000</v>
          </cell>
        </row>
        <row r="844">
          <cell r="B844">
            <v>2015</v>
          </cell>
          <cell r="K844" t="str">
            <v>IDA</v>
          </cell>
          <cell r="L844" t="str">
            <v>Ida</v>
          </cell>
          <cell r="V844">
            <v>127000</v>
          </cell>
        </row>
        <row r="845">
          <cell r="B845">
            <v>2015</v>
          </cell>
          <cell r="K845" t="str">
            <v>MONONA</v>
          </cell>
          <cell r="L845" t="str">
            <v>Monona</v>
          </cell>
          <cell r="V845">
            <v>178500</v>
          </cell>
        </row>
        <row r="846">
          <cell r="B846">
            <v>2015</v>
          </cell>
          <cell r="K846" t="str">
            <v>SAC</v>
          </cell>
          <cell r="L846" t="str">
            <v>Sac</v>
          </cell>
          <cell r="V846">
            <v>168500</v>
          </cell>
        </row>
        <row r="847">
          <cell r="B847">
            <v>2015</v>
          </cell>
          <cell r="K847" t="str">
            <v>SHELBY</v>
          </cell>
          <cell r="L847" t="str">
            <v>Shelby</v>
          </cell>
          <cell r="V847">
            <v>175000</v>
          </cell>
        </row>
        <row r="848">
          <cell r="B848">
            <v>2015</v>
          </cell>
          <cell r="K848" t="str">
            <v>WOODBURY</v>
          </cell>
          <cell r="L848" t="str">
            <v>Woodbury</v>
          </cell>
          <cell r="V848">
            <v>220500</v>
          </cell>
        </row>
        <row r="849">
          <cell r="B849">
            <v>2014</v>
          </cell>
          <cell r="K849" t="str">
            <v>BOONE</v>
          </cell>
          <cell r="L849" t="str">
            <v>Boone</v>
          </cell>
          <cell r="V849">
            <v>165000</v>
          </cell>
        </row>
        <row r="850">
          <cell r="B850">
            <v>2014</v>
          </cell>
          <cell r="K850" t="str">
            <v>DALLAS</v>
          </cell>
          <cell r="L850" t="str">
            <v>Dallas</v>
          </cell>
          <cell r="V850">
            <v>141000</v>
          </cell>
        </row>
        <row r="851">
          <cell r="B851">
            <v>2014</v>
          </cell>
          <cell r="K851" t="str">
            <v>GRUNDY</v>
          </cell>
          <cell r="L851" t="str">
            <v>Grundy</v>
          </cell>
          <cell r="V851">
            <v>156000</v>
          </cell>
        </row>
        <row r="852">
          <cell r="B852">
            <v>2014</v>
          </cell>
          <cell r="K852" t="str">
            <v>HAMILTON</v>
          </cell>
          <cell r="L852" t="str">
            <v>Hamilton</v>
          </cell>
          <cell r="V852">
            <v>196000</v>
          </cell>
        </row>
        <row r="853">
          <cell r="B853">
            <v>2014</v>
          </cell>
          <cell r="K853" t="str">
            <v>HARDIN</v>
          </cell>
          <cell r="L853" t="str">
            <v>Hardin</v>
          </cell>
          <cell r="V853">
            <v>186000</v>
          </cell>
        </row>
        <row r="854">
          <cell r="B854">
            <v>2014</v>
          </cell>
          <cell r="K854" t="str">
            <v>JASPER</v>
          </cell>
          <cell r="L854" t="str">
            <v>Jasper</v>
          </cell>
          <cell r="V854">
            <v>171500</v>
          </cell>
        </row>
        <row r="855">
          <cell r="B855">
            <v>2014</v>
          </cell>
          <cell r="K855" t="str">
            <v>MARSHALL</v>
          </cell>
          <cell r="L855" t="str">
            <v>Marshall</v>
          </cell>
          <cell r="V855">
            <v>152000</v>
          </cell>
        </row>
        <row r="856">
          <cell r="B856">
            <v>2014</v>
          </cell>
          <cell r="K856" t="str">
            <v>POLK</v>
          </cell>
          <cell r="L856" t="str">
            <v>Polk</v>
          </cell>
          <cell r="V856">
            <v>83500</v>
          </cell>
        </row>
        <row r="857">
          <cell r="B857">
            <v>2014</v>
          </cell>
          <cell r="K857" t="str">
            <v>POWESHIEK</v>
          </cell>
          <cell r="L857" t="str">
            <v>Poweshiek</v>
          </cell>
          <cell r="V857">
            <v>141000</v>
          </cell>
        </row>
        <row r="858">
          <cell r="B858">
            <v>2014</v>
          </cell>
          <cell r="K858" t="str">
            <v>STORY</v>
          </cell>
          <cell r="L858" t="str">
            <v>Story</v>
          </cell>
          <cell r="V858">
            <v>163000</v>
          </cell>
        </row>
        <row r="859">
          <cell r="B859">
            <v>2014</v>
          </cell>
          <cell r="K859" t="str">
            <v>TAMA</v>
          </cell>
          <cell r="L859" t="str">
            <v>Tama</v>
          </cell>
          <cell r="V859">
            <v>164000</v>
          </cell>
        </row>
        <row r="860">
          <cell r="B860">
            <v>2014</v>
          </cell>
          <cell r="K860" t="str">
            <v>WEBSTER</v>
          </cell>
          <cell r="L860" t="str">
            <v>Webster</v>
          </cell>
          <cell r="V860">
            <v>216000</v>
          </cell>
        </row>
        <row r="861">
          <cell r="B861">
            <v>2014</v>
          </cell>
          <cell r="K861" t="str">
            <v>BENTON</v>
          </cell>
          <cell r="L861" t="str">
            <v>Benton</v>
          </cell>
          <cell r="V861">
            <v>194500</v>
          </cell>
        </row>
        <row r="862">
          <cell r="B862">
            <v>2014</v>
          </cell>
          <cell r="K862" t="str">
            <v>CEDAR</v>
          </cell>
          <cell r="L862" t="str">
            <v>Cedar</v>
          </cell>
          <cell r="V862">
            <v>154500</v>
          </cell>
        </row>
        <row r="863">
          <cell r="B863">
            <v>2014</v>
          </cell>
          <cell r="K863" t="str">
            <v>CLINTON</v>
          </cell>
          <cell r="L863" t="str">
            <v>Clinton</v>
          </cell>
          <cell r="V863">
            <v>192500</v>
          </cell>
        </row>
        <row r="864">
          <cell r="B864">
            <v>2014</v>
          </cell>
          <cell r="K864" t="str">
            <v>IOWA</v>
          </cell>
          <cell r="L864" t="str">
            <v>Iowa</v>
          </cell>
          <cell r="V864">
            <v>121500</v>
          </cell>
        </row>
        <row r="865">
          <cell r="B865">
            <v>2014</v>
          </cell>
          <cell r="K865" t="str">
            <v>JACKSON</v>
          </cell>
          <cell r="L865" t="str">
            <v>Jackson</v>
          </cell>
          <cell r="V865">
            <v>115000</v>
          </cell>
        </row>
        <row r="866">
          <cell r="B866">
            <v>2014</v>
          </cell>
          <cell r="K866" t="str">
            <v>JOHNSON</v>
          </cell>
          <cell r="L866" t="str">
            <v>Johnson</v>
          </cell>
          <cell r="V866">
            <v>109000</v>
          </cell>
        </row>
        <row r="867">
          <cell r="B867">
            <v>2014</v>
          </cell>
          <cell r="K867" t="str">
            <v>JONES</v>
          </cell>
          <cell r="L867" t="str">
            <v>Jones</v>
          </cell>
          <cell r="V867">
            <v>157000</v>
          </cell>
        </row>
        <row r="868">
          <cell r="B868">
            <v>2014</v>
          </cell>
          <cell r="K868" t="str">
            <v>LINN</v>
          </cell>
          <cell r="L868" t="str">
            <v>Linn</v>
          </cell>
          <cell r="V868">
            <v>153000</v>
          </cell>
        </row>
        <row r="869">
          <cell r="B869">
            <v>2014</v>
          </cell>
          <cell r="K869" t="str">
            <v>MUSCATINE</v>
          </cell>
          <cell r="L869" t="str">
            <v>Muscatine</v>
          </cell>
          <cell r="V869">
            <v>91000</v>
          </cell>
        </row>
        <row r="870">
          <cell r="B870">
            <v>2014</v>
          </cell>
          <cell r="K870" t="str">
            <v>SCOTT</v>
          </cell>
          <cell r="L870" t="str">
            <v>Scott</v>
          </cell>
          <cell r="V870">
            <v>108000</v>
          </cell>
        </row>
        <row r="871">
          <cell r="B871">
            <v>2014</v>
          </cell>
          <cell r="K871" t="str">
            <v>BUTLER</v>
          </cell>
          <cell r="L871" t="str">
            <v>Butler</v>
          </cell>
          <cell r="V871">
            <v>173500</v>
          </cell>
        </row>
        <row r="872">
          <cell r="B872">
            <v>2014</v>
          </cell>
          <cell r="K872" t="str">
            <v>CERRO GORDO</v>
          </cell>
          <cell r="L872" t="str">
            <v>Cerro Gordo</v>
          </cell>
          <cell r="V872">
            <v>184000</v>
          </cell>
        </row>
        <row r="873">
          <cell r="B873">
            <v>2014</v>
          </cell>
          <cell r="K873" t="str">
            <v>FLOYD</v>
          </cell>
          <cell r="L873" t="str">
            <v>Floyd</v>
          </cell>
          <cell r="V873">
            <v>150000</v>
          </cell>
        </row>
        <row r="874">
          <cell r="B874">
            <v>2014</v>
          </cell>
          <cell r="K874" t="str">
            <v>FRANKLIN</v>
          </cell>
          <cell r="L874" t="str">
            <v>Franklin</v>
          </cell>
          <cell r="V874">
            <v>208000</v>
          </cell>
        </row>
        <row r="875">
          <cell r="B875">
            <v>2014</v>
          </cell>
          <cell r="K875" t="str">
            <v>HANCOCK</v>
          </cell>
          <cell r="L875" t="str">
            <v>Hancock</v>
          </cell>
          <cell r="V875">
            <v>200500</v>
          </cell>
        </row>
        <row r="876">
          <cell r="B876">
            <v>2014</v>
          </cell>
          <cell r="K876" t="str">
            <v>HUMBOLDT</v>
          </cell>
          <cell r="L876" t="str">
            <v>Humboldt</v>
          </cell>
          <cell r="V876">
            <v>142500</v>
          </cell>
        </row>
        <row r="877">
          <cell r="B877">
            <v>2014</v>
          </cell>
          <cell r="K877" t="str">
            <v>KOSSUTH</v>
          </cell>
          <cell r="L877" t="str">
            <v>Kossuth</v>
          </cell>
          <cell r="V877">
            <v>330000</v>
          </cell>
        </row>
        <row r="878">
          <cell r="B878">
            <v>2014</v>
          </cell>
          <cell r="K878" t="str">
            <v>MITCHELL</v>
          </cell>
          <cell r="L878" t="str">
            <v>Mitchell</v>
          </cell>
          <cell r="V878">
            <v>160000</v>
          </cell>
        </row>
        <row r="879">
          <cell r="B879">
            <v>2014</v>
          </cell>
          <cell r="K879" t="str">
            <v>WINNEBAGO</v>
          </cell>
          <cell r="L879" t="str">
            <v>Winnebago</v>
          </cell>
          <cell r="V879">
            <v>135500</v>
          </cell>
        </row>
        <row r="880">
          <cell r="B880">
            <v>2014</v>
          </cell>
          <cell r="K880" t="str">
            <v>WORTH</v>
          </cell>
          <cell r="L880" t="str">
            <v>Worth</v>
          </cell>
          <cell r="V880">
            <v>126500</v>
          </cell>
        </row>
        <row r="881">
          <cell r="B881">
            <v>2014</v>
          </cell>
          <cell r="K881" t="str">
            <v>WRIGHT</v>
          </cell>
          <cell r="L881" t="str">
            <v>Wright</v>
          </cell>
          <cell r="V881">
            <v>185500</v>
          </cell>
        </row>
        <row r="882">
          <cell r="B882">
            <v>2014</v>
          </cell>
          <cell r="K882" t="str">
            <v>ALLAMAKEE</v>
          </cell>
          <cell r="L882" t="str">
            <v>Allamakee</v>
          </cell>
          <cell r="V882">
            <v>94500</v>
          </cell>
        </row>
        <row r="883">
          <cell r="B883">
            <v>2014</v>
          </cell>
          <cell r="K883" t="str">
            <v>BLACK HAWK</v>
          </cell>
          <cell r="L883" t="str">
            <v>Black Hawk</v>
          </cell>
          <cell r="V883">
            <v>148500</v>
          </cell>
        </row>
        <row r="884">
          <cell r="B884">
            <v>2014</v>
          </cell>
          <cell r="K884" t="str">
            <v>BREMER</v>
          </cell>
          <cell r="L884" t="str">
            <v>Bremer</v>
          </cell>
          <cell r="V884">
            <v>124500</v>
          </cell>
        </row>
        <row r="885">
          <cell r="B885">
            <v>2014</v>
          </cell>
          <cell r="K885" t="str">
            <v>BUCHANAN</v>
          </cell>
          <cell r="L885" t="str">
            <v>Buchanan</v>
          </cell>
          <cell r="V885">
            <v>192500</v>
          </cell>
        </row>
        <row r="886">
          <cell r="B886">
            <v>2014</v>
          </cell>
          <cell r="K886" t="str">
            <v>CHICKASAW</v>
          </cell>
          <cell r="L886" t="str">
            <v>Chickasaw</v>
          </cell>
          <cell r="V886">
            <v>154000</v>
          </cell>
        </row>
        <row r="887">
          <cell r="B887">
            <v>2014</v>
          </cell>
          <cell r="K887" t="str">
            <v>CLAYTON</v>
          </cell>
          <cell r="L887" t="str">
            <v>Clayton</v>
          </cell>
          <cell r="V887">
            <v>155000</v>
          </cell>
        </row>
        <row r="888">
          <cell r="B888">
            <v>2014</v>
          </cell>
          <cell r="K888" t="str">
            <v>DELAWARE</v>
          </cell>
          <cell r="L888" t="str">
            <v>Delaware</v>
          </cell>
          <cell r="V888">
            <v>195500</v>
          </cell>
        </row>
        <row r="889">
          <cell r="B889">
            <v>2014</v>
          </cell>
          <cell r="K889" t="str">
            <v>DUBUQUE</v>
          </cell>
          <cell r="L889" t="str">
            <v>Dubuque</v>
          </cell>
          <cell r="V889">
            <v>146000</v>
          </cell>
        </row>
        <row r="890">
          <cell r="B890">
            <v>2014</v>
          </cell>
          <cell r="K890" t="str">
            <v>FAYETTE</v>
          </cell>
          <cell r="L890" t="str">
            <v>Fayette</v>
          </cell>
          <cell r="V890">
            <v>196000</v>
          </cell>
        </row>
        <row r="891">
          <cell r="B891">
            <v>2014</v>
          </cell>
          <cell r="K891" t="str">
            <v>HOWARD</v>
          </cell>
          <cell r="L891" t="str">
            <v>Howard</v>
          </cell>
          <cell r="V891">
            <v>136500</v>
          </cell>
        </row>
        <row r="892">
          <cell r="B892">
            <v>2014</v>
          </cell>
          <cell r="K892" t="str">
            <v>WINNESHIEK</v>
          </cell>
          <cell r="L892" t="str">
            <v>Winneshiek</v>
          </cell>
          <cell r="V892">
            <v>166000</v>
          </cell>
        </row>
        <row r="893">
          <cell r="B893">
            <v>2014</v>
          </cell>
          <cell r="K893" t="str">
            <v>BUENA VISTA</v>
          </cell>
          <cell r="L893" t="str">
            <v>Buena Vista</v>
          </cell>
          <cell r="V893">
            <v>172500</v>
          </cell>
        </row>
        <row r="894">
          <cell r="B894">
            <v>2014</v>
          </cell>
          <cell r="K894" t="str">
            <v>CHEROKEE</v>
          </cell>
          <cell r="L894" t="str">
            <v>Cherokee</v>
          </cell>
          <cell r="V894">
            <v>153500</v>
          </cell>
        </row>
        <row r="895">
          <cell r="B895">
            <v>2014</v>
          </cell>
          <cell r="K895" t="str">
            <v>CLAY</v>
          </cell>
          <cell r="L895" t="str">
            <v>Clay</v>
          </cell>
          <cell r="V895">
            <v>160500</v>
          </cell>
        </row>
        <row r="896">
          <cell r="B896">
            <v>2014</v>
          </cell>
          <cell r="K896" t="str">
            <v>DICKINSON</v>
          </cell>
          <cell r="L896" t="str">
            <v>Dickinson</v>
          </cell>
          <cell r="V896">
            <v>94500</v>
          </cell>
        </row>
        <row r="897">
          <cell r="B897">
            <v>2014</v>
          </cell>
          <cell r="K897" t="str">
            <v>EMMET</v>
          </cell>
          <cell r="L897" t="str">
            <v>Emmet</v>
          </cell>
          <cell r="V897">
            <v>120500</v>
          </cell>
        </row>
        <row r="898">
          <cell r="B898">
            <v>2014</v>
          </cell>
          <cell r="K898" t="str">
            <v>LYON</v>
          </cell>
          <cell r="L898" t="str">
            <v>Lyon</v>
          </cell>
          <cell r="V898">
            <v>183000</v>
          </cell>
        </row>
        <row r="899">
          <cell r="B899">
            <v>2014</v>
          </cell>
          <cell r="K899" t="str">
            <v>O BRIEN</v>
          </cell>
          <cell r="L899" t="str">
            <v>O Brien</v>
          </cell>
          <cell r="V899">
            <v>169000</v>
          </cell>
        </row>
        <row r="900">
          <cell r="B900">
            <v>2014</v>
          </cell>
          <cell r="K900" t="str">
            <v>OSCEOLA</v>
          </cell>
          <cell r="L900" t="str">
            <v>Osceola</v>
          </cell>
          <cell r="V900">
            <v>131500</v>
          </cell>
        </row>
        <row r="901">
          <cell r="B901">
            <v>2014</v>
          </cell>
          <cell r="K901" t="str">
            <v>PALO ALTO</v>
          </cell>
          <cell r="L901" t="str">
            <v>Palo Alto</v>
          </cell>
          <cell r="V901">
            <v>190500</v>
          </cell>
        </row>
        <row r="902">
          <cell r="B902">
            <v>2014</v>
          </cell>
          <cell r="K902" t="str">
            <v>PLYMOUTH</v>
          </cell>
          <cell r="L902" t="str">
            <v>Plymouth</v>
          </cell>
          <cell r="V902">
            <v>232000</v>
          </cell>
        </row>
        <row r="903">
          <cell r="B903">
            <v>2014</v>
          </cell>
          <cell r="K903" t="str">
            <v>POCAHONTAS</v>
          </cell>
          <cell r="L903" t="str">
            <v>Pocahontas</v>
          </cell>
          <cell r="V903">
            <v>184500</v>
          </cell>
        </row>
        <row r="904">
          <cell r="B904">
            <v>2014</v>
          </cell>
          <cell r="K904" t="str">
            <v>SIOUX</v>
          </cell>
          <cell r="L904" t="str">
            <v>Sioux</v>
          </cell>
          <cell r="V904">
            <v>256000</v>
          </cell>
        </row>
        <row r="905">
          <cell r="B905">
            <v>2014</v>
          </cell>
          <cell r="K905" t="str">
            <v>APPANOOSE</v>
          </cell>
          <cell r="L905" t="str">
            <v>Appanoose</v>
          </cell>
          <cell r="V905">
            <v>34100</v>
          </cell>
        </row>
        <row r="906">
          <cell r="B906">
            <v>2014</v>
          </cell>
          <cell r="K906" t="str">
            <v>CLARKE</v>
          </cell>
          <cell r="L906" t="str">
            <v>Clarke</v>
          </cell>
          <cell r="V906">
            <v>36600</v>
          </cell>
        </row>
        <row r="907">
          <cell r="B907">
            <v>2014</v>
          </cell>
          <cell r="K907" t="str">
            <v>DECATUR</v>
          </cell>
          <cell r="L907" t="str">
            <v>Decatur</v>
          </cell>
          <cell r="V907">
            <v>31700</v>
          </cell>
        </row>
        <row r="908">
          <cell r="B908">
            <v>2014</v>
          </cell>
          <cell r="K908" t="str">
            <v>LUCAS</v>
          </cell>
          <cell r="L908" t="str">
            <v>Lucas</v>
          </cell>
          <cell r="V908">
            <v>33000</v>
          </cell>
        </row>
        <row r="909">
          <cell r="B909">
            <v>2014</v>
          </cell>
          <cell r="K909" t="str">
            <v>MADISON</v>
          </cell>
          <cell r="L909" t="str">
            <v>Madison</v>
          </cell>
          <cell r="V909">
            <v>70400</v>
          </cell>
        </row>
        <row r="910">
          <cell r="B910">
            <v>2014</v>
          </cell>
          <cell r="K910" t="str">
            <v>MARION</v>
          </cell>
          <cell r="L910" t="str">
            <v>Marion</v>
          </cell>
          <cell r="V910">
            <v>82500</v>
          </cell>
        </row>
        <row r="911">
          <cell r="B911">
            <v>2014</v>
          </cell>
          <cell r="K911" t="str">
            <v>MONROE</v>
          </cell>
          <cell r="L911" t="str">
            <v>Monroe</v>
          </cell>
          <cell r="V911">
            <v>32300</v>
          </cell>
        </row>
        <row r="912">
          <cell r="B912">
            <v>2014</v>
          </cell>
          <cell r="K912" t="str">
            <v>RINGGOLD</v>
          </cell>
          <cell r="L912" t="str">
            <v>Ringgold</v>
          </cell>
          <cell r="V912">
            <v>59900</v>
          </cell>
        </row>
        <row r="913">
          <cell r="B913">
            <v>2014</v>
          </cell>
          <cell r="K913" t="str">
            <v>UNION</v>
          </cell>
          <cell r="L913" t="str">
            <v>Union</v>
          </cell>
          <cell r="V913">
            <v>53900</v>
          </cell>
        </row>
        <row r="914">
          <cell r="B914">
            <v>2014</v>
          </cell>
          <cell r="K914" t="str">
            <v>WARREN</v>
          </cell>
          <cell r="L914" t="str">
            <v>Warren</v>
          </cell>
          <cell r="V914">
            <v>69000</v>
          </cell>
        </row>
        <row r="915">
          <cell r="B915">
            <v>2014</v>
          </cell>
          <cell r="K915" t="str">
            <v>WAYNE</v>
          </cell>
          <cell r="L915" t="str">
            <v>Wayne</v>
          </cell>
          <cell r="V915">
            <v>57600</v>
          </cell>
        </row>
        <row r="916">
          <cell r="B916">
            <v>2014</v>
          </cell>
          <cell r="K916" t="str">
            <v>DAVIS</v>
          </cell>
          <cell r="L916" t="str">
            <v>Davis</v>
          </cell>
          <cell r="V916">
            <v>50100</v>
          </cell>
        </row>
        <row r="917">
          <cell r="B917">
            <v>2014</v>
          </cell>
          <cell r="K917" t="str">
            <v>DES MOINES</v>
          </cell>
          <cell r="L917" t="str">
            <v>Des Moines</v>
          </cell>
          <cell r="V917">
            <v>70100</v>
          </cell>
        </row>
        <row r="918">
          <cell r="B918">
            <v>2014</v>
          </cell>
          <cell r="K918" t="str">
            <v>HENRY</v>
          </cell>
          <cell r="L918" t="str">
            <v>Henry</v>
          </cell>
          <cell r="V918">
            <v>81400</v>
          </cell>
        </row>
        <row r="919">
          <cell r="B919">
            <v>2014</v>
          </cell>
          <cell r="K919" t="str">
            <v>JEFFERSON</v>
          </cell>
          <cell r="L919" t="str">
            <v>Jefferson</v>
          </cell>
          <cell r="V919">
            <v>74100</v>
          </cell>
        </row>
        <row r="920">
          <cell r="B920">
            <v>2014</v>
          </cell>
          <cell r="K920" t="str">
            <v>KEOKUK</v>
          </cell>
          <cell r="L920" t="str">
            <v>Keokuk</v>
          </cell>
          <cell r="V920">
            <v>118000</v>
          </cell>
        </row>
        <row r="921">
          <cell r="B921">
            <v>2014</v>
          </cell>
          <cell r="K921" t="str">
            <v>LEE</v>
          </cell>
          <cell r="L921" t="str">
            <v>Lee</v>
          </cell>
          <cell r="V921">
            <v>76900</v>
          </cell>
        </row>
        <row r="922">
          <cell r="B922">
            <v>2014</v>
          </cell>
          <cell r="K922" t="str">
            <v>LOUISA</v>
          </cell>
          <cell r="L922" t="str">
            <v>Louisa</v>
          </cell>
          <cell r="V922">
            <v>81900</v>
          </cell>
        </row>
        <row r="923">
          <cell r="B923">
            <v>2014</v>
          </cell>
          <cell r="K923" t="str">
            <v>MAHASKA</v>
          </cell>
          <cell r="L923" t="str">
            <v>Mahaska</v>
          </cell>
          <cell r="V923">
            <v>137000</v>
          </cell>
        </row>
        <row r="924">
          <cell r="B924">
            <v>2014</v>
          </cell>
          <cell r="K924" t="str">
            <v>VAN BUREN</v>
          </cell>
          <cell r="L924" t="str">
            <v>Van Buren</v>
          </cell>
          <cell r="V924">
            <v>53000</v>
          </cell>
        </row>
        <row r="925">
          <cell r="B925">
            <v>2014</v>
          </cell>
          <cell r="K925" t="str">
            <v>WAPELLO</v>
          </cell>
          <cell r="L925" t="str">
            <v>Wapello</v>
          </cell>
          <cell r="V925">
            <v>60500</v>
          </cell>
        </row>
        <row r="926">
          <cell r="B926">
            <v>2014</v>
          </cell>
          <cell r="K926" t="str">
            <v>WASHINGTON</v>
          </cell>
          <cell r="L926" t="str">
            <v>Washington</v>
          </cell>
          <cell r="V926">
            <v>120000</v>
          </cell>
        </row>
        <row r="927">
          <cell r="B927">
            <v>2014</v>
          </cell>
          <cell r="K927" t="str">
            <v>ADAIR</v>
          </cell>
          <cell r="L927" t="str">
            <v>Adair</v>
          </cell>
          <cell r="V927">
            <v>109500</v>
          </cell>
        </row>
        <row r="928">
          <cell r="B928">
            <v>2014</v>
          </cell>
          <cell r="K928" t="str">
            <v>ADAMS</v>
          </cell>
          <cell r="L928" t="str">
            <v>Adams</v>
          </cell>
          <cell r="V928">
            <v>75500</v>
          </cell>
        </row>
        <row r="929">
          <cell r="B929">
            <v>2014</v>
          </cell>
          <cell r="K929" t="str">
            <v>CASS</v>
          </cell>
          <cell r="L929" t="str">
            <v>Cass</v>
          </cell>
          <cell r="V929">
            <v>133500</v>
          </cell>
        </row>
        <row r="930">
          <cell r="B930">
            <v>2014</v>
          </cell>
          <cell r="K930" t="str">
            <v>FREMONT</v>
          </cell>
          <cell r="L930" t="str">
            <v>Fremont</v>
          </cell>
          <cell r="V930">
            <v>119500</v>
          </cell>
        </row>
        <row r="931">
          <cell r="B931">
            <v>2014</v>
          </cell>
          <cell r="K931" t="str">
            <v>MILLS</v>
          </cell>
          <cell r="L931" t="str">
            <v>Mills</v>
          </cell>
          <cell r="V931">
            <v>98500</v>
          </cell>
        </row>
        <row r="932">
          <cell r="B932">
            <v>2014</v>
          </cell>
          <cell r="K932" t="str">
            <v>MONTGOMERY</v>
          </cell>
          <cell r="L932" t="str">
            <v>Montgomery</v>
          </cell>
          <cell r="V932">
            <v>93700</v>
          </cell>
        </row>
        <row r="933">
          <cell r="B933">
            <v>2014</v>
          </cell>
          <cell r="K933" t="str">
            <v>PAGE</v>
          </cell>
          <cell r="L933" t="str">
            <v>Page</v>
          </cell>
          <cell r="V933">
            <v>113000</v>
          </cell>
        </row>
        <row r="934">
          <cell r="B934">
            <v>2014</v>
          </cell>
          <cell r="K934" t="str">
            <v>POTTAWATTAMIE</v>
          </cell>
          <cell r="L934" t="str">
            <v>Pottawattamie</v>
          </cell>
          <cell r="V934">
            <v>241000</v>
          </cell>
        </row>
        <row r="935">
          <cell r="B935">
            <v>2014</v>
          </cell>
          <cell r="K935" t="str">
            <v>TAYLOR</v>
          </cell>
          <cell r="L935" t="str">
            <v>Taylor</v>
          </cell>
          <cell r="V935">
            <v>89800</v>
          </cell>
        </row>
        <row r="936">
          <cell r="B936">
            <v>2014</v>
          </cell>
          <cell r="K936" t="str">
            <v>AUDUBON</v>
          </cell>
          <cell r="L936" t="str">
            <v>Audubon</v>
          </cell>
          <cell r="V936">
            <v>115000</v>
          </cell>
        </row>
        <row r="937">
          <cell r="B937">
            <v>2014</v>
          </cell>
          <cell r="K937" t="str">
            <v>CALHOUN</v>
          </cell>
          <cell r="L937" t="str">
            <v>Calhoun</v>
          </cell>
          <cell r="V937">
            <v>182500</v>
          </cell>
        </row>
        <row r="938">
          <cell r="B938">
            <v>2014</v>
          </cell>
          <cell r="K938" t="str">
            <v>CARROLL</v>
          </cell>
          <cell r="L938" t="str">
            <v>Carroll</v>
          </cell>
          <cell r="V938">
            <v>192500</v>
          </cell>
        </row>
        <row r="939">
          <cell r="B939">
            <v>2014</v>
          </cell>
          <cell r="K939" t="str">
            <v>CRAWFORD</v>
          </cell>
          <cell r="L939" t="str">
            <v>Crawford</v>
          </cell>
          <cell r="V939">
            <v>214000</v>
          </cell>
        </row>
        <row r="940">
          <cell r="B940">
            <v>2014</v>
          </cell>
          <cell r="K940" t="str">
            <v>GREENE</v>
          </cell>
          <cell r="L940" t="str">
            <v>Greene</v>
          </cell>
          <cell r="V940">
            <v>175000</v>
          </cell>
        </row>
        <row r="941">
          <cell r="B941">
            <v>2014</v>
          </cell>
          <cell r="K941" t="str">
            <v>GUTHRIE</v>
          </cell>
          <cell r="L941" t="str">
            <v>Guthrie</v>
          </cell>
          <cell r="V941">
            <v>115500</v>
          </cell>
        </row>
        <row r="942">
          <cell r="B942">
            <v>2014</v>
          </cell>
          <cell r="K942" t="str">
            <v>HARRISON</v>
          </cell>
          <cell r="L942" t="str">
            <v>Harrison</v>
          </cell>
          <cell r="V942">
            <v>186000</v>
          </cell>
        </row>
        <row r="943">
          <cell r="B943">
            <v>2014</v>
          </cell>
          <cell r="K943" t="str">
            <v>IDA</v>
          </cell>
          <cell r="L943" t="str">
            <v>Ida</v>
          </cell>
          <cell r="V943">
            <v>126500</v>
          </cell>
        </row>
        <row r="944">
          <cell r="B944">
            <v>2014</v>
          </cell>
          <cell r="K944" t="str">
            <v>MONONA</v>
          </cell>
          <cell r="L944" t="str">
            <v>Monona</v>
          </cell>
          <cell r="V944">
            <v>179000</v>
          </cell>
        </row>
        <row r="945">
          <cell r="B945">
            <v>2014</v>
          </cell>
          <cell r="K945" t="str">
            <v>SAC</v>
          </cell>
          <cell r="L945" t="str">
            <v>Sac</v>
          </cell>
          <cell r="V945">
            <v>167500</v>
          </cell>
        </row>
        <row r="946">
          <cell r="B946">
            <v>2014</v>
          </cell>
          <cell r="K946" t="str">
            <v>SHELBY</v>
          </cell>
          <cell r="L946" t="str">
            <v>Shelby</v>
          </cell>
          <cell r="V946">
            <v>182000</v>
          </cell>
        </row>
        <row r="947">
          <cell r="B947">
            <v>2014</v>
          </cell>
          <cell r="K947" t="str">
            <v>WOODBURY</v>
          </cell>
          <cell r="L947" t="str">
            <v>Woodbury</v>
          </cell>
          <cell r="V947">
            <v>222500</v>
          </cell>
        </row>
        <row r="948">
          <cell r="B948">
            <v>2013</v>
          </cell>
          <cell r="K948" t="str">
            <v>BOONE</v>
          </cell>
          <cell r="L948" t="str">
            <v>Boone</v>
          </cell>
          <cell r="V948">
            <v>162000</v>
          </cell>
        </row>
        <row r="949">
          <cell r="B949">
            <v>2013</v>
          </cell>
          <cell r="K949" t="str">
            <v>DALLAS</v>
          </cell>
          <cell r="L949" t="str">
            <v>Dallas</v>
          </cell>
          <cell r="V949">
            <v>144000</v>
          </cell>
        </row>
        <row r="950">
          <cell r="B950">
            <v>2013</v>
          </cell>
          <cell r="K950" t="str">
            <v>GRUNDY</v>
          </cell>
          <cell r="L950" t="str">
            <v>Grundy</v>
          </cell>
          <cell r="V950">
            <v>163500</v>
          </cell>
        </row>
        <row r="951">
          <cell r="B951">
            <v>2013</v>
          </cell>
          <cell r="K951" t="str">
            <v>HAMILTON</v>
          </cell>
          <cell r="L951" t="str">
            <v>Hamilton</v>
          </cell>
          <cell r="V951">
            <v>197000</v>
          </cell>
        </row>
        <row r="952">
          <cell r="B952">
            <v>2013</v>
          </cell>
          <cell r="K952" t="str">
            <v>HARDIN</v>
          </cell>
          <cell r="L952" t="str">
            <v>Hardin</v>
          </cell>
          <cell r="V952">
            <v>192000</v>
          </cell>
        </row>
        <row r="953">
          <cell r="B953">
            <v>2013</v>
          </cell>
          <cell r="K953" t="str">
            <v>JASPER</v>
          </cell>
          <cell r="L953" t="str">
            <v>Jasper</v>
          </cell>
          <cell r="V953">
            <v>173500</v>
          </cell>
        </row>
        <row r="954">
          <cell r="B954">
            <v>2013</v>
          </cell>
          <cell r="K954" t="str">
            <v>MARSHALL</v>
          </cell>
          <cell r="L954" t="str">
            <v>Marshall</v>
          </cell>
          <cell r="V954">
            <v>160000</v>
          </cell>
        </row>
        <row r="955">
          <cell r="B955">
            <v>2013</v>
          </cell>
          <cell r="K955" t="str">
            <v>POLK</v>
          </cell>
          <cell r="L955" t="str">
            <v>Polk</v>
          </cell>
          <cell r="V955">
            <v>83500</v>
          </cell>
        </row>
        <row r="956">
          <cell r="B956">
            <v>2013</v>
          </cell>
          <cell r="K956" t="str">
            <v>POWESHIEK</v>
          </cell>
          <cell r="L956" t="str">
            <v>Poweshiek</v>
          </cell>
          <cell r="V956">
            <v>148500</v>
          </cell>
        </row>
        <row r="957">
          <cell r="B957">
            <v>2013</v>
          </cell>
          <cell r="K957" t="str">
            <v>STORY</v>
          </cell>
          <cell r="L957" t="str">
            <v>Story</v>
          </cell>
          <cell r="V957">
            <v>161000</v>
          </cell>
        </row>
        <row r="958">
          <cell r="B958">
            <v>2013</v>
          </cell>
          <cell r="K958" t="str">
            <v>TAMA</v>
          </cell>
          <cell r="L958" t="str">
            <v>Tama</v>
          </cell>
          <cell r="V958">
            <v>173000</v>
          </cell>
        </row>
        <row r="959">
          <cell r="B959">
            <v>2013</v>
          </cell>
          <cell r="K959" t="str">
            <v>WEBSTER</v>
          </cell>
          <cell r="L959" t="str">
            <v>Webster</v>
          </cell>
          <cell r="V959">
            <v>210000</v>
          </cell>
        </row>
        <row r="960">
          <cell r="B960">
            <v>2013</v>
          </cell>
          <cell r="K960" t="str">
            <v>BENTON</v>
          </cell>
          <cell r="L960" t="str">
            <v>Benton</v>
          </cell>
          <cell r="V960">
            <v>196000</v>
          </cell>
        </row>
        <row r="961">
          <cell r="B961">
            <v>2013</v>
          </cell>
          <cell r="K961" t="str">
            <v>CEDAR</v>
          </cell>
          <cell r="L961" t="str">
            <v>Cedar</v>
          </cell>
          <cell r="V961">
            <v>164000</v>
          </cell>
        </row>
        <row r="962">
          <cell r="B962">
            <v>2013</v>
          </cell>
          <cell r="K962" t="str">
            <v>CLINTON</v>
          </cell>
          <cell r="L962" t="str">
            <v>Clinton</v>
          </cell>
          <cell r="V962">
            <v>201500</v>
          </cell>
        </row>
        <row r="963">
          <cell r="B963">
            <v>2013</v>
          </cell>
          <cell r="K963" t="str">
            <v>IOWA</v>
          </cell>
          <cell r="L963" t="str">
            <v>Iowa</v>
          </cell>
          <cell r="V963">
            <v>122500</v>
          </cell>
        </row>
        <row r="964">
          <cell r="B964">
            <v>2013</v>
          </cell>
          <cell r="K964" t="str">
            <v>JACKSON</v>
          </cell>
          <cell r="L964" t="str">
            <v>Jackson</v>
          </cell>
          <cell r="V964">
            <v>114500</v>
          </cell>
        </row>
        <row r="965">
          <cell r="B965">
            <v>2013</v>
          </cell>
          <cell r="K965" t="str">
            <v>JOHNSON</v>
          </cell>
          <cell r="L965" t="str">
            <v>Johnson</v>
          </cell>
          <cell r="V965">
            <v>112500</v>
          </cell>
        </row>
        <row r="966">
          <cell r="B966">
            <v>2013</v>
          </cell>
          <cell r="K966" t="str">
            <v>JONES</v>
          </cell>
          <cell r="L966" t="str">
            <v>Jones</v>
          </cell>
          <cell r="V966">
            <v>157000</v>
          </cell>
        </row>
        <row r="967">
          <cell r="B967">
            <v>2013</v>
          </cell>
          <cell r="K967" t="str">
            <v>LINN</v>
          </cell>
          <cell r="L967" t="str">
            <v>Linn</v>
          </cell>
          <cell r="V967">
            <v>162000</v>
          </cell>
        </row>
        <row r="968">
          <cell r="B968">
            <v>2013</v>
          </cell>
          <cell r="K968" t="str">
            <v>MUSCATINE</v>
          </cell>
          <cell r="L968" t="str">
            <v>Muscatine</v>
          </cell>
          <cell r="V968">
            <v>91000</v>
          </cell>
        </row>
        <row r="969">
          <cell r="B969">
            <v>2013</v>
          </cell>
          <cell r="K969" t="str">
            <v>SCOTT</v>
          </cell>
          <cell r="L969" t="str">
            <v>Scott</v>
          </cell>
          <cell r="V969">
            <v>112000</v>
          </cell>
        </row>
        <row r="970">
          <cell r="B970">
            <v>2013</v>
          </cell>
          <cell r="K970" t="str">
            <v>BUTLER</v>
          </cell>
          <cell r="L970" t="str">
            <v>Butler</v>
          </cell>
          <cell r="V970">
            <v>172500</v>
          </cell>
        </row>
        <row r="971">
          <cell r="B971">
            <v>2013</v>
          </cell>
          <cell r="K971" t="str">
            <v>CERRO GORDO</v>
          </cell>
          <cell r="L971" t="str">
            <v>Cerro Gordo</v>
          </cell>
          <cell r="V971">
            <v>141500</v>
          </cell>
        </row>
        <row r="972">
          <cell r="B972">
            <v>2013</v>
          </cell>
          <cell r="K972" t="str">
            <v>FLOYD</v>
          </cell>
          <cell r="L972" t="str">
            <v>Floyd</v>
          </cell>
          <cell r="V972">
            <v>128500</v>
          </cell>
        </row>
        <row r="973">
          <cell r="B973">
            <v>2013</v>
          </cell>
          <cell r="K973" t="str">
            <v>FRANKLIN</v>
          </cell>
          <cell r="L973" t="str">
            <v>Franklin</v>
          </cell>
          <cell r="V973">
            <v>195500</v>
          </cell>
        </row>
        <row r="974">
          <cell r="B974">
            <v>2013</v>
          </cell>
          <cell r="K974" t="str">
            <v>HANCOCK</v>
          </cell>
          <cell r="L974" t="str">
            <v>Hancock</v>
          </cell>
          <cell r="V974">
            <v>182500</v>
          </cell>
        </row>
        <row r="975">
          <cell r="B975">
            <v>2013</v>
          </cell>
          <cell r="K975" t="str">
            <v>HUMBOLDT</v>
          </cell>
          <cell r="L975" t="str">
            <v>Humboldt</v>
          </cell>
          <cell r="V975">
            <v>127000</v>
          </cell>
        </row>
        <row r="976">
          <cell r="B976">
            <v>2013</v>
          </cell>
          <cell r="K976" t="str">
            <v>KOSSUTH</v>
          </cell>
          <cell r="L976" t="str">
            <v>Kossuth</v>
          </cell>
          <cell r="V976">
            <v>309500</v>
          </cell>
        </row>
        <row r="977">
          <cell r="B977">
            <v>2013</v>
          </cell>
          <cell r="K977" t="str">
            <v>MITCHELL</v>
          </cell>
          <cell r="L977" t="str">
            <v>Mitchell</v>
          </cell>
          <cell r="V977">
            <v>109000</v>
          </cell>
        </row>
        <row r="978">
          <cell r="B978">
            <v>2013</v>
          </cell>
          <cell r="K978" t="str">
            <v>WINNEBAGO</v>
          </cell>
          <cell r="L978" t="str">
            <v>Winnebago</v>
          </cell>
          <cell r="V978">
            <v>114000</v>
          </cell>
        </row>
        <row r="979">
          <cell r="B979">
            <v>2013</v>
          </cell>
          <cell r="K979" t="str">
            <v>WORTH</v>
          </cell>
          <cell r="L979" t="str">
            <v>Worth</v>
          </cell>
          <cell r="V979">
            <v>89500</v>
          </cell>
        </row>
        <row r="980">
          <cell r="B980">
            <v>2013</v>
          </cell>
          <cell r="K980" t="str">
            <v>WRIGHT</v>
          </cell>
          <cell r="L980" t="str">
            <v>Wright</v>
          </cell>
          <cell r="V980">
            <v>176500</v>
          </cell>
        </row>
        <row r="981">
          <cell r="B981">
            <v>2013</v>
          </cell>
          <cell r="K981" t="str">
            <v>ALLAMAKEE</v>
          </cell>
          <cell r="L981" t="str">
            <v>Allamakee</v>
          </cell>
          <cell r="V981">
            <v>88500</v>
          </cell>
        </row>
        <row r="982">
          <cell r="B982">
            <v>2013</v>
          </cell>
          <cell r="K982" t="str">
            <v>BLACK HAWK</v>
          </cell>
          <cell r="L982" t="str">
            <v>Black Hawk</v>
          </cell>
          <cell r="V982">
            <v>147500</v>
          </cell>
        </row>
        <row r="983">
          <cell r="B983">
            <v>2013</v>
          </cell>
          <cell r="K983" t="str">
            <v>BREMER</v>
          </cell>
          <cell r="L983" t="str">
            <v>Bremer</v>
          </cell>
          <cell r="V983">
            <v>126500</v>
          </cell>
        </row>
        <row r="984">
          <cell r="B984">
            <v>2013</v>
          </cell>
          <cell r="K984" t="str">
            <v>BUCHANAN</v>
          </cell>
          <cell r="L984" t="str">
            <v>Buchanan</v>
          </cell>
          <cell r="V984">
            <v>198000</v>
          </cell>
        </row>
        <row r="985">
          <cell r="B985">
            <v>2013</v>
          </cell>
          <cell r="K985" t="str">
            <v>CHICKASAW</v>
          </cell>
          <cell r="L985" t="str">
            <v>Chickasaw</v>
          </cell>
          <cell r="V985">
            <v>141000</v>
          </cell>
        </row>
        <row r="986">
          <cell r="B986">
            <v>2013</v>
          </cell>
          <cell r="K986" t="str">
            <v>CLAYTON</v>
          </cell>
          <cell r="L986" t="str">
            <v>Clayton</v>
          </cell>
          <cell r="V986">
            <v>156500</v>
          </cell>
        </row>
        <row r="987">
          <cell r="B987">
            <v>2013</v>
          </cell>
          <cell r="K987" t="str">
            <v>DELAWARE</v>
          </cell>
          <cell r="L987" t="str">
            <v>Delaware</v>
          </cell>
          <cell r="V987">
            <v>205000</v>
          </cell>
        </row>
        <row r="988">
          <cell r="B988">
            <v>2013</v>
          </cell>
          <cell r="K988" t="str">
            <v>DUBUQUE</v>
          </cell>
          <cell r="L988" t="str">
            <v>Dubuque</v>
          </cell>
          <cell r="V988">
            <v>149500</v>
          </cell>
        </row>
        <row r="989">
          <cell r="B989">
            <v>2013</v>
          </cell>
          <cell r="K989" t="str">
            <v>FAYETTE</v>
          </cell>
          <cell r="L989" t="str">
            <v>Fayette</v>
          </cell>
          <cell r="V989">
            <v>188000</v>
          </cell>
        </row>
        <row r="990">
          <cell r="B990">
            <v>2013</v>
          </cell>
          <cell r="K990" t="str">
            <v>HOWARD</v>
          </cell>
          <cell r="L990" t="str">
            <v>Howard</v>
          </cell>
          <cell r="V990">
            <v>86000</v>
          </cell>
        </row>
        <row r="991">
          <cell r="B991">
            <v>2013</v>
          </cell>
          <cell r="K991" t="str">
            <v>WINNESHIEK</v>
          </cell>
          <cell r="L991" t="str">
            <v>Winneshiek</v>
          </cell>
          <cell r="V991">
            <v>147500</v>
          </cell>
        </row>
        <row r="992">
          <cell r="B992">
            <v>2013</v>
          </cell>
          <cell r="K992" t="str">
            <v>BUENA VISTA</v>
          </cell>
          <cell r="L992" t="str">
            <v>Buena Vista</v>
          </cell>
          <cell r="V992">
            <v>177000</v>
          </cell>
        </row>
        <row r="993">
          <cell r="B993">
            <v>2013</v>
          </cell>
          <cell r="K993" t="str">
            <v>CHEROKEE</v>
          </cell>
          <cell r="L993" t="str">
            <v>Cherokee</v>
          </cell>
          <cell r="V993">
            <v>157000</v>
          </cell>
        </row>
        <row r="994">
          <cell r="B994">
            <v>2013</v>
          </cell>
          <cell r="K994" t="str">
            <v>CLAY</v>
          </cell>
          <cell r="L994" t="str">
            <v>Clay</v>
          </cell>
          <cell r="V994">
            <v>165500</v>
          </cell>
        </row>
        <row r="995">
          <cell r="B995">
            <v>2013</v>
          </cell>
          <cell r="K995" t="str">
            <v>DICKINSON</v>
          </cell>
          <cell r="L995" t="str">
            <v>Dickinson</v>
          </cell>
          <cell r="V995">
            <v>99000</v>
          </cell>
        </row>
        <row r="996">
          <cell r="B996">
            <v>2013</v>
          </cell>
          <cell r="K996" t="str">
            <v>EMMET</v>
          </cell>
          <cell r="L996" t="str">
            <v>Emmet</v>
          </cell>
          <cell r="V996">
            <v>121000</v>
          </cell>
        </row>
        <row r="997">
          <cell r="B997">
            <v>2013</v>
          </cell>
          <cell r="K997" t="str">
            <v>LYON</v>
          </cell>
          <cell r="L997" t="str">
            <v>Lyon</v>
          </cell>
          <cell r="V997">
            <v>192500</v>
          </cell>
        </row>
        <row r="998">
          <cell r="B998">
            <v>2013</v>
          </cell>
          <cell r="K998" t="str">
            <v>O BRIEN</v>
          </cell>
          <cell r="L998" t="str">
            <v>O Brien</v>
          </cell>
          <cell r="V998">
            <v>176500</v>
          </cell>
        </row>
        <row r="999">
          <cell r="B999">
            <v>2013</v>
          </cell>
          <cell r="K999" t="str">
            <v>OSCEOLA</v>
          </cell>
          <cell r="L999" t="str">
            <v>Osceola</v>
          </cell>
          <cell r="V999">
            <v>133500</v>
          </cell>
        </row>
        <row r="1000">
          <cell r="B1000">
            <v>2013</v>
          </cell>
          <cell r="K1000" t="str">
            <v>PALO ALTO</v>
          </cell>
          <cell r="L1000" t="str">
            <v>Palo Alto</v>
          </cell>
          <cell r="V1000">
            <v>175500</v>
          </cell>
        </row>
        <row r="1001">
          <cell r="B1001">
            <v>2013</v>
          </cell>
          <cell r="K1001" t="str">
            <v>PLYMOUTH</v>
          </cell>
          <cell r="L1001" t="str">
            <v>Plymouth</v>
          </cell>
          <cell r="V1001">
            <v>244500</v>
          </cell>
        </row>
        <row r="1002">
          <cell r="B1002">
            <v>2013</v>
          </cell>
          <cell r="K1002" t="str">
            <v>POCAHONTAS</v>
          </cell>
          <cell r="L1002" t="str">
            <v>Pocahontas</v>
          </cell>
          <cell r="V1002">
            <v>180000</v>
          </cell>
        </row>
        <row r="1003">
          <cell r="B1003">
            <v>2013</v>
          </cell>
          <cell r="K1003" t="str">
            <v>SIOUX</v>
          </cell>
          <cell r="L1003" t="str">
            <v>Sioux</v>
          </cell>
          <cell r="V1003">
            <v>265000</v>
          </cell>
        </row>
        <row r="1004">
          <cell r="B1004">
            <v>2013</v>
          </cell>
          <cell r="K1004" t="str">
            <v>APPANOOSE</v>
          </cell>
          <cell r="L1004" t="str">
            <v>Appanoose</v>
          </cell>
          <cell r="V1004">
            <v>33800</v>
          </cell>
        </row>
        <row r="1005">
          <cell r="B1005">
            <v>2013</v>
          </cell>
          <cell r="K1005" t="str">
            <v>CLARKE</v>
          </cell>
          <cell r="L1005" t="str">
            <v>Clarke</v>
          </cell>
          <cell r="V1005">
            <v>36900</v>
          </cell>
        </row>
        <row r="1006">
          <cell r="B1006">
            <v>2013</v>
          </cell>
          <cell r="K1006" t="str">
            <v>DECATUR</v>
          </cell>
          <cell r="L1006" t="str">
            <v>Decatur</v>
          </cell>
          <cell r="V1006">
            <v>39000</v>
          </cell>
        </row>
        <row r="1007">
          <cell r="B1007">
            <v>2013</v>
          </cell>
          <cell r="K1007" t="str">
            <v>LUCAS</v>
          </cell>
          <cell r="L1007" t="str">
            <v>Lucas</v>
          </cell>
          <cell r="V1007">
            <v>31000</v>
          </cell>
        </row>
        <row r="1008">
          <cell r="B1008">
            <v>2013</v>
          </cell>
          <cell r="K1008" t="str">
            <v>MADISON</v>
          </cell>
          <cell r="L1008" t="str">
            <v>Madison</v>
          </cell>
          <cell r="V1008">
            <v>71300</v>
          </cell>
        </row>
        <row r="1009">
          <cell r="B1009">
            <v>2013</v>
          </cell>
          <cell r="K1009" t="str">
            <v>MARION</v>
          </cell>
          <cell r="L1009" t="str">
            <v>Marion</v>
          </cell>
          <cell r="V1009">
            <v>77700</v>
          </cell>
        </row>
        <row r="1010">
          <cell r="B1010">
            <v>2013</v>
          </cell>
          <cell r="K1010" t="str">
            <v>MONROE</v>
          </cell>
          <cell r="L1010" t="str">
            <v>Monroe</v>
          </cell>
          <cell r="V1010">
            <v>30900</v>
          </cell>
        </row>
        <row r="1011">
          <cell r="B1011">
            <v>2013</v>
          </cell>
          <cell r="K1011" t="str">
            <v>RINGGOLD</v>
          </cell>
          <cell r="L1011" t="str">
            <v>Ringgold</v>
          </cell>
          <cell r="V1011">
            <v>61700</v>
          </cell>
        </row>
        <row r="1012">
          <cell r="B1012">
            <v>2013</v>
          </cell>
          <cell r="K1012" t="str">
            <v>UNION</v>
          </cell>
          <cell r="L1012" t="str">
            <v>Union</v>
          </cell>
          <cell r="V1012">
            <v>58300</v>
          </cell>
        </row>
        <row r="1013">
          <cell r="B1013">
            <v>2013</v>
          </cell>
          <cell r="K1013" t="str">
            <v>WARREN</v>
          </cell>
          <cell r="L1013" t="str">
            <v>Warren</v>
          </cell>
          <cell r="V1013">
            <v>66700</v>
          </cell>
        </row>
        <row r="1014">
          <cell r="B1014">
            <v>2013</v>
          </cell>
          <cell r="K1014" t="str">
            <v>WAYNE</v>
          </cell>
          <cell r="L1014" t="str">
            <v>Wayne</v>
          </cell>
          <cell r="V1014">
            <v>59700</v>
          </cell>
        </row>
        <row r="1015">
          <cell r="B1015">
            <v>2013</v>
          </cell>
          <cell r="K1015" t="str">
            <v>DAVIS</v>
          </cell>
          <cell r="L1015" t="str">
            <v>Davis</v>
          </cell>
          <cell r="V1015">
            <v>46000</v>
          </cell>
        </row>
        <row r="1016">
          <cell r="B1016">
            <v>2013</v>
          </cell>
          <cell r="K1016" t="str">
            <v>DES MOINES</v>
          </cell>
          <cell r="L1016" t="str">
            <v>Des Moines</v>
          </cell>
          <cell r="V1016">
            <v>71000</v>
          </cell>
        </row>
        <row r="1017">
          <cell r="B1017">
            <v>2013</v>
          </cell>
          <cell r="K1017" t="str">
            <v>HENRY</v>
          </cell>
          <cell r="L1017" t="str">
            <v>Henry</v>
          </cell>
          <cell r="V1017">
            <v>78500</v>
          </cell>
        </row>
        <row r="1018">
          <cell r="B1018">
            <v>2013</v>
          </cell>
          <cell r="K1018" t="str">
            <v>JEFFERSON</v>
          </cell>
          <cell r="L1018" t="str">
            <v>Jefferson</v>
          </cell>
          <cell r="V1018">
            <v>75000</v>
          </cell>
        </row>
        <row r="1019">
          <cell r="B1019">
            <v>2013</v>
          </cell>
          <cell r="K1019" t="str">
            <v>KEOKUK</v>
          </cell>
          <cell r="L1019" t="str">
            <v>Keokuk</v>
          </cell>
          <cell r="V1019">
            <v>117000</v>
          </cell>
        </row>
        <row r="1020">
          <cell r="B1020">
            <v>2013</v>
          </cell>
          <cell r="K1020" t="str">
            <v>LEE</v>
          </cell>
          <cell r="L1020" t="str">
            <v>Lee</v>
          </cell>
          <cell r="V1020">
            <v>75000</v>
          </cell>
        </row>
        <row r="1021">
          <cell r="B1021">
            <v>2013</v>
          </cell>
          <cell r="K1021" t="str">
            <v>LOUISA</v>
          </cell>
          <cell r="L1021" t="str">
            <v>Louisa</v>
          </cell>
          <cell r="V1021">
            <v>89000</v>
          </cell>
        </row>
        <row r="1022">
          <cell r="B1022">
            <v>2013</v>
          </cell>
          <cell r="K1022" t="str">
            <v>MAHASKA</v>
          </cell>
          <cell r="L1022" t="str">
            <v>Mahaska</v>
          </cell>
          <cell r="V1022">
            <v>131500</v>
          </cell>
        </row>
        <row r="1023">
          <cell r="B1023">
            <v>2013</v>
          </cell>
          <cell r="K1023" t="str">
            <v>VAN BUREN</v>
          </cell>
          <cell r="L1023" t="str">
            <v>Van Buren</v>
          </cell>
          <cell r="V1023">
            <v>48500</v>
          </cell>
        </row>
        <row r="1024">
          <cell r="B1024">
            <v>2013</v>
          </cell>
          <cell r="K1024" t="str">
            <v>WAPELLO</v>
          </cell>
          <cell r="L1024" t="str">
            <v>Wapello</v>
          </cell>
          <cell r="V1024">
            <v>55500</v>
          </cell>
        </row>
        <row r="1025">
          <cell r="B1025">
            <v>2013</v>
          </cell>
          <cell r="K1025" t="str">
            <v>WASHINGTON</v>
          </cell>
          <cell r="L1025" t="str">
            <v>Washington</v>
          </cell>
          <cell r="V1025">
            <v>123000</v>
          </cell>
        </row>
        <row r="1026">
          <cell r="B1026">
            <v>2013</v>
          </cell>
          <cell r="K1026" t="str">
            <v>ADAIR</v>
          </cell>
          <cell r="L1026" t="str">
            <v>Adair</v>
          </cell>
          <cell r="V1026">
            <v>113000</v>
          </cell>
        </row>
        <row r="1027">
          <cell r="B1027">
            <v>2013</v>
          </cell>
          <cell r="K1027" t="str">
            <v>ADAMS</v>
          </cell>
          <cell r="L1027" t="str">
            <v>Adams</v>
          </cell>
          <cell r="V1027">
            <v>74500</v>
          </cell>
        </row>
        <row r="1028">
          <cell r="B1028">
            <v>2013</v>
          </cell>
          <cell r="K1028" t="str">
            <v>CASS</v>
          </cell>
          <cell r="L1028" t="str">
            <v>Cass</v>
          </cell>
          <cell r="V1028">
            <v>139000</v>
          </cell>
        </row>
        <row r="1029">
          <cell r="B1029">
            <v>2013</v>
          </cell>
          <cell r="K1029" t="str">
            <v>FREMONT</v>
          </cell>
          <cell r="L1029" t="str">
            <v>Fremont</v>
          </cell>
          <cell r="V1029">
            <v>119500</v>
          </cell>
        </row>
        <row r="1030">
          <cell r="B1030">
            <v>2013</v>
          </cell>
          <cell r="K1030" t="str">
            <v>MILLS</v>
          </cell>
          <cell r="L1030" t="str">
            <v>Mills</v>
          </cell>
          <cell r="V1030">
            <v>101000</v>
          </cell>
        </row>
        <row r="1031">
          <cell r="B1031">
            <v>2013</v>
          </cell>
          <cell r="K1031" t="str">
            <v>MONTGOMERY</v>
          </cell>
          <cell r="L1031" t="str">
            <v>Montgomery</v>
          </cell>
          <cell r="V1031">
            <v>96500</v>
          </cell>
        </row>
        <row r="1032">
          <cell r="B1032">
            <v>2013</v>
          </cell>
          <cell r="K1032" t="str">
            <v>PAGE</v>
          </cell>
          <cell r="L1032" t="str">
            <v>Page</v>
          </cell>
          <cell r="V1032">
            <v>116000</v>
          </cell>
        </row>
        <row r="1033">
          <cell r="B1033">
            <v>2013</v>
          </cell>
          <cell r="K1033" t="str">
            <v>POTTAWATTAMIE</v>
          </cell>
          <cell r="L1033" t="str">
            <v>Pottawattamie</v>
          </cell>
          <cell r="V1033">
            <v>253500</v>
          </cell>
        </row>
        <row r="1034">
          <cell r="B1034">
            <v>2013</v>
          </cell>
          <cell r="K1034" t="str">
            <v>TAYLOR</v>
          </cell>
          <cell r="L1034" t="str">
            <v>Taylor</v>
          </cell>
          <cell r="V1034">
            <v>91000</v>
          </cell>
        </row>
        <row r="1035">
          <cell r="B1035">
            <v>2013</v>
          </cell>
          <cell r="K1035" t="str">
            <v>AUDUBON</v>
          </cell>
          <cell r="L1035" t="str">
            <v>Audubon</v>
          </cell>
          <cell r="V1035">
            <v>119000</v>
          </cell>
        </row>
        <row r="1036">
          <cell r="B1036">
            <v>2013</v>
          </cell>
          <cell r="K1036" t="str">
            <v>CALHOUN</v>
          </cell>
          <cell r="L1036" t="str">
            <v>Calhoun</v>
          </cell>
          <cell r="V1036">
            <v>176500</v>
          </cell>
        </row>
        <row r="1037">
          <cell r="B1037">
            <v>2013</v>
          </cell>
          <cell r="K1037" t="str">
            <v>CARROLL</v>
          </cell>
          <cell r="L1037" t="str">
            <v>Carroll</v>
          </cell>
          <cell r="V1037">
            <v>197500</v>
          </cell>
        </row>
        <row r="1038">
          <cell r="B1038">
            <v>2013</v>
          </cell>
          <cell r="K1038" t="str">
            <v>CRAWFORD</v>
          </cell>
          <cell r="L1038" t="str">
            <v>Crawford</v>
          </cell>
          <cell r="V1038">
            <v>221000</v>
          </cell>
        </row>
        <row r="1039">
          <cell r="B1039">
            <v>2013</v>
          </cell>
          <cell r="K1039" t="str">
            <v>GREENE</v>
          </cell>
          <cell r="L1039" t="str">
            <v>Greene</v>
          </cell>
          <cell r="V1039">
            <v>185500</v>
          </cell>
        </row>
        <row r="1040">
          <cell r="B1040">
            <v>2013</v>
          </cell>
          <cell r="K1040" t="str">
            <v>GUTHRIE</v>
          </cell>
          <cell r="L1040" t="str">
            <v>Guthrie</v>
          </cell>
          <cell r="V1040">
            <v>119000</v>
          </cell>
        </row>
        <row r="1041">
          <cell r="B1041">
            <v>2013</v>
          </cell>
          <cell r="K1041" t="str">
            <v>HARRISON</v>
          </cell>
          <cell r="L1041" t="str">
            <v>Harrison</v>
          </cell>
          <cell r="V1041">
            <v>199000</v>
          </cell>
        </row>
        <row r="1042">
          <cell r="B1042">
            <v>2013</v>
          </cell>
          <cell r="K1042" t="str">
            <v>IDA</v>
          </cell>
          <cell r="L1042" t="str">
            <v>Ida</v>
          </cell>
          <cell r="V1042">
            <v>136500</v>
          </cell>
        </row>
        <row r="1043">
          <cell r="B1043">
            <v>2013</v>
          </cell>
          <cell r="K1043" t="str">
            <v>MONONA</v>
          </cell>
          <cell r="L1043" t="str">
            <v>Monona</v>
          </cell>
          <cell r="V1043">
            <v>200000</v>
          </cell>
        </row>
        <row r="1044">
          <cell r="B1044">
            <v>2013</v>
          </cell>
          <cell r="K1044" t="str">
            <v>SAC</v>
          </cell>
          <cell r="L1044" t="str">
            <v>Sac</v>
          </cell>
          <cell r="V1044">
            <v>178500</v>
          </cell>
        </row>
        <row r="1045">
          <cell r="B1045">
            <v>2013</v>
          </cell>
          <cell r="K1045" t="str">
            <v>SHELBY</v>
          </cell>
          <cell r="L1045" t="str">
            <v>Shelby</v>
          </cell>
          <cell r="V1045">
            <v>186500</v>
          </cell>
        </row>
        <row r="1046">
          <cell r="B1046">
            <v>2013</v>
          </cell>
          <cell r="K1046" t="str">
            <v>WOODBURY</v>
          </cell>
          <cell r="L1046" t="str">
            <v>Woodbury</v>
          </cell>
          <cell r="V1046">
            <v>232000</v>
          </cell>
        </row>
        <row r="1047">
          <cell r="B1047">
            <v>2012</v>
          </cell>
          <cell r="K1047" t="str">
            <v>BOONE</v>
          </cell>
          <cell r="L1047" t="str">
            <v>Boone</v>
          </cell>
          <cell r="V1047">
            <v>178500</v>
          </cell>
        </row>
        <row r="1048">
          <cell r="B1048">
            <v>2012</v>
          </cell>
          <cell r="K1048" t="str">
            <v>DALLAS</v>
          </cell>
          <cell r="L1048" t="str">
            <v>Dallas</v>
          </cell>
          <cell r="V1048">
            <v>151000</v>
          </cell>
        </row>
        <row r="1049">
          <cell r="B1049">
            <v>2012</v>
          </cell>
          <cell r="K1049" t="str">
            <v>GRUNDY</v>
          </cell>
          <cell r="L1049" t="str">
            <v>Grundy</v>
          </cell>
          <cell r="V1049">
            <v>164000</v>
          </cell>
        </row>
        <row r="1050">
          <cell r="B1050">
            <v>2012</v>
          </cell>
          <cell r="K1050" t="str">
            <v>HAMILTON</v>
          </cell>
          <cell r="L1050" t="str">
            <v>Hamilton</v>
          </cell>
          <cell r="V1050">
            <v>218000</v>
          </cell>
        </row>
        <row r="1051">
          <cell r="B1051">
            <v>2012</v>
          </cell>
          <cell r="K1051" t="str">
            <v>HARDIN</v>
          </cell>
          <cell r="L1051" t="str">
            <v>Hardin</v>
          </cell>
          <cell r="V1051">
            <v>196000</v>
          </cell>
        </row>
        <row r="1052">
          <cell r="B1052">
            <v>2012</v>
          </cell>
          <cell r="K1052" t="str">
            <v>JASPER</v>
          </cell>
          <cell r="L1052" t="str">
            <v>Jasper</v>
          </cell>
          <cell r="V1052">
            <v>181000</v>
          </cell>
        </row>
        <row r="1053">
          <cell r="B1053">
            <v>2012</v>
          </cell>
          <cell r="K1053" t="str">
            <v>MARSHALL</v>
          </cell>
          <cell r="L1053" t="str">
            <v>Marshall</v>
          </cell>
          <cell r="V1053">
            <v>157000</v>
          </cell>
        </row>
        <row r="1054">
          <cell r="B1054">
            <v>2012</v>
          </cell>
          <cell r="K1054" t="str">
            <v>POLK</v>
          </cell>
          <cell r="L1054" t="str">
            <v>Polk</v>
          </cell>
          <cell r="V1054">
            <v>92500</v>
          </cell>
        </row>
        <row r="1055">
          <cell r="B1055">
            <v>2012</v>
          </cell>
          <cell r="K1055" t="str">
            <v>POWESHIEK</v>
          </cell>
          <cell r="L1055" t="str">
            <v>Poweshiek</v>
          </cell>
          <cell r="V1055">
            <v>154500</v>
          </cell>
        </row>
        <row r="1056">
          <cell r="B1056">
            <v>2012</v>
          </cell>
          <cell r="K1056" t="str">
            <v>STORY</v>
          </cell>
          <cell r="L1056" t="str">
            <v>Story</v>
          </cell>
          <cell r="V1056">
            <v>174500</v>
          </cell>
        </row>
        <row r="1057">
          <cell r="B1057">
            <v>2012</v>
          </cell>
          <cell r="K1057" t="str">
            <v>TAMA</v>
          </cell>
          <cell r="L1057" t="str">
            <v>Tama</v>
          </cell>
          <cell r="V1057">
            <v>172500</v>
          </cell>
        </row>
        <row r="1058">
          <cell r="B1058">
            <v>2012</v>
          </cell>
          <cell r="K1058" t="str">
            <v>WEBSTER</v>
          </cell>
          <cell r="L1058" t="str">
            <v>Webster</v>
          </cell>
          <cell r="V1058">
            <v>228500</v>
          </cell>
        </row>
        <row r="1059">
          <cell r="B1059">
            <v>2012</v>
          </cell>
          <cell r="K1059" t="str">
            <v>BENTON</v>
          </cell>
          <cell r="L1059" t="str">
            <v>Benton</v>
          </cell>
          <cell r="V1059">
            <v>203500</v>
          </cell>
        </row>
        <row r="1060">
          <cell r="B1060">
            <v>2012</v>
          </cell>
          <cell r="K1060" t="str">
            <v>CEDAR</v>
          </cell>
          <cell r="L1060" t="str">
            <v>Cedar</v>
          </cell>
          <cell r="V1060">
            <v>163500</v>
          </cell>
        </row>
        <row r="1061">
          <cell r="B1061">
            <v>2012</v>
          </cell>
          <cell r="K1061" t="str">
            <v>CLINTON</v>
          </cell>
          <cell r="L1061" t="str">
            <v>Clinton</v>
          </cell>
          <cell r="V1061">
            <v>198500</v>
          </cell>
        </row>
        <row r="1062">
          <cell r="B1062">
            <v>2012</v>
          </cell>
          <cell r="K1062" t="str">
            <v>IOWA</v>
          </cell>
          <cell r="L1062" t="str">
            <v>Iowa</v>
          </cell>
          <cell r="V1062">
            <v>126500</v>
          </cell>
        </row>
        <row r="1063">
          <cell r="B1063">
            <v>2012</v>
          </cell>
          <cell r="K1063" t="str">
            <v>JACKSON</v>
          </cell>
          <cell r="L1063" t="str">
            <v>Jackson</v>
          </cell>
          <cell r="V1063">
            <v>117500</v>
          </cell>
        </row>
        <row r="1064">
          <cell r="B1064">
            <v>2012</v>
          </cell>
          <cell r="K1064" t="str">
            <v>JOHNSON</v>
          </cell>
          <cell r="L1064" t="str">
            <v>Johnson</v>
          </cell>
          <cell r="V1064">
            <v>117500</v>
          </cell>
        </row>
        <row r="1065">
          <cell r="B1065">
            <v>2012</v>
          </cell>
          <cell r="K1065" t="str">
            <v>JONES</v>
          </cell>
          <cell r="L1065" t="str">
            <v>Jones</v>
          </cell>
          <cell r="V1065">
            <v>163000</v>
          </cell>
        </row>
        <row r="1066">
          <cell r="B1066">
            <v>2012</v>
          </cell>
          <cell r="K1066" t="str">
            <v>LINN</v>
          </cell>
          <cell r="L1066" t="str">
            <v>Linn</v>
          </cell>
          <cell r="V1066">
            <v>161500</v>
          </cell>
        </row>
        <row r="1067">
          <cell r="B1067">
            <v>2012</v>
          </cell>
          <cell r="K1067" t="str">
            <v>MUSCATINE</v>
          </cell>
          <cell r="L1067" t="str">
            <v>Muscatine</v>
          </cell>
          <cell r="V1067">
            <v>96000</v>
          </cell>
        </row>
        <row r="1068">
          <cell r="B1068">
            <v>2012</v>
          </cell>
          <cell r="K1068" t="str">
            <v>SCOTT</v>
          </cell>
          <cell r="L1068" t="str">
            <v>Scott</v>
          </cell>
          <cell r="V1068">
            <v>115500</v>
          </cell>
        </row>
        <row r="1069">
          <cell r="B1069">
            <v>2012</v>
          </cell>
          <cell r="K1069" t="str">
            <v>BUTLER</v>
          </cell>
          <cell r="L1069" t="str">
            <v>Butler</v>
          </cell>
          <cell r="V1069">
            <v>181000</v>
          </cell>
        </row>
        <row r="1070">
          <cell r="B1070">
            <v>2012</v>
          </cell>
          <cell r="K1070" t="str">
            <v>CERRO GORDO</v>
          </cell>
          <cell r="L1070" t="str">
            <v>Cerro Gordo</v>
          </cell>
          <cell r="V1070">
            <v>182500</v>
          </cell>
        </row>
        <row r="1071">
          <cell r="B1071">
            <v>2012</v>
          </cell>
          <cell r="K1071" t="str">
            <v>FLOYD</v>
          </cell>
          <cell r="L1071" t="str">
            <v>Floyd</v>
          </cell>
          <cell r="V1071">
            <v>152000</v>
          </cell>
        </row>
        <row r="1072">
          <cell r="B1072">
            <v>2012</v>
          </cell>
          <cell r="K1072" t="str">
            <v>FRANKLIN</v>
          </cell>
          <cell r="L1072" t="str">
            <v>Franklin</v>
          </cell>
          <cell r="V1072">
            <v>216500</v>
          </cell>
        </row>
        <row r="1073">
          <cell r="B1073">
            <v>2012</v>
          </cell>
          <cell r="K1073" t="str">
            <v>HANCOCK</v>
          </cell>
          <cell r="L1073" t="str">
            <v>Hancock</v>
          </cell>
          <cell r="V1073">
            <v>206000</v>
          </cell>
        </row>
        <row r="1074">
          <cell r="B1074">
            <v>2012</v>
          </cell>
          <cell r="K1074" t="str">
            <v>HUMBOLDT</v>
          </cell>
          <cell r="L1074" t="str">
            <v>Humboldt</v>
          </cell>
          <cell r="V1074">
            <v>145000</v>
          </cell>
        </row>
        <row r="1075">
          <cell r="B1075">
            <v>2012</v>
          </cell>
          <cell r="K1075" t="str">
            <v>KOSSUTH</v>
          </cell>
          <cell r="L1075" t="str">
            <v>Kossuth</v>
          </cell>
          <cell r="V1075">
            <v>327000</v>
          </cell>
        </row>
        <row r="1076">
          <cell r="B1076">
            <v>2012</v>
          </cell>
          <cell r="K1076" t="str">
            <v>MITCHELL</v>
          </cell>
          <cell r="L1076" t="str">
            <v>Mitchell</v>
          </cell>
          <cell r="V1076">
            <v>158500</v>
          </cell>
        </row>
        <row r="1077">
          <cell r="B1077">
            <v>2012</v>
          </cell>
          <cell r="K1077" t="str">
            <v>WINNEBAGO</v>
          </cell>
          <cell r="L1077" t="str">
            <v>Winnebago</v>
          </cell>
          <cell r="V1077">
            <v>133000</v>
          </cell>
        </row>
        <row r="1078">
          <cell r="B1078">
            <v>2012</v>
          </cell>
          <cell r="K1078" t="str">
            <v>WORTH</v>
          </cell>
          <cell r="L1078" t="str">
            <v>Worth</v>
          </cell>
          <cell r="V1078">
            <v>128000</v>
          </cell>
        </row>
        <row r="1079">
          <cell r="B1079">
            <v>2012</v>
          </cell>
          <cell r="K1079" t="str">
            <v>WRIGHT</v>
          </cell>
          <cell r="L1079" t="str">
            <v>Wright</v>
          </cell>
          <cell r="V1079">
            <v>190500</v>
          </cell>
        </row>
        <row r="1080">
          <cell r="B1080">
            <v>2012</v>
          </cell>
          <cell r="K1080" t="str">
            <v>ALLAMAKEE</v>
          </cell>
          <cell r="L1080" t="str">
            <v>Allamakee</v>
          </cell>
          <cell r="V1080">
            <v>96500</v>
          </cell>
        </row>
        <row r="1081">
          <cell r="B1081">
            <v>2012</v>
          </cell>
          <cell r="K1081" t="str">
            <v>BLACK HAWK</v>
          </cell>
          <cell r="L1081" t="str">
            <v>Black Hawk</v>
          </cell>
          <cell r="V1081">
            <v>155500</v>
          </cell>
        </row>
        <row r="1082">
          <cell r="B1082">
            <v>2012</v>
          </cell>
          <cell r="K1082" t="str">
            <v>BREMER</v>
          </cell>
          <cell r="L1082" t="str">
            <v>Bremer</v>
          </cell>
          <cell r="V1082">
            <v>132500</v>
          </cell>
        </row>
        <row r="1083">
          <cell r="B1083">
            <v>2012</v>
          </cell>
          <cell r="K1083" t="str">
            <v>BUCHANAN</v>
          </cell>
          <cell r="L1083" t="str">
            <v>Buchanan</v>
          </cell>
          <cell r="V1083">
            <v>205500</v>
          </cell>
        </row>
        <row r="1084">
          <cell r="B1084">
            <v>2012</v>
          </cell>
          <cell r="K1084" t="str">
            <v>CHICKASAW</v>
          </cell>
          <cell r="L1084" t="str">
            <v>Chickasaw</v>
          </cell>
          <cell r="V1084">
            <v>160000</v>
          </cell>
        </row>
        <row r="1085">
          <cell r="B1085">
            <v>2012</v>
          </cell>
          <cell r="K1085" t="str">
            <v>CLAYTON</v>
          </cell>
          <cell r="L1085" t="str">
            <v>Clayton</v>
          </cell>
          <cell r="V1085">
            <v>163500</v>
          </cell>
        </row>
        <row r="1086">
          <cell r="B1086">
            <v>2012</v>
          </cell>
          <cell r="K1086" t="str">
            <v>DELAWARE</v>
          </cell>
          <cell r="L1086" t="str">
            <v>Delaware</v>
          </cell>
          <cell r="V1086">
            <v>205000</v>
          </cell>
        </row>
        <row r="1087">
          <cell r="B1087">
            <v>2012</v>
          </cell>
          <cell r="K1087" t="str">
            <v>DUBUQUE</v>
          </cell>
          <cell r="L1087" t="str">
            <v>Dubuque</v>
          </cell>
          <cell r="V1087">
            <v>150500</v>
          </cell>
        </row>
        <row r="1088">
          <cell r="B1088">
            <v>2012</v>
          </cell>
          <cell r="K1088" t="str">
            <v>FAYETTE</v>
          </cell>
          <cell r="L1088" t="str">
            <v>Fayette</v>
          </cell>
          <cell r="V1088">
            <v>207000</v>
          </cell>
        </row>
        <row r="1089">
          <cell r="B1089">
            <v>2012</v>
          </cell>
          <cell r="K1089" t="str">
            <v>HOWARD</v>
          </cell>
          <cell r="L1089" t="str">
            <v>Howard</v>
          </cell>
          <cell r="V1089">
            <v>138500</v>
          </cell>
        </row>
        <row r="1090">
          <cell r="B1090">
            <v>2012</v>
          </cell>
          <cell r="K1090" t="str">
            <v>WINNESHIEK</v>
          </cell>
          <cell r="L1090" t="str">
            <v>Winneshiek</v>
          </cell>
          <cell r="V1090">
            <v>172500</v>
          </cell>
        </row>
        <row r="1091">
          <cell r="B1091">
            <v>2012</v>
          </cell>
          <cell r="K1091" t="str">
            <v>BUENA VISTA</v>
          </cell>
          <cell r="L1091" t="str">
            <v>Buena Vista</v>
          </cell>
          <cell r="V1091">
            <v>176000</v>
          </cell>
        </row>
        <row r="1092">
          <cell r="B1092">
            <v>2012</v>
          </cell>
          <cell r="K1092" t="str">
            <v>CHEROKEE</v>
          </cell>
          <cell r="L1092" t="str">
            <v>Cherokee</v>
          </cell>
          <cell r="V1092">
            <v>157500</v>
          </cell>
        </row>
        <row r="1093">
          <cell r="B1093">
            <v>2012</v>
          </cell>
          <cell r="K1093" t="str">
            <v>CLAY</v>
          </cell>
          <cell r="L1093" t="str">
            <v>Clay</v>
          </cell>
          <cell r="V1093">
            <v>165000</v>
          </cell>
        </row>
        <row r="1094">
          <cell r="B1094">
            <v>2012</v>
          </cell>
          <cell r="K1094" t="str">
            <v>DICKINSON</v>
          </cell>
          <cell r="L1094" t="str">
            <v>Dickinson</v>
          </cell>
          <cell r="V1094">
            <v>97500</v>
          </cell>
        </row>
        <row r="1095">
          <cell r="B1095">
            <v>2012</v>
          </cell>
          <cell r="K1095" t="str">
            <v>EMMET</v>
          </cell>
          <cell r="L1095" t="str">
            <v>Emmet</v>
          </cell>
          <cell r="V1095">
            <v>119000</v>
          </cell>
        </row>
        <row r="1096">
          <cell r="B1096">
            <v>2012</v>
          </cell>
          <cell r="K1096" t="str">
            <v>LYON</v>
          </cell>
          <cell r="L1096" t="str">
            <v>Lyon</v>
          </cell>
          <cell r="V1096">
            <v>185000</v>
          </cell>
        </row>
        <row r="1097">
          <cell r="B1097">
            <v>2012</v>
          </cell>
          <cell r="K1097" t="str">
            <v>O BRIEN</v>
          </cell>
          <cell r="L1097" t="str">
            <v>O Brien</v>
          </cell>
          <cell r="V1097">
            <v>172500</v>
          </cell>
        </row>
        <row r="1098">
          <cell r="B1098">
            <v>2012</v>
          </cell>
          <cell r="K1098" t="str">
            <v>OSCEOLA</v>
          </cell>
          <cell r="L1098" t="str">
            <v>Osceola</v>
          </cell>
          <cell r="V1098">
            <v>125000</v>
          </cell>
        </row>
        <row r="1099">
          <cell r="B1099">
            <v>2012</v>
          </cell>
          <cell r="K1099" t="str">
            <v>PALO ALTO</v>
          </cell>
          <cell r="L1099" t="str">
            <v>Palo Alto</v>
          </cell>
          <cell r="V1099">
            <v>185500</v>
          </cell>
        </row>
        <row r="1100">
          <cell r="B1100">
            <v>2012</v>
          </cell>
          <cell r="K1100" t="str">
            <v>PLYMOUTH</v>
          </cell>
          <cell r="L1100" t="str">
            <v>Plymouth</v>
          </cell>
          <cell r="V1100">
            <v>237500</v>
          </cell>
        </row>
        <row r="1101">
          <cell r="B1101">
            <v>2012</v>
          </cell>
          <cell r="K1101" t="str">
            <v>POCAHONTAS</v>
          </cell>
          <cell r="L1101" t="str">
            <v>Pocahontas</v>
          </cell>
          <cell r="V1101">
            <v>190000</v>
          </cell>
        </row>
        <row r="1102">
          <cell r="B1102">
            <v>2012</v>
          </cell>
          <cell r="K1102" t="str">
            <v>SIOUX</v>
          </cell>
          <cell r="L1102" t="str">
            <v>Sioux</v>
          </cell>
          <cell r="V1102">
            <v>259500</v>
          </cell>
        </row>
        <row r="1103">
          <cell r="B1103">
            <v>2012</v>
          </cell>
          <cell r="K1103" t="str">
            <v>APPANOOSE</v>
          </cell>
          <cell r="L1103" t="str">
            <v>Appanoose</v>
          </cell>
          <cell r="V1103">
            <v>36500</v>
          </cell>
        </row>
        <row r="1104">
          <cell r="B1104">
            <v>2012</v>
          </cell>
          <cell r="K1104" t="str">
            <v>CLARKE</v>
          </cell>
          <cell r="L1104" t="str">
            <v>Clarke</v>
          </cell>
          <cell r="V1104">
            <v>40700</v>
          </cell>
        </row>
        <row r="1105">
          <cell r="B1105">
            <v>2012</v>
          </cell>
          <cell r="K1105" t="str">
            <v>DECATUR</v>
          </cell>
          <cell r="L1105" t="str">
            <v>Decatur</v>
          </cell>
          <cell r="V1105">
            <v>34800</v>
          </cell>
        </row>
        <row r="1106">
          <cell r="B1106">
            <v>2012</v>
          </cell>
          <cell r="K1106" t="str">
            <v>LUCAS</v>
          </cell>
          <cell r="L1106" t="str">
            <v>Lucas</v>
          </cell>
          <cell r="V1106">
            <v>31700</v>
          </cell>
        </row>
        <row r="1107">
          <cell r="B1107">
            <v>2012</v>
          </cell>
          <cell r="K1107" t="str">
            <v>MADISON</v>
          </cell>
          <cell r="L1107" t="str">
            <v>Madison</v>
          </cell>
          <cell r="V1107">
            <v>72900</v>
          </cell>
        </row>
        <row r="1108">
          <cell r="B1108">
            <v>2012</v>
          </cell>
          <cell r="K1108" t="str">
            <v>MARION</v>
          </cell>
          <cell r="L1108" t="str">
            <v>Marion</v>
          </cell>
          <cell r="V1108">
            <v>85800</v>
          </cell>
        </row>
        <row r="1109">
          <cell r="B1109">
            <v>2012</v>
          </cell>
          <cell r="K1109" t="str">
            <v>MONROE</v>
          </cell>
          <cell r="L1109" t="str">
            <v>Monroe</v>
          </cell>
          <cell r="V1109">
            <v>33500</v>
          </cell>
        </row>
        <row r="1110">
          <cell r="B1110">
            <v>2012</v>
          </cell>
          <cell r="K1110" t="str">
            <v>RINGGOLD</v>
          </cell>
          <cell r="L1110" t="str">
            <v>Ringgold</v>
          </cell>
          <cell r="V1110">
            <v>57500</v>
          </cell>
        </row>
        <row r="1111">
          <cell r="B1111">
            <v>2012</v>
          </cell>
          <cell r="K1111" t="str">
            <v>UNION</v>
          </cell>
          <cell r="L1111" t="str">
            <v>Union</v>
          </cell>
          <cell r="V1111">
            <v>59100</v>
          </cell>
        </row>
        <row r="1112">
          <cell r="B1112">
            <v>2012</v>
          </cell>
          <cell r="K1112" t="str">
            <v>WARREN</v>
          </cell>
          <cell r="L1112" t="str">
            <v>Warren</v>
          </cell>
          <cell r="V1112">
            <v>71000</v>
          </cell>
        </row>
        <row r="1113">
          <cell r="B1113">
            <v>2012</v>
          </cell>
          <cell r="K1113" t="str">
            <v>WAYNE</v>
          </cell>
          <cell r="L1113" t="str">
            <v>Wayne</v>
          </cell>
          <cell r="V1113">
            <v>58500</v>
          </cell>
        </row>
        <row r="1114">
          <cell r="B1114">
            <v>2012</v>
          </cell>
          <cell r="K1114" t="str">
            <v>DAVIS</v>
          </cell>
          <cell r="L1114" t="str">
            <v>Davis</v>
          </cell>
          <cell r="V1114">
            <v>49700</v>
          </cell>
        </row>
        <row r="1115">
          <cell r="B1115">
            <v>2012</v>
          </cell>
          <cell r="K1115" t="str">
            <v>DES MOINES</v>
          </cell>
          <cell r="L1115" t="str">
            <v>Des Moines</v>
          </cell>
          <cell r="V1115">
            <v>76000</v>
          </cell>
        </row>
        <row r="1116">
          <cell r="B1116">
            <v>2012</v>
          </cell>
          <cell r="K1116" t="str">
            <v>HENRY</v>
          </cell>
          <cell r="L1116" t="str">
            <v>Henry</v>
          </cell>
          <cell r="V1116">
            <v>82500</v>
          </cell>
        </row>
        <row r="1117">
          <cell r="B1117">
            <v>2012</v>
          </cell>
          <cell r="K1117" t="str">
            <v>JEFFERSON</v>
          </cell>
          <cell r="L1117" t="str">
            <v>Jefferson</v>
          </cell>
          <cell r="V1117">
            <v>74400</v>
          </cell>
        </row>
        <row r="1118">
          <cell r="B1118">
            <v>2012</v>
          </cell>
          <cell r="K1118" t="str">
            <v>KEOKUK</v>
          </cell>
          <cell r="L1118" t="str">
            <v>Keokuk</v>
          </cell>
          <cell r="V1118">
            <v>123000</v>
          </cell>
        </row>
        <row r="1119">
          <cell r="B1119">
            <v>2012</v>
          </cell>
          <cell r="K1119" t="str">
            <v>LEE</v>
          </cell>
          <cell r="L1119" t="str">
            <v>Lee</v>
          </cell>
          <cell r="V1119">
            <v>77500</v>
          </cell>
        </row>
        <row r="1120">
          <cell r="B1120">
            <v>2012</v>
          </cell>
          <cell r="K1120" t="str">
            <v>LOUISA</v>
          </cell>
          <cell r="L1120" t="str">
            <v>Louisa</v>
          </cell>
          <cell r="V1120">
            <v>80400</v>
          </cell>
        </row>
        <row r="1121">
          <cell r="B1121">
            <v>2012</v>
          </cell>
          <cell r="K1121" t="str">
            <v>MAHASKA</v>
          </cell>
          <cell r="L1121" t="str">
            <v>Mahaska</v>
          </cell>
          <cell r="V1121">
            <v>135500</v>
          </cell>
        </row>
        <row r="1122">
          <cell r="B1122">
            <v>2012</v>
          </cell>
          <cell r="K1122" t="str">
            <v>VAN BUREN</v>
          </cell>
          <cell r="L1122" t="str">
            <v>Van Buren</v>
          </cell>
          <cell r="V1122">
            <v>51000</v>
          </cell>
        </row>
        <row r="1123">
          <cell r="B1123">
            <v>2012</v>
          </cell>
          <cell r="K1123" t="str">
            <v>WAPELLO</v>
          </cell>
          <cell r="L1123" t="str">
            <v>Wapello</v>
          </cell>
          <cell r="V1123">
            <v>62500</v>
          </cell>
        </row>
        <row r="1124">
          <cell r="B1124">
            <v>2012</v>
          </cell>
          <cell r="K1124" t="str">
            <v>WASHINGTON</v>
          </cell>
          <cell r="L1124" t="str">
            <v>Washington</v>
          </cell>
          <cell r="V1124">
            <v>128500</v>
          </cell>
        </row>
        <row r="1125">
          <cell r="B1125">
            <v>2012</v>
          </cell>
          <cell r="K1125" t="str">
            <v>ADAIR</v>
          </cell>
          <cell r="L1125" t="str">
            <v>Adair</v>
          </cell>
          <cell r="V1125">
            <v>110000</v>
          </cell>
        </row>
        <row r="1126">
          <cell r="B1126">
            <v>2012</v>
          </cell>
          <cell r="K1126" t="str">
            <v>ADAMS</v>
          </cell>
          <cell r="L1126" t="str">
            <v>Adams</v>
          </cell>
          <cell r="V1126">
            <v>73500</v>
          </cell>
        </row>
        <row r="1127">
          <cell r="B1127">
            <v>2012</v>
          </cell>
          <cell r="K1127" t="str">
            <v>CASS</v>
          </cell>
          <cell r="L1127" t="str">
            <v>Cass</v>
          </cell>
          <cell r="V1127">
            <v>139000</v>
          </cell>
        </row>
        <row r="1128">
          <cell r="B1128">
            <v>2012</v>
          </cell>
          <cell r="K1128" t="str">
            <v>FREMONT</v>
          </cell>
          <cell r="L1128" t="str">
            <v>Fremont</v>
          </cell>
          <cell r="V1128">
            <v>117500</v>
          </cell>
        </row>
        <row r="1129">
          <cell r="B1129">
            <v>2012</v>
          </cell>
          <cell r="K1129" t="str">
            <v>MILLS</v>
          </cell>
          <cell r="L1129" t="str">
            <v>Mills</v>
          </cell>
          <cell r="V1129">
            <v>102500</v>
          </cell>
        </row>
        <row r="1130">
          <cell r="B1130">
            <v>2012</v>
          </cell>
          <cell r="K1130" t="str">
            <v>MONTGOMERY</v>
          </cell>
          <cell r="L1130" t="str">
            <v>Montgomery</v>
          </cell>
          <cell r="V1130">
            <v>97000</v>
          </cell>
        </row>
        <row r="1131">
          <cell r="B1131">
            <v>2012</v>
          </cell>
          <cell r="K1131" t="str">
            <v>PAGE</v>
          </cell>
          <cell r="L1131" t="str">
            <v>Page</v>
          </cell>
          <cell r="V1131">
            <v>113000</v>
          </cell>
        </row>
        <row r="1132">
          <cell r="B1132">
            <v>2012</v>
          </cell>
          <cell r="K1132" t="str">
            <v>POTTAWATTAMIE</v>
          </cell>
          <cell r="L1132" t="str">
            <v>Pottawattamie</v>
          </cell>
          <cell r="V1132">
            <v>254500</v>
          </cell>
        </row>
        <row r="1133">
          <cell r="B1133">
            <v>2012</v>
          </cell>
          <cell r="K1133" t="str">
            <v>TAYLOR</v>
          </cell>
          <cell r="L1133" t="str">
            <v>Taylor</v>
          </cell>
          <cell r="V1133">
            <v>86000</v>
          </cell>
        </row>
        <row r="1134">
          <cell r="B1134">
            <v>2012</v>
          </cell>
          <cell r="K1134" t="str">
            <v>AUDUBON</v>
          </cell>
          <cell r="L1134" t="str">
            <v>Audubon</v>
          </cell>
          <cell r="V1134">
            <v>120500</v>
          </cell>
        </row>
        <row r="1135">
          <cell r="B1135">
            <v>2012</v>
          </cell>
          <cell r="K1135" t="str">
            <v>CALHOUN</v>
          </cell>
          <cell r="L1135" t="str">
            <v>Calhoun</v>
          </cell>
          <cell r="V1135">
            <v>196500</v>
          </cell>
        </row>
        <row r="1136">
          <cell r="B1136">
            <v>2012</v>
          </cell>
          <cell r="K1136" t="str">
            <v>CARROLL</v>
          </cell>
          <cell r="L1136" t="str">
            <v>Carroll</v>
          </cell>
          <cell r="V1136">
            <v>200500</v>
          </cell>
        </row>
        <row r="1137">
          <cell r="B1137">
            <v>2012</v>
          </cell>
          <cell r="K1137" t="str">
            <v>CRAWFORD</v>
          </cell>
          <cell r="L1137" t="str">
            <v>Crawford</v>
          </cell>
          <cell r="V1137">
            <v>220000</v>
          </cell>
        </row>
        <row r="1138">
          <cell r="B1138">
            <v>2012</v>
          </cell>
          <cell r="K1138" t="str">
            <v>GREENE</v>
          </cell>
          <cell r="L1138" t="str">
            <v>Greene</v>
          </cell>
          <cell r="V1138">
            <v>188500</v>
          </cell>
        </row>
        <row r="1139">
          <cell r="B1139">
            <v>2012</v>
          </cell>
          <cell r="K1139" t="str">
            <v>GUTHRIE</v>
          </cell>
          <cell r="L1139" t="str">
            <v>Guthrie</v>
          </cell>
          <cell r="V1139">
            <v>121500</v>
          </cell>
        </row>
        <row r="1140">
          <cell r="B1140">
            <v>2012</v>
          </cell>
          <cell r="K1140" t="str">
            <v>HARRISON</v>
          </cell>
          <cell r="L1140" t="str">
            <v>Harrison</v>
          </cell>
          <cell r="V1140">
            <v>198500</v>
          </cell>
        </row>
        <row r="1141">
          <cell r="B1141">
            <v>2012</v>
          </cell>
          <cell r="K1141" t="str">
            <v>IDA</v>
          </cell>
          <cell r="L1141" t="str">
            <v>Ida</v>
          </cell>
          <cell r="V1141">
            <v>134500</v>
          </cell>
        </row>
        <row r="1142">
          <cell r="B1142">
            <v>2012</v>
          </cell>
          <cell r="K1142" t="str">
            <v>MONONA</v>
          </cell>
          <cell r="L1142" t="str">
            <v>Monona</v>
          </cell>
          <cell r="V1142">
            <v>190000</v>
          </cell>
        </row>
        <row r="1143">
          <cell r="B1143">
            <v>2012</v>
          </cell>
          <cell r="K1143" t="str">
            <v>SAC</v>
          </cell>
          <cell r="L1143" t="str">
            <v>Sac</v>
          </cell>
          <cell r="V1143">
            <v>181500</v>
          </cell>
        </row>
        <row r="1144">
          <cell r="B1144">
            <v>2012</v>
          </cell>
          <cell r="K1144" t="str">
            <v>SHELBY</v>
          </cell>
          <cell r="L1144" t="str">
            <v>Shelby</v>
          </cell>
          <cell r="V1144">
            <v>190500</v>
          </cell>
        </row>
        <row r="1145">
          <cell r="B1145">
            <v>2012</v>
          </cell>
          <cell r="K1145" t="str">
            <v>WOODBURY</v>
          </cell>
          <cell r="L1145" t="str">
            <v>Woodbury</v>
          </cell>
          <cell r="V1145">
            <v>233500</v>
          </cell>
        </row>
        <row r="1146">
          <cell r="B1146">
            <v>2011</v>
          </cell>
          <cell r="K1146" t="str">
            <v>BOONE</v>
          </cell>
          <cell r="L1146" t="str">
            <v>Boone</v>
          </cell>
          <cell r="V1146">
            <v>169500</v>
          </cell>
        </row>
        <row r="1147">
          <cell r="B1147">
            <v>2011</v>
          </cell>
          <cell r="K1147" t="str">
            <v>DALLAS</v>
          </cell>
          <cell r="L1147" t="str">
            <v>Dallas</v>
          </cell>
          <cell r="V1147">
            <v>139500</v>
          </cell>
        </row>
        <row r="1148">
          <cell r="B1148">
            <v>2011</v>
          </cell>
          <cell r="K1148" t="str">
            <v>GRUNDY</v>
          </cell>
          <cell r="L1148" t="str">
            <v>Grundy</v>
          </cell>
          <cell r="V1148">
            <v>164500</v>
          </cell>
        </row>
        <row r="1149">
          <cell r="B1149">
            <v>2011</v>
          </cell>
          <cell r="K1149" t="str">
            <v>HAMILTON</v>
          </cell>
          <cell r="L1149" t="str">
            <v>Hamilton</v>
          </cell>
          <cell r="V1149">
            <v>209000</v>
          </cell>
        </row>
        <row r="1150">
          <cell r="B1150">
            <v>2011</v>
          </cell>
          <cell r="K1150" t="str">
            <v>HARDIN</v>
          </cell>
          <cell r="L1150" t="str">
            <v>Hardin</v>
          </cell>
          <cell r="V1150">
            <v>194500</v>
          </cell>
        </row>
        <row r="1151">
          <cell r="B1151">
            <v>2011</v>
          </cell>
          <cell r="K1151" t="str">
            <v>JASPER</v>
          </cell>
          <cell r="L1151" t="str">
            <v>Jasper</v>
          </cell>
          <cell r="V1151">
            <v>183500</v>
          </cell>
        </row>
        <row r="1152">
          <cell r="B1152">
            <v>2011</v>
          </cell>
          <cell r="K1152" t="str">
            <v>MARSHALL</v>
          </cell>
          <cell r="L1152" t="str">
            <v>Marshall</v>
          </cell>
          <cell r="V1152">
            <v>160000</v>
          </cell>
        </row>
        <row r="1153">
          <cell r="B1153">
            <v>2011</v>
          </cell>
          <cell r="K1153" t="str">
            <v>POLK</v>
          </cell>
          <cell r="L1153" t="str">
            <v>Polk</v>
          </cell>
          <cell r="V1153">
            <v>89000</v>
          </cell>
        </row>
        <row r="1154">
          <cell r="B1154">
            <v>2011</v>
          </cell>
          <cell r="K1154" t="str">
            <v>POWESHIEK</v>
          </cell>
          <cell r="L1154" t="str">
            <v>Poweshiek</v>
          </cell>
          <cell r="V1154">
            <v>153000</v>
          </cell>
        </row>
        <row r="1155">
          <cell r="B1155">
            <v>2011</v>
          </cell>
          <cell r="K1155" t="str">
            <v>STORY</v>
          </cell>
          <cell r="L1155" t="str">
            <v>Story</v>
          </cell>
          <cell r="V1155">
            <v>175000</v>
          </cell>
        </row>
        <row r="1156">
          <cell r="B1156">
            <v>2011</v>
          </cell>
          <cell r="K1156" t="str">
            <v>TAMA</v>
          </cell>
          <cell r="L1156" t="str">
            <v>Tama</v>
          </cell>
          <cell r="V1156">
            <v>180000</v>
          </cell>
        </row>
        <row r="1157">
          <cell r="B1157">
            <v>2011</v>
          </cell>
          <cell r="K1157" t="str">
            <v>WEBSTER</v>
          </cell>
          <cell r="L1157" t="str">
            <v>Webster</v>
          </cell>
          <cell r="V1157">
            <v>217500</v>
          </cell>
        </row>
        <row r="1158">
          <cell r="B1158">
            <v>2011</v>
          </cell>
          <cell r="K1158" t="str">
            <v>BENTON</v>
          </cell>
          <cell r="L1158" t="str">
            <v>Benton</v>
          </cell>
          <cell r="V1158">
            <v>209000</v>
          </cell>
        </row>
        <row r="1159">
          <cell r="B1159">
            <v>2011</v>
          </cell>
          <cell r="K1159" t="str">
            <v>CEDAR</v>
          </cell>
          <cell r="L1159" t="str">
            <v>Cedar</v>
          </cell>
          <cell r="V1159">
            <v>173500</v>
          </cell>
        </row>
        <row r="1160">
          <cell r="B1160">
            <v>2011</v>
          </cell>
          <cell r="K1160" t="str">
            <v>CLINTON</v>
          </cell>
          <cell r="L1160" t="str">
            <v>Clinton</v>
          </cell>
          <cell r="V1160">
            <v>207500</v>
          </cell>
        </row>
        <row r="1161">
          <cell r="B1161">
            <v>2011</v>
          </cell>
          <cell r="K1161" t="str">
            <v>IOWA</v>
          </cell>
          <cell r="L1161" t="str">
            <v>Iowa</v>
          </cell>
          <cell r="V1161">
            <v>126000</v>
          </cell>
        </row>
        <row r="1162">
          <cell r="B1162">
            <v>2011</v>
          </cell>
          <cell r="K1162" t="str">
            <v>JACKSON</v>
          </cell>
          <cell r="L1162" t="str">
            <v>Jackson</v>
          </cell>
          <cell r="V1162">
            <v>115500</v>
          </cell>
        </row>
        <row r="1163">
          <cell r="B1163">
            <v>2011</v>
          </cell>
          <cell r="K1163" t="str">
            <v>JOHNSON</v>
          </cell>
          <cell r="L1163" t="str">
            <v>Johnson</v>
          </cell>
          <cell r="V1163">
            <v>119500</v>
          </cell>
        </row>
        <row r="1164">
          <cell r="B1164">
            <v>2011</v>
          </cell>
          <cell r="K1164" t="str">
            <v>JONES</v>
          </cell>
          <cell r="L1164" t="str">
            <v>Jones</v>
          </cell>
          <cell r="V1164">
            <v>164500</v>
          </cell>
        </row>
        <row r="1165">
          <cell r="B1165">
            <v>2011</v>
          </cell>
          <cell r="K1165" t="str">
            <v>LINN</v>
          </cell>
          <cell r="L1165" t="str">
            <v>Linn</v>
          </cell>
          <cell r="V1165">
            <v>165500</v>
          </cell>
        </row>
        <row r="1166">
          <cell r="B1166">
            <v>2011</v>
          </cell>
          <cell r="K1166" t="str">
            <v>MUSCATINE</v>
          </cell>
          <cell r="L1166" t="str">
            <v>Muscatine</v>
          </cell>
          <cell r="V1166">
            <v>96000</v>
          </cell>
        </row>
        <row r="1167">
          <cell r="B1167">
            <v>2011</v>
          </cell>
          <cell r="K1167" t="str">
            <v>SCOTT</v>
          </cell>
          <cell r="L1167" t="str">
            <v>Scott</v>
          </cell>
          <cell r="V1167">
            <v>118000</v>
          </cell>
        </row>
        <row r="1168">
          <cell r="B1168">
            <v>2011</v>
          </cell>
          <cell r="K1168" t="str">
            <v>BUTLER</v>
          </cell>
          <cell r="L1168" t="str">
            <v>Butler</v>
          </cell>
          <cell r="V1168">
            <v>180500</v>
          </cell>
        </row>
        <row r="1169">
          <cell r="B1169">
            <v>2011</v>
          </cell>
          <cell r="K1169" t="str">
            <v>CERRO GORDO</v>
          </cell>
          <cell r="L1169" t="str">
            <v>Cerro Gordo</v>
          </cell>
          <cell r="V1169">
            <v>185500</v>
          </cell>
        </row>
        <row r="1170">
          <cell r="B1170">
            <v>2011</v>
          </cell>
          <cell r="K1170" t="str">
            <v>FLOYD</v>
          </cell>
          <cell r="L1170" t="str">
            <v>Floyd</v>
          </cell>
          <cell r="V1170">
            <v>150500</v>
          </cell>
        </row>
        <row r="1171">
          <cell r="B1171">
            <v>2011</v>
          </cell>
          <cell r="K1171" t="str">
            <v>FRANKLIN</v>
          </cell>
          <cell r="L1171" t="str">
            <v>Franklin</v>
          </cell>
          <cell r="V1171">
            <v>210000</v>
          </cell>
        </row>
        <row r="1172">
          <cell r="B1172">
            <v>2011</v>
          </cell>
          <cell r="K1172" t="str">
            <v>HANCOCK</v>
          </cell>
          <cell r="L1172" t="str">
            <v>Hancock</v>
          </cell>
          <cell r="V1172">
            <v>203500</v>
          </cell>
        </row>
        <row r="1173">
          <cell r="B1173">
            <v>2011</v>
          </cell>
          <cell r="K1173" t="str">
            <v>HUMBOLDT</v>
          </cell>
          <cell r="L1173" t="str">
            <v>Humboldt</v>
          </cell>
          <cell r="V1173">
            <v>142500</v>
          </cell>
        </row>
        <row r="1174">
          <cell r="B1174">
            <v>2011</v>
          </cell>
          <cell r="K1174" t="str">
            <v>KOSSUTH</v>
          </cell>
          <cell r="L1174" t="str">
            <v>Kossuth</v>
          </cell>
          <cell r="V1174">
            <v>326500</v>
          </cell>
        </row>
        <row r="1175">
          <cell r="B1175">
            <v>2011</v>
          </cell>
          <cell r="K1175" t="str">
            <v>MITCHELL</v>
          </cell>
          <cell r="L1175" t="str">
            <v>Mitchell</v>
          </cell>
          <cell r="V1175">
            <v>158500</v>
          </cell>
        </row>
        <row r="1176">
          <cell r="B1176">
            <v>2011</v>
          </cell>
          <cell r="K1176" t="str">
            <v>WINNEBAGO</v>
          </cell>
          <cell r="L1176" t="str">
            <v>Winnebago</v>
          </cell>
          <cell r="V1176">
            <v>130000</v>
          </cell>
        </row>
        <row r="1177">
          <cell r="B1177">
            <v>2011</v>
          </cell>
          <cell r="K1177" t="str">
            <v>WORTH</v>
          </cell>
          <cell r="L1177" t="str">
            <v>Worth</v>
          </cell>
          <cell r="V1177">
            <v>122500</v>
          </cell>
        </row>
        <row r="1178">
          <cell r="B1178">
            <v>2011</v>
          </cell>
          <cell r="K1178" t="str">
            <v>WRIGHT</v>
          </cell>
          <cell r="L1178" t="str">
            <v>Wright</v>
          </cell>
          <cell r="V1178">
            <v>185000</v>
          </cell>
        </row>
        <row r="1179">
          <cell r="B1179">
            <v>2011</v>
          </cell>
          <cell r="K1179" t="str">
            <v>ALLAMAKEE</v>
          </cell>
          <cell r="L1179" t="str">
            <v>Allamakee</v>
          </cell>
          <cell r="V1179">
            <v>92500</v>
          </cell>
        </row>
        <row r="1180">
          <cell r="B1180">
            <v>2011</v>
          </cell>
          <cell r="K1180" t="str">
            <v>BLACK HAWK</v>
          </cell>
          <cell r="L1180" t="str">
            <v>Black Hawk</v>
          </cell>
          <cell r="V1180">
            <v>157000</v>
          </cell>
        </row>
        <row r="1181">
          <cell r="B1181">
            <v>2011</v>
          </cell>
          <cell r="K1181" t="str">
            <v>BREMER</v>
          </cell>
          <cell r="L1181" t="str">
            <v>Bremer</v>
          </cell>
          <cell r="V1181">
            <v>130000</v>
          </cell>
        </row>
        <row r="1182">
          <cell r="B1182">
            <v>2011</v>
          </cell>
          <cell r="K1182" t="str">
            <v>BUCHANAN</v>
          </cell>
          <cell r="L1182" t="str">
            <v>Buchanan</v>
          </cell>
          <cell r="V1182">
            <v>203000</v>
          </cell>
        </row>
        <row r="1183">
          <cell r="B1183">
            <v>2011</v>
          </cell>
          <cell r="K1183" t="str">
            <v>CHICKASAW</v>
          </cell>
          <cell r="L1183" t="str">
            <v>Chickasaw</v>
          </cell>
          <cell r="V1183">
            <v>152500</v>
          </cell>
        </row>
        <row r="1184">
          <cell r="B1184">
            <v>2011</v>
          </cell>
          <cell r="K1184" t="str">
            <v>CLAYTON</v>
          </cell>
          <cell r="L1184" t="str">
            <v>Clayton</v>
          </cell>
          <cell r="V1184">
            <v>164000</v>
          </cell>
        </row>
        <row r="1185">
          <cell r="B1185">
            <v>2011</v>
          </cell>
          <cell r="K1185" t="str">
            <v>DELAWARE</v>
          </cell>
          <cell r="L1185" t="str">
            <v>Delaware</v>
          </cell>
          <cell r="V1185">
            <v>207500</v>
          </cell>
        </row>
        <row r="1186">
          <cell r="B1186">
            <v>2011</v>
          </cell>
          <cell r="K1186" t="str">
            <v>DUBUQUE</v>
          </cell>
          <cell r="L1186" t="str">
            <v>Dubuque</v>
          </cell>
          <cell r="V1186">
            <v>149500</v>
          </cell>
        </row>
        <row r="1187">
          <cell r="B1187">
            <v>2011</v>
          </cell>
          <cell r="K1187" t="str">
            <v>FAYETTE</v>
          </cell>
          <cell r="L1187" t="str">
            <v>Fayette</v>
          </cell>
          <cell r="V1187">
            <v>203000</v>
          </cell>
        </row>
        <row r="1188">
          <cell r="B1188">
            <v>2011</v>
          </cell>
          <cell r="K1188" t="str">
            <v>HOWARD</v>
          </cell>
          <cell r="L1188" t="str">
            <v>Howard</v>
          </cell>
          <cell r="V1188">
            <v>136500</v>
          </cell>
        </row>
        <row r="1189">
          <cell r="B1189">
            <v>2011</v>
          </cell>
          <cell r="K1189" t="str">
            <v>WINNESHIEK</v>
          </cell>
          <cell r="L1189" t="str">
            <v>Winneshiek</v>
          </cell>
          <cell r="V1189">
            <v>169500</v>
          </cell>
        </row>
        <row r="1190">
          <cell r="B1190">
            <v>2011</v>
          </cell>
          <cell r="K1190" t="str">
            <v>BUENA VISTA</v>
          </cell>
          <cell r="L1190" t="str">
            <v>Buena Vista</v>
          </cell>
          <cell r="V1190">
            <v>174000</v>
          </cell>
        </row>
        <row r="1191">
          <cell r="B1191">
            <v>2011</v>
          </cell>
          <cell r="K1191" t="str">
            <v>CHEROKEE</v>
          </cell>
          <cell r="L1191" t="str">
            <v>Cherokee</v>
          </cell>
          <cell r="V1191">
            <v>157000</v>
          </cell>
        </row>
        <row r="1192">
          <cell r="B1192">
            <v>2011</v>
          </cell>
          <cell r="K1192" t="str">
            <v>CLAY</v>
          </cell>
          <cell r="L1192" t="str">
            <v>Clay</v>
          </cell>
          <cell r="V1192">
            <v>165500</v>
          </cell>
        </row>
        <row r="1193">
          <cell r="B1193">
            <v>2011</v>
          </cell>
          <cell r="K1193" t="str">
            <v>DICKINSON</v>
          </cell>
          <cell r="L1193" t="str">
            <v>Dickinson</v>
          </cell>
          <cell r="V1193">
            <v>99000</v>
          </cell>
        </row>
        <row r="1194">
          <cell r="B1194">
            <v>2011</v>
          </cell>
          <cell r="K1194" t="str">
            <v>EMMET</v>
          </cell>
          <cell r="L1194" t="str">
            <v>Emmet</v>
          </cell>
          <cell r="V1194">
            <v>119500</v>
          </cell>
        </row>
        <row r="1195">
          <cell r="B1195">
            <v>2011</v>
          </cell>
          <cell r="K1195" t="str">
            <v>LYON</v>
          </cell>
          <cell r="L1195" t="str">
            <v>Lyon</v>
          </cell>
          <cell r="V1195">
            <v>188500</v>
          </cell>
        </row>
        <row r="1196">
          <cell r="B1196">
            <v>2011</v>
          </cell>
          <cell r="K1196" t="str">
            <v>O BRIEN</v>
          </cell>
          <cell r="L1196" t="str">
            <v>O Brien</v>
          </cell>
          <cell r="V1196">
            <v>174000</v>
          </cell>
        </row>
        <row r="1197">
          <cell r="B1197">
            <v>2011</v>
          </cell>
          <cell r="K1197" t="str">
            <v>OSCEOLA</v>
          </cell>
          <cell r="L1197" t="str">
            <v>Osceola</v>
          </cell>
          <cell r="V1197">
            <v>124500</v>
          </cell>
        </row>
        <row r="1198">
          <cell r="B1198">
            <v>2011</v>
          </cell>
          <cell r="K1198" t="str">
            <v>PALO ALTO</v>
          </cell>
          <cell r="L1198" t="str">
            <v>Palo Alto</v>
          </cell>
          <cell r="V1198">
            <v>185000</v>
          </cell>
        </row>
        <row r="1199">
          <cell r="B1199">
            <v>2011</v>
          </cell>
          <cell r="K1199" t="str">
            <v>PLYMOUTH</v>
          </cell>
          <cell r="L1199" t="str">
            <v>Plymouth</v>
          </cell>
          <cell r="V1199">
            <v>241000</v>
          </cell>
        </row>
        <row r="1200">
          <cell r="B1200">
            <v>2011</v>
          </cell>
          <cell r="K1200" t="str">
            <v>POCAHONTAS</v>
          </cell>
          <cell r="L1200" t="str">
            <v>Pocahontas</v>
          </cell>
          <cell r="V1200">
            <v>187000</v>
          </cell>
        </row>
        <row r="1201">
          <cell r="B1201">
            <v>2011</v>
          </cell>
          <cell r="K1201" t="str">
            <v>SIOUX</v>
          </cell>
          <cell r="L1201" t="str">
            <v>Sioux</v>
          </cell>
          <cell r="V1201">
            <v>260000</v>
          </cell>
        </row>
        <row r="1202">
          <cell r="B1202">
            <v>2011</v>
          </cell>
          <cell r="K1202" t="str">
            <v>APPANOOSE</v>
          </cell>
          <cell r="L1202" t="str">
            <v>Appanoose</v>
          </cell>
          <cell r="V1202">
            <v>35700</v>
          </cell>
        </row>
        <row r="1203">
          <cell r="B1203">
            <v>2011</v>
          </cell>
          <cell r="K1203" t="str">
            <v>CLARKE</v>
          </cell>
          <cell r="L1203" t="str">
            <v>Clarke</v>
          </cell>
          <cell r="V1203">
            <v>41000</v>
          </cell>
        </row>
        <row r="1204">
          <cell r="B1204">
            <v>2011</v>
          </cell>
          <cell r="K1204" t="str">
            <v>DECATUR</v>
          </cell>
          <cell r="L1204" t="str">
            <v>Decatur</v>
          </cell>
          <cell r="V1204">
            <v>37300</v>
          </cell>
        </row>
        <row r="1205">
          <cell r="B1205">
            <v>2011</v>
          </cell>
          <cell r="K1205" t="str">
            <v>LUCAS</v>
          </cell>
          <cell r="L1205" t="str">
            <v>Lucas</v>
          </cell>
          <cell r="V1205">
            <v>33300</v>
          </cell>
        </row>
        <row r="1206">
          <cell r="B1206">
            <v>2011</v>
          </cell>
          <cell r="K1206" t="str">
            <v>MADISON</v>
          </cell>
          <cell r="L1206" t="str">
            <v>Madison</v>
          </cell>
          <cell r="V1206">
            <v>75500</v>
          </cell>
        </row>
        <row r="1207">
          <cell r="B1207">
            <v>2011</v>
          </cell>
          <cell r="K1207" t="str">
            <v>MARION</v>
          </cell>
          <cell r="L1207" t="str">
            <v>Marion</v>
          </cell>
          <cell r="V1207">
            <v>81000</v>
          </cell>
        </row>
        <row r="1208">
          <cell r="B1208">
            <v>2011</v>
          </cell>
          <cell r="K1208" t="str">
            <v>MONROE</v>
          </cell>
          <cell r="L1208" t="str">
            <v>Monroe</v>
          </cell>
          <cell r="V1208">
            <v>34100</v>
          </cell>
        </row>
        <row r="1209">
          <cell r="B1209">
            <v>2011</v>
          </cell>
          <cell r="K1209" t="str">
            <v>RINGGOLD</v>
          </cell>
          <cell r="L1209" t="str">
            <v>Ringgold</v>
          </cell>
          <cell r="V1209">
            <v>58600</v>
          </cell>
        </row>
        <row r="1210">
          <cell r="B1210">
            <v>2011</v>
          </cell>
          <cell r="K1210" t="str">
            <v>UNION</v>
          </cell>
          <cell r="L1210" t="str">
            <v>Union</v>
          </cell>
          <cell r="V1210">
            <v>60300</v>
          </cell>
        </row>
        <row r="1211">
          <cell r="B1211">
            <v>2011</v>
          </cell>
          <cell r="K1211" t="str">
            <v>WARREN</v>
          </cell>
          <cell r="L1211" t="str">
            <v>Warren</v>
          </cell>
          <cell r="V1211">
            <v>69200</v>
          </cell>
        </row>
        <row r="1212">
          <cell r="B1212">
            <v>2011</v>
          </cell>
          <cell r="K1212" t="str">
            <v>WAYNE</v>
          </cell>
          <cell r="L1212" t="str">
            <v>Wayne</v>
          </cell>
          <cell r="V1212">
            <v>59000</v>
          </cell>
        </row>
        <row r="1213">
          <cell r="B1213">
            <v>2011</v>
          </cell>
          <cell r="K1213" t="str">
            <v>DAVIS</v>
          </cell>
          <cell r="L1213" t="str">
            <v>Davis</v>
          </cell>
          <cell r="V1213">
            <v>46000</v>
          </cell>
        </row>
        <row r="1214">
          <cell r="B1214">
            <v>2011</v>
          </cell>
          <cell r="K1214" t="str">
            <v>DES MOINES</v>
          </cell>
          <cell r="L1214" t="str">
            <v>Des Moines</v>
          </cell>
          <cell r="V1214">
            <v>77000</v>
          </cell>
        </row>
        <row r="1215">
          <cell r="B1215">
            <v>2011</v>
          </cell>
          <cell r="K1215" t="str">
            <v>HENRY</v>
          </cell>
          <cell r="L1215" t="str">
            <v>Henry</v>
          </cell>
          <cell r="V1215">
            <v>83500</v>
          </cell>
        </row>
        <row r="1216">
          <cell r="B1216">
            <v>2011</v>
          </cell>
          <cell r="K1216" t="str">
            <v>JEFFERSON</v>
          </cell>
          <cell r="L1216" t="str">
            <v>Jefferson</v>
          </cell>
          <cell r="V1216">
            <v>76500</v>
          </cell>
        </row>
        <row r="1217">
          <cell r="B1217">
            <v>2011</v>
          </cell>
          <cell r="K1217" t="str">
            <v>KEOKUK</v>
          </cell>
          <cell r="L1217" t="str">
            <v>Keokuk</v>
          </cell>
          <cell r="V1217">
            <v>121000</v>
          </cell>
        </row>
        <row r="1218">
          <cell r="B1218">
            <v>2011</v>
          </cell>
          <cell r="K1218" t="str">
            <v>LEE</v>
          </cell>
          <cell r="L1218" t="str">
            <v>Lee</v>
          </cell>
          <cell r="V1218">
            <v>77500</v>
          </cell>
        </row>
        <row r="1219">
          <cell r="B1219">
            <v>2011</v>
          </cell>
          <cell r="K1219" t="str">
            <v>LOUISA</v>
          </cell>
          <cell r="L1219" t="str">
            <v>Louisa</v>
          </cell>
          <cell r="V1219">
            <v>83500</v>
          </cell>
        </row>
        <row r="1220">
          <cell r="B1220">
            <v>2011</v>
          </cell>
          <cell r="K1220" t="str">
            <v>MAHASKA</v>
          </cell>
          <cell r="L1220" t="str">
            <v>Mahaska</v>
          </cell>
          <cell r="V1220">
            <v>133000</v>
          </cell>
        </row>
        <row r="1221">
          <cell r="B1221">
            <v>2011</v>
          </cell>
          <cell r="K1221" t="str">
            <v>VAN BUREN</v>
          </cell>
          <cell r="L1221" t="str">
            <v>Van Buren</v>
          </cell>
          <cell r="V1221">
            <v>50500</v>
          </cell>
        </row>
        <row r="1222">
          <cell r="B1222">
            <v>2011</v>
          </cell>
          <cell r="K1222" t="str">
            <v>WAPELLO</v>
          </cell>
          <cell r="L1222" t="str">
            <v>Wapello</v>
          </cell>
          <cell r="V1222">
            <v>62000</v>
          </cell>
        </row>
        <row r="1223">
          <cell r="B1223">
            <v>2011</v>
          </cell>
          <cell r="K1223" t="str">
            <v>WASHINGTON</v>
          </cell>
          <cell r="L1223" t="str">
            <v>Washington</v>
          </cell>
          <cell r="V1223">
            <v>129500</v>
          </cell>
        </row>
        <row r="1224">
          <cell r="B1224">
            <v>2011</v>
          </cell>
          <cell r="K1224" t="str">
            <v>ADAIR</v>
          </cell>
          <cell r="L1224" t="str">
            <v>Adair</v>
          </cell>
          <cell r="V1224">
            <v>112000</v>
          </cell>
        </row>
        <row r="1225">
          <cell r="B1225">
            <v>2011</v>
          </cell>
          <cell r="K1225" t="str">
            <v>ADAMS</v>
          </cell>
          <cell r="L1225" t="str">
            <v>Adams</v>
          </cell>
          <cell r="V1225">
            <v>73000</v>
          </cell>
        </row>
        <row r="1226">
          <cell r="B1226">
            <v>2011</v>
          </cell>
          <cell r="K1226" t="str">
            <v>CASS</v>
          </cell>
          <cell r="L1226" t="str">
            <v>Cass</v>
          </cell>
          <cell r="V1226">
            <v>140500</v>
          </cell>
        </row>
        <row r="1227">
          <cell r="B1227">
            <v>2011</v>
          </cell>
          <cell r="K1227" t="str">
            <v>FREMONT</v>
          </cell>
          <cell r="L1227" t="str">
            <v>Fremont</v>
          </cell>
          <cell r="V1227">
            <v>118500</v>
          </cell>
        </row>
        <row r="1228">
          <cell r="B1228">
            <v>2011</v>
          </cell>
          <cell r="K1228" t="str">
            <v>MILLS</v>
          </cell>
          <cell r="L1228" t="str">
            <v>Mills</v>
          </cell>
          <cell r="V1228">
            <v>102500</v>
          </cell>
        </row>
        <row r="1229">
          <cell r="B1229">
            <v>2011</v>
          </cell>
          <cell r="K1229" t="str">
            <v>MONTGOMERY</v>
          </cell>
          <cell r="L1229" t="str">
            <v>Montgomery</v>
          </cell>
          <cell r="V1229">
            <v>96500</v>
          </cell>
        </row>
        <row r="1230">
          <cell r="B1230">
            <v>2011</v>
          </cell>
          <cell r="K1230" t="str">
            <v>PAGE</v>
          </cell>
          <cell r="L1230" t="str">
            <v>Page</v>
          </cell>
          <cell r="V1230">
            <v>114500</v>
          </cell>
        </row>
        <row r="1231">
          <cell r="B1231">
            <v>2011</v>
          </cell>
          <cell r="K1231" t="str">
            <v>POTTAWATTAMIE</v>
          </cell>
          <cell r="L1231" t="str">
            <v>Pottawattamie</v>
          </cell>
          <cell r="V1231">
            <v>248500</v>
          </cell>
        </row>
        <row r="1232">
          <cell r="B1232">
            <v>2011</v>
          </cell>
          <cell r="K1232" t="str">
            <v>TAYLOR</v>
          </cell>
          <cell r="L1232" t="str">
            <v>Taylor</v>
          </cell>
          <cell r="V1232">
            <v>89000</v>
          </cell>
        </row>
        <row r="1233">
          <cell r="B1233">
            <v>2011</v>
          </cell>
          <cell r="K1233" t="str">
            <v>AUDUBON</v>
          </cell>
          <cell r="L1233" t="str">
            <v>Audubon</v>
          </cell>
          <cell r="V1233">
            <v>117500</v>
          </cell>
        </row>
        <row r="1234">
          <cell r="B1234">
            <v>2011</v>
          </cell>
          <cell r="K1234" t="str">
            <v>CALHOUN</v>
          </cell>
          <cell r="L1234" t="str">
            <v>Calhoun</v>
          </cell>
          <cell r="V1234">
            <v>184500</v>
          </cell>
        </row>
        <row r="1235">
          <cell r="B1235">
            <v>2011</v>
          </cell>
          <cell r="K1235" t="str">
            <v>CARROLL</v>
          </cell>
          <cell r="L1235" t="str">
            <v>Carroll</v>
          </cell>
          <cell r="V1235">
            <v>191000</v>
          </cell>
        </row>
        <row r="1236">
          <cell r="B1236">
            <v>2011</v>
          </cell>
          <cell r="K1236" t="str">
            <v>CRAWFORD</v>
          </cell>
          <cell r="L1236" t="str">
            <v>Crawford</v>
          </cell>
          <cell r="V1236">
            <v>215500</v>
          </cell>
        </row>
        <row r="1237">
          <cell r="B1237">
            <v>2011</v>
          </cell>
          <cell r="K1237" t="str">
            <v>GREENE</v>
          </cell>
          <cell r="L1237" t="str">
            <v>Greene</v>
          </cell>
          <cell r="V1237">
            <v>182000</v>
          </cell>
        </row>
        <row r="1238">
          <cell r="B1238">
            <v>2011</v>
          </cell>
          <cell r="K1238" t="str">
            <v>GUTHRIE</v>
          </cell>
          <cell r="L1238" t="str">
            <v>Guthrie</v>
          </cell>
          <cell r="V1238">
            <v>118500</v>
          </cell>
        </row>
        <row r="1239">
          <cell r="B1239">
            <v>2011</v>
          </cell>
          <cell r="K1239" t="str">
            <v>HARRISON</v>
          </cell>
          <cell r="L1239" t="str">
            <v>Harrison</v>
          </cell>
          <cell r="V1239">
            <v>187500</v>
          </cell>
        </row>
        <row r="1240">
          <cell r="B1240">
            <v>2011</v>
          </cell>
          <cell r="K1240" t="str">
            <v>IDA</v>
          </cell>
          <cell r="L1240" t="str">
            <v>Ida</v>
          </cell>
          <cell r="V1240">
            <v>133000</v>
          </cell>
        </row>
        <row r="1241">
          <cell r="B1241">
            <v>2011</v>
          </cell>
          <cell r="K1241" t="str">
            <v>MONONA</v>
          </cell>
          <cell r="L1241" t="str">
            <v>Monona</v>
          </cell>
          <cell r="V1241">
            <v>191500</v>
          </cell>
        </row>
        <row r="1242">
          <cell r="B1242">
            <v>2011</v>
          </cell>
          <cell r="K1242" t="str">
            <v>SAC</v>
          </cell>
          <cell r="L1242" t="str">
            <v>Sac</v>
          </cell>
          <cell r="V1242">
            <v>181000</v>
          </cell>
        </row>
        <row r="1243">
          <cell r="B1243">
            <v>2011</v>
          </cell>
          <cell r="K1243" t="str">
            <v>SHELBY</v>
          </cell>
          <cell r="L1243" t="str">
            <v>Shelby</v>
          </cell>
          <cell r="V1243">
            <v>184000</v>
          </cell>
        </row>
        <row r="1244">
          <cell r="B1244">
            <v>2011</v>
          </cell>
          <cell r="K1244" t="str">
            <v>WOODBURY</v>
          </cell>
          <cell r="L1244" t="str">
            <v>Woodbury</v>
          </cell>
          <cell r="V1244">
            <v>229000</v>
          </cell>
        </row>
        <row r="1245">
          <cell r="B1245">
            <v>2010</v>
          </cell>
          <cell r="K1245" t="str">
            <v>BOONE</v>
          </cell>
          <cell r="L1245" t="str">
            <v>Boone</v>
          </cell>
          <cell r="V1245">
            <v>167000</v>
          </cell>
        </row>
        <row r="1246">
          <cell r="B1246">
            <v>2010</v>
          </cell>
          <cell r="K1246" t="str">
            <v>DALLAS</v>
          </cell>
          <cell r="L1246" t="str">
            <v>Dallas</v>
          </cell>
          <cell r="V1246">
            <v>138500</v>
          </cell>
        </row>
        <row r="1247">
          <cell r="B1247">
            <v>2010</v>
          </cell>
          <cell r="K1247" t="str">
            <v>GRUNDY</v>
          </cell>
          <cell r="L1247" t="str">
            <v>Grundy</v>
          </cell>
          <cell r="V1247">
            <v>156500</v>
          </cell>
        </row>
        <row r="1248">
          <cell r="B1248">
            <v>2010</v>
          </cell>
          <cell r="K1248" t="str">
            <v>HAMILTON</v>
          </cell>
          <cell r="L1248" t="str">
            <v>Hamilton</v>
          </cell>
          <cell r="V1248">
            <v>200500</v>
          </cell>
        </row>
        <row r="1249">
          <cell r="B1249">
            <v>2010</v>
          </cell>
          <cell r="K1249" t="str">
            <v>HARDIN</v>
          </cell>
          <cell r="L1249" t="str">
            <v>Hardin</v>
          </cell>
          <cell r="V1249">
            <v>186000</v>
          </cell>
        </row>
        <row r="1250">
          <cell r="B1250">
            <v>2010</v>
          </cell>
          <cell r="K1250" t="str">
            <v>JASPER</v>
          </cell>
          <cell r="L1250" t="str">
            <v>Jasper</v>
          </cell>
          <cell r="V1250">
            <v>173000</v>
          </cell>
        </row>
        <row r="1251">
          <cell r="B1251">
            <v>2010</v>
          </cell>
          <cell r="K1251" t="str">
            <v>MARSHALL</v>
          </cell>
          <cell r="L1251" t="str">
            <v>Marshall</v>
          </cell>
          <cell r="V1251">
            <v>151500</v>
          </cell>
        </row>
        <row r="1252">
          <cell r="B1252">
            <v>2010</v>
          </cell>
          <cell r="K1252" t="str">
            <v>POLK</v>
          </cell>
          <cell r="L1252" t="str">
            <v>Polk</v>
          </cell>
          <cell r="V1252">
            <v>87000</v>
          </cell>
        </row>
        <row r="1253">
          <cell r="B1253">
            <v>2010</v>
          </cell>
          <cell r="K1253" t="str">
            <v>POWESHIEK</v>
          </cell>
          <cell r="L1253" t="str">
            <v>Poweshiek</v>
          </cell>
          <cell r="V1253">
            <v>144000</v>
          </cell>
        </row>
        <row r="1254">
          <cell r="B1254">
            <v>2010</v>
          </cell>
          <cell r="K1254" t="str">
            <v>STORY</v>
          </cell>
          <cell r="L1254" t="str">
            <v>Story</v>
          </cell>
          <cell r="V1254">
            <v>166000</v>
          </cell>
        </row>
        <row r="1255">
          <cell r="B1255">
            <v>2010</v>
          </cell>
          <cell r="K1255" t="str">
            <v>TAMA</v>
          </cell>
          <cell r="L1255" t="str">
            <v>Tama</v>
          </cell>
          <cell r="V1255">
            <v>168000</v>
          </cell>
        </row>
        <row r="1256">
          <cell r="B1256">
            <v>2010</v>
          </cell>
          <cell r="K1256" t="str">
            <v>WEBSTER</v>
          </cell>
          <cell r="L1256" t="str">
            <v>Webster</v>
          </cell>
          <cell r="V1256">
            <v>212000</v>
          </cell>
        </row>
        <row r="1257">
          <cell r="B1257">
            <v>2010</v>
          </cell>
          <cell r="K1257" t="str">
            <v>BENTON</v>
          </cell>
          <cell r="L1257" t="str">
            <v>Benton</v>
          </cell>
          <cell r="V1257">
            <v>197500</v>
          </cell>
        </row>
        <row r="1258">
          <cell r="B1258">
            <v>2010</v>
          </cell>
          <cell r="K1258" t="str">
            <v>CEDAR</v>
          </cell>
          <cell r="L1258" t="str">
            <v>Cedar</v>
          </cell>
          <cell r="V1258">
            <v>162000</v>
          </cell>
        </row>
        <row r="1259">
          <cell r="B1259">
            <v>2010</v>
          </cell>
          <cell r="K1259" t="str">
            <v>CLINTON</v>
          </cell>
          <cell r="L1259" t="str">
            <v>Clinton</v>
          </cell>
          <cell r="V1259">
            <v>197000</v>
          </cell>
        </row>
        <row r="1260">
          <cell r="B1260">
            <v>2010</v>
          </cell>
          <cell r="K1260" t="str">
            <v>IOWA</v>
          </cell>
          <cell r="L1260" t="str">
            <v>Iowa</v>
          </cell>
          <cell r="V1260">
            <v>120500</v>
          </cell>
        </row>
        <row r="1261">
          <cell r="B1261">
            <v>2010</v>
          </cell>
          <cell r="K1261" t="str">
            <v>JACKSON</v>
          </cell>
          <cell r="L1261" t="str">
            <v>Jackson</v>
          </cell>
          <cell r="V1261">
            <v>108000</v>
          </cell>
        </row>
        <row r="1262">
          <cell r="B1262">
            <v>2010</v>
          </cell>
          <cell r="K1262" t="str">
            <v>JOHNSON</v>
          </cell>
          <cell r="L1262" t="str">
            <v>Johnson</v>
          </cell>
          <cell r="V1262">
            <v>110500</v>
          </cell>
        </row>
        <row r="1263">
          <cell r="B1263">
            <v>2010</v>
          </cell>
          <cell r="K1263" t="str">
            <v>JONES</v>
          </cell>
          <cell r="L1263" t="str">
            <v>Jones</v>
          </cell>
          <cell r="V1263">
            <v>158000</v>
          </cell>
        </row>
        <row r="1264">
          <cell r="B1264">
            <v>2010</v>
          </cell>
          <cell r="K1264" t="str">
            <v>LINN</v>
          </cell>
          <cell r="L1264" t="str">
            <v>Linn</v>
          </cell>
          <cell r="V1264">
            <v>150000</v>
          </cell>
        </row>
        <row r="1265">
          <cell r="B1265">
            <v>2010</v>
          </cell>
          <cell r="K1265" t="str">
            <v>MUSCATINE</v>
          </cell>
          <cell r="L1265" t="str">
            <v>Muscatine</v>
          </cell>
          <cell r="V1265">
            <v>93500</v>
          </cell>
        </row>
        <row r="1266">
          <cell r="B1266">
            <v>2010</v>
          </cell>
          <cell r="K1266" t="str">
            <v>SCOTT</v>
          </cell>
          <cell r="L1266" t="str">
            <v>Scott</v>
          </cell>
          <cell r="V1266">
            <v>113000</v>
          </cell>
        </row>
        <row r="1267">
          <cell r="B1267">
            <v>2010</v>
          </cell>
          <cell r="K1267" t="str">
            <v>BUTLER</v>
          </cell>
          <cell r="L1267" t="str">
            <v>Butler</v>
          </cell>
          <cell r="V1267">
            <v>170500</v>
          </cell>
        </row>
        <row r="1268">
          <cell r="B1268">
            <v>2010</v>
          </cell>
          <cell r="K1268" t="str">
            <v>CERRO GORDO</v>
          </cell>
          <cell r="L1268" t="str">
            <v>Cerro Gordo</v>
          </cell>
          <cell r="V1268">
            <v>181000</v>
          </cell>
        </row>
        <row r="1269">
          <cell r="B1269">
            <v>2010</v>
          </cell>
          <cell r="K1269" t="str">
            <v>FLOYD</v>
          </cell>
          <cell r="L1269" t="str">
            <v>Floyd</v>
          </cell>
          <cell r="V1269">
            <v>148000</v>
          </cell>
        </row>
        <row r="1270">
          <cell r="B1270">
            <v>2010</v>
          </cell>
          <cell r="K1270" t="str">
            <v>FRANKLIN</v>
          </cell>
          <cell r="L1270" t="str">
            <v>Franklin</v>
          </cell>
          <cell r="V1270">
            <v>199500</v>
          </cell>
        </row>
        <row r="1271">
          <cell r="B1271">
            <v>2010</v>
          </cell>
          <cell r="K1271" t="str">
            <v>HANCOCK</v>
          </cell>
          <cell r="L1271" t="str">
            <v>Hancock</v>
          </cell>
          <cell r="V1271">
            <v>190000</v>
          </cell>
        </row>
        <row r="1272">
          <cell r="B1272">
            <v>2010</v>
          </cell>
          <cell r="K1272" t="str">
            <v>HUMBOLDT</v>
          </cell>
          <cell r="L1272" t="str">
            <v>Humboldt</v>
          </cell>
          <cell r="V1272">
            <v>135000</v>
          </cell>
        </row>
        <row r="1273">
          <cell r="B1273">
            <v>2010</v>
          </cell>
          <cell r="K1273" t="str">
            <v>KOSSUTH</v>
          </cell>
          <cell r="L1273" t="str">
            <v>Kossuth</v>
          </cell>
          <cell r="V1273">
            <v>311000</v>
          </cell>
        </row>
        <row r="1274">
          <cell r="B1274">
            <v>2010</v>
          </cell>
          <cell r="K1274" t="str">
            <v>MITCHELL</v>
          </cell>
          <cell r="L1274" t="str">
            <v>Mitchell</v>
          </cell>
          <cell r="V1274">
            <v>152500</v>
          </cell>
        </row>
        <row r="1275">
          <cell r="B1275">
            <v>2010</v>
          </cell>
          <cell r="K1275" t="str">
            <v>WINNEBAGO</v>
          </cell>
          <cell r="L1275" t="str">
            <v>Winnebago</v>
          </cell>
          <cell r="V1275">
            <v>122000</v>
          </cell>
        </row>
        <row r="1276">
          <cell r="B1276">
            <v>2010</v>
          </cell>
          <cell r="K1276" t="str">
            <v>WORTH</v>
          </cell>
          <cell r="L1276" t="str">
            <v>Worth</v>
          </cell>
          <cell r="V1276">
            <v>119000</v>
          </cell>
        </row>
        <row r="1277">
          <cell r="B1277">
            <v>2010</v>
          </cell>
          <cell r="K1277" t="str">
            <v>WRIGHT</v>
          </cell>
          <cell r="L1277" t="str">
            <v>Wright</v>
          </cell>
          <cell r="V1277">
            <v>176500</v>
          </cell>
        </row>
        <row r="1278">
          <cell r="B1278">
            <v>2010</v>
          </cell>
          <cell r="K1278" t="str">
            <v>ALLAMAKEE</v>
          </cell>
          <cell r="L1278" t="str">
            <v>Allamakee</v>
          </cell>
          <cell r="V1278">
            <v>86000</v>
          </cell>
        </row>
        <row r="1279">
          <cell r="B1279">
            <v>2010</v>
          </cell>
          <cell r="K1279" t="str">
            <v>BLACK HAWK</v>
          </cell>
          <cell r="L1279" t="str">
            <v>Black Hawk</v>
          </cell>
          <cell r="V1279">
            <v>147000</v>
          </cell>
        </row>
        <row r="1280">
          <cell r="B1280">
            <v>2010</v>
          </cell>
          <cell r="K1280" t="str">
            <v>BREMER</v>
          </cell>
          <cell r="L1280" t="str">
            <v>Bremer</v>
          </cell>
          <cell r="V1280">
            <v>124500</v>
          </cell>
        </row>
        <row r="1281">
          <cell r="B1281">
            <v>2010</v>
          </cell>
          <cell r="K1281" t="str">
            <v>BUCHANAN</v>
          </cell>
          <cell r="L1281" t="str">
            <v>Buchanan</v>
          </cell>
          <cell r="V1281">
            <v>190500</v>
          </cell>
        </row>
        <row r="1282">
          <cell r="B1282">
            <v>2010</v>
          </cell>
          <cell r="K1282" t="str">
            <v>CHICKASAW</v>
          </cell>
          <cell r="L1282" t="str">
            <v>Chickasaw</v>
          </cell>
          <cell r="V1282">
            <v>147000</v>
          </cell>
        </row>
        <row r="1283">
          <cell r="B1283">
            <v>2010</v>
          </cell>
          <cell r="K1283" t="str">
            <v>CLAYTON</v>
          </cell>
          <cell r="L1283" t="str">
            <v>Clayton</v>
          </cell>
          <cell r="V1283">
            <v>153000</v>
          </cell>
        </row>
        <row r="1284">
          <cell r="B1284">
            <v>2010</v>
          </cell>
          <cell r="K1284" t="str">
            <v>DELAWARE</v>
          </cell>
          <cell r="L1284" t="str">
            <v>Delaware</v>
          </cell>
          <cell r="V1284">
            <v>199000</v>
          </cell>
        </row>
        <row r="1285">
          <cell r="B1285">
            <v>2010</v>
          </cell>
          <cell r="K1285" t="str">
            <v>DUBUQUE</v>
          </cell>
          <cell r="L1285" t="str">
            <v>Dubuque</v>
          </cell>
          <cell r="V1285">
            <v>141000</v>
          </cell>
        </row>
        <row r="1286">
          <cell r="B1286">
            <v>2010</v>
          </cell>
          <cell r="K1286" t="str">
            <v>FAYETTE</v>
          </cell>
          <cell r="L1286" t="str">
            <v>Fayette</v>
          </cell>
          <cell r="V1286">
            <v>193000</v>
          </cell>
        </row>
        <row r="1287">
          <cell r="B1287">
            <v>2010</v>
          </cell>
          <cell r="K1287" t="str">
            <v>HOWARD</v>
          </cell>
          <cell r="L1287" t="str">
            <v>Howard</v>
          </cell>
          <cell r="V1287">
            <v>130500</v>
          </cell>
        </row>
        <row r="1288">
          <cell r="B1288">
            <v>2010</v>
          </cell>
          <cell r="K1288" t="str">
            <v>WINNESHIEK</v>
          </cell>
          <cell r="L1288" t="str">
            <v>Winneshiek</v>
          </cell>
          <cell r="V1288">
            <v>153500</v>
          </cell>
        </row>
        <row r="1289">
          <cell r="B1289">
            <v>2010</v>
          </cell>
          <cell r="K1289" t="str">
            <v>BUENA VISTA</v>
          </cell>
          <cell r="L1289" t="str">
            <v>Buena Vista</v>
          </cell>
          <cell r="V1289">
            <v>165000</v>
          </cell>
        </row>
        <row r="1290">
          <cell r="B1290">
            <v>2010</v>
          </cell>
          <cell r="K1290" t="str">
            <v>CHEROKEE</v>
          </cell>
          <cell r="L1290" t="str">
            <v>Cherokee</v>
          </cell>
          <cell r="V1290">
            <v>150500</v>
          </cell>
        </row>
        <row r="1291">
          <cell r="B1291">
            <v>2010</v>
          </cell>
          <cell r="K1291" t="str">
            <v>CLAY</v>
          </cell>
          <cell r="L1291" t="str">
            <v>Clay</v>
          </cell>
          <cell r="V1291">
            <v>159000</v>
          </cell>
        </row>
        <row r="1292">
          <cell r="B1292">
            <v>2010</v>
          </cell>
          <cell r="K1292" t="str">
            <v>DICKINSON</v>
          </cell>
          <cell r="L1292" t="str">
            <v>Dickinson</v>
          </cell>
          <cell r="V1292">
            <v>92500</v>
          </cell>
        </row>
        <row r="1293">
          <cell r="B1293">
            <v>2010</v>
          </cell>
          <cell r="K1293" t="str">
            <v>EMMET</v>
          </cell>
          <cell r="L1293" t="str">
            <v>Emmet</v>
          </cell>
          <cell r="V1293">
            <v>116000</v>
          </cell>
        </row>
        <row r="1294">
          <cell r="B1294">
            <v>2010</v>
          </cell>
          <cell r="K1294" t="str">
            <v>LYON</v>
          </cell>
          <cell r="L1294" t="str">
            <v>Lyon</v>
          </cell>
          <cell r="V1294">
            <v>175500</v>
          </cell>
        </row>
        <row r="1295">
          <cell r="B1295">
            <v>2010</v>
          </cell>
          <cell r="K1295" t="str">
            <v>O BRIEN</v>
          </cell>
          <cell r="L1295" t="str">
            <v>O Brien</v>
          </cell>
          <cell r="V1295">
            <v>166500</v>
          </cell>
        </row>
        <row r="1296">
          <cell r="B1296">
            <v>2010</v>
          </cell>
          <cell r="K1296" t="str">
            <v>OSCEOLA</v>
          </cell>
          <cell r="L1296" t="str">
            <v>Osceola</v>
          </cell>
          <cell r="V1296">
            <v>118500</v>
          </cell>
        </row>
        <row r="1297">
          <cell r="B1297">
            <v>2010</v>
          </cell>
          <cell r="K1297" t="str">
            <v>PALO ALTO</v>
          </cell>
          <cell r="L1297" t="str">
            <v>Palo Alto</v>
          </cell>
          <cell r="V1297">
            <v>182000</v>
          </cell>
        </row>
        <row r="1298">
          <cell r="B1298">
            <v>2010</v>
          </cell>
          <cell r="K1298" t="str">
            <v>PLYMOUTH</v>
          </cell>
          <cell r="L1298" t="str">
            <v>Plymouth</v>
          </cell>
          <cell r="V1298">
            <v>228000</v>
          </cell>
        </row>
        <row r="1299">
          <cell r="B1299">
            <v>2010</v>
          </cell>
          <cell r="K1299" t="str">
            <v>POCAHONTAS</v>
          </cell>
          <cell r="L1299" t="str">
            <v>Pocahontas</v>
          </cell>
          <cell r="V1299">
            <v>178500</v>
          </cell>
        </row>
        <row r="1300">
          <cell r="B1300">
            <v>2010</v>
          </cell>
          <cell r="K1300" t="str">
            <v>SIOUX</v>
          </cell>
          <cell r="L1300" t="str">
            <v>Sioux</v>
          </cell>
          <cell r="V1300">
            <v>248000</v>
          </cell>
        </row>
        <row r="1301">
          <cell r="B1301">
            <v>2010</v>
          </cell>
          <cell r="K1301" t="str">
            <v>APPANOOSE</v>
          </cell>
          <cell r="L1301" t="str">
            <v>Appanoose</v>
          </cell>
          <cell r="V1301">
            <v>33000</v>
          </cell>
        </row>
        <row r="1302">
          <cell r="B1302">
            <v>2010</v>
          </cell>
          <cell r="K1302" t="str">
            <v>CLARKE</v>
          </cell>
          <cell r="L1302" t="str">
            <v>Clarke</v>
          </cell>
          <cell r="V1302">
            <v>35500</v>
          </cell>
        </row>
        <row r="1303">
          <cell r="B1303">
            <v>2010</v>
          </cell>
          <cell r="K1303" t="str">
            <v>DECATUR</v>
          </cell>
          <cell r="L1303" t="str">
            <v>Decatur</v>
          </cell>
          <cell r="V1303">
            <v>30000</v>
          </cell>
        </row>
        <row r="1304">
          <cell r="B1304">
            <v>2010</v>
          </cell>
          <cell r="K1304" t="str">
            <v>LUCAS</v>
          </cell>
          <cell r="L1304" t="str">
            <v>Lucas</v>
          </cell>
          <cell r="V1304">
            <v>28500</v>
          </cell>
        </row>
        <row r="1305">
          <cell r="B1305">
            <v>2010</v>
          </cell>
          <cell r="K1305" t="str">
            <v>MADISON</v>
          </cell>
          <cell r="L1305" t="str">
            <v>Madison</v>
          </cell>
          <cell r="V1305">
            <v>69500</v>
          </cell>
        </row>
        <row r="1306">
          <cell r="B1306">
            <v>2010</v>
          </cell>
          <cell r="K1306" t="str">
            <v>MARION</v>
          </cell>
          <cell r="L1306" t="str">
            <v>Marion</v>
          </cell>
          <cell r="V1306">
            <v>81500</v>
          </cell>
        </row>
        <row r="1307">
          <cell r="B1307">
            <v>2010</v>
          </cell>
          <cell r="K1307" t="str">
            <v>MONROE</v>
          </cell>
          <cell r="L1307" t="str">
            <v>Monroe</v>
          </cell>
          <cell r="V1307">
            <v>30000</v>
          </cell>
        </row>
        <row r="1308">
          <cell r="B1308">
            <v>2010</v>
          </cell>
          <cell r="K1308" t="str">
            <v>RINGGOLD</v>
          </cell>
          <cell r="L1308" t="str">
            <v>Ringgold</v>
          </cell>
          <cell r="V1308">
            <v>51500</v>
          </cell>
        </row>
        <row r="1309">
          <cell r="B1309">
            <v>2010</v>
          </cell>
          <cell r="K1309" t="str">
            <v>UNION</v>
          </cell>
          <cell r="L1309" t="str">
            <v>Union</v>
          </cell>
          <cell r="V1309">
            <v>53500</v>
          </cell>
        </row>
        <row r="1310">
          <cell r="B1310">
            <v>2010</v>
          </cell>
          <cell r="K1310" t="str">
            <v>WARREN</v>
          </cell>
          <cell r="L1310" t="str">
            <v>Warren</v>
          </cell>
          <cell r="V1310">
            <v>68000</v>
          </cell>
        </row>
        <row r="1311">
          <cell r="B1311">
            <v>2010</v>
          </cell>
          <cell r="K1311" t="str">
            <v>WAYNE</v>
          </cell>
          <cell r="L1311" t="str">
            <v>Wayne</v>
          </cell>
          <cell r="V1311">
            <v>54000</v>
          </cell>
        </row>
        <row r="1312">
          <cell r="B1312">
            <v>2010</v>
          </cell>
          <cell r="K1312" t="str">
            <v>DAVIS</v>
          </cell>
          <cell r="L1312" t="str">
            <v>Davis</v>
          </cell>
          <cell r="V1312">
            <v>44000</v>
          </cell>
        </row>
        <row r="1313">
          <cell r="B1313">
            <v>2010</v>
          </cell>
          <cell r="K1313" t="str">
            <v>DES MOINES</v>
          </cell>
          <cell r="L1313" t="str">
            <v>Des Moines</v>
          </cell>
          <cell r="V1313">
            <v>75500</v>
          </cell>
        </row>
        <row r="1314">
          <cell r="B1314">
            <v>2010</v>
          </cell>
          <cell r="K1314" t="str">
            <v>HENRY</v>
          </cell>
          <cell r="L1314" t="str">
            <v>Henry</v>
          </cell>
          <cell r="V1314">
            <v>81000</v>
          </cell>
        </row>
        <row r="1315">
          <cell r="B1315">
            <v>2010</v>
          </cell>
          <cell r="K1315" t="str">
            <v>JEFFERSON</v>
          </cell>
          <cell r="L1315" t="str">
            <v>Jefferson</v>
          </cell>
          <cell r="V1315">
            <v>69500</v>
          </cell>
        </row>
        <row r="1316">
          <cell r="B1316">
            <v>2010</v>
          </cell>
          <cell r="K1316" t="str">
            <v>KEOKUK</v>
          </cell>
          <cell r="L1316" t="str">
            <v>Keokuk</v>
          </cell>
          <cell r="V1316">
            <v>121000</v>
          </cell>
        </row>
        <row r="1317">
          <cell r="B1317">
            <v>2010</v>
          </cell>
          <cell r="K1317" t="str">
            <v>LEE</v>
          </cell>
          <cell r="L1317" t="str">
            <v>Lee</v>
          </cell>
          <cell r="V1317">
            <v>75000</v>
          </cell>
        </row>
        <row r="1318">
          <cell r="B1318">
            <v>2010</v>
          </cell>
          <cell r="K1318" t="str">
            <v>LOUISA</v>
          </cell>
          <cell r="L1318" t="str">
            <v>Louisa</v>
          </cell>
          <cell r="V1318">
            <v>82500</v>
          </cell>
        </row>
        <row r="1319">
          <cell r="B1319">
            <v>2010</v>
          </cell>
          <cell r="K1319" t="str">
            <v>MAHASKA</v>
          </cell>
          <cell r="L1319" t="str">
            <v>Mahaska</v>
          </cell>
          <cell r="V1319">
            <v>131000</v>
          </cell>
        </row>
        <row r="1320">
          <cell r="B1320">
            <v>2010</v>
          </cell>
          <cell r="K1320" t="str">
            <v>VAN BUREN</v>
          </cell>
          <cell r="L1320" t="str">
            <v>Van Buren</v>
          </cell>
          <cell r="V1320">
            <v>48500</v>
          </cell>
        </row>
        <row r="1321">
          <cell r="B1321">
            <v>2010</v>
          </cell>
          <cell r="K1321" t="str">
            <v>WAPELLO</v>
          </cell>
          <cell r="L1321" t="str">
            <v>Wapello</v>
          </cell>
          <cell r="V1321">
            <v>57500</v>
          </cell>
        </row>
        <row r="1322">
          <cell r="B1322">
            <v>2010</v>
          </cell>
          <cell r="K1322" t="str">
            <v>WASHINGTON</v>
          </cell>
          <cell r="L1322" t="str">
            <v>Washington</v>
          </cell>
          <cell r="V1322">
            <v>124500</v>
          </cell>
        </row>
        <row r="1323">
          <cell r="B1323">
            <v>2010</v>
          </cell>
          <cell r="K1323" t="str">
            <v>ADAIR</v>
          </cell>
          <cell r="L1323" t="str">
            <v>Adair</v>
          </cell>
          <cell r="V1323">
            <v>105500</v>
          </cell>
        </row>
        <row r="1324">
          <cell r="B1324">
            <v>2010</v>
          </cell>
          <cell r="K1324" t="str">
            <v>ADAMS</v>
          </cell>
          <cell r="L1324" t="str">
            <v>Adams</v>
          </cell>
          <cell r="V1324">
            <v>71000</v>
          </cell>
        </row>
        <row r="1325">
          <cell r="B1325">
            <v>2010</v>
          </cell>
          <cell r="K1325" t="str">
            <v>CASS</v>
          </cell>
          <cell r="L1325" t="str">
            <v>Cass</v>
          </cell>
          <cell r="V1325">
            <v>137500</v>
          </cell>
        </row>
        <row r="1326">
          <cell r="B1326">
            <v>2010</v>
          </cell>
          <cell r="K1326" t="str">
            <v>FREMONT</v>
          </cell>
          <cell r="L1326" t="str">
            <v>Fremont</v>
          </cell>
          <cell r="V1326">
            <v>109500</v>
          </cell>
        </row>
        <row r="1327">
          <cell r="B1327">
            <v>2010</v>
          </cell>
          <cell r="K1327" t="str">
            <v>MILLS</v>
          </cell>
          <cell r="L1327" t="str">
            <v>Mills</v>
          </cell>
          <cell r="V1327">
            <v>99000</v>
          </cell>
        </row>
        <row r="1328">
          <cell r="B1328">
            <v>2010</v>
          </cell>
          <cell r="K1328" t="str">
            <v>MONTGOMERY</v>
          </cell>
          <cell r="L1328" t="str">
            <v>Montgomery</v>
          </cell>
          <cell r="V1328">
            <v>92000</v>
          </cell>
        </row>
        <row r="1329">
          <cell r="B1329">
            <v>2010</v>
          </cell>
          <cell r="K1329" t="str">
            <v>PAGE</v>
          </cell>
          <cell r="L1329" t="str">
            <v>Page</v>
          </cell>
          <cell r="V1329">
            <v>110000</v>
          </cell>
        </row>
        <row r="1330">
          <cell r="B1330">
            <v>2010</v>
          </cell>
          <cell r="K1330" t="str">
            <v>POTTAWATTAMIE</v>
          </cell>
          <cell r="L1330" t="str">
            <v>Pottawattamie</v>
          </cell>
          <cell r="V1330">
            <v>232000</v>
          </cell>
        </row>
        <row r="1331">
          <cell r="B1331">
            <v>2010</v>
          </cell>
          <cell r="K1331" t="str">
            <v>TAYLOR</v>
          </cell>
          <cell r="L1331" t="str">
            <v>Taylor</v>
          </cell>
          <cell r="V1331">
            <v>78500</v>
          </cell>
        </row>
        <row r="1332">
          <cell r="B1332">
            <v>2010</v>
          </cell>
          <cell r="K1332" t="str">
            <v>AUDUBON</v>
          </cell>
          <cell r="L1332" t="str">
            <v>Audubon</v>
          </cell>
          <cell r="V1332">
            <v>112500</v>
          </cell>
        </row>
        <row r="1333">
          <cell r="B1333">
            <v>2010</v>
          </cell>
          <cell r="K1333" t="str">
            <v>CALHOUN</v>
          </cell>
          <cell r="L1333" t="str">
            <v>Calhoun</v>
          </cell>
          <cell r="V1333">
            <v>182000</v>
          </cell>
        </row>
        <row r="1334">
          <cell r="B1334">
            <v>2010</v>
          </cell>
          <cell r="K1334" t="str">
            <v>CARROLL</v>
          </cell>
          <cell r="L1334" t="str">
            <v>Carroll</v>
          </cell>
          <cell r="V1334">
            <v>187000</v>
          </cell>
        </row>
        <row r="1335">
          <cell r="B1335">
            <v>2010</v>
          </cell>
          <cell r="K1335" t="str">
            <v>CRAWFORD</v>
          </cell>
          <cell r="L1335" t="str">
            <v>Crawford</v>
          </cell>
          <cell r="V1335">
            <v>202500</v>
          </cell>
        </row>
        <row r="1336">
          <cell r="B1336">
            <v>2010</v>
          </cell>
          <cell r="K1336" t="str">
            <v>GREENE</v>
          </cell>
          <cell r="L1336" t="str">
            <v>Greene</v>
          </cell>
          <cell r="V1336">
            <v>176000</v>
          </cell>
        </row>
        <row r="1337">
          <cell r="B1337">
            <v>2010</v>
          </cell>
          <cell r="K1337" t="str">
            <v>GUTHRIE</v>
          </cell>
          <cell r="L1337" t="str">
            <v>Guthrie</v>
          </cell>
          <cell r="V1337">
            <v>114500</v>
          </cell>
        </row>
        <row r="1338">
          <cell r="B1338">
            <v>2010</v>
          </cell>
          <cell r="K1338" t="str">
            <v>HARRISON</v>
          </cell>
          <cell r="L1338" t="str">
            <v>Harrison</v>
          </cell>
          <cell r="V1338">
            <v>180500</v>
          </cell>
        </row>
        <row r="1339">
          <cell r="B1339">
            <v>2010</v>
          </cell>
          <cell r="K1339" t="str">
            <v>IDA</v>
          </cell>
          <cell r="L1339" t="str">
            <v>Ida</v>
          </cell>
          <cell r="V1339">
            <v>121000</v>
          </cell>
        </row>
        <row r="1340">
          <cell r="B1340">
            <v>2010</v>
          </cell>
          <cell r="K1340" t="str">
            <v>MONONA</v>
          </cell>
          <cell r="L1340" t="str">
            <v>Monona</v>
          </cell>
          <cell r="V1340">
            <v>172500</v>
          </cell>
        </row>
        <row r="1341">
          <cell r="B1341">
            <v>2010</v>
          </cell>
          <cell r="K1341" t="str">
            <v>SAC</v>
          </cell>
          <cell r="L1341" t="str">
            <v>Sac</v>
          </cell>
          <cell r="V1341">
            <v>171500</v>
          </cell>
        </row>
        <row r="1342">
          <cell r="B1342">
            <v>2010</v>
          </cell>
          <cell r="K1342" t="str">
            <v>SHELBY</v>
          </cell>
          <cell r="L1342" t="str">
            <v>Shelby</v>
          </cell>
          <cell r="V1342">
            <v>176000</v>
          </cell>
        </row>
        <row r="1343">
          <cell r="B1343">
            <v>2010</v>
          </cell>
          <cell r="K1343" t="str">
            <v>WOODBURY</v>
          </cell>
          <cell r="L1343" t="str">
            <v>Woodbury</v>
          </cell>
          <cell r="V1343">
            <v>214000</v>
          </cell>
        </row>
        <row r="1344">
          <cell r="B1344">
            <v>2009</v>
          </cell>
          <cell r="K1344" t="str">
            <v>BOONE</v>
          </cell>
          <cell r="L1344" t="str">
            <v>Boone</v>
          </cell>
          <cell r="V1344">
            <v>164500</v>
          </cell>
        </row>
        <row r="1345">
          <cell r="B1345">
            <v>2009</v>
          </cell>
          <cell r="K1345" t="str">
            <v>DALLAS</v>
          </cell>
          <cell r="L1345" t="str">
            <v>Dallas</v>
          </cell>
          <cell r="V1345">
            <v>137000</v>
          </cell>
        </row>
        <row r="1346">
          <cell r="B1346">
            <v>2009</v>
          </cell>
          <cell r="K1346" t="str">
            <v>GRUNDY</v>
          </cell>
          <cell r="L1346" t="str">
            <v>Grundy</v>
          </cell>
          <cell r="V1346">
            <v>163500</v>
          </cell>
        </row>
        <row r="1347">
          <cell r="B1347">
            <v>2009</v>
          </cell>
          <cell r="K1347" t="str">
            <v>HAMILTON</v>
          </cell>
          <cell r="L1347" t="str">
            <v>Hamilton</v>
          </cell>
          <cell r="V1347">
            <v>200000</v>
          </cell>
        </row>
        <row r="1348">
          <cell r="B1348">
            <v>2009</v>
          </cell>
          <cell r="K1348" t="str">
            <v>HARDIN</v>
          </cell>
          <cell r="L1348" t="str">
            <v>Hardin</v>
          </cell>
          <cell r="V1348">
            <v>184000</v>
          </cell>
        </row>
        <row r="1349">
          <cell r="B1349">
            <v>2009</v>
          </cell>
          <cell r="K1349" t="str">
            <v>JASPER</v>
          </cell>
          <cell r="L1349" t="str">
            <v>Jasper</v>
          </cell>
          <cell r="V1349">
            <v>183500</v>
          </cell>
        </row>
        <row r="1350">
          <cell r="B1350">
            <v>2009</v>
          </cell>
          <cell r="K1350" t="str">
            <v>MARSHALL</v>
          </cell>
          <cell r="L1350" t="str">
            <v>Marshall</v>
          </cell>
          <cell r="V1350">
            <v>154000</v>
          </cell>
        </row>
        <row r="1351">
          <cell r="B1351">
            <v>2009</v>
          </cell>
          <cell r="K1351" t="str">
            <v>POLK</v>
          </cell>
          <cell r="L1351" t="str">
            <v>Polk</v>
          </cell>
          <cell r="V1351">
            <v>92000</v>
          </cell>
        </row>
        <row r="1352">
          <cell r="B1352">
            <v>2009</v>
          </cell>
          <cell r="K1352" t="str">
            <v>POWESHIEK</v>
          </cell>
          <cell r="L1352" t="str">
            <v>Poweshiek</v>
          </cell>
          <cell r="V1352">
            <v>146000</v>
          </cell>
        </row>
        <row r="1353">
          <cell r="B1353">
            <v>2009</v>
          </cell>
          <cell r="K1353" t="str">
            <v>STORY</v>
          </cell>
          <cell r="L1353" t="str">
            <v>Story</v>
          </cell>
          <cell r="V1353">
            <v>171500</v>
          </cell>
        </row>
        <row r="1354">
          <cell r="B1354">
            <v>2009</v>
          </cell>
          <cell r="K1354" t="str">
            <v>TAMA</v>
          </cell>
          <cell r="L1354" t="str">
            <v>Tama</v>
          </cell>
          <cell r="V1354">
            <v>174000</v>
          </cell>
        </row>
        <row r="1355">
          <cell r="B1355">
            <v>2009</v>
          </cell>
          <cell r="K1355" t="str">
            <v>WEBSTER</v>
          </cell>
          <cell r="L1355" t="str">
            <v>Webster</v>
          </cell>
          <cell r="V1355">
            <v>215000</v>
          </cell>
        </row>
        <row r="1356">
          <cell r="B1356">
            <v>2009</v>
          </cell>
          <cell r="K1356" t="str">
            <v>BENTON</v>
          </cell>
          <cell r="L1356" t="str">
            <v>Benton</v>
          </cell>
          <cell r="V1356">
            <v>197500</v>
          </cell>
        </row>
        <row r="1357">
          <cell r="B1357">
            <v>2009</v>
          </cell>
          <cell r="K1357" t="str">
            <v>CEDAR</v>
          </cell>
          <cell r="L1357" t="str">
            <v>Cedar</v>
          </cell>
          <cell r="V1357">
            <v>162500</v>
          </cell>
        </row>
        <row r="1358">
          <cell r="B1358">
            <v>2009</v>
          </cell>
          <cell r="K1358" t="str">
            <v>CLINTON</v>
          </cell>
          <cell r="L1358" t="str">
            <v>Clinton</v>
          </cell>
          <cell r="V1358">
            <v>195000</v>
          </cell>
        </row>
        <row r="1359">
          <cell r="B1359">
            <v>2009</v>
          </cell>
          <cell r="K1359" t="str">
            <v>IOWA</v>
          </cell>
          <cell r="L1359" t="str">
            <v>Iowa</v>
          </cell>
          <cell r="V1359">
            <v>116000</v>
          </cell>
        </row>
        <row r="1360">
          <cell r="B1360">
            <v>2009</v>
          </cell>
          <cell r="K1360" t="str">
            <v>JACKSON</v>
          </cell>
          <cell r="L1360" t="str">
            <v>Jackson</v>
          </cell>
          <cell r="V1360">
            <v>109000</v>
          </cell>
        </row>
        <row r="1361">
          <cell r="B1361">
            <v>2009</v>
          </cell>
          <cell r="K1361" t="str">
            <v>JOHNSON</v>
          </cell>
          <cell r="L1361" t="str">
            <v>Johnson</v>
          </cell>
          <cell r="V1361">
            <v>114000</v>
          </cell>
        </row>
        <row r="1362">
          <cell r="B1362">
            <v>2009</v>
          </cell>
          <cell r="K1362" t="str">
            <v>JONES</v>
          </cell>
          <cell r="L1362" t="str">
            <v>Jones</v>
          </cell>
          <cell r="V1362">
            <v>154000</v>
          </cell>
        </row>
        <row r="1363">
          <cell r="B1363">
            <v>2009</v>
          </cell>
          <cell r="K1363" t="str">
            <v>LINN</v>
          </cell>
          <cell r="L1363" t="str">
            <v>Linn</v>
          </cell>
          <cell r="V1363">
            <v>154500</v>
          </cell>
        </row>
        <row r="1364">
          <cell r="B1364">
            <v>2009</v>
          </cell>
          <cell r="K1364" t="str">
            <v>MUSCATINE</v>
          </cell>
          <cell r="L1364" t="str">
            <v>Muscatine</v>
          </cell>
          <cell r="V1364">
            <v>97000</v>
          </cell>
        </row>
        <row r="1365">
          <cell r="B1365">
            <v>2009</v>
          </cell>
          <cell r="K1365" t="str">
            <v>SCOTT</v>
          </cell>
          <cell r="L1365" t="str">
            <v>Scott</v>
          </cell>
          <cell r="V1365">
            <v>115500</v>
          </cell>
        </row>
        <row r="1366">
          <cell r="B1366">
            <v>2009</v>
          </cell>
          <cell r="K1366" t="str">
            <v>BUTLER</v>
          </cell>
          <cell r="L1366" t="str">
            <v>Butler</v>
          </cell>
          <cell r="V1366">
            <v>175000</v>
          </cell>
        </row>
        <row r="1367">
          <cell r="B1367">
            <v>2009</v>
          </cell>
          <cell r="K1367" t="str">
            <v>CERRO GORDO</v>
          </cell>
          <cell r="L1367" t="str">
            <v>Cerro Gordo</v>
          </cell>
          <cell r="V1367">
            <v>179000</v>
          </cell>
        </row>
        <row r="1368">
          <cell r="B1368">
            <v>2009</v>
          </cell>
          <cell r="K1368" t="str">
            <v>FLOYD</v>
          </cell>
          <cell r="L1368" t="str">
            <v>Floyd</v>
          </cell>
          <cell r="V1368">
            <v>145500</v>
          </cell>
        </row>
        <row r="1369">
          <cell r="B1369">
            <v>2009</v>
          </cell>
          <cell r="K1369" t="str">
            <v>FRANKLIN</v>
          </cell>
          <cell r="L1369" t="str">
            <v>Franklin</v>
          </cell>
          <cell r="V1369">
            <v>205000</v>
          </cell>
        </row>
        <row r="1370">
          <cell r="B1370">
            <v>2009</v>
          </cell>
          <cell r="K1370" t="str">
            <v>HANCOCK</v>
          </cell>
          <cell r="L1370" t="str">
            <v>Hancock</v>
          </cell>
          <cell r="V1370">
            <v>196000</v>
          </cell>
        </row>
        <row r="1371">
          <cell r="B1371">
            <v>2009</v>
          </cell>
          <cell r="K1371" t="str">
            <v>HUMBOLDT</v>
          </cell>
          <cell r="L1371" t="str">
            <v>Humboldt</v>
          </cell>
          <cell r="V1371">
            <v>140500</v>
          </cell>
        </row>
        <row r="1372">
          <cell r="B1372">
            <v>2009</v>
          </cell>
          <cell r="K1372" t="str">
            <v>KOSSUTH</v>
          </cell>
          <cell r="L1372" t="str">
            <v>Kossuth</v>
          </cell>
          <cell r="V1372">
            <v>320000</v>
          </cell>
        </row>
        <row r="1373">
          <cell r="B1373">
            <v>2009</v>
          </cell>
          <cell r="K1373" t="str">
            <v>MITCHELL</v>
          </cell>
          <cell r="L1373" t="str">
            <v>Mitchell</v>
          </cell>
          <cell r="V1373">
            <v>152500</v>
          </cell>
        </row>
        <row r="1374">
          <cell r="B1374">
            <v>2009</v>
          </cell>
          <cell r="K1374" t="str">
            <v>WINNEBAGO</v>
          </cell>
          <cell r="L1374" t="str">
            <v>Winnebago</v>
          </cell>
          <cell r="V1374">
            <v>121000</v>
          </cell>
        </row>
        <row r="1375">
          <cell r="B1375">
            <v>2009</v>
          </cell>
          <cell r="K1375" t="str">
            <v>WORTH</v>
          </cell>
          <cell r="L1375" t="str">
            <v>Worth</v>
          </cell>
          <cell r="V1375">
            <v>115000</v>
          </cell>
        </row>
        <row r="1376">
          <cell r="B1376">
            <v>2009</v>
          </cell>
          <cell r="K1376" t="str">
            <v>WRIGHT</v>
          </cell>
          <cell r="L1376" t="str">
            <v>Wright</v>
          </cell>
          <cell r="V1376">
            <v>180500</v>
          </cell>
        </row>
        <row r="1377">
          <cell r="B1377">
            <v>2009</v>
          </cell>
          <cell r="K1377" t="str">
            <v>ALLAMAKEE</v>
          </cell>
          <cell r="L1377" t="str">
            <v>Allamakee</v>
          </cell>
          <cell r="V1377">
            <v>83000</v>
          </cell>
        </row>
        <row r="1378">
          <cell r="B1378">
            <v>2009</v>
          </cell>
          <cell r="K1378" t="str">
            <v>BLACK HAWK</v>
          </cell>
          <cell r="L1378" t="str">
            <v>Black Hawk</v>
          </cell>
          <cell r="V1378">
            <v>151500</v>
          </cell>
        </row>
        <row r="1379">
          <cell r="B1379">
            <v>2009</v>
          </cell>
          <cell r="K1379" t="str">
            <v>BREMER</v>
          </cell>
          <cell r="L1379" t="str">
            <v>Bremer</v>
          </cell>
          <cell r="V1379">
            <v>122000</v>
          </cell>
        </row>
        <row r="1380">
          <cell r="B1380">
            <v>2009</v>
          </cell>
          <cell r="K1380" t="str">
            <v>BUCHANAN</v>
          </cell>
          <cell r="L1380" t="str">
            <v>Buchanan</v>
          </cell>
          <cell r="V1380">
            <v>187000</v>
          </cell>
        </row>
        <row r="1381">
          <cell r="B1381">
            <v>2009</v>
          </cell>
          <cell r="K1381" t="str">
            <v>CHICKASAW</v>
          </cell>
          <cell r="L1381" t="str">
            <v>Chickasaw</v>
          </cell>
          <cell r="V1381">
            <v>145500</v>
          </cell>
        </row>
        <row r="1382">
          <cell r="B1382">
            <v>2009</v>
          </cell>
          <cell r="K1382" t="str">
            <v>CLAYTON</v>
          </cell>
          <cell r="L1382" t="str">
            <v>Clayton</v>
          </cell>
          <cell r="V1382">
            <v>151500</v>
          </cell>
        </row>
        <row r="1383">
          <cell r="B1383">
            <v>2009</v>
          </cell>
          <cell r="K1383" t="str">
            <v>DELAWARE</v>
          </cell>
          <cell r="L1383" t="str">
            <v>Delaware</v>
          </cell>
          <cell r="V1383">
            <v>188500</v>
          </cell>
        </row>
        <row r="1384">
          <cell r="B1384">
            <v>2009</v>
          </cell>
          <cell r="K1384" t="str">
            <v>DUBUQUE</v>
          </cell>
          <cell r="L1384" t="str">
            <v>Dubuque</v>
          </cell>
          <cell r="V1384">
            <v>137500</v>
          </cell>
        </row>
        <row r="1385">
          <cell r="B1385">
            <v>2009</v>
          </cell>
          <cell r="K1385" t="str">
            <v>FAYETTE</v>
          </cell>
          <cell r="L1385" t="str">
            <v>Fayette</v>
          </cell>
          <cell r="V1385">
            <v>189000</v>
          </cell>
        </row>
        <row r="1386">
          <cell r="B1386">
            <v>2009</v>
          </cell>
          <cell r="K1386" t="str">
            <v>HOWARD</v>
          </cell>
          <cell r="L1386" t="str">
            <v>Howard</v>
          </cell>
          <cell r="V1386">
            <v>128000</v>
          </cell>
        </row>
        <row r="1387">
          <cell r="B1387">
            <v>2009</v>
          </cell>
          <cell r="K1387" t="str">
            <v>WINNESHIEK</v>
          </cell>
          <cell r="L1387" t="str">
            <v>Winneshiek</v>
          </cell>
          <cell r="V1387">
            <v>156500</v>
          </cell>
        </row>
        <row r="1388">
          <cell r="B1388">
            <v>2009</v>
          </cell>
          <cell r="K1388" t="str">
            <v>BUENA VISTA</v>
          </cell>
          <cell r="L1388" t="str">
            <v>Buena Vista</v>
          </cell>
          <cell r="V1388">
            <v>173000</v>
          </cell>
        </row>
        <row r="1389">
          <cell r="B1389">
            <v>2009</v>
          </cell>
          <cell r="K1389" t="str">
            <v>CHEROKEE</v>
          </cell>
          <cell r="L1389" t="str">
            <v>Cherokee</v>
          </cell>
          <cell r="V1389">
            <v>153000</v>
          </cell>
        </row>
        <row r="1390">
          <cell r="B1390">
            <v>2009</v>
          </cell>
          <cell r="K1390" t="str">
            <v>CLAY</v>
          </cell>
          <cell r="L1390" t="str">
            <v>Clay</v>
          </cell>
          <cell r="V1390">
            <v>161000</v>
          </cell>
        </row>
        <row r="1391">
          <cell r="B1391">
            <v>2009</v>
          </cell>
          <cell r="K1391" t="str">
            <v>DICKINSON</v>
          </cell>
          <cell r="L1391" t="str">
            <v>Dickinson</v>
          </cell>
          <cell r="V1391">
            <v>94000</v>
          </cell>
        </row>
        <row r="1392">
          <cell r="B1392">
            <v>2009</v>
          </cell>
          <cell r="K1392" t="str">
            <v>EMMET</v>
          </cell>
          <cell r="L1392" t="str">
            <v>Emmet</v>
          </cell>
          <cell r="V1392">
            <v>115000</v>
          </cell>
        </row>
        <row r="1393">
          <cell r="B1393">
            <v>2009</v>
          </cell>
          <cell r="K1393" t="str">
            <v>LYON</v>
          </cell>
          <cell r="L1393" t="str">
            <v>Lyon</v>
          </cell>
          <cell r="V1393">
            <v>183000</v>
          </cell>
        </row>
        <row r="1394">
          <cell r="B1394">
            <v>2009</v>
          </cell>
          <cell r="K1394" t="str">
            <v>O BRIEN</v>
          </cell>
          <cell r="L1394" t="str">
            <v>O Brien</v>
          </cell>
          <cell r="V1394">
            <v>167500</v>
          </cell>
        </row>
        <row r="1395">
          <cell r="B1395">
            <v>2009</v>
          </cell>
          <cell r="K1395" t="str">
            <v>OSCEOLA</v>
          </cell>
          <cell r="L1395" t="str">
            <v>Osceola</v>
          </cell>
          <cell r="V1395">
            <v>119500</v>
          </cell>
        </row>
        <row r="1396">
          <cell r="B1396">
            <v>2009</v>
          </cell>
          <cell r="K1396" t="str">
            <v>PALO ALTO</v>
          </cell>
          <cell r="L1396" t="str">
            <v>Palo Alto</v>
          </cell>
          <cell r="V1396">
            <v>183000</v>
          </cell>
        </row>
        <row r="1397">
          <cell r="B1397">
            <v>2009</v>
          </cell>
          <cell r="K1397" t="str">
            <v>PLYMOUTH</v>
          </cell>
          <cell r="L1397" t="str">
            <v>Plymouth</v>
          </cell>
          <cell r="V1397">
            <v>235500</v>
          </cell>
        </row>
        <row r="1398">
          <cell r="B1398">
            <v>2009</v>
          </cell>
          <cell r="K1398" t="str">
            <v>POCAHONTAS</v>
          </cell>
          <cell r="L1398" t="str">
            <v>Pocahontas</v>
          </cell>
          <cell r="V1398">
            <v>182500</v>
          </cell>
        </row>
        <row r="1399">
          <cell r="B1399">
            <v>2009</v>
          </cell>
          <cell r="K1399" t="str">
            <v>SIOUX</v>
          </cell>
          <cell r="L1399" t="str">
            <v>Sioux</v>
          </cell>
          <cell r="V1399">
            <v>253000</v>
          </cell>
        </row>
        <row r="1400">
          <cell r="B1400">
            <v>2009</v>
          </cell>
          <cell r="K1400" t="str">
            <v>APPANOOSE</v>
          </cell>
          <cell r="L1400" t="str">
            <v>Appanoose</v>
          </cell>
          <cell r="V1400">
            <v>34500</v>
          </cell>
        </row>
        <row r="1401">
          <cell r="B1401">
            <v>2009</v>
          </cell>
          <cell r="K1401" t="str">
            <v>CLARKE</v>
          </cell>
          <cell r="L1401" t="str">
            <v>Clarke</v>
          </cell>
          <cell r="V1401">
            <v>36500</v>
          </cell>
        </row>
        <row r="1402">
          <cell r="B1402">
            <v>2009</v>
          </cell>
          <cell r="K1402" t="str">
            <v>DECATUR</v>
          </cell>
          <cell r="L1402" t="str">
            <v>Decatur</v>
          </cell>
          <cell r="V1402">
            <v>35000</v>
          </cell>
        </row>
        <row r="1403">
          <cell r="B1403">
            <v>2009</v>
          </cell>
          <cell r="K1403" t="str">
            <v>LUCAS</v>
          </cell>
          <cell r="L1403" t="str">
            <v>Lucas</v>
          </cell>
          <cell r="V1403">
            <v>32000</v>
          </cell>
        </row>
        <row r="1404">
          <cell r="B1404">
            <v>2009</v>
          </cell>
          <cell r="K1404" t="str">
            <v>MADISON</v>
          </cell>
          <cell r="L1404" t="str">
            <v>Madison</v>
          </cell>
          <cell r="V1404">
            <v>75500</v>
          </cell>
        </row>
        <row r="1405">
          <cell r="B1405">
            <v>2009</v>
          </cell>
          <cell r="K1405" t="str">
            <v>MARION</v>
          </cell>
          <cell r="L1405" t="str">
            <v>Marion</v>
          </cell>
          <cell r="V1405">
            <v>84000</v>
          </cell>
        </row>
        <row r="1406">
          <cell r="B1406">
            <v>2009</v>
          </cell>
          <cell r="K1406" t="str">
            <v>MONROE</v>
          </cell>
          <cell r="L1406" t="str">
            <v>Monroe</v>
          </cell>
          <cell r="V1406">
            <v>29500</v>
          </cell>
        </row>
        <row r="1407">
          <cell r="B1407">
            <v>2009</v>
          </cell>
          <cell r="K1407" t="str">
            <v>RINGGOLD</v>
          </cell>
          <cell r="L1407" t="str">
            <v>Ringgold</v>
          </cell>
          <cell r="V1407">
            <v>54500</v>
          </cell>
        </row>
        <row r="1408">
          <cell r="B1408">
            <v>2009</v>
          </cell>
          <cell r="K1408" t="str">
            <v>UNION</v>
          </cell>
          <cell r="L1408" t="str">
            <v>Union</v>
          </cell>
          <cell r="V1408">
            <v>60000</v>
          </cell>
        </row>
        <row r="1409">
          <cell r="B1409">
            <v>2009</v>
          </cell>
          <cell r="K1409" t="str">
            <v>WARREN</v>
          </cell>
          <cell r="L1409" t="str">
            <v>Warren</v>
          </cell>
          <cell r="V1409">
            <v>67500</v>
          </cell>
        </row>
        <row r="1410">
          <cell r="B1410">
            <v>2009</v>
          </cell>
          <cell r="K1410" t="str">
            <v>WAYNE</v>
          </cell>
          <cell r="L1410" t="str">
            <v>Wayne</v>
          </cell>
          <cell r="V1410">
            <v>51000</v>
          </cell>
        </row>
        <row r="1411">
          <cell r="B1411">
            <v>2009</v>
          </cell>
          <cell r="K1411" t="str">
            <v>DAVIS</v>
          </cell>
          <cell r="L1411" t="str">
            <v>Davis</v>
          </cell>
          <cell r="V1411">
            <v>45000</v>
          </cell>
        </row>
        <row r="1412">
          <cell r="B1412">
            <v>2009</v>
          </cell>
          <cell r="K1412" t="str">
            <v>DES MOINES</v>
          </cell>
          <cell r="L1412" t="str">
            <v>Des Moines</v>
          </cell>
          <cell r="V1412">
            <v>77000</v>
          </cell>
        </row>
        <row r="1413">
          <cell r="B1413">
            <v>2009</v>
          </cell>
          <cell r="K1413" t="str">
            <v>HENRY</v>
          </cell>
          <cell r="L1413" t="str">
            <v>Henry</v>
          </cell>
          <cell r="V1413">
            <v>82500</v>
          </cell>
        </row>
        <row r="1414">
          <cell r="B1414">
            <v>2009</v>
          </cell>
          <cell r="K1414" t="str">
            <v>JEFFERSON</v>
          </cell>
          <cell r="L1414" t="str">
            <v>Jefferson</v>
          </cell>
          <cell r="V1414">
            <v>77500</v>
          </cell>
        </row>
        <row r="1415">
          <cell r="B1415">
            <v>2009</v>
          </cell>
          <cell r="K1415" t="str">
            <v>KEOKUK</v>
          </cell>
          <cell r="L1415" t="str">
            <v>Keokuk</v>
          </cell>
          <cell r="V1415">
            <v>119500</v>
          </cell>
        </row>
        <row r="1416">
          <cell r="B1416">
            <v>2009</v>
          </cell>
          <cell r="K1416" t="str">
            <v>LEE</v>
          </cell>
          <cell r="L1416" t="str">
            <v>Lee</v>
          </cell>
          <cell r="V1416">
            <v>76000</v>
          </cell>
        </row>
        <row r="1417">
          <cell r="B1417">
            <v>2009</v>
          </cell>
          <cell r="K1417" t="str">
            <v>LOUISA</v>
          </cell>
          <cell r="L1417" t="str">
            <v>Louisa</v>
          </cell>
          <cell r="V1417">
            <v>84000</v>
          </cell>
        </row>
        <row r="1418">
          <cell r="B1418">
            <v>2009</v>
          </cell>
          <cell r="K1418" t="str">
            <v>MAHASKA</v>
          </cell>
          <cell r="L1418" t="str">
            <v>Mahaska</v>
          </cell>
          <cell r="V1418">
            <v>134000</v>
          </cell>
        </row>
        <row r="1419">
          <cell r="B1419">
            <v>2009</v>
          </cell>
          <cell r="K1419" t="str">
            <v>VAN BUREN</v>
          </cell>
          <cell r="L1419" t="str">
            <v>Van Buren</v>
          </cell>
          <cell r="V1419">
            <v>48500</v>
          </cell>
        </row>
        <row r="1420">
          <cell r="B1420">
            <v>2009</v>
          </cell>
          <cell r="K1420" t="str">
            <v>WAPELLO</v>
          </cell>
          <cell r="L1420" t="str">
            <v>Wapello</v>
          </cell>
          <cell r="V1420">
            <v>63000</v>
          </cell>
        </row>
        <row r="1421">
          <cell r="B1421">
            <v>2009</v>
          </cell>
          <cell r="K1421" t="str">
            <v>WASHINGTON</v>
          </cell>
          <cell r="L1421" t="str">
            <v>Washington</v>
          </cell>
          <cell r="V1421">
            <v>128000</v>
          </cell>
        </row>
        <row r="1422">
          <cell r="B1422">
            <v>2009</v>
          </cell>
          <cell r="K1422" t="str">
            <v>ADAIR</v>
          </cell>
          <cell r="L1422" t="str">
            <v>Adair</v>
          </cell>
          <cell r="V1422">
            <v>113500</v>
          </cell>
        </row>
        <row r="1423">
          <cell r="B1423">
            <v>2009</v>
          </cell>
          <cell r="K1423" t="str">
            <v>ADAMS</v>
          </cell>
          <cell r="L1423" t="str">
            <v>Adams</v>
          </cell>
          <cell r="V1423">
            <v>72000</v>
          </cell>
        </row>
        <row r="1424">
          <cell r="B1424">
            <v>2009</v>
          </cell>
          <cell r="K1424" t="str">
            <v>CASS</v>
          </cell>
          <cell r="L1424" t="str">
            <v>Cass</v>
          </cell>
          <cell r="V1424">
            <v>139000</v>
          </cell>
        </row>
        <row r="1425">
          <cell r="B1425">
            <v>2009</v>
          </cell>
          <cell r="K1425" t="str">
            <v>FREMONT</v>
          </cell>
          <cell r="L1425" t="str">
            <v>Fremont</v>
          </cell>
          <cell r="V1425">
            <v>121000</v>
          </cell>
        </row>
        <row r="1426">
          <cell r="B1426">
            <v>2009</v>
          </cell>
          <cell r="K1426" t="str">
            <v>MILLS</v>
          </cell>
          <cell r="L1426" t="str">
            <v>Mills</v>
          </cell>
          <cell r="V1426">
            <v>100000</v>
          </cell>
        </row>
        <row r="1427">
          <cell r="B1427">
            <v>2009</v>
          </cell>
          <cell r="K1427" t="str">
            <v>MONTGOMERY</v>
          </cell>
          <cell r="L1427" t="str">
            <v>Montgomery</v>
          </cell>
          <cell r="V1427">
            <v>95000</v>
          </cell>
        </row>
        <row r="1428">
          <cell r="B1428">
            <v>2009</v>
          </cell>
          <cell r="K1428" t="str">
            <v>PAGE</v>
          </cell>
          <cell r="L1428" t="str">
            <v>Page</v>
          </cell>
          <cell r="V1428">
            <v>111000</v>
          </cell>
        </row>
        <row r="1429">
          <cell r="B1429">
            <v>2009</v>
          </cell>
          <cell r="K1429" t="str">
            <v>POTTAWATTAMIE</v>
          </cell>
          <cell r="L1429" t="str">
            <v>Pottawattamie</v>
          </cell>
          <cell r="V1429">
            <v>242000</v>
          </cell>
        </row>
        <row r="1430">
          <cell r="B1430">
            <v>2009</v>
          </cell>
          <cell r="K1430" t="str">
            <v>TAYLOR</v>
          </cell>
          <cell r="L1430" t="str">
            <v>Taylor</v>
          </cell>
          <cell r="V1430">
            <v>81500</v>
          </cell>
        </row>
        <row r="1431">
          <cell r="B1431">
            <v>2009</v>
          </cell>
          <cell r="K1431" t="str">
            <v>AUDUBON</v>
          </cell>
          <cell r="L1431" t="str">
            <v>Audubon</v>
          </cell>
          <cell r="V1431">
            <v>114500</v>
          </cell>
        </row>
        <row r="1432">
          <cell r="B1432">
            <v>2009</v>
          </cell>
          <cell r="K1432" t="str">
            <v>CALHOUN</v>
          </cell>
          <cell r="L1432" t="str">
            <v>Calhoun</v>
          </cell>
          <cell r="V1432">
            <v>175500</v>
          </cell>
        </row>
        <row r="1433">
          <cell r="B1433">
            <v>2009</v>
          </cell>
          <cell r="K1433" t="str">
            <v>CARROLL</v>
          </cell>
          <cell r="L1433" t="str">
            <v>Carroll</v>
          </cell>
          <cell r="V1433">
            <v>186000</v>
          </cell>
        </row>
        <row r="1434">
          <cell r="B1434">
            <v>2009</v>
          </cell>
          <cell r="K1434" t="str">
            <v>CRAWFORD</v>
          </cell>
          <cell r="L1434" t="str">
            <v>Crawford</v>
          </cell>
          <cell r="V1434">
            <v>207000</v>
          </cell>
        </row>
        <row r="1435">
          <cell r="B1435">
            <v>2009</v>
          </cell>
          <cell r="K1435" t="str">
            <v>GREENE</v>
          </cell>
          <cell r="L1435" t="str">
            <v>Greene</v>
          </cell>
          <cell r="V1435">
            <v>175500</v>
          </cell>
        </row>
        <row r="1436">
          <cell r="B1436">
            <v>2009</v>
          </cell>
          <cell r="K1436" t="str">
            <v>GUTHRIE</v>
          </cell>
          <cell r="L1436" t="str">
            <v>Guthrie</v>
          </cell>
          <cell r="V1436">
            <v>116500</v>
          </cell>
        </row>
        <row r="1437">
          <cell r="B1437">
            <v>2009</v>
          </cell>
          <cell r="K1437" t="str">
            <v>HARRISON</v>
          </cell>
          <cell r="L1437" t="str">
            <v>Harrison</v>
          </cell>
          <cell r="V1437">
            <v>177500</v>
          </cell>
        </row>
        <row r="1438">
          <cell r="B1438">
            <v>2009</v>
          </cell>
          <cell r="K1438" t="str">
            <v>IDA</v>
          </cell>
          <cell r="L1438" t="str">
            <v>Ida</v>
          </cell>
          <cell r="V1438">
            <v>126000</v>
          </cell>
        </row>
        <row r="1439">
          <cell r="B1439">
            <v>2009</v>
          </cell>
          <cell r="K1439" t="str">
            <v>MONONA</v>
          </cell>
          <cell r="L1439" t="str">
            <v>Monona</v>
          </cell>
          <cell r="V1439">
            <v>187500</v>
          </cell>
        </row>
        <row r="1440">
          <cell r="B1440">
            <v>2009</v>
          </cell>
          <cell r="K1440" t="str">
            <v>SAC</v>
          </cell>
          <cell r="L1440" t="str">
            <v>Sac</v>
          </cell>
          <cell r="V1440">
            <v>177000</v>
          </cell>
        </row>
        <row r="1441">
          <cell r="B1441">
            <v>2009</v>
          </cell>
          <cell r="K1441" t="str">
            <v>SHELBY</v>
          </cell>
          <cell r="L1441" t="str">
            <v>Shelby</v>
          </cell>
          <cell r="V1441">
            <v>176000</v>
          </cell>
        </row>
        <row r="1442">
          <cell r="B1442">
            <v>2009</v>
          </cell>
          <cell r="K1442" t="str">
            <v>WOODBURY</v>
          </cell>
          <cell r="L1442" t="str">
            <v>Woodbury</v>
          </cell>
          <cell r="V1442">
            <v>221000</v>
          </cell>
        </row>
        <row r="1443">
          <cell r="B1443">
            <v>2008</v>
          </cell>
          <cell r="K1443" t="str">
            <v>BOONE</v>
          </cell>
          <cell r="L1443" t="str">
            <v>Boone</v>
          </cell>
          <cell r="V1443">
            <v>163500</v>
          </cell>
        </row>
        <row r="1444">
          <cell r="B1444">
            <v>2008</v>
          </cell>
          <cell r="K1444" t="str">
            <v>DALLAS</v>
          </cell>
          <cell r="L1444" t="str">
            <v>Dallas</v>
          </cell>
          <cell r="V1444">
            <v>135000</v>
          </cell>
        </row>
        <row r="1445">
          <cell r="B1445">
            <v>2008</v>
          </cell>
          <cell r="K1445" t="str">
            <v>GRUNDY</v>
          </cell>
          <cell r="L1445" t="str">
            <v>Grundy</v>
          </cell>
          <cell r="V1445">
            <v>161500</v>
          </cell>
        </row>
        <row r="1446">
          <cell r="B1446">
            <v>2008</v>
          </cell>
          <cell r="K1446" t="str">
            <v>HAMILTON</v>
          </cell>
          <cell r="L1446" t="str">
            <v>Hamilton</v>
          </cell>
          <cell r="V1446">
            <v>204000</v>
          </cell>
        </row>
        <row r="1447">
          <cell r="B1447">
            <v>2008</v>
          </cell>
          <cell r="K1447" t="str">
            <v>HARDIN</v>
          </cell>
          <cell r="L1447" t="str">
            <v>Hardin</v>
          </cell>
          <cell r="V1447">
            <v>192000</v>
          </cell>
        </row>
        <row r="1448">
          <cell r="B1448">
            <v>2008</v>
          </cell>
          <cell r="K1448" t="str">
            <v>JASPER</v>
          </cell>
          <cell r="L1448" t="str">
            <v>Jasper</v>
          </cell>
          <cell r="V1448">
            <v>172500</v>
          </cell>
        </row>
        <row r="1449">
          <cell r="B1449">
            <v>2008</v>
          </cell>
          <cell r="K1449" t="str">
            <v>MARSHALL</v>
          </cell>
          <cell r="L1449" t="str">
            <v>Marshall</v>
          </cell>
          <cell r="V1449">
            <v>146000</v>
          </cell>
        </row>
        <row r="1450">
          <cell r="B1450">
            <v>2008</v>
          </cell>
          <cell r="K1450" t="str">
            <v>POLK</v>
          </cell>
          <cell r="L1450" t="str">
            <v>Polk</v>
          </cell>
          <cell r="V1450">
            <v>93500</v>
          </cell>
        </row>
        <row r="1451">
          <cell r="B1451">
            <v>2008</v>
          </cell>
          <cell r="K1451" t="str">
            <v>POWESHIEK</v>
          </cell>
          <cell r="L1451" t="str">
            <v>Poweshiek</v>
          </cell>
          <cell r="V1451">
            <v>137000</v>
          </cell>
        </row>
        <row r="1452">
          <cell r="B1452">
            <v>2008</v>
          </cell>
          <cell r="K1452" t="str">
            <v>STORY</v>
          </cell>
          <cell r="L1452" t="str">
            <v>Story</v>
          </cell>
          <cell r="V1452">
            <v>176000</v>
          </cell>
        </row>
        <row r="1453">
          <cell r="B1453">
            <v>2008</v>
          </cell>
          <cell r="K1453" t="str">
            <v>TAMA</v>
          </cell>
          <cell r="L1453" t="str">
            <v>Tama</v>
          </cell>
          <cell r="V1453">
            <v>159500</v>
          </cell>
        </row>
        <row r="1454">
          <cell r="B1454">
            <v>2008</v>
          </cell>
          <cell r="K1454" t="str">
            <v>WEBSTER</v>
          </cell>
          <cell r="L1454" t="str">
            <v>Webster</v>
          </cell>
          <cell r="V1454">
            <v>221500</v>
          </cell>
        </row>
        <row r="1455">
          <cell r="B1455">
            <v>2008</v>
          </cell>
          <cell r="K1455" t="str">
            <v>BENTON</v>
          </cell>
          <cell r="L1455" t="str">
            <v>Benton</v>
          </cell>
          <cell r="V1455">
            <v>195500</v>
          </cell>
        </row>
        <row r="1456">
          <cell r="B1456">
            <v>2008</v>
          </cell>
          <cell r="K1456" t="str">
            <v>CEDAR</v>
          </cell>
          <cell r="L1456" t="str">
            <v>Cedar</v>
          </cell>
          <cell r="V1456">
            <v>162000</v>
          </cell>
        </row>
        <row r="1457">
          <cell r="B1457">
            <v>2008</v>
          </cell>
          <cell r="K1457" t="str">
            <v>CLINTON</v>
          </cell>
          <cell r="L1457" t="str">
            <v>Clinton</v>
          </cell>
          <cell r="V1457">
            <v>189500</v>
          </cell>
        </row>
        <row r="1458">
          <cell r="B1458">
            <v>2008</v>
          </cell>
          <cell r="K1458" t="str">
            <v>IOWA</v>
          </cell>
          <cell r="L1458" t="str">
            <v>Iowa</v>
          </cell>
          <cell r="V1458">
            <v>116000</v>
          </cell>
        </row>
        <row r="1459">
          <cell r="B1459">
            <v>2008</v>
          </cell>
          <cell r="K1459" t="str">
            <v>JACKSON</v>
          </cell>
          <cell r="L1459" t="str">
            <v>Jackson</v>
          </cell>
          <cell r="V1459">
            <v>98000</v>
          </cell>
        </row>
        <row r="1460">
          <cell r="B1460">
            <v>2008</v>
          </cell>
          <cell r="K1460" t="str">
            <v>JOHNSON</v>
          </cell>
          <cell r="L1460" t="str">
            <v>Johnson</v>
          </cell>
          <cell r="V1460">
            <v>108000</v>
          </cell>
        </row>
        <row r="1461">
          <cell r="B1461">
            <v>2008</v>
          </cell>
          <cell r="K1461" t="str">
            <v>JONES</v>
          </cell>
          <cell r="L1461" t="str">
            <v>Jones</v>
          </cell>
          <cell r="V1461">
            <v>153500</v>
          </cell>
        </row>
        <row r="1462">
          <cell r="B1462">
            <v>2008</v>
          </cell>
          <cell r="K1462" t="str">
            <v>LINN</v>
          </cell>
          <cell r="L1462" t="str">
            <v>Linn</v>
          </cell>
          <cell r="V1462">
            <v>145000</v>
          </cell>
        </row>
        <row r="1463">
          <cell r="B1463">
            <v>2008</v>
          </cell>
          <cell r="K1463" t="str">
            <v>MUSCATINE</v>
          </cell>
          <cell r="L1463" t="str">
            <v>Muscatine</v>
          </cell>
          <cell r="V1463">
            <v>97500</v>
          </cell>
        </row>
        <row r="1464">
          <cell r="B1464">
            <v>2008</v>
          </cell>
          <cell r="K1464" t="str">
            <v>SCOTT</v>
          </cell>
          <cell r="L1464" t="str">
            <v>Scott</v>
          </cell>
          <cell r="V1464">
            <v>114000</v>
          </cell>
        </row>
        <row r="1465">
          <cell r="B1465">
            <v>2008</v>
          </cell>
          <cell r="K1465" t="str">
            <v>BUTLER</v>
          </cell>
          <cell r="L1465" t="str">
            <v>Butler</v>
          </cell>
          <cell r="V1465">
            <v>169000</v>
          </cell>
        </row>
        <row r="1466">
          <cell r="B1466">
            <v>2008</v>
          </cell>
          <cell r="K1466" t="str">
            <v>CERRO GORDO</v>
          </cell>
          <cell r="L1466" t="str">
            <v>Cerro Gordo</v>
          </cell>
          <cell r="V1466">
            <v>187500</v>
          </cell>
        </row>
        <row r="1467">
          <cell r="B1467">
            <v>2008</v>
          </cell>
          <cell r="K1467" t="str">
            <v>FLOYD</v>
          </cell>
          <cell r="L1467" t="str">
            <v>Floyd</v>
          </cell>
          <cell r="V1467">
            <v>147000</v>
          </cell>
        </row>
        <row r="1468">
          <cell r="B1468">
            <v>2008</v>
          </cell>
          <cell r="K1468" t="str">
            <v>FRANKLIN</v>
          </cell>
          <cell r="L1468" t="str">
            <v>Franklin</v>
          </cell>
          <cell r="V1468">
            <v>211000</v>
          </cell>
        </row>
        <row r="1469">
          <cell r="B1469">
            <v>2008</v>
          </cell>
          <cell r="K1469" t="str">
            <v>HANCOCK</v>
          </cell>
          <cell r="L1469" t="str">
            <v>Hancock</v>
          </cell>
          <cell r="V1469">
            <v>193000</v>
          </cell>
        </row>
        <row r="1470">
          <cell r="B1470">
            <v>2008</v>
          </cell>
          <cell r="K1470" t="str">
            <v>HUMBOLDT</v>
          </cell>
          <cell r="L1470" t="str">
            <v>Humboldt</v>
          </cell>
          <cell r="V1470">
            <v>139000</v>
          </cell>
        </row>
        <row r="1471">
          <cell r="B1471">
            <v>2008</v>
          </cell>
          <cell r="K1471" t="str">
            <v>KOSSUTH</v>
          </cell>
          <cell r="L1471" t="str">
            <v>Kossuth</v>
          </cell>
          <cell r="V1471">
            <v>320000</v>
          </cell>
        </row>
        <row r="1472">
          <cell r="B1472">
            <v>2008</v>
          </cell>
          <cell r="K1472" t="str">
            <v>MITCHELL</v>
          </cell>
          <cell r="L1472" t="str">
            <v>Mitchell</v>
          </cell>
          <cell r="V1472">
            <v>152500</v>
          </cell>
        </row>
        <row r="1473">
          <cell r="B1473">
            <v>2008</v>
          </cell>
          <cell r="K1473" t="str">
            <v>WINNEBAGO</v>
          </cell>
          <cell r="L1473" t="str">
            <v>Winnebago</v>
          </cell>
          <cell r="V1473">
            <v>132000</v>
          </cell>
        </row>
        <row r="1474">
          <cell r="B1474">
            <v>2008</v>
          </cell>
          <cell r="K1474" t="str">
            <v>WORTH</v>
          </cell>
          <cell r="L1474" t="str">
            <v>Worth</v>
          </cell>
          <cell r="V1474">
            <v>117500</v>
          </cell>
        </row>
        <row r="1475">
          <cell r="B1475">
            <v>2008</v>
          </cell>
          <cell r="K1475" t="str">
            <v>WRIGHT</v>
          </cell>
          <cell r="L1475" t="str">
            <v>Wright</v>
          </cell>
          <cell r="V1475">
            <v>188500</v>
          </cell>
        </row>
        <row r="1476">
          <cell r="B1476">
            <v>2008</v>
          </cell>
          <cell r="K1476" t="str">
            <v>ALLAMAKEE</v>
          </cell>
          <cell r="L1476" t="str">
            <v>Allamakee</v>
          </cell>
          <cell r="V1476">
            <v>77000</v>
          </cell>
        </row>
        <row r="1477">
          <cell r="B1477">
            <v>2008</v>
          </cell>
          <cell r="K1477" t="str">
            <v>BLACK HAWK</v>
          </cell>
          <cell r="L1477" t="str">
            <v>Black Hawk</v>
          </cell>
          <cell r="V1477">
            <v>143500</v>
          </cell>
        </row>
        <row r="1478">
          <cell r="B1478">
            <v>2008</v>
          </cell>
          <cell r="K1478" t="str">
            <v>BREMER</v>
          </cell>
          <cell r="L1478" t="str">
            <v>Bremer</v>
          </cell>
          <cell r="V1478">
            <v>125500</v>
          </cell>
        </row>
        <row r="1479">
          <cell r="B1479">
            <v>2008</v>
          </cell>
          <cell r="K1479" t="str">
            <v>BUCHANAN</v>
          </cell>
          <cell r="L1479" t="str">
            <v>Buchanan</v>
          </cell>
          <cell r="V1479">
            <v>179500</v>
          </cell>
        </row>
        <row r="1480">
          <cell r="B1480">
            <v>2008</v>
          </cell>
          <cell r="K1480" t="str">
            <v>CHICKASAW</v>
          </cell>
          <cell r="L1480" t="str">
            <v>Chickasaw</v>
          </cell>
          <cell r="V1480">
            <v>142000</v>
          </cell>
        </row>
        <row r="1481">
          <cell r="B1481">
            <v>2008</v>
          </cell>
          <cell r="K1481" t="str">
            <v>CLAYTON</v>
          </cell>
          <cell r="L1481" t="str">
            <v>Clayton</v>
          </cell>
          <cell r="V1481">
            <v>143500</v>
          </cell>
        </row>
        <row r="1482">
          <cell r="B1482">
            <v>2008</v>
          </cell>
          <cell r="K1482" t="str">
            <v>DELAWARE</v>
          </cell>
          <cell r="L1482" t="str">
            <v>Delaware</v>
          </cell>
          <cell r="V1482">
            <v>192000</v>
          </cell>
        </row>
        <row r="1483">
          <cell r="B1483">
            <v>2008</v>
          </cell>
          <cell r="K1483" t="str">
            <v>DUBUQUE</v>
          </cell>
          <cell r="L1483" t="str">
            <v>Dubuque</v>
          </cell>
          <cell r="V1483">
            <v>135500</v>
          </cell>
        </row>
        <row r="1484">
          <cell r="B1484">
            <v>2008</v>
          </cell>
          <cell r="K1484" t="str">
            <v>FAYETTE</v>
          </cell>
          <cell r="L1484" t="str">
            <v>Fayette</v>
          </cell>
          <cell r="V1484">
            <v>195500</v>
          </cell>
        </row>
        <row r="1485">
          <cell r="B1485">
            <v>2008</v>
          </cell>
          <cell r="K1485" t="str">
            <v>HOWARD</v>
          </cell>
          <cell r="L1485" t="str">
            <v>Howard</v>
          </cell>
          <cell r="V1485">
            <v>123000</v>
          </cell>
        </row>
        <row r="1486">
          <cell r="B1486">
            <v>2008</v>
          </cell>
          <cell r="K1486" t="str">
            <v>WINNESHIEK</v>
          </cell>
          <cell r="L1486" t="str">
            <v>Winneshiek</v>
          </cell>
          <cell r="V1486">
            <v>147000</v>
          </cell>
        </row>
        <row r="1487">
          <cell r="B1487">
            <v>2008</v>
          </cell>
          <cell r="K1487" t="str">
            <v>BUENA VISTA</v>
          </cell>
          <cell r="L1487" t="str">
            <v>Buena Vista</v>
          </cell>
          <cell r="V1487">
            <v>169000</v>
          </cell>
        </row>
        <row r="1488">
          <cell r="B1488">
            <v>2008</v>
          </cell>
          <cell r="K1488" t="str">
            <v>CHEROKEE</v>
          </cell>
          <cell r="L1488" t="str">
            <v>Cherokee</v>
          </cell>
          <cell r="V1488">
            <v>146500</v>
          </cell>
        </row>
        <row r="1489">
          <cell r="B1489">
            <v>2008</v>
          </cell>
          <cell r="K1489" t="str">
            <v>CLAY</v>
          </cell>
          <cell r="L1489" t="str">
            <v>Clay</v>
          </cell>
          <cell r="V1489">
            <v>155500</v>
          </cell>
        </row>
        <row r="1490">
          <cell r="B1490">
            <v>2008</v>
          </cell>
          <cell r="K1490" t="str">
            <v>DICKINSON</v>
          </cell>
          <cell r="L1490" t="str">
            <v>Dickinson</v>
          </cell>
          <cell r="V1490">
            <v>89000</v>
          </cell>
        </row>
        <row r="1491">
          <cell r="B1491">
            <v>2008</v>
          </cell>
          <cell r="K1491" t="str">
            <v>EMMET</v>
          </cell>
          <cell r="L1491" t="str">
            <v>Emmet</v>
          </cell>
          <cell r="V1491">
            <v>122000</v>
          </cell>
        </row>
        <row r="1492">
          <cell r="B1492">
            <v>2008</v>
          </cell>
          <cell r="K1492" t="str">
            <v>LYON</v>
          </cell>
          <cell r="L1492" t="str">
            <v>Lyon</v>
          </cell>
          <cell r="V1492">
            <v>173000</v>
          </cell>
        </row>
        <row r="1493">
          <cell r="B1493">
            <v>2008</v>
          </cell>
          <cell r="K1493" t="str">
            <v>O BRIEN</v>
          </cell>
          <cell r="L1493" t="str">
            <v>O Brien</v>
          </cell>
          <cell r="V1493">
            <v>165000</v>
          </cell>
        </row>
        <row r="1494">
          <cell r="B1494">
            <v>2008</v>
          </cell>
          <cell r="K1494" t="str">
            <v>OSCEOLA</v>
          </cell>
          <cell r="L1494" t="str">
            <v>Osceola</v>
          </cell>
          <cell r="V1494">
            <v>124500</v>
          </cell>
        </row>
        <row r="1495">
          <cell r="B1495">
            <v>2008</v>
          </cell>
          <cell r="K1495" t="str">
            <v>PALO ALTO</v>
          </cell>
          <cell r="L1495" t="str">
            <v>Palo Alto</v>
          </cell>
          <cell r="V1495">
            <v>177000</v>
          </cell>
        </row>
        <row r="1496">
          <cell r="B1496">
            <v>2008</v>
          </cell>
          <cell r="K1496" t="str">
            <v>PLYMOUTH</v>
          </cell>
          <cell r="L1496" t="str">
            <v>Plymouth</v>
          </cell>
          <cell r="V1496">
            <v>223500</v>
          </cell>
        </row>
        <row r="1497">
          <cell r="B1497">
            <v>2008</v>
          </cell>
          <cell r="K1497" t="str">
            <v>POCAHONTAS</v>
          </cell>
          <cell r="L1497" t="str">
            <v>Pocahontas</v>
          </cell>
          <cell r="V1497">
            <v>179000</v>
          </cell>
        </row>
        <row r="1498">
          <cell r="B1498">
            <v>2008</v>
          </cell>
          <cell r="K1498" t="str">
            <v>SIOUX</v>
          </cell>
          <cell r="L1498" t="str">
            <v>Sioux</v>
          </cell>
          <cell r="V1498">
            <v>252000</v>
          </cell>
        </row>
        <row r="1499">
          <cell r="B1499">
            <v>2008</v>
          </cell>
          <cell r="K1499" t="str">
            <v>APPANOOSE</v>
          </cell>
          <cell r="L1499" t="str">
            <v>Appanoose</v>
          </cell>
          <cell r="V1499">
            <v>25500</v>
          </cell>
        </row>
        <row r="1500">
          <cell r="B1500">
            <v>2008</v>
          </cell>
          <cell r="K1500" t="str">
            <v>CLARKE</v>
          </cell>
          <cell r="L1500" t="str">
            <v>Clarke</v>
          </cell>
          <cell r="V1500">
            <v>33500</v>
          </cell>
        </row>
        <row r="1501">
          <cell r="B1501">
            <v>2008</v>
          </cell>
          <cell r="K1501" t="str">
            <v>DECATUR</v>
          </cell>
          <cell r="L1501" t="str">
            <v>Decatur</v>
          </cell>
          <cell r="V1501">
            <v>30000</v>
          </cell>
        </row>
        <row r="1502">
          <cell r="B1502">
            <v>2008</v>
          </cell>
          <cell r="K1502" t="str">
            <v>LUCAS</v>
          </cell>
          <cell r="L1502" t="str">
            <v>Lucas</v>
          </cell>
          <cell r="V1502">
            <v>25500</v>
          </cell>
        </row>
        <row r="1503">
          <cell r="B1503">
            <v>2008</v>
          </cell>
          <cell r="K1503" t="str">
            <v>MADISON</v>
          </cell>
          <cell r="L1503" t="str">
            <v>Madison</v>
          </cell>
          <cell r="V1503">
            <v>63500</v>
          </cell>
        </row>
        <row r="1504">
          <cell r="B1504">
            <v>2008</v>
          </cell>
          <cell r="K1504" t="str">
            <v>MARION</v>
          </cell>
          <cell r="L1504" t="str">
            <v>Marion</v>
          </cell>
          <cell r="V1504">
            <v>84000</v>
          </cell>
        </row>
        <row r="1505">
          <cell r="B1505">
            <v>2008</v>
          </cell>
          <cell r="K1505" t="str">
            <v>MONROE</v>
          </cell>
          <cell r="L1505" t="str">
            <v>Monroe</v>
          </cell>
          <cell r="V1505">
            <v>26500</v>
          </cell>
        </row>
        <row r="1506">
          <cell r="B1506">
            <v>2008</v>
          </cell>
          <cell r="K1506" t="str">
            <v>RINGGOLD</v>
          </cell>
          <cell r="L1506" t="str">
            <v>Ringgold</v>
          </cell>
          <cell r="V1506">
            <v>47000</v>
          </cell>
        </row>
        <row r="1507">
          <cell r="B1507">
            <v>2008</v>
          </cell>
          <cell r="K1507" t="str">
            <v>UNION</v>
          </cell>
          <cell r="L1507" t="str">
            <v>Union</v>
          </cell>
          <cell r="V1507">
            <v>55500</v>
          </cell>
        </row>
        <row r="1508">
          <cell r="B1508">
            <v>2008</v>
          </cell>
          <cell r="K1508" t="str">
            <v>WARREN</v>
          </cell>
          <cell r="L1508" t="str">
            <v>Warren</v>
          </cell>
          <cell r="V1508">
            <v>70500</v>
          </cell>
        </row>
        <row r="1509">
          <cell r="B1509">
            <v>2008</v>
          </cell>
          <cell r="K1509" t="str">
            <v>WAYNE</v>
          </cell>
          <cell r="L1509" t="str">
            <v>Wayne</v>
          </cell>
          <cell r="V1509">
            <v>45500</v>
          </cell>
        </row>
        <row r="1510">
          <cell r="B1510">
            <v>2008</v>
          </cell>
          <cell r="K1510" t="str">
            <v>DAVIS</v>
          </cell>
          <cell r="L1510" t="str">
            <v>Davis</v>
          </cell>
          <cell r="V1510">
            <v>37500</v>
          </cell>
        </row>
        <row r="1511">
          <cell r="B1511">
            <v>2008</v>
          </cell>
          <cell r="K1511" t="str">
            <v>DES MOINES</v>
          </cell>
          <cell r="L1511" t="str">
            <v>Des Moines</v>
          </cell>
          <cell r="V1511">
            <v>75000</v>
          </cell>
        </row>
        <row r="1512">
          <cell r="B1512">
            <v>2008</v>
          </cell>
          <cell r="K1512" t="str">
            <v>HENRY</v>
          </cell>
          <cell r="L1512" t="str">
            <v>Henry</v>
          </cell>
          <cell r="V1512">
            <v>86500</v>
          </cell>
        </row>
        <row r="1513">
          <cell r="B1513">
            <v>2008</v>
          </cell>
          <cell r="K1513" t="str">
            <v>JEFFERSON</v>
          </cell>
          <cell r="L1513" t="str">
            <v>Jefferson</v>
          </cell>
          <cell r="V1513">
            <v>67500</v>
          </cell>
        </row>
        <row r="1514">
          <cell r="B1514">
            <v>2008</v>
          </cell>
          <cell r="K1514" t="str">
            <v>KEOKUK</v>
          </cell>
          <cell r="L1514" t="str">
            <v>Keokuk</v>
          </cell>
          <cell r="V1514">
            <v>113500</v>
          </cell>
        </row>
        <row r="1515">
          <cell r="B1515">
            <v>2008</v>
          </cell>
          <cell r="K1515" t="str">
            <v>LEE</v>
          </cell>
          <cell r="L1515" t="str">
            <v>Lee</v>
          </cell>
          <cell r="V1515">
            <v>74500</v>
          </cell>
        </row>
        <row r="1516">
          <cell r="B1516">
            <v>2008</v>
          </cell>
          <cell r="K1516" t="str">
            <v>LOUISA</v>
          </cell>
          <cell r="L1516" t="str">
            <v>Louisa</v>
          </cell>
          <cell r="V1516">
            <v>84500</v>
          </cell>
        </row>
        <row r="1517">
          <cell r="B1517">
            <v>2008</v>
          </cell>
          <cell r="K1517" t="str">
            <v>MAHASKA</v>
          </cell>
          <cell r="L1517" t="str">
            <v>Mahaska</v>
          </cell>
          <cell r="V1517">
            <v>134000</v>
          </cell>
        </row>
        <row r="1518">
          <cell r="B1518">
            <v>2008</v>
          </cell>
          <cell r="K1518" t="str">
            <v>VAN BUREN</v>
          </cell>
          <cell r="L1518" t="str">
            <v>Van Buren</v>
          </cell>
          <cell r="V1518">
            <v>46000</v>
          </cell>
        </row>
        <row r="1519">
          <cell r="B1519">
            <v>2008</v>
          </cell>
          <cell r="K1519" t="str">
            <v>WAPELLO</v>
          </cell>
          <cell r="L1519" t="str">
            <v>Wapello</v>
          </cell>
          <cell r="V1519">
            <v>60000</v>
          </cell>
        </row>
        <row r="1520">
          <cell r="B1520">
            <v>2008</v>
          </cell>
          <cell r="K1520" t="str">
            <v>WASHINGTON</v>
          </cell>
          <cell r="L1520" t="str">
            <v>Washington</v>
          </cell>
          <cell r="V1520">
            <v>122000</v>
          </cell>
        </row>
        <row r="1521">
          <cell r="B1521">
            <v>2008</v>
          </cell>
          <cell r="K1521" t="str">
            <v>ADAIR</v>
          </cell>
          <cell r="L1521" t="str">
            <v>Adair</v>
          </cell>
          <cell r="V1521">
            <v>104000</v>
          </cell>
        </row>
        <row r="1522">
          <cell r="B1522">
            <v>2008</v>
          </cell>
          <cell r="K1522" t="str">
            <v>ADAMS</v>
          </cell>
          <cell r="L1522" t="str">
            <v>Adams</v>
          </cell>
          <cell r="V1522">
            <v>65500</v>
          </cell>
        </row>
        <row r="1523">
          <cell r="B1523">
            <v>2008</v>
          </cell>
          <cell r="K1523" t="str">
            <v>CASS</v>
          </cell>
          <cell r="L1523" t="str">
            <v>Cass</v>
          </cell>
          <cell r="V1523">
            <v>131000</v>
          </cell>
        </row>
        <row r="1524">
          <cell r="B1524">
            <v>2008</v>
          </cell>
          <cell r="K1524" t="str">
            <v>FREMONT</v>
          </cell>
          <cell r="L1524" t="str">
            <v>Fremont</v>
          </cell>
          <cell r="V1524">
            <v>108500</v>
          </cell>
        </row>
        <row r="1525">
          <cell r="B1525">
            <v>2008</v>
          </cell>
          <cell r="K1525" t="str">
            <v>MILLS</v>
          </cell>
          <cell r="L1525" t="str">
            <v>Mills</v>
          </cell>
          <cell r="V1525">
            <v>92500</v>
          </cell>
        </row>
        <row r="1526">
          <cell r="B1526">
            <v>2008</v>
          </cell>
          <cell r="K1526" t="str">
            <v>MONTGOMERY</v>
          </cell>
          <cell r="L1526" t="str">
            <v>Montgomery</v>
          </cell>
          <cell r="V1526">
            <v>91000</v>
          </cell>
        </row>
        <row r="1527">
          <cell r="B1527">
            <v>2008</v>
          </cell>
          <cell r="K1527" t="str">
            <v>PAGE</v>
          </cell>
          <cell r="L1527" t="str">
            <v>Page</v>
          </cell>
          <cell r="V1527">
            <v>102000</v>
          </cell>
        </row>
        <row r="1528">
          <cell r="B1528">
            <v>2008</v>
          </cell>
          <cell r="K1528" t="str">
            <v>POTTAWATTAMIE</v>
          </cell>
          <cell r="L1528" t="str">
            <v>Pottawattamie</v>
          </cell>
          <cell r="V1528">
            <v>227500</v>
          </cell>
        </row>
        <row r="1529">
          <cell r="B1529">
            <v>2008</v>
          </cell>
          <cell r="K1529" t="str">
            <v>TAYLOR</v>
          </cell>
          <cell r="L1529" t="str">
            <v>Taylor</v>
          </cell>
          <cell r="V1529">
            <v>71000</v>
          </cell>
        </row>
        <row r="1530">
          <cell r="B1530">
            <v>2008</v>
          </cell>
          <cell r="K1530" t="str">
            <v>AUDUBON</v>
          </cell>
          <cell r="L1530" t="str">
            <v>Audubon</v>
          </cell>
          <cell r="V1530">
            <v>112000</v>
          </cell>
        </row>
        <row r="1531">
          <cell r="B1531">
            <v>2008</v>
          </cell>
          <cell r="K1531" t="str">
            <v>CALHOUN</v>
          </cell>
          <cell r="L1531" t="str">
            <v>Calhoun</v>
          </cell>
          <cell r="V1531">
            <v>186500</v>
          </cell>
        </row>
        <row r="1532">
          <cell r="B1532">
            <v>2008</v>
          </cell>
          <cell r="K1532" t="str">
            <v>CARROLL</v>
          </cell>
          <cell r="L1532" t="str">
            <v>Carroll</v>
          </cell>
          <cell r="V1532">
            <v>187500</v>
          </cell>
        </row>
        <row r="1533">
          <cell r="B1533">
            <v>2008</v>
          </cell>
          <cell r="K1533" t="str">
            <v>CRAWFORD</v>
          </cell>
          <cell r="L1533" t="str">
            <v>Crawford</v>
          </cell>
          <cell r="V1533">
            <v>203000</v>
          </cell>
        </row>
        <row r="1534">
          <cell r="B1534">
            <v>2008</v>
          </cell>
          <cell r="K1534" t="str">
            <v>GREENE</v>
          </cell>
          <cell r="L1534" t="str">
            <v>Greene</v>
          </cell>
          <cell r="V1534">
            <v>183500</v>
          </cell>
        </row>
        <row r="1535">
          <cell r="B1535">
            <v>2008</v>
          </cell>
          <cell r="K1535" t="str">
            <v>GUTHRIE</v>
          </cell>
          <cell r="L1535" t="str">
            <v>Guthrie</v>
          </cell>
          <cell r="V1535">
            <v>115000</v>
          </cell>
        </row>
        <row r="1536">
          <cell r="B1536">
            <v>2008</v>
          </cell>
          <cell r="K1536" t="str">
            <v>HARRISON</v>
          </cell>
          <cell r="L1536" t="str">
            <v>Harrison</v>
          </cell>
          <cell r="V1536">
            <v>173500</v>
          </cell>
        </row>
        <row r="1537">
          <cell r="B1537">
            <v>2008</v>
          </cell>
          <cell r="K1537" t="str">
            <v>IDA</v>
          </cell>
          <cell r="L1537" t="str">
            <v>Ida</v>
          </cell>
          <cell r="V1537">
            <v>120500</v>
          </cell>
        </row>
        <row r="1538">
          <cell r="B1538">
            <v>2008</v>
          </cell>
          <cell r="K1538" t="str">
            <v>MONONA</v>
          </cell>
          <cell r="L1538" t="str">
            <v>Monona</v>
          </cell>
          <cell r="V1538">
            <v>171500</v>
          </cell>
        </row>
        <row r="1539">
          <cell r="B1539">
            <v>2008</v>
          </cell>
          <cell r="K1539" t="str">
            <v>SAC</v>
          </cell>
          <cell r="L1539" t="str">
            <v>Sac</v>
          </cell>
          <cell r="V1539">
            <v>175500</v>
          </cell>
        </row>
        <row r="1540">
          <cell r="B1540">
            <v>2008</v>
          </cell>
          <cell r="K1540" t="str">
            <v>SHELBY</v>
          </cell>
          <cell r="L1540" t="str">
            <v>Shelby</v>
          </cell>
          <cell r="V1540">
            <v>171000</v>
          </cell>
        </row>
        <row r="1541">
          <cell r="B1541">
            <v>2008</v>
          </cell>
          <cell r="K1541" t="str">
            <v>WOODBURY</v>
          </cell>
          <cell r="L1541" t="str">
            <v>Woodbury</v>
          </cell>
          <cell r="V1541">
            <v>221500</v>
          </cell>
        </row>
        <row r="1542">
          <cell r="B1542">
            <v>2007</v>
          </cell>
          <cell r="K1542" t="str">
            <v>BOONE</v>
          </cell>
          <cell r="L1542" t="str">
            <v>Boone</v>
          </cell>
          <cell r="V1542">
            <v>168000</v>
          </cell>
        </row>
        <row r="1543">
          <cell r="B1543">
            <v>2007</v>
          </cell>
          <cell r="K1543" t="str">
            <v>DALLAS</v>
          </cell>
          <cell r="L1543" t="str">
            <v>Dallas</v>
          </cell>
          <cell r="V1543">
            <v>144000</v>
          </cell>
        </row>
        <row r="1544">
          <cell r="B1544">
            <v>2007</v>
          </cell>
          <cell r="K1544" t="str">
            <v>GRUNDY</v>
          </cell>
          <cell r="L1544" t="str">
            <v>Grundy</v>
          </cell>
          <cell r="V1544">
            <v>174500</v>
          </cell>
        </row>
        <row r="1545">
          <cell r="B1545">
            <v>2007</v>
          </cell>
          <cell r="K1545" t="str">
            <v>HAMILTON</v>
          </cell>
          <cell r="L1545" t="str">
            <v>Hamilton</v>
          </cell>
          <cell r="V1545">
            <v>209000</v>
          </cell>
        </row>
        <row r="1546">
          <cell r="B1546">
            <v>2007</v>
          </cell>
          <cell r="K1546" t="str">
            <v>HARDIN</v>
          </cell>
          <cell r="L1546" t="str">
            <v>Hardin</v>
          </cell>
          <cell r="V1546">
            <v>207500</v>
          </cell>
        </row>
        <row r="1547">
          <cell r="B1547">
            <v>2007</v>
          </cell>
          <cell r="K1547" t="str">
            <v>JASPER</v>
          </cell>
          <cell r="L1547" t="str">
            <v>Jasper</v>
          </cell>
          <cell r="V1547">
            <v>183500</v>
          </cell>
        </row>
        <row r="1548">
          <cell r="B1548">
            <v>2007</v>
          </cell>
          <cell r="K1548" t="str">
            <v>MARSHALL</v>
          </cell>
          <cell r="L1548" t="str">
            <v>Marshall</v>
          </cell>
          <cell r="V1548">
            <v>160000</v>
          </cell>
        </row>
        <row r="1549">
          <cell r="B1549">
            <v>2007</v>
          </cell>
          <cell r="K1549" t="str">
            <v>POLK</v>
          </cell>
          <cell r="L1549" t="str">
            <v>Polk</v>
          </cell>
          <cell r="V1549">
            <v>99000</v>
          </cell>
        </row>
        <row r="1550">
          <cell r="B1550">
            <v>2007</v>
          </cell>
          <cell r="K1550" t="str">
            <v>POWESHIEK</v>
          </cell>
          <cell r="L1550" t="str">
            <v>Poweshiek</v>
          </cell>
          <cell r="V1550">
            <v>141000</v>
          </cell>
        </row>
        <row r="1551">
          <cell r="B1551">
            <v>2007</v>
          </cell>
          <cell r="K1551" t="str">
            <v>STORY</v>
          </cell>
          <cell r="L1551" t="str">
            <v>Story</v>
          </cell>
          <cell r="V1551">
            <v>189000</v>
          </cell>
        </row>
        <row r="1552">
          <cell r="B1552">
            <v>2007</v>
          </cell>
          <cell r="K1552" t="str">
            <v>TAMA</v>
          </cell>
          <cell r="L1552" t="str">
            <v>Tama</v>
          </cell>
          <cell r="V1552">
            <v>177000</v>
          </cell>
        </row>
        <row r="1553">
          <cell r="B1553">
            <v>2007</v>
          </cell>
          <cell r="K1553" t="str">
            <v>WEBSTER</v>
          </cell>
          <cell r="L1553" t="str">
            <v>Webster</v>
          </cell>
          <cell r="V1553">
            <v>223500</v>
          </cell>
        </row>
        <row r="1554">
          <cell r="B1554">
            <v>2007</v>
          </cell>
          <cell r="K1554" t="str">
            <v>BENTON</v>
          </cell>
          <cell r="L1554" t="str">
            <v>Benton</v>
          </cell>
          <cell r="V1554">
            <v>206000</v>
          </cell>
        </row>
        <row r="1555">
          <cell r="B1555">
            <v>2007</v>
          </cell>
          <cell r="K1555" t="str">
            <v>CEDAR</v>
          </cell>
          <cell r="L1555" t="str">
            <v>Cedar</v>
          </cell>
          <cell r="V1555">
            <v>175500</v>
          </cell>
        </row>
        <row r="1556">
          <cell r="B1556">
            <v>2007</v>
          </cell>
          <cell r="K1556" t="str">
            <v>CLINTON</v>
          </cell>
          <cell r="L1556" t="str">
            <v>Clinton</v>
          </cell>
          <cell r="V1556">
            <v>211500</v>
          </cell>
        </row>
        <row r="1557">
          <cell r="B1557">
            <v>2007</v>
          </cell>
          <cell r="K1557" t="str">
            <v>IOWA</v>
          </cell>
          <cell r="L1557" t="str">
            <v>Iowa</v>
          </cell>
          <cell r="V1557">
            <v>129500</v>
          </cell>
        </row>
        <row r="1558">
          <cell r="B1558">
            <v>2007</v>
          </cell>
          <cell r="K1558" t="str">
            <v>JACKSON</v>
          </cell>
          <cell r="L1558" t="str">
            <v>Jackson</v>
          </cell>
          <cell r="V1558">
            <v>106500</v>
          </cell>
        </row>
        <row r="1559">
          <cell r="B1559">
            <v>2007</v>
          </cell>
          <cell r="K1559" t="str">
            <v>JOHNSON</v>
          </cell>
          <cell r="L1559" t="str">
            <v>Johnson</v>
          </cell>
          <cell r="V1559">
            <v>119500</v>
          </cell>
        </row>
        <row r="1560">
          <cell r="B1560">
            <v>2007</v>
          </cell>
          <cell r="K1560" t="str">
            <v>JONES</v>
          </cell>
          <cell r="L1560" t="str">
            <v>Jones</v>
          </cell>
          <cell r="V1560">
            <v>162500</v>
          </cell>
        </row>
        <row r="1561">
          <cell r="B1561">
            <v>2007</v>
          </cell>
          <cell r="K1561" t="str">
            <v>LINN</v>
          </cell>
          <cell r="L1561" t="str">
            <v>Linn</v>
          </cell>
          <cell r="V1561">
            <v>163000</v>
          </cell>
        </row>
        <row r="1562">
          <cell r="B1562">
            <v>2007</v>
          </cell>
          <cell r="K1562" t="str">
            <v>MUSCATINE</v>
          </cell>
          <cell r="L1562" t="str">
            <v>Muscatine</v>
          </cell>
          <cell r="V1562">
            <v>106000</v>
          </cell>
        </row>
        <row r="1563">
          <cell r="B1563">
            <v>2007</v>
          </cell>
          <cell r="K1563" t="str">
            <v>SCOTT</v>
          </cell>
          <cell r="L1563" t="str">
            <v>Scott</v>
          </cell>
          <cell r="V1563">
            <v>125000</v>
          </cell>
        </row>
        <row r="1564">
          <cell r="B1564">
            <v>2007</v>
          </cell>
          <cell r="K1564" t="str">
            <v>BUTLER</v>
          </cell>
          <cell r="L1564" t="str">
            <v>Butler</v>
          </cell>
          <cell r="V1564">
            <v>186000</v>
          </cell>
        </row>
        <row r="1565">
          <cell r="B1565">
            <v>2007</v>
          </cell>
          <cell r="K1565" t="str">
            <v>CERRO GORDO</v>
          </cell>
          <cell r="L1565" t="str">
            <v>Cerro Gordo</v>
          </cell>
          <cell r="V1565">
            <v>204000</v>
          </cell>
        </row>
        <row r="1566">
          <cell r="B1566">
            <v>2007</v>
          </cell>
          <cell r="K1566" t="str">
            <v>FLOYD</v>
          </cell>
          <cell r="L1566" t="str">
            <v>Floyd</v>
          </cell>
          <cell r="V1566">
            <v>160500</v>
          </cell>
        </row>
        <row r="1567">
          <cell r="B1567">
            <v>2007</v>
          </cell>
          <cell r="K1567" t="str">
            <v>FRANKLIN</v>
          </cell>
          <cell r="L1567" t="str">
            <v>Franklin</v>
          </cell>
          <cell r="V1567">
            <v>219500</v>
          </cell>
        </row>
        <row r="1568">
          <cell r="B1568">
            <v>2007</v>
          </cell>
          <cell r="K1568" t="str">
            <v>HANCOCK</v>
          </cell>
          <cell r="L1568" t="str">
            <v>Hancock</v>
          </cell>
          <cell r="V1568">
            <v>204500</v>
          </cell>
        </row>
        <row r="1569">
          <cell r="B1569">
            <v>2007</v>
          </cell>
          <cell r="K1569" t="str">
            <v>HUMBOLDT</v>
          </cell>
          <cell r="L1569" t="str">
            <v>Humboldt</v>
          </cell>
          <cell r="V1569">
            <v>147500</v>
          </cell>
        </row>
        <row r="1570">
          <cell r="B1570">
            <v>2007</v>
          </cell>
          <cell r="K1570" t="str">
            <v>KOSSUTH</v>
          </cell>
          <cell r="L1570" t="str">
            <v>Kossuth</v>
          </cell>
          <cell r="V1570">
            <v>339500</v>
          </cell>
        </row>
        <row r="1571">
          <cell r="B1571">
            <v>2007</v>
          </cell>
          <cell r="K1571" t="str">
            <v>MITCHELL</v>
          </cell>
          <cell r="L1571" t="str">
            <v>Mitchell</v>
          </cell>
          <cell r="V1571">
            <v>158000</v>
          </cell>
        </row>
        <row r="1572">
          <cell r="B1572">
            <v>2007</v>
          </cell>
          <cell r="K1572" t="str">
            <v>WINNEBAGO</v>
          </cell>
          <cell r="L1572" t="str">
            <v>Winnebago</v>
          </cell>
          <cell r="V1572">
            <v>144000</v>
          </cell>
        </row>
        <row r="1573">
          <cell r="B1573">
            <v>2007</v>
          </cell>
          <cell r="K1573" t="str">
            <v>WORTH</v>
          </cell>
          <cell r="L1573" t="str">
            <v>Worth</v>
          </cell>
          <cell r="V1573">
            <v>125500</v>
          </cell>
        </row>
        <row r="1574">
          <cell r="B1574">
            <v>2007</v>
          </cell>
          <cell r="K1574" t="str">
            <v>WRIGHT</v>
          </cell>
          <cell r="L1574" t="str">
            <v>Wright</v>
          </cell>
          <cell r="V1574">
            <v>197000</v>
          </cell>
        </row>
        <row r="1575">
          <cell r="B1575">
            <v>2007</v>
          </cell>
          <cell r="K1575" t="str">
            <v>ALLAMAKEE</v>
          </cell>
          <cell r="L1575" t="str">
            <v>Allamakee</v>
          </cell>
          <cell r="V1575">
            <v>78000</v>
          </cell>
        </row>
        <row r="1576">
          <cell r="B1576">
            <v>2007</v>
          </cell>
          <cell r="K1576" t="str">
            <v>BLACK HAWK</v>
          </cell>
          <cell r="L1576" t="str">
            <v>Black Hawk</v>
          </cell>
          <cell r="V1576">
            <v>160000</v>
          </cell>
        </row>
        <row r="1577">
          <cell r="B1577">
            <v>2007</v>
          </cell>
          <cell r="K1577" t="str">
            <v>BREMER</v>
          </cell>
          <cell r="L1577" t="str">
            <v>Bremer</v>
          </cell>
          <cell r="V1577">
            <v>135500</v>
          </cell>
        </row>
        <row r="1578">
          <cell r="B1578">
            <v>2007</v>
          </cell>
          <cell r="K1578" t="str">
            <v>BUCHANAN</v>
          </cell>
          <cell r="L1578" t="str">
            <v>Buchanan</v>
          </cell>
          <cell r="V1578">
            <v>197500</v>
          </cell>
        </row>
        <row r="1579">
          <cell r="B1579">
            <v>2007</v>
          </cell>
          <cell r="K1579" t="str">
            <v>CHICKASAW</v>
          </cell>
          <cell r="L1579" t="str">
            <v>Chickasaw</v>
          </cell>
          <cell r="V1579">
            <v>152000</v>
          </cell>
        </row>
        <row r="1580">
          <cell r="B1580">
            <v>2007</v>
          </cell>
          <cell r="K1580" t="str">
            <v>CLAYTON</v>
          </cell>
          <cell r="L1580" t="str">
            <v>Clayton</v>
          </cell>
          <cell r="V1580">
            <v>151500</v>
          </cell>
        </row>
        <row r="1581">
          <cell r="B1581">
            <v>2007</v>
          </cell>
          <cell r="K1581" t="str">
            <v>DELAWARE</v>
          </cell>
          <cell r="L1581" t="str">
            <v>Delaware</v>
          </cell>
          <cell r="V1581">
            <v>202000</v>
          </cell>
        </row>
        <row r="1582">
          <cell r="B1582">
            <v>2007</v>
          </cell>
          <cell r="K1582" t="str">
            <v>DUBUQUE</v>
          </cell>
          <cell r="L1582" t="str">
            <v>Dubuque</v>
          </cell>
          <cell r="V1582">
            <v>138500</v>
          </cell>
        </row>
        <row r="1583">
          <cell r="B1583">
            <v>2007</v>
          </cell>
          <cell r="K1583" t="str">
            <v>FAYETTE</v>
          </cell>
          <cell r="L1583" t="str">
            <v>Fayette</v>
          </cell>
          <cell r="V1583">
            <v>209000</v>
          </cell>
        </row>
        <row r="1584">
          <cell r="B1584">
            <v>2007</v>
          </cell>
          <cell r="K1584" t="str">
            <v>HOWARD</v>
          </cell>
          <cell r="L1584" t="str">
            <v>Howard</v>
          </cell>
          <cell r="V1584">
            <v>131000</v>
          </cell>
        </row>
        <row r="1585">
          <cell r="B1585">
            <v>2007</v>
          </cell>
          <cell r="K1585" t="str">
            <v>WINNESHIEK</v>
          </cell>
          <cell r="L1585" t="str">
            <v>Winneshiek</v>
          </cell>
          <cell r="V1585">
            <v>159000</v>
          </cell>
        </row>
        <row r="1586">
          <cell r="B1586">
            <v>2007</v>
          </cell>
          <cell r="K1586" t="str">
            <v>BUENA VISTA</v>
          </cell>
          <cell r="L1586" t="str">
            <v>Buena Vista</v>
          </cell>
          <cell r="V1586">
            <v>186000</v>
          </cell>
        </row>
        <row r="1587">
          <cell r="B1587">
            <v>2007</v>
          </cell>
          <cell r="K1587" t="str">
            <v>CHEROKEE</v>
          </cell>
          <cell r="L1587" t="str">
            <v>Cherokee</v>
          </cell>
          <cell r="V1587">
            <v>154500</v>
          </cell>
        </row>
        <row r="1588">
          <cell r="B1588">
            <v>2007</v>
          </cell>
          <cell r="K1588" t="str">
            <v>CLAY</v>
          </cell>
          <cell r="L1588" t="str">
            <v>Clay</v>
          </cell>
          <cell r="V1588">
            <v>169000</v>
          </cell>
        </row>
        <row r="1589">
          <cell r="B1589">
            <v>2007</v>
          </cell>
          <cell r="K1589" t="str">
            <v>DICKINSON</v>
          </cell>
          <cell r="L1589" t="str">
            <v>Dickinson</v>
          </cell>
          <cell r="V1589">
            <v>97500</v>
          </cell>
        </row>
        <row r="1590">
          <cell r="B1590">
            <v>2007</v>
          </cell>
          <cell r="K1590" t="str">
            <v>EMMET</v>
          </cell>
          <cell r="L1590" t="str">
            <v>Emmet</v>
          </cell>
          <cell r="V1590">
            <v>133500</v>
          </cell>
        </row>
        <row r="1591">
          <cell r="B1591">
            <v>2007</v>
          </cell>
          <cell r="K1591" t="str">
            <v>LYON</v>
          </cell>
          <cell r="L1591" t="str">
            <v>Lyon</v>
          </cell>
          <cell r="V1591">
            <v>182000</v>
          </cell>
        </row>
        <row r="1592">
          <cell r="B1592">
            <v>2007</v>
          </cell>
          <cell r="K1592" t="str">
            <v>O BRIEN</v>
          </cell>
          <cell r="L1592" t="str">
            <v>O Brien</v>
          </cell>
          <cell r="V1592">
            <v>172500</v>
          </cell>
        </row>
        <row r="1593">
          <cell r="B1593">
            <v>2007</v>
          </cell>
          <cell r="K1593" t="str">
            <v>OSCEOLA</v>
          </cell>
          <cell r="L1593" t="str">
            <v>Osceola</v>
          </cell>
          <cell r="V1593">
            <v>134000</v>
          </cell>
        </row>
        <row r="1594">
          <cell r="B1594">
            <v>2007</v>
          </cell>
          <cell r="K1594" t="str">
            <v>PALO ALTO</v>
          </cell>
          <cell r="L1594" t="str">
            <v>Palo Alto</v>
          </cell>
          <cell r="V1594">
            <v>188000</v>
          </cell>
        </row>
        <row r="1595">
          <cell r="B1595">
            <v>2007</v>
          </cell>
          <cell r="K1595" t="str">
            <v>PLYMOUTH</v>
          </cell>
          <cell r="L1595" t="str">
            <v>Plymouth</v>
          </cell>
          <cell r="V1595">
            <v>239000</v>
          </cell>
        </row>
        <row r="1596">
          <cell r="B1596">
            <v>2007</v>
          </cell>
          <cell r="K1596" t="str">
            <v>POCAHONTAS</v>
          </cell>
          <cell r="L1596" t="str">
            <v>Pocahontas</v>
          </cell>
          <cell r="V1596">
            <v>190000</v>
          </cell>
        </row>
        <row r="1597">
          <cell r="B1597">
            <v>2007</v>
          </cell>
          <cell r="K1597" t="str">
            <v>SIOUX</v>
          </cell>
          <cell r="L1597" t="str">
            <v>Sioux</v>
          </cell>
          <cell r="V1597">
            <v>265000</v>
          </cell>
        </row>
        <row r="1598">
          <cell r="B1598">
            <v>2007</v>
          </cell>
          <cell r="K1598" t="str">
            <v>APPANOOSE</v>
          </cell>
          <cell r="L1598" t="str">
            <v>Appanoose</v>
          </cell>
          <cell r="V1598">
            <v>37500</v>
          </cell>
        </row>
        <row r="1599">
          <cell r="B1599">
            <v>2007</v>
          </cell>
          <cell r="K1599" t="str">
            <v>CLARKE</v>
          </cell>
          <cell r="L1599" t="str">
            <v>Clarke</v>
          </cell>
          <cell r="V1599">
            <v>41000</v>
          </cell>
        </row>
        <row r="1600">
          <cell r="B1600">
            <v>2007</v>
          </cell>
          <cell r="K1600" t="str">
            <v>DECATUR</v>
          </cell>
          <cell r="L1600" t="str">
            <v>Decatur</v>
          </cell>
          <cell r="V1600">
            <v>36500</v>
          </cell>
        </row>
        <row r="1601">
          <cell r="B1601">
            <v>2007</v>
          </cell>
          <cell r="K1601" t="str">
            <v>LUCAS</v>
          </cell>
          <cell r="L1601" t="str">
            <v>Lucas</v>
          </cell>
          <cell r="V1601">
            <v>30000</v>
          </cell>
        </row>
        <row r="1602">
          <cell r="B1602">
            <v>2007</v>
          </cell>
          <cell r="K1602" t="str">
            <v>MADISON</v>
          </cell>
          <cell r="L1602" t="str">
            <v>Madison</v>
          </cell>
          <cell r="V1602">
            <v>74500</v>
          </cell>
        </row>
        <row r="1603">
          <cell r="B1603">
            <v>2007</v>
          </cell>
          <cell r="K1603" t="str">
            <v>MARION</v>
          </cell>
          <cell r="L1603" t="str">
            <v>Marion</v>
          </cell>
          <cell r="V1603">
            <v>90000</v>
          </cell>
        </row>
        <row r="1604">
          <cell r="B1604">
            <v>2007</v>
          </cell>
          <cell r="K1604" t="str">
            <v>MONROE</v>
          </cell>
          <cell r="L1604" t="str">
            <v>Monroe</v>
          </cell>
          <cell r="V1604">
            <v>33000</v>
          </cell>
        </row>
        <row r="1605">
          <cell r="B1605">
            <v>2007</v>
          </cell>
          <cell r="K1605" t="str">
            <v>RINGGOLD</v>
          </cell>
          <cell r="L1605" t="str">
            <v>Ringgold</v>
          </cell>
          <cell r="V1605">
            <v>49000</v>
          </cell>
        </row>
        <row r="1606">
          <cell r="B1606">
            <v>2007</v>
          </cell>
          <cell r="K1606" t="str">
            <v>UNION</v>
          </cell>
          <cell r="L1606" t="str">
            <v>Union</v>
          </cell>
          <cell r="V1606">
            <v>61500</v>
          </cell>
        </row>
        <row r="1607">
          <cell r="B1607">
            <v>2007</v>
          </cell>
          <cell r="K1607" t="str">
            <v>WARREN</v>
          </cell>
          <cell r="L1607" t="str">
            <v>Warren</v>
          </cell>
          <cell r="V1607">
            <v>75000</v>
          </cell>
        </row>
        <row r="1608">
          <cell r="B1608">
            <v>2007</v>
          </cell>
          <cell r="K1608" t="str">
            <v>WAYNE</v>
          </cell>
          <cell r="L1608" t="str">
            <v>Wayne</v>
          </cell>
          <cell r="V1608">
            <v>52000</v>
          </cell>
        </row>
        <row r="1609">
          <cell r="B1609">
            <v>2007</v>
          </cell>
          <cell r="K1609" t="str">
            <v>DAVIS</v>
          </cell>
          <cell r="L1609" t="str">
            <v>Davis</v>
          </cell>
          <cell r="V1609">
            <v>44000</v>
          </cell>
        </row>
        <row r="1610">
          <cell r="B1610">
            <v>2007</v>
          </cell>
          <cell r="K1610" t="str">
            <v>DES MOINES</v>
          </cell>
          <cell r="L1610" t="str">
            <v>Des Moines</v>
          </cell>
          <cell r="V1610">
            <v>81000</v>
          </cell>
        </row>
        <row r="1611">
          <cell r="B1611">
            <v>2007</v>
          </cell>
          <cell r="K1611" t="str">
            <v>HENRY</v>
          </cell>
          <cell r="L1611" t="str">
            <v>Henry</v>
          </cell>
          <cell r="V1611">
            <v>91000</v>
          </cell>
        </row>
        <row r="1612">
          <cell r="B1612">
            <v>2007</v>
          </cell>
          <cell r="K1612" t="str">
            <v>JEFFERSON</v>
          </cell>
          <cell r="L1612" t="str">
            <v>Jefferson</v>
          </cell>
          <cell r="V1612">
            <v>79000</v>
          </cell>
        </row>
        <row r="1613">
          <cell r="B1613">
            <v>2007</v>
          </cell>
          <cell r="K1613" t="str">
            <v>KEOKUK</v>
          </cell>
          <cell r="L1613" t="str">
            <v>Keokuk</v>
          </cell>
          <cell r="V1613">
            <v>125000</v>
          </cell>
        </row>
        <row r="1614">
          <cell r="B1614">
            <v>2007</v>
          </cell>
          <cell r="K1614" t="str">
            <v>LEE</v>
          </cell>
          <cell r="L1614" t="str">
            <v>Lee</v>
          </cell>
          <cell r="V1614">
            <v>80500</v>
          </cell>
        </row>
        <row r="1615">
          <cell r="B1615">
            <v>2007</v>
          </cell>
          <cell r="K1615" t="str">
            <v>LOUISA</v>
          </cell>
          <cell r="L1615" t="str">
            <v>Louisa</v>
          </cell>
          <cell r="V1615">
            <v>90500</v>
          </cell>
        </row>
        <row r="1616">
          <cell r="B1616">
            <v>2007</v>
          </cell>
          <cell r="K1616" t="str">
            <v>MAHASKA</v>
          </cell>
          <cell r="L1616" t="str">
            <v>Mahaska</v>
          </cell>
          <cell r="V1616">
            <v>137500</v>
          </cell>
        </row>
        <row r="1617">
          <cell r="B1617">
            <v>2007</v>
          </cell>
          <cell r="K1617" t="str">
            <v>VAN BUREN</v>
          </cell>
          <cell r="L1617" t="str">
            <v>Van Buren</v>
          </cell>
          <cell r="V1617">
            <v>51500</v>
          </cell>
        </row>
        <row r="1618">
          <cell r="B1618">
            <v>2007</v>
          </cell>
          <cell r="K1618" t="str">
            <v>WAPELLO</v>
          </cell>
          <cell r="L1618" t="str">
            <v>Wapello</v>
          </cell>
          <cell r="V1618">
            <v>69000</v>
          </cell>
        </row>
        <row r="1619">
          <cell r="B1619">
            <v>2007</v>
          </cell>
          <cell r="K1619" t="str">
            <v>WASHINGTON</v>
          </cell>
          <cell r="L1619" t="str">
            <v>Washington</v>
          </cell>
          <cell r="V1619">
            <v>130000</v>
          </cell>
        </row>
        <row r="1620">
          <cell r="B1620">
            <v>2007</v>
          </cell>
          <cell r="K1620" t="str">
            <v>ADAIR</v>
          </cell>
          <cell r="L1620" t="str">
            <v>Adair</v>
          </cell>
          <cell r="V1620">
            <v>116500</v>
          </cell>
        </row>
        <row r="1621">
          <cell r="B1621">
            <v>2007</v>
          </cell>
          <cell r="K1621" t="str">
            <v>ADAMS</v>
          </cell>
          <cell r="L1621" t="str">
            <v>Adams</v>
          </cell>
          <cell r="V1621">
            <v>71000</v>
          </cell>
        </row>
        <row r="1622">
          <cell r="B1622">
            <v>2007</v>
          </cell>
          <cell r="K1622" t="str">
            <v>CASS</v>
          </cell>
          <cell r="L1622" t="str">
            <v>Cass</v>
          </cell>
          <cell r="V1622">
            <v>133500</v>
          </cell>
        </row>
        <row r="1623">
          <cell r="B1623">
            <v>2007</v>
          </cell>
          <cell r="K1623" t="str">
            <v>FREMONT</v>
          </cell>
          <cell r="L1623" t="str">
            <v>Fremont</v>
          </cell>
          <cell r="V1623">
            <v>122000</v>
          </cell>
        </row>
        <row r="1624">
          <cell r="B1624">
            <v>2007</v>
          </cell>
          <cell r="K1624" t="str">
            <v>MILLS</v>
          </cell>
          <cell r="L1624" t="str">
            <v>Mills</v>
          </cell>
          <cell r="V1624">
            <v>102000</v>
          </cell>
        </row>
        <row r="1625">
          <cell r="B1625">
            <v>2007</v>
          </cell>
          <cell r="K1625" t="str">
            <v>MONTGOMERY</v>
          </cell>
          <cell r="L1625" t="str">
            <v>Montgomery</v>
          </cell>
          <cell r="V1625">
            <v>96000</v>
          </cell>
        </row>
        <row r="1626">
          <cell r="B1626">
            <v>2007</v>
          </cell>
          <cell r="K1626" t="str">
            <v>PAGE</v>
          </cell>
          <cell r="L1626" t="str">
            <v>Page</v>
          </cell>
          <cell r="V1626">
            <v>108500</v>
          </cell>
        </row>
        <row r="1627">
          <cell r="B1627">
            <v>2007</v>
          </cell>
          <cell r="K1627" t="str">
            <v>POTTAWATTAMIE</v>
          </cell>
          <cell r="L1627" t="str">
            <v>Pottawattamie</v>
          </cell>
          <cell r="V1627">
            <v>241000</v>
          </cell>
        </row>
        <row r="1628">
          <cell r="B1628">
            <v>2007</v>
          </cell>
          <cell r="K1628" t="str">
            <v>TAYLOR</v>
          </cell>
          <cell r="L1628" t="str">
            <v>Taylor</v>
          </cell>
          <cell r="V1628">
            <v>74500</v>
          </cell>
        </row>
        <row r="1629">
          <cell r="B1629">
            <v>2007</v>
          </cell>
          <cell r="K1629" t="str">
            <v>AUDUBON</v>
          </cell>
          <cell r="L1629" t="str">
            <v>Audubon</v>
          </cell>
          <cell r="V1629">
            <v>116500</v>
          </cell>
        </row>
        <row r="1630">
          <cell r="B1630">
            <v>2007</v>
          </cell>
          <cell r="K1630" t="str">
            <v>CALHOUN</v>
          </cell>
          <cell r="L1630" t="str">
            <v>Calhoun</v>
          </cell>
          <cell r="V1630">
            <v>186500</v>
          </cell>
        </row>
        <row r="1631">
          <cell r="B1631">
            <v>2007</v>
          </cell>
          <cell r="K1631" t="str">
            <v>CARROLL</v>
          </cell>
          <cell r="L1631" t="str">
            <v>Carroll</v>
          </cell>
          <cell r="V1631">
            <v>191000</v>
          </cell>
        </row>
        <row r="1632">
          <cell r="B1632">
            <v>2007</v>
          </cell>
          <cell r="K1632" t="str">
            <v>CRAWFORD</v>
          </cell>
          <cell r="L1632" t="str">
            <v>Crawford</v>
          </cell>
          <cell r="V1632">
            <v>213000</v>
          </cell>
        </row>
        <row r="1633">
          <cell r="B1633">
            <v>2007</v>
          </cell>
          <cell r="K1633" t="str">
            <v>GREENE</v>
          </cell>
          <cell r="L1633" t="str">
            <v>Greene</v>
          </cell>
          <cell r="V1633">
            <v>187000</v>
          </cell>
        </row>
        <row r="1634">
          <cell r="B1634">
            <v>2007</v>
          </cell>
          <cell r="K1634" t="str">
            <v>GUTHRIE</v>
          </cell>
          <cell r="L1634" t="str">
            <v>Guthrie</v>
          </cell>
          <cell r="V1634">
            <v>122500</v>
          </cell>
        </row>
        <row r="1635">
          <cell r="B1635">
            <v>2007</v>
          </cell>
          <cell r="K1635" t="str">
            <v>HARRISON</v>
          </cell>
          <cell r="L1635" t="str">
            <v>Harrison</v>
          </cell>
          <cell r="V1635">
            <v>176000</v>
          </cell>
        </row>
        <row r="1636">
          <cell r="B1636">
            <v>2007</v>
          </cell>
          <cell r="K1636" t="str">
            <v>IDA</v>
          </cell>
          <cell r="L1636" t="str">
            <v>Ida</v>
          </cell>
          <cell r="V1636">
            <v>130000</v>
          </cell>
        </row>
        <row r="1637">
          <cell r="B1637">
            <v>2007</v>
          </cell>
          <cell r="K1637" t="str">
            <v>MONONA</v>
          </cell>
          <cell r="L1637" t="str">
            <v>Monona</v>
          </cell>
          <cell r="V1637">
            <v>182000</v>
          </cell>
        </row>
        <row r="1638">
          <cell r="B1638">
            <v>2007</v>
          </cell>
          <cell r="K1638" t="str">
            <v>SAC</v>
          </cell>
          <cell r="L1638" t="str">
            <v>Sac</v>
          </cell>
          <cell r="V1638">
            <v>177000</v>
          </cell>
        </row>
        <row r="1639">
          <cell r="B1639">
            <v>2007</v>
          </cell>
          <cell r="K1639" t="str">
            <v>SHELBY</v>
          </cell>
          <cell r="L1639" t="str">
            <v>Shelby</v>
          </cell>
          <cell r="V1639">
            <v>172500</v>
          </cell>
        </row>
        <row r="1640">
          <cell r="B1640">
            <v>2007</v>
          </cell>
          <cell r="K1640" t="str">
            <v>WOODBURY</v>
          </cell>
          <cell r="L1640" t="str">
            <v>Woodbury</v>
          </cell>
          <cell r="V1640">
            <v>230000</v>
          </cell>
        </row>
        <row r="1641">
          <cell r="B1641">
            <v>2006</v>
          </cell>
          <cell r="K1641" t="str">
            <v>BOONE</v>
          </cell>
          <cell r="L1641" t="str">
            <v>Boone</v>
          </cell>
          <cell r="V1641">
            <v>150000</v>
          </cell>
        </row>
        <row r="1642">
          <cell r="B1642">
            <v>2006</v>
          </cell>
          <cell r="K1642" t="str">
            <v>DALLAS</v>
          </cell>
          <cell r="L1642" t="str">
            <v>Dallas</v>
          </cell>
          <cell r="V1642">
            <v>128000</v>
          </cell>
        </row>
        <row r="1643">
          <cell r="B1643">
            <v>2006</v>
          </cell>
          <cell r="K1643" t="str">
            <v>GRUNDY</v>
          </cell>
          <cell r="L1643" t="str">
            <v>Grundy</v>
          </cell>
          <cell r="V1643">
            <v>153500</v>
          </cell>
        </row>
        <row r="1644">
          <cell r="B1644">
            <v>2006</v>
          </cell>
          <cell r="K1644" t="str">
            <v>HAMILTON</v>
          </cell>
          <cell r="L1644" t="str">
            <v>Hamilton</v>
          </cell>
          <cell r="V1644">
            <v>183500</v>
          </cell>
        </row>
        <row r="1645">
          <cell r="B1645">
            <v>2006</v>
          </cell>
          <cell r="K1645" t="str">
            <v>HARDIN</v>
          </cell>
          <cell r="L1645" t="str">
            <v>Hardin</v>
          </cell>
          <cell r="V1645">
            <v>184000</v>
          </cell>
        </row>
        <row r="1646">
          <cell r="B1646">
            <v>2006</v>
          </cell>
          <cell r="K1646" t="str">
            <v>JASPER</v>
          </cell>
          <cell r="L1646" t="str">
            <v>Jasper</v>
          </cell>
          <cell r="V1646">
            <v>161500</v>
          </cell>
        </row>
        <row r="1647">
          <cell r="B1647">
            <v>2006</v>
          </cell>
          <cell r="K1647" t="str">
            <v>MARSHALL</v>
          </cell>
          <cell r="L1647" t="str">
            <v>Marshall</v>
          </cell>
          <cell r="V1647">
            <v>142500</v>
          </cell>
        </row>
        <row r="1648">
          <cell r="B1648">
            <v>2006</v>
          </cell>
          <cell r="K1648" t="str">
            <v>POLK</v>
          </cell>
          <cell r="L1648" t="str">
            <v>Polk</v>
          </cell>
          <cell r="V1648">
            <v>89500</v>
          </cell>
        </row>
        <row r="1649">
          <cell r="B1649">
            <v>2006</v>
          </cell>
          <cell r="K1649" t="str">
            <v>POWESHIEK</v>
          </cell>
          <cell r="L1649" t="str">
            <v>Poweshiek</v>
          </cell>
          <cell r="V1649">
            <v>128000</v>
          </cell>
        </row>
        <row r="1650">
          <cell r="B1650">
            <v>2006</v>
          </cell>
          <cell r="K1650" t="str">
            <v>STORY</v>
          </cell>
          <cell r="L1650" t="str">
            <v>Story</v>
          </cell>
          <cell r="V1650">
            <v>159500</v>
          </cell>
        </row>
        <row r="1651">
          <cell r="B1651">
            <v>2006</v>
          </cell>
          <cell r="K1651" t="str">
            <v>TAMA</v>
          </cell>
          <cell r="L1651" t="str">
            <v>Tama</v>
          </cell>
          <cell r="V1651">
            <v>161000</v>
          </cell>
        </row>
        <row r="1652">
          <cell r="B1652">
            <v>2006</v>
          </cell>
          <cell r="K1652" t="str">
            <v>WEBSTER</v>
          </cell>
          <cell r="L1652" t="str">
            <v>Webster</v>
          </cell>
          <cell r="V1652">
            <v>198000</v>
          </cell>
        </row>
        <row r="1653">
          <cell r="B1653">
            <v>2006</v>
          </cell>
          <cell r="K1653" t="str">
            <v>BENTON</v>
          </cell>
          <cell r="L1653" t="str">
            <v>Benton</v>
          </cell>
          <cell r="V1653">
            <v>183000</v>
          </cell>
        </row>
        <row r="1654">
          <cell r="B1654">
            <v>2006</v>
          </cell>
          <cell r="K1654" t="str">
            <v>CEDAR</v>
          </cell>
          <cell r="L1654" t="str">
            <v>Cedar</v>
          </cell>
          <cell r="V1654">
            <v>145500</v>
          </cell>
        </row>
        <row r="1655">
          <cell r="B1655">
            <v>2006</v>
          </cell>
          <cell r="K1655" t="str">
            <v>CLINTON</v>
          </cell>
          <cell r="L1655" t="str">
            <v>Clinton</v>
          </cell>
          <cell r="V1655">
            <v>177500</v>
          </cell>
        </row>
        <row r="1656">
          <cell r="B1656">
            <v>2006</v>
          </cell>
          <cell r="K1656" t="str">
            <v>IOWA</v>
          </cell>
          <cell r="L1656" t="str">
            <v>Iowa</v>
          </cell>
          <cell r="V1656">
            <v>112000</v>
          </cell>
        </row>
        <row r="1657">
          <cell r="B1657">
            <v>2006</v>
          </cell>
          <cell r="K1657" t="str">
            <v>JACKSON</v>
          </cell>
          <cell r="L1657" t="str">
            <v>Jackson</v>
          </cell>
          <cell r="V1657">
            <v>91000</v>
          </cell>
        </row>
        <row r="1658">
          <cell r="B1658">
            <v>2006</v>
          </cell>
          <cell r="K1658" t="str">
            <v>JOHNSON</v>
          </cell>
          <cell r="L1658" t="str">
            <v>Johnson</v>
          </cell>
          <cell r="V1658">
            <v>103500</v>
          </cell>
        </row>
        <row r="1659">
          <cell r="B1659">
            <v>2006</v>
          </cell>
          <cell r="K1659" t="str">
            <v>JONES</v>
          </cell>
          <cell r="L1659" t="str">
            <v>Jones</v>
          </cell>
          <cell r="V1659">
            <v>139500</v>
          </cell>
        </row>
        <row r="1660">
          <cell r="B1660">
            <v>2006</v>
          </cell>
          <cell r="K1660" t="str">
            <v>LINN</v>
          </cell>
          <cell r="L1660" t="str">
            <v>Linn</v>
          </cell>
          <cell r="V1660">
            <v>138500</v>
          </cell>
        </row>
        <row r="1661">
          <cell r="B1661">
            <v>2006</v>
          </cell>
          <cell r="K1661" t="str">
            <v>MUSCATINE</v>
          </cell>
          <cell r="L1661" t="str">
            <v>Muscatine</v>
          </cell>
          <cell r="V1661">
            <v>88000</v>
          </cell>
        </row>
        <row r="1662">
          <cell r="B1662">
            <v>2006</v>
          </cell>
          <cell r="K1662" t="str">
            <v>SCOTT</v>
          </cell>
          <cell r="L1662" t="str">
            <v>Scott</v>
          </cell>
          <cell r="V1662">
            <v>104500</v>
          </cell>
        </row>
        <row r="1663">
          <cell r="B1663">
            <v>2006</v>
          </cell>
          <cell r="K1663" t="str">
            <v>BUTLER</v>
          </cell>
          <cell r="L1663" t="str">
            <v>Butler</v>
          </cell>
          <cell r="V1663">
            <v>156000</v>
          </cell>
        </row>
        <row r="1664">
          <cell r="B1664">
            <v>2006</v>
          </cell>
          <cell r="K1664" t="str">
            <v>CERRO GORDO</v>
          </cell>
          <cell r="L1664" t="str">
            <v>Cerro Gordo</v>
          </cell>
          <cell r="V1664">
            <v>177000</v>
          </cell>
        </row>
        <row r="1665">
          <cell r="B1665">
            <v>2006</v>
          </cell>
          <cell r="K1665" t="str">
            <v>FLOYD</v>
          </cell>
          <cell r="L1665" t="str">
            <v>Floyd</v>
          </cell>
          <cell r="V1665">
            <v>137000</v>
          </cell>
        </row>
        <row r="1666">
          <cell r="B1666">
            <v>2006</v>
          </cell>
          <cell r="K1666" t="str">
            <v>FRANKLIN</v>
          </cell>
          <cell r="L1666" t="str">
            <v>Franklin</v>
          </cell>
          <cell r="V1666">
            <v>186500</v>
          </cell>
        </row>
        <row r="1667">
          <cell r="B1667">
            <v>2006</v>
          </cell>
          <cell r="K1667" t="str">
            <v>HANCOCK</v>
          </cell>
          <cell r="L1667" t="str">
            <v>Hancock</v>
          </cell>
          <cell r="V1667">
            <v>176500</v>
          </cell>
        </row>
        <row r="1668">
          <cell r="B1668">
            <v>2006</v>
          </cell>
          <cell r="K1668" t="str">
            <v>HUMBOLDT</v>
          </cell>
          <cell r="L1668" t="str">
            <v>Humboldt</v>
          </cell>
          <cell r="V1668">
            <v>131000</v>
          </cell>
        </row>
        <row r="1669">
          <cell r="B1669">
            <v>2006</v>
          </cell>
          <cell r="K1669" t="str">
            <v>KOSSUTH</v>
          </cell>
          <cell r="L1669" t="str">
            <v>Kossuth</v>
          </cell>
          <cell r="V1669">
            <v>306000</v>
          </cell>
        </row>
        <row r="1670">
          <cell r="B1670">
            <v>2006</v>
          </cell>
          <cell r="K1670" t="str">
            <v>MITCHELL</v>
          </cell>
          <cell r="L1670" t="str">
            <v>Mitchell</v>
          </cell>
          <cell r="V1670">
            <v>139000</v>
          </cell>
        </row>
        <row r="1671">
          <cell r="B1671">
            <v>2006</v>
          </cell>
          <cell r="K1671" t="str">
            <v>WINNEBAGO</v>
          </cell>
          <cell r="L1671" t="str">
            <v>Winnebago</v>
          </cell>
          <cell r="V1671">
            <v>126000</v>
          </cell>
        </row>
        <row r="1672">
          <cell r="B1672">
            <v>2006</v>
          </cell>
          <cell r="K1672" t="str">
            <v>WORTH</v>
          </cell>
          <cell r="L1672" t="str">
            <v>Worth</v>
          </cell>
          <cell r="V1672">
            <v>112000</v>
          </cell>
        </row>
        <row r="1673">
          <cell r="B1673">
            <v>2006</v>
          </cell>
          <cell r="K1673" t="str">
            <v>WRIGHT</v>
          </cell>
          <cell r="L1673" t="str">
            <v>Wright</v>
          </cell>
          <cell r="V1673">
            <v>175000</v>
          </cell>
        </row>
        <row r="1674">
          <cell r="B1674">
            <v>2006</v>
          </cell>
          <cell r="K1674" t="str">
            <v>ALLAMAKEE</v>
          </cell>
          <cell r="L1674" t="str">
            <v>Allamakee</v>
          </cell>
          <cell r="V1674">
            <v>69000</v>
          </cell>
        </row>
        <row r="1675">
          <cell r="B1675">
            <v>2006</v>
          </cell>
          <cell r="K1675" t="str">
            <v>BLACK HAWK</v>
          </cell>
          <cell r="L1675" t="str">
            <v>Black Hawk</v>
          </cell>
          <cell r="V1675">
            <v>140500</v>
          </cell>
        </row>
        <row r="1676">
          <cell r="B1676">
            <v>2006</v>
          </cell>
          <cell r="K1676" t="str">
            <v>BREMER</v>
          </cell>
          <cell r="L1676" t="str">
            <v>Bremer</v>
          </cell>
          <cell r="V1676">
            <v>117000</v>
          </cell>
        </row>
        <row r="1677">
          <cell r="B1677">
            <v>2006</v>
          </cell>
          <cell r="K1677" t="str">
            <v>BUCHANAN</v>
          </cell>
          <cell r="L1677" t="str">
            <v>Buchanan</v>
          </cell>
          <cell r="V1677">
            <v>168000</v>
          </cell>
        </row>
        <row r="1678">
          <cell r="B1678">
            <v>2006</v>
          </cell>
          <cell r="K1678" t="str">
            <v>CHICKASAW</v>
          </cell>
          <cell r="L1678" t="str">
            <v>Chickasaw</v>
          </cell>
          <cell r="V1678">
            <v>131500</v>
          </cell>
        </row>
        <row r="1679">
          <cell r="B1679">
            <v>2006</v>
          </cell>
          <cell r="K1679" t="str">
            <v>CLAYTON</v>
          </cell>
          <cell r="L1679" t="str">
            <v>Clayton</v>
          </cell>
          <cell r="V1679">
            <v>131000</v>
          </cell>
        </row>
        <row r="1680">
          <cell r="B1680">
            <v>2006</v>
          </cell>
          <cell r="K1680" t="str">
            <v>DELAWARE</v>
          </cell>
          <cell r="L1680" t="str">
            <v>Delaware</v>
          </cell>
          <cell r="V1680">
            <v>178000</v>
          </cell>
        </row>
        <row r="1681">
          <cell r="B1681">
            <v>2006</v>
          </cell>
          <cell r="K1681" t="str">
            <v>DUBUQUE</v>
          </cell>
          <cell r="L1681" t="str">
            <v>Dubuque</v>
          </cell>
          <cell r="V1681">
            <v>128000</v>
          </cell>
        </row>
        <row r="1682">
          <cell r="B1682">
            <v>2006</v>
          </cell>
          <cell r="K1682" t="str">
            <v>FAYETTE</v>
          </cell>
          <cell r="L1682" t="str">
            <v>Fayette</v>
          </cell>
          <cell r="V1682">
            <v>183000</v>
          </cell>
        </row>
        <row r="1683">
          <cell r="B1683">
            <v>2006</v>
          </cell>
          <cell r="K1683" t="str">
            <v>HOWARD</v>
          </cell>
          <cell r="L1683" t="str">
            <v>Howard</v>
          </cell>
          <cell r="V1683">
            <v>116500</v>
          </cell>
        </row>
        <row r="1684">
          <cell r="B1684">
            <v>2006</v>
          </cell>
          <cell r="K1684" t="str">
            <v>WINNESHIEK</v>
          </cell>
          <cell r="L1684" t="str">
            <v>Winneshiek</v>
          </cell>
          <cell r="V1684">
            <v>136500</v>
          </cell>
        </row>
        <row r="1685">
          <cell r="B1685">
            <v>2006</v>
          </cell>
          <cell r="K1685" t="str">
            <v>BUENA VISTA</v>
          </cell>
          <cell r="L1685" t="str">
            <v>Buena Vista</v>
          </cell>
          <cell r="V1685">
            <v>171000</v>
          </cell>
        </row>
        <row r="1686">
          <cell r="B1686">
            <v>2006</v>
          </cell>
          <cell r="K1686" t="str">
            <v>CHEROKEE</v>
          </cell>
          <cell r="L1686" t="str">
            <v>Cherokee</v>
          </cell>
          <cell r="V1686">
            <v>146500</v>
          </cell>
        </row>
        <row r="1687">
          <cell r="B1687">
            <v>2006</v>
          </cell>
          <cell r="K1687" t="str">
            <v>CLAY</v>
          </cell>
          <cell r="L1687" t="str">
            <v>Clay</v>
          </cell>
          <cell r="V1687">
            <v>157000</v>
          </cell>
        </row>
        <row r="1688">
          <cell r="B1688">
            <v>2006</v>
          </cell>
          <cell r="K1688" t="str">
            <v>DICKINSON</v>
          </cell>
          <cell r="L1688" t="str">
            <v>Dickinson</v>
          </cell>
          <cell r="V1688">
            <v>91000</v>
          </cell>
        </row>
        <row r="1689">
          <cell r="B1689">
            <v>2006</v>
          </cell>
          <cell r="K1689" t="str">
            <v>EMMET</v>
          </cell>
          <cell r="L1689" t="str">
            <v>Emmet</v>
          </cell>
          <cell r="V1689">
            <v>123000</v>
          </cell>
        </row>
        <row r="1690">
          <cell r="B1690">
            <v>2006</v>
          </cell>
          <cell r="K1690" t="str">
            <v>LYON</v>
          </cell>
          <cell r="L1690" t="str">
            <v>Lyon</v>
          </cell>
          <cell r="V1690">
            <v>165500</v>
          </cell>
        </row>
        <row r="1691">
          <cell r="B1691">
            <v>2006</v>
          </cell>
          <cell r="K1691" t="str">
            <v>O BRIEN</v>
          </cell>
          <cell r="L1691" t="str">
            <v>O Brien</v>
          </cell>
          <cell r="V1691">
            <v>164500</v>
          </cell>
        </row>
        <row r="1692">
          <cell r="B1692">
            <v>2006</v>
          </cell>
          <cell r="K1692" t="str">
            <v>OSCEOLA</v>
          </cell>
          <cell r="L1692" t="str">
            <v>Osceola</v>
          </cell>
          <cell r="V1692">
            <v>118000</v>
          </cell>
        </row>
        <row r="1693">
          <cell r="B1693">
            <v>2006</v>
          </cell>
          <cell r="K1693" t="str">
            <v>PALO ALTO</v>
          </cell>
          <cell r="L1693" t="str">
            <v>Palo Alto</v>
          </cell>
          <cell r="V1693">
            <v>167500</v>
          </cell>
        </row>
        <row r="1694">
          <cell r="B1694">
            <v>2006</v>
          </cell>
          <cell r="K1694" t="str">
            <v>PLYMOUTH</v>
          </cell>
          <cell r="L1694" t="str">
            <v>Plymouth</v>
          </cell>
          <cell r="V1694">
            <v>223500</v>
          </cell>
        </row>
        <row r="1695">
          <cell r="B1695">
            <v>2006</v>
          </cell>
          <cell r="K1695" t="str">
            <v>POCAHONTAS</v>
          </cell>
          <cell r="L1695" t="str">
            <v>Pocahontas</v>
          </cell>
          <cell r="V1695">
            <v>175500</v>
          </cell>
        </row>
        <row r="1696">
          <cell r="B1696">
            <v>2006</v>
          </cell>
          <cell r="K1696" t="str">
            <v>SIOUX</v>
          </cell>
          <cell r="L1696" t="str">
            <v>Sioux</v>
          </cell>
          <cell r="V1696">
            <v>252000</v>
          </cell>
        </row>
        <row r="1697">
          <cell r="B1697">
            <v>2006</v>
          </cell>
          <cell r="K1697" t="str">
            <v>APPANOOSE</v>
          </cell>
          <cell r="L1697" t="str">
            <v>Appanoose</v>
          </cell>
          <cell r="V1697">
            <v>27000</v>
          </cell>
        </row>
        <row r="1698">
          <cell r="B1698">
            <v>2006</v>
          </cell>
          <cell r="K1698" t="str">
            <v>CLARKE</v>
          </cell>
          <cell r="L1698" t="str">
            <v>Clarke</v>
          </cell>
          <cell r="V1698">
            <v>33500</v>
          </cell>
        </row>
        <row r="1699">
          <cell r="B1699">
            <v>2006</v>
          </cell>
          <cell r="K1699" t="str">
            <v>DECATUR</v>
          </cell>
          <cell r="L1699" t="str">
            <v>Decatur</v>
          </cell>
          <cell r="V1699">
            <v>29000</v>
          </cell>
        </row>
        <row r="1700">
          <cell r="B1700">
            <v>2006</v>
          </cell>
          <cell r="K1700" t="str">
            <v>LUCAS</v>
          </cell>
          <cell r="L1700" t="str">
            <v>Lucas</v>
          </cell>
          <cell r="V1700">
            <v>24500</v>
          </cell>
        </row>
        <row r="1701">
          <cell r="B1701">
            <v>2006</v>
          </cell>
          <cell r="K1701" t="str">
            <v>MADISON</v>
          </cell>
          <cell r="L1701" t="str">
            <v>Madison</v>
          </cell>
          <cell r="V1701">
            <v>63000</v>
          </cell>
        </row>
        <row r="1702">
          <cell r="B1702">
            <v>2006</v>
          </cell>
          <cell r="K1702" t="str">
            <v>MARION</v>
          </cell>
          <cell r="L1702" t="str">
            <v>Marion</v>
          </cell>
          <cell r="V1702">
            <v>77500</v>
          </cell>
        </row>
        <row r="1703">
          <cell r="B1703">
            <v>2006</v>
          </cell>
          <cell r="K1703" t="str">
            <v>MONROE</v>
          </cell>
          <cell r="L1703" t="str">
            <v>Monroe</v>
          </cell>
          <cell r="V1703">
            <v>27500</v>
          </cell>
        </row>
        <row r="1704">
          <cell r="B1704">
            <v>2006</v>
          </cell>
          <cell r="K1704" t="str">
            <v>RINGGOLD</v>
          </cell>
          <cell r="L1704" t="str">
            <v>Ringgold</v>
          </cell>
          <cell r="V1704">
            <v>45000</v>
          </cell>
        </row>
        <row r="1705">
          <cell r="B1705">
            <v>2006</v>
          </cell>
          <cell r="K1705" t="str">
            <v>UNION</v>
          </cell>
          <cell r="L1705" t="str">
            <v>Union</v>
          </cell>
          <cell r="V1705">
            <v>54000</v>
          </cell>
        </row>
        <row r="1706">
          <cell r="B1706">
            <v>2006</v>
          </cell>
          <cell r="K1706" t="str">
            <v>WARREN</v>
          </cell>
          <cell r="L1706" t="str">
            <v>Warren</v>
          </cell>
          <cell r="V1706">
            <v>68000</v>
          </cell>
        </row>
        <row r="1707">
          <cell r="B1707">
            <v>2006</v>
          </cell>
          <cell r="K1707" t="str">
            <v>WAYNE</v>
          </cell>
          <cell r="L1707" t="str">
            <v>Wayne</v>
          </cell>
          <cell r="V1707">
            <v>48000</v>
          </cell>
        </row>
        <row r="1708">
          <cell r="B1708">
            <v>2006</v>
          </cell>
          <cell r="K1708" t="str">
            <v>DAVIS</v>
          </cell>
          <cell r="L1708" t="str">
            <v>Davis</v>
          </cell>
          <cell r="V1708">
            <v>36500</v>
          </cell>
        </row>
        <row r="1709">
          <cell r="B1709">
            <v>2006</v>
          </cell>
          <cell r="K1709" t="str">
            <v>DES MOINES</v>
          </cell>
          <cell r="L1709" t="str">
            <v>Des Moines</v>
          </cell>
          <cell r="V1709">
            <v>72500</v>
          </cell>
        </row>
        <row r="1710">
          <cell r="B1710">
            <v>2006</v>
          </cell>
          <cell r="K1710" t="str">
            <v>HENRY</v>
          </cell>
          <cell r="L1710" t="str">
            <v>Henry</v>
          </cell>
          <cell r="V1710">
            <v>80000</v>
          </cell>
        </row>
        <row r="1711">
          <cell r="B1711">
            <v>2006</v>
          </cell>
          <cell r="K1711" t="str">
            <v>JEFFERSON</v>
          </cell>
          <cell r="L1711" t="str">
            <v>Jefferson</v>
          </cell>
          <cell r="V1711">
            <v>64500</v>
          </cell>
        </row>
        <row r="1712">
          <cell r="B1712">
            <v>2006</v>
          </cell>
          <cell r="K1712" t="str">
            <v>KEOKUK</v>
          </cell>
          <cell r="L1712" t="str">
            <v>Keokuk</v>
          </cell>
          <cell r="V1712">
            <v>103500</v>
          </cell>
        </row>
        <row r="1713">
          <cell r="B1713">
            <v>2006</v>
          </cell>
          <cell r="K1713" t="str">
            <v>LEE</v>
          </cell>
          <cell r="L1713" t="str">
            <v>Lee</v>
          </cell>
          <cell r="V1713">
            <v>73500</v>
          </cell>
        </row>
        <row r="1714">
          <cell r="B1714">
            <v>2006</v>
          </cell>
          <cell r="K1714" t="str">
            <v>LOUISA</v>
          </cell>
          <cell r="L1714" t="str">
            <v>Louisa</v>
          </cell>
          <cell r="V1714">
            <v>76500</v>
          </cell>
        </row>
        <row r="1715">
          <cell r="B1715">
            <v>2006</v>
          </cell>
          <cell r="K1715" t="str">
            <v>MAHASKA</v>
          </cell>
          <cell r="L1715" t="str">
            <v>Mahaska</v>
          </cell>
          <cell r="V1715">
            <v>122500</v>
          </cell>
        </row>
        <row r="1716">
          <cell r="B1716">
            <v>2006</v>
          </cell>
          <cell r="K1716" t="str">
            <v>VAN BUREN</v>
          </cell>
          <cell r="L1716" t="str">
            <v>Van Buren</v>
          </cell>
          <cell r="V1716">
            <v>46500</v>
          </cell>
        </row>
        <row r="1717">
          <cell r="B1717">
            <v>2006</v>
          </cell>
          <cell r="K1717" t="str">
            <v>WAPELLO</v>
          </cell>
          <cell r="L1717" t="str">
            <v>Wapello</v>
          </cell>
          <cell r="V1717">
            <v>54500</v>
          </cell>
        </row>
        <row r="1718">
          <cell r="B1718">
            <v>2006</v>
          </cell>
          <cell r="K1718" t="str">
            <v>WASHINGTON</v>
          </cell>
          <cell r="L1718" t="str">
            <v>Washington</v>
          </cell>
          <cell r="V1718">
            <v>111500</v>
          </cell>
        </row>
        <row r="1719">
          <cell r="B1719">
            <v>2006</v>
          </cell>
          <cell r="K1719" t="str">
            <v>ADAIR</v>
          </cell>
          <cell r="L1719" t="str">
            <v>Adair</v>
          </cell>
          <cell r="V1719">
            <v>104000</v>
          </cell>
        </row>
        <row r="1720">
          <cell r="B1720">
            <v>2006</v>
          </cell>
          <cell r="K1720" t="str">
            <v>ADAMS</v>
          </cell>
          <cell r="L1720" t="str">
            <v>Adams</v>
          </cell>
          <cell r="V1720">
            <v>65500</v>
          </cell>
        </row>
        <row r="1721">
          <cell r="B1721">
            <v>2006</v>
          </cell>
          <cell r="K1721" t="str">
            <v>CASS</v>
          </cell>
          <cell r="L1721" t="str">
            <v>Cass</v>
          </cell>
          <cell r="V1721">
            <v>127500</v>
          </cell>
        </row>
        <row r="1722">
          <cell r="B1722">
            <v>2006</v>
          </cell>
          <cell r="K1722" t="str">
            <v>FREMONT</v>
          </cell>
          <cell r="L1722" t="str">
            <v>Fremont</v>
          </cell>
          <cell r="V1722">
            <v>112000</v>
          </cell>
        </row>
        <row r="1723">
          <cell r="B1723">
            <v>2006</v>
          </cell>
          <cell r="K1723" t="str">
            <v>MILLS</v>
          </cell>
          <cell r="L1723" t="str">
            <v>Mills</v>
          </cell>
          <cell r="V1723">
            <v>98500</v>
          </cell>
        </row>
        <row r="1724">
          <cell r="B1724">
            <v>2006</v>
          </cell>
          <cell r="K1724" t="str">
            <v>MONTGOMERY</v>
          </cell>
          <cell r="L1724" t="str">
            <v>Montgomery</v>
          </cell>
          <cell r="V1724">
            <v>92000</v>
          </cell>
        </row>
        <row r="1725">
          <cell r="B1725">
            <v>2006</v>
          </cell>
          <cell r="K1725" t="str">
            <v>PAGE</v>
          </cell>
          <cell r="L1725" t="str">
            <v>Page</v>
          </cell>
          <cell r="V1725">
            <v>105000</v>
          </cell>
        </row>
        <row r="1726">
          <cell r="B1726">
            <v>2006</v>
          </cell>
          <cell r="K1726" t="str">
            <v>POTTAWATTAMIE</v>
          </cell>
          <cell r="L1726" t="str">
            <v>Pottawattamie</v>
          </cell>
          <cell r="V1726">
            <v>221000</v>
          </cell>
        </row>
        <row r="1727">
          <cell r="B1727">
            <v>2006</v>
          </cell>
          <cell r="K1727" t="str">
            <v>TAYLOR</v>
          </cell>
          <cell r="L1727" t="str">
            <v>Taylor</v>
          </cell>
          <cell r="V1727">
            <v>70500</v>
          </cell>
        </row>
        <row r="1728">
          <cell r="B1728">
            <v>2006</v>
          </cell>
          <cell r="K1728" t="str">
            <v>AUDUBON</v>
          </cell>
          <cell r="L1728" t="str">
            <v>Audubon</v>
          </cell>
          <cell r="V1728">
            <v>108000</v>
          </cell>
        </row>
        <row r="1729">
          <cell r="B1729">
            <v>2006</v>
          </cell>
          <cell r="K1729" t="str">
            <v>CALHOUN</v>
          </cell>
          <cell r="L1729" t="str">
            <v>Calhoun</v>
          </cell>
          <cell r="V1729">
            <v>168500</v>
          </cell>
        </row>
        <row r="1730">
          <cell r="B1730">
            <v>2006</v>
          </cell>
          <cell r="K1730" t="str">
            <v>CARROLL</v>
          </cell>
          <cell r="L1730" t="str">
            <v>Carroll</v>
          </cell>
          <cell r="V1730">
            <v>165000</v>
          </cell>
        </row>
        <row r="1731">
          <cell r="B1731">
            <v>2006</v>
          </cell>
          <cell r="K1731" t="str">
            <v>CRAWFORD</v>
          </cell>
          <cell r="L1731" t="str">
            <v>Crawford</v>
          </cell>
          <cell r="V1731">
            <v>188500</v>
          </cell>
        </row>
        <row r="1732">
          <cell r="B1732">
            <v>2006</v>
          </cell>
          <cell r="K1732" t="str">
            <v>GREENE</v>
          </cell>
          <cell r="L1732" t="str">
            <v>Greene</v>
          </cell>
          <cell r="V1732">
            <v>160500</v>
          </cell>
        </row>
        <row r="1733">
          <cell r="B1733">
            <v>2006</v>
          </cell>
          <cell r="K1733" t="str">
            <v>GUTHRIE</v>
          </cell>
          <cell r="L1733" t="str">
            <v>Guthrie</v>
          </cell>
          <cell r="V1733">
            <v>108500</v>
          </cell>
        </row>
        <row r="1734">
          <cell r="B1734">
            <v>2006</v>
          </cell>
          <cell r="K1734" t="str">
            <v>HARRISON</v>
          </cell>
          <cell r="L1734" t="str">
            <v>Harrison</v>
          </cell>
          <cell r="V1734">
            <v>164500</v>
          </cell>
        </row>
        <row r="1735">
          <cell r="B1735">
            <v>2006</v>
          </cell>
          <cell r="K1735" t="str">
            <v>IDA</v>
          </cell>
          <cell r="L1735" t="str">
            <v>Ida</v>
          </cell>
          <cell r="V1735">
            <v>117000</v>
          </cell>
        </row>
        <row r="1736">
          <cell r="B1736">
            <v>2006</v>
          </cell>
          <cell r="K1736" t="str">
            <v>MONONA</v>
          </cell>
          <cell r="L1736" t="str">
            <v>Monona</v>
          </cell>
          <cell r="V1736">
            <v>164500</v>
          </cell>
        </row>
        <row r="1737">
          <cell r="B1737">
            <v>2006</v>
          </cell>
          <cell r="K1737" t="str">
            <v>SAC</v>
          </cell>
          <cell r="L1737" t="str">
            <v>Sac</v>
          </cell>
          <cell r="V1737">
            <v>162000</v>
          </cell>
        </row>
        <row r="1738">
          <cell r="B1738">
            <v>2006</v>
          </cell>
          <cell r="K1738" t="str">
            <v>SHELBY</v>
          </cell>
          <cell r="L1738" t="str">
            <v>Shelby</v>
          </cell>
          <cell r="V1738">
            <v>157500</v>
          </cell>
        </row>
        <row r="1739">
          <cell r="B1739">
            <v>2006</v>
          </cell>
          <cell r="K1739" t="str">
            <v>WOODBURY</v>
          </cell>
          <cell r="L1739" t="str">
            <v>Woodbury</v>
          </cell>
          <cell r="V1739">
            <v>202500</v>
          </cell>
        </row>
        <row r="1740">
          <cell r="B1740">
            <v>2005</v>
          </cell>
          <cell r="K1740" t="str">
            <v>BOONE</v>
          </cell>
          <cell r="L1740" t="str">
            <v>Boone</v>
          </cell>
          <cell r="V1740">
            <v>145000</v>
          </cell>
        </row>
        <row r="1741">
          <cell r="B1741">
            <v>2005</v>
          </cell>
          <cell r="K1741" t="str">
            <v>DALLAS</v>
          </cell>
          <cell r="L1741" t="str">
            <v>Dallas</v>
          </cell>
          <cell r="V1741">
            <v>133000</v>
          </cell>
        </row>
        <row r="1742">
          <cell r="B1742">
            <v>2005</v>
          </cell>
          <cell r="K1742" t="str">
            <v>GRUNDY</v>
          </cell>
          <cell r="L1742" t="str">
            <v>Grundy</v>
          </cell>
          <cell r="V1742">
            <v>157000</v>
          </cell>
        </row>
        <row r="1743">
          <cell r="B1743">
            <v>2005</v>
          </cell>
          <cell r="K1743" t="str">
            <v>HAMILTON</v>
          </cell>
          <cell r="L1743" t="str">
            <v>Hamilton</v>
          </cell>
          <cell r="V1743">
            <v>177000</v>
          </cell>
        </row>
        <row r="1744">
          <cell r="B1744">
            <v>2005</v>
          </cell>
          <cell r="K1744" t="str">
            <v>HARDIN</v>
          </cell>
          <cell r="L1744" t="str">
            <v>Hardin</v>
          </cell>
          <cell r="V1744">
            <v>185000</v>
          </cell>
        </row>
        <row r="1745">
          <cell r="B1745">
            <v>2005</v>
          </cell>
          <cell r="K1745" t="str">
            <v>JASPER</v>
          </cell>
          <cell r="L1745" t="str">
            <v>Jasper</v>
          </cell>
          <cell r="V1745">
            <v>165000</v>
          </cell>
        </row>
        <row r="1746">
          <cell r="B1746">
            <v>2005</v>
          </cell>
          <cell r="K1746" t="str">
            <v>MARSHALL</v>
          </cell>
          <cell r="L1746" t="str">
            <v>Marshall</v>
          </cell>
          <cell r="V1746">
            <v>144000</v>
          </cell>
        </row>
        <row r="1747">
          <cell r="B1747">
            <v>2005</v>
          </cell>
          <cell r="K1747" t="str">
            <v>POLK</v>
          </cell>
          <cell r="L1747" t="str">
            <v>Polk</v>
          </cell>
          <cell r="V1747">
            <v>94000</v>
          </cell>
        </row>
        <row r="1748">
          <cell r="B1748">
            <v>2005</v>
          </cell>
          <cell r="K1748" t="str">
            <v>POWESHIEK</v>
          </cell>
          <cell r="L1748" t="str">
            <v>Poweshiek</v>
          </cell>
          <cell r="V1748">
            <v>128000</v>
          </cell>
        </row>
        <row r="1749">
          <cell r="B1749">
            <v>2005</v>
          </cell>
          <cell r="K1749" t="str">
            <v>STORY</v>
          </cell>
          <cell r="L1749" t="str">
            <v>Story</v>
          </cell>
          <cell r="V1749">
            <v>168000</v>
          </cell>
        </row>
        <row r="1750">
          <cell r="B1750">
            <v>2005</v>
          </cell>
          <cell r="K1750" t="str">
            <v>TAMA</v>
          </cell>
          <cell r="L1750" t="str">
            <v>Tama</v>
          </cell>
          <cell r="V1750">
            <v>168000</v>
          </cell>
        </row>
        <row r="1751">
          <cell r="B1751">
            <v>2005</v>
          </cell>
          <cell r="K1751" t="str">
            <v>WEBSTER</v>
          </cell>
          <cell r="L1751" t="str">
            <v>Webster</v>
          </cell>
          <cell r="V1751">
            <v>200000</v>
          </cell>
        </row>
        <row r="1752">
          <cell r="B1752">
            <v>2005</v>
          </cell>
          <cell r="K1752" t="str">
            <v>BENTON</v>
          </cell>
          <cell r="L1752" t="str">
            <v>Benton</v>
          </cell>
          <cell r="V1752">
            <v>185000</v>
          </cell>
        </row>
        <row r="1753">
          <cell r="B1753">
            <v>2005</v>
          </cell>
          <cell r="K1753" t="str">
            <v>CEDAR</v>
          </cell>
          <cell r="L1753" t="str">
            <v>Cedar</v>
          </cell>
          <cell r="V1753">
            <v>153000</v>
          </cell>
        </row>
        <row r="1754">
          <cell r="B1754">
            <v>2005</v>
          </cell>
          <cell r="K1754" t="str">
            <v>CLINTON</v>
          </cell>
          <cell r="L1754" t="str">
            <v>Clinton</v>
          </cell>
          <cell r="V1754">
            <v>190000</v>
          </cell>
        </row>
        <row r="1755">
          <cell r="B1755">
            <v>2005</v>
          </cell>
          <cell r="K1755" t="str">
            <v>IOWA</v>
          </cell>
          <cell r="L1755" t="str">
            <v>Iowa</v>
          </cell>
          <cell r="V1755">
            <v>113000</v>
          </cell>
        </row>
        <row r="1756">
          <cell r="B1756">
            <v>2005</v>
          </cell>
          <cell r="K1756" t="str">
            <v>JACKSON</v>
          </cell>
          <cell r="L1756" t="str">
            <v>Jackson</v>
          </cell>
          <cell r="V1756">
            <v>97000</v>
          </cell>
        </row>
        <row r="1757">
          <cell r="B1757">
            <v>2005</v>
          </cell>
          <cell r="K1757" t="str">
            <v>JOHNSON</v>
          </cell>
          <cell r="L1757" t="str">
            <v>Johnson</v>
          </cell>
          <cell r="V1757">
            <v>105000</v>
          </cell>
        </row>
        <row r="1758">
          <cell r="B1758">
            <v>2005</v>
          </cell>
          <cell r="K1758" t="str">
            <v>JONES</v>
          </cell>
          <cell r="L1758" t="str">
            <v>Jones</v>
          </cell>
          <cell r="V1758">
            <v>143000</v>
          </cell>
        </row>
        <row r="1759">
          <cell r="B1759">
            <v>2005</v>
          </cell>
          <cell r="K1759" t="str">
            <v>LINN</v>
          </cell>
          <cell r="L1759" t="str">
            <v>Linn</v>
          </cell>
          <cell r="V1759">
            <v>144000</v>
          </cell>
        </row>
        <row r="1760">
          <cell r="B1760">
            <v>2005</v>
          </cell>
          <cell r="K1760" t="str">
            <v>MUSCATINE</v>
          </cell>
          <cell r="L1760" t="str">
            <v>Muscatine</v>
          </cell>
          <cell r="V1760">
            <v>91000</v>
          </cell>
        </row>
        <row r="1761">
          <cell r="B1761">
            <v>2005</v>
          </cell>
          <cell r="K1761" t="str">
            <v>SCOTT</v>
          </cell>
          <cell r="L1761" t="str">
            <v>Scott</v>
          </cell>
          <cell r="V1761">
            <v>115000</v>
          </cell>
        </row>
        <row r="1762">
          <cell r="B1762">
            <v>2005</v>
          </cell>
          <cell r="K1762" t="str">
            <v>BUTLER</v>
          </cell>
          <cell r="L1762" t="str">
            <v>Butler</v>
          </cell>
          <cell r="V1762">
            <v>159000</v>
          </cell>
        </row>
        <row r="1763">
          <cell r="B1763">
            <v>2005</v>
          </cell>
          <cell r="K1763" t="str">
            <v>CERRO GORDO</v>
          </cell>
          <cell r="L1763" t="str">
            <v>Cerro Gordo</v>
          </cell>
          <cell r="V1763">
            <v>175000</v>
          </cell>
        </row>
        <row r="1764">
          <cell r="B1764">
            <v>2005</v>
          </cell>
          <cell r="K1764" t="str">
            <v>FLOYD</v>
          </cell>
          <cell r="L1764" t="str">
            <v>Floyd</v>
          </cell>
          <cell r="V1764">
            <v>140000</v>
          </cell>
        </row>
        <row r="1765">
          <cell r="B1765">
            <v>2005</v>
          </cell>
          <cell r="K1765" t="str">
            <v>FRANKLIN</v>
          </cell>
          <cell r="L1765" t="str">
            <v>Franklin</v>
          </cell>
          <cell r="V1765">
            <v>188000</v>
          </cell>
        </row>
        <row r="1766">
          <cell r="B1766">
            <v>2005</v>
          </cell>
          <cell r="K1766" t="str">
            <v>HANCOCK</v>
          </cell>
          <cell r="L1766" t="str">
            <v>Hancock</v>
          </cell>
          <cell r="V1766">
            <v>174000</v>
          </cell>
        </row>
        <row r="1767">
          <cell r="B1767">
            <v>2005</v>
          </cell>
          <cell r="K1767" t="str">
            <v>HUMBOLDT</v>
          </cell>
          <cell r="L1767" t="str">
            <v>Humboldt</v>
          </cell>
          <cell r="V1767">
            <v>131000</v>
          </cell>
        </row>
        <row r="1768">
          <cell r="B1768">
            <v>2005</v>
          </cell>
          <cell r="K1768" t="str">
            <v>KOSSUTH</v>
          </cell>
          <cell r="L1768" t="str">
            <v>Kossuth</v>
          </cell>
          <cell r="V1768">
            <v>308000</v>
          </cell>
        </row>
        <row r="1769">
          <cell r="B1769">
            <v>2005</v>
          </cell>
          <cell r="K1769" t="str">
            <v>MITCHELL</v>
          </cell>
          <cell r="L1769" t="str">
            <v>Mitchell</v>
          </cell>
          <cell r="V1769">
            <v>136000</v>
          </cell>
        </row>
        <row r="1770">
          <cell r="B1770">
            <v>2005</v>
          </cell>
          <cell r="K1770" t="str">
            <v>WINNEBAGO</v>
          </cell>
          <cell r="L1770" t="str">
            <v>Winnebago</v>
          </cell>
          <cell r="V1770">
            <v>128000</v>
          </cell>
        </row>
        <row r="1771">
          <cell r="B1771">
            <v>2005</v>
          </cell>
          <cell r="K1771" t="str">
            <v>WORTH</v>
          </cell>
          <cell r="L1771" t="str">
            <v>Worth</v>
          </cell>
          <cell r="V1771">
            <v>112000</v>
          </cell>
        </row>
        <row r="1772">
          <cell r="B1772">
            <v>2005</v>
          </cell>
          <cell r="K1772" t="str">
            <v>WRIGHT</v>
          </cell>
          <cell r="L1772" t="str">
            <v>Wright</v>
          </cell>
          <cell r="V1772">
            <v>179000</v>
          </cell>
        </row>
        <row r="1773">
          <cell r="B1773">
            <v>2005</v>
          </cell>
          <cell r="K1773" t="str">
            <v>ALLAMAKEE</v>
          </cell>
          <cell r="L1773" t="str">
            <v>Allamakee</v>
          </cell>
          <cell r="V1773">
            <v>72000</v>
          </cell>
        </row>
        <row r="1774">
          <cell r="B1774">
            <v>2005</v>
          </cell>
          <cell r="K1774" t="str">
            <v>BLACK HAWK</v>
          </cell>
          <cell r="L1774" t="str">
            <v>Black Hawk</v>
          </cell>
          <cell r="V1774">
            <v>146000</v>
          </cell>
        </row>
        <row r="1775">
          <cell r="B1775">
            <v>2005</v>
          </cell>
          <cell r="K1775" t="str">
            <v>BREMER</v>
          </cell>
          <cell r="L1775" t="str">
            <v>Bremer</v>
          </cell>
          <cell r="V1775">
            <v>119000</v>
          </cell>
        </row>
        <row r="1776">
          <cell r="B1776">
            <v>2005</v>
          </cell>
          <cell r="K1776" t="str">
            <v>BUCHANAN</v>
          </cell>
          <cell r="L1776" t="str">
            <v>Buchanan</v>
          </cell>
          <cell r="V1776">
            <v>171000</v>
          </cell>
        </row>
        <row r="1777">
          <cell r="B1777">
            <v>2005</v>
          </cell>
          <cell r="K1777" t="str">
            <v>CHICKASAW</v>
          </cell>
          <cell r="L1777" t="str">
            <v>Chickasaw</v>
          </cell>
          <cell r="V1777">
            <v>132000</v>
          </cell>
        </row>
        <row r="1778">
          <cell r="B1778">
            <v>2005</v>
          </cell>
          <cell r="K1778" t="str">
            <v>CLAYTON</v>
          </cell>
          <cell r="L1778" t="str">
            <v>Clayton</v>
          </cell>
          <cell r="V1778">
            <v>137000</v>
          </cell>
        </row>
        <row r="1779">
          <cell r="B1779">
            <v>2005</v>
          </cell>
          <cell r="K1779" t="str">
            <v>DELAWARE</v>
          </cell>
          <cell r="L1779" t="str">
            <v>Delaware</v>
          </cell>
          <cell r="V1779">
            <v>184000</v>
          </cell>
        </row>
        <row r="1780">
          <cell r="B1780">
            <v>2005</v>
          </cell>
          <cell r="K1780" t="str">
            <v>DUBUQUE</v>
          </cell>
          <cell r="L1780" t="str">
            <v>Dubuque</v>
          </cell>
          <cell r="V1780">
            <v>131000</v>
          </cell>
        </row>
        <row r="1781">
          <cell r="B1781">
            <v>2005</v>
          </cell>
          <cell r="K1781" t="str">
            <v>FAYETTE</v>
          </cell>
          <cell r="L1781" t="str">
            <v>Fayette</v>
          </cell>
          <cell r="V1781">
            <v>186000</v>
          </cell>
        </row>
        <row r="1782">
          <cell r="B1782">
            <v>2005</v>
          </cell>
          <cell r="K1782" t="str">
            <v>HOWARD</v>
          </cell>
          <cell r="L1782" t="str">
            <v>Howard</v>
          </cell>
          <cell r="V1782">
            <v>122000</v>
          </cell>
        </row>
        <row r="1783">
          <cell r="B1783">
            <v>2005</v>
          </cell>
          <cell r="K1783" t="str">
            <v>WINNESHIEK</v>
          </cell>
          <cell r="L1783" t="str">
            <v>Winneshiek</v>
          </cell>
          <cell r="V1783">
            <v>137000</v>
          </cell>
        </row>
        <row r="1784">
          <cell r="B1784">
            <v>2005</v>
          </cell>
          <cell r="K1784" t="str">
            <v>BUENA VISTA</v>
          </cell>
          <cell r="L1784" t="str">
            <v>Buena Vista</v>
          </cell>
          <cell r="V1784">
            <v>174000</v>
          </cell>
        </row>
        <row r="1785">
          <cell r="B1785">
            <v>2005</v>
          </cell>
          <cell r="K1785" t="str">
            <v>CHEROKEE</v>
          </cell>
          <cell r="L1785" t="str">
            <v>Cherokee</v>
          </cell>
          <cell r="V1785">
            <v>148000</v>
          </cell>
        </row>
        <row r="1786">
          <cell r="B1786">
            <v>2005</v>
          </cell>
          <cell r="K1786" t="str">
            <v>CLAY</v>
          </cell>
          <cell r="L1786" t="str">
            <v>Clay</v>
          </cell>
          <cell r="V1786">
            <v>157000</v>
          </cell>
        </row>
        <row r="1787">
          <cell r="B1787">
            <v>2005</v>
          </cell>
          <cell r="K1787" t="str">
            <v>DICKINSON</v>
          </cell>
          <cell r="L1787" t="str">
            <v>Dickinson</v>
          </cell>
          <cell r="V1787">
            <v>93000</v>
          </cell>
        </row>
        <row r="1788">
          <cell r="B1788">
            <v>2005</v>
          </cell>
          <cell r="K1788" t="str">
            <v>EMMET</v>
          </cell>
          <cell r="L1788" t="str">
            <v>Emmet</v>
          </cell>
          <cell r="V1788">
            <v>118000</v>
          </cell>
        </row>
        <row r="1789">
          <cell r="B1789">
            <v>2005</v>
          </cell>
          <cell r="K1789" t="str">
            <v>LYON</v>
          </cell>
          <cell r="L1789" t="str">
            <v>Lyon</v>
          </cell>
          <cell r="V1789">
            <v>164000</v>
          </cell>
        </row>
        <row r="1790">
          <cell r="B1790">
            <v>2005</v>
          </cell>
          <cell r="K1790" t="str">
            <v>O BRIEN</v>
          </cell>
          <cell r="L1790" t="str">
            <v>O Brien</v>
          </cell>
          <cell r="V1790">
            <v>163000</v>
          </cell>
        </row>
        <row r="1791">
          <cell r="B1791">
            <v>2005</v>
          </cell>
          <cell r="K1791" t="str">
            <v>OSCEOLA</v>
          </cell>
          <cell r="L1791" t="str">
            <v>Osceola</v>
          </cell>
          <cell r="V1791">
            <v>116000</v>
          </cell>
        </row>
        <row r="1792">
          <cell r="B1792">
            <v>2005</v>
          </cell>
          <cell r="K1792" t="str">
            <v>PALO ALTO</v>
          </cell>
          <cell r="L1792" t="str">
            <v>Palo Alto</v>
          </cell>
          <cell r="V1792">
            <v>168000</v>
          </cell>
        </row>
        <row r="1793">
          <cell r="B1793">
            <v>2005</v>
          </cell>
          <cell r="K1793" t="str">
            <v>PLYMOUTH</v>
          </cell>
          <cell r="L1793" t="str">
            <v>Plymouth</v>
          </cell>
          <cell r="V1793">
            <v>225000</v>
          </cell>
        </row>
        <row r="1794">
          <cell r="B1794">
            <v>2005</v>
          </cell>
          <cell r="K1794" t="str">
            <v>POCAHONTAS</v>
          </cell>
          <cell r="L1794" t="str">
            <v>Pocahontas</v>
          </cell>
          <cell r="V1794">
            <v>178000</v>
          </cell>
        </row>
        <row r="1795">
          <cell r="B1795">
            <v>2005</v>
          </cell>
          <cell r="K1795" t="str">
            <v>SIOUX</v>
          </cell>
          <cell r="L1795" t="str">
            <v>Sioux</v>
          </cell>
          <cell r="V1795">
            <v>251000</v>
          </cell>
        </row>
        <row r="1796">
          <cell r="B1796">
            <v>2005</v>
          </cell>
          <cell r="K1796" t="str">
            <v>APPANOOSE</v>
          </cell>
          <cell r="L1796" t="str">
            <v>Appanoose</v>
          </cell>
          <cell r="V1796">
            <v>31000</v>
          </cell>
        </row>
        <row r="1797">
          <cell r="B1797">
            <v>2005</v>
          </cell>
          <cell r="K1797" t="str">
            <v>CLARKE</v>
          </cell>
          <cell r="L1797" t="str">
            <v>Clarke</v>
          </cell>
          <cell r="V1797">
            <v>34000</v>
          </cell>
        </row>
        <row r="1798">
          <cell r="B1798">
            <v>2005</v>
          </cell>
          <cell r="K1798" t="str">
            <v>DECATUR</v>
          </cell>
          <cell r="L1798" t="str">
            <v>Decatur</v>
          </cell>
          <cell r="V1798">
            <v>35000</v>
          </cell>
        </row>
        <row r="1799">
          <cell r="B1799">
            <v>2005</v>
          </cell>
          <cell r="K1799" t="str">
            <v>LUCAS</v>
          </cell>
          <cell r="L1799" t="str">
            <v>Lucas</v>
          </cell>
          <cell r="V1799">
            <v>26000</v>
          </cell>
        </row>
        <row r="1800">
          <cell r="B1800">
            <v>2005</v>
          </cell>
          <cell r="K1800" t="str">
            <v>MADISON</v>
          </cell>
          <cell r="L1800" t="str">
            <v>Madison</v>
          </cell>
          <cell r="V1800">
            <v>68000</v>
          </cell>
        </row>
        <row r="1801">
          <cell r="B1801">
            <v>2005</v>
          </cell>
          <cell r="K1801" t="str">
            <v>MARION</v>
          </cell>
          <cell r="L1801" t="str">
            <v>Marion</v>
          </cell>
          <cell r="V1801">
            <v>78000</v>
          </cell>
        </row>
        <row r="1802">
          <cell r="B1802">
            <v>2005</v>
          </cell>
          <cell r="K1802" t="str">
            <v>MONROE</v>
          </cell>
          <cell r="L1802" t="str">
            <v>Monroe</v>
          </cell>
          <cell r="V1802">
            <v>29000</v>
          </cell>
        </row>
        <row r="1803">
          <cell r="B1803">
            <v>2005</v>
          </cell>
          <cell r="K1803" t="str">
            <v>RINGGOLD</v>
          </cell>
          <cell r="L1803" t="str">
            <v>Ringgold</v>
          </cell>
          <cell r="V1803">
            <v>45000</v>
          </cell>
        </row>
        <row r="1804">
          <cell r="B1804">
            <v>2005</v>
          </cell>
          <cell r="K1804" t="str">
            <v>UNION</v>
          </cell>
          <cell r="L1804" t="str">
            <v>Union</v>
          </cell>
          <cell r="V1804">
            <v>54000</v>
          </cell>
        </row>
        <row r="1805">
          <cell r="B1805">
            <v>2005</v>
          </cell>
          <cell r="K1805" t="str">
            <v>WARREN</v>
          </cell>
          <cell r="L1805" t="str">
            <v>Warren</v>
          </cell>
          <cell r="V1805">
            <v>74000</v>
          </cell>
        </row>
        <row r="1806">
          <cell r="B1806">
            <v>2005</v>
          </cell>
          <cell r="K1806" t="str">
            <v>WAYNE</v>
          </cell>
          <cell r="L1806" t="str">
            <v>Wayne</v>
          </cell>
          <cell r="V1806">
            <v>46000</v>
          </cell>
        </row>
        <row r="1807">
          <cell r="B1807">
            <v>2005</v>
          </cell>
          <cell r="K1807" t="str">
            <v>DAVIS</v>
          </cell>
          <cell r="L1807" t="str">
            <v>Davis</v>
          </cell>
          <cell r="V1807">
            <v>40000</v>
          </cell>
        </row>
        <row r="1808">
          <cell r="B1808">
            <v>2005</v>
          </cell>
          <cell r="K1808" t="str">
            <v>DES MOINES</v>
          </cell>
          <cell r="L1808" t="str">
            <v>Des Moines</v>
          </cell>
          <cell r="V1808">
            <v>74000</v>
          </cell>
        </row>
        <row r="1809">
          <cell r="B1809">
            <v>2005</v>
          </cell>
          <cell r="K1809" t="str">
            <v>HENRY</v>
          </cell>
          <cell r="L1809" t="str">
            <v>Henry</v>
          </cell>
          <cell r="V1809">
            <v>85000</v>
          </cell>
        </row>
        <row r="1810">
          <cell r="B1810">
            <v>2005</v>
          </cell>
          <cell r="K1810" t="str">
            <v>JEFFERSON</v>
          </cell>
          <cell r="L1810" t="str">
            <v>Jefferson</v>
          </cell>
          <cell r="V1810">
            <v>69000</v>
          </cell>
        </row>
        <row r="1811">
          <cell r="B1811">
            <v>2005</v>
          </cell>
          <cell r="K1811" t="str">
            <v>KEOKUK</v>
          </cell>
          <cell r="L1811" t="str">
            <v>Keokuk</v>
          </cell>
          <cell r="V1811">
            <v>109000</v>
          </cell>
        </row>
        <row r="1812">
          <cell r="B1812">
            <v>2005</v>
          </cell>
          <cell r="K1812" t="str">
            <v>LEE</v>
          </cell>
          <cell r="L1812" t="str">
            <v>Lee</v>
          </cell>
          <cell r="V1812">
            <v>78000</v>
          </cell>
        </row>
        <row r="1813">
          <cell r="B1813">
            <v>2005</v>
          </cell>
          <cell r="K1813" t="str">
            <v>LOUISA</v>
          </cell>
          <cell r="L1813" t="str">
            <v>Louisa</v>
          </cell>
          <cell r="V1813">
            <v>81000</v>
          </cell>
        </row>
        <row r="1814">
          <cell r="B1814">
            <v>2005</v>
          </cell>
          <cell r="K1814" t="str">
            <v>MAHASKA</v>
          </cell>
          <cell r="L1814" t="str">
            <v>Mahaska</v>
          </cell>
          <cell r="V1814">
            <v>123000</v>
          </cell>
        </row>
        <row r="1815">
          <cell r="B1815">
            <v>2005</v>
          </cell>
          <cell r="K1815" t="str">
            <v>VAN BUREN</v>
          </cell>
          <cell r="L1815" t="str">
            <v>Van Buren</v>
          </cell>
          <cell r="V1815">
            <v>47000</v>
          </cell>
        </row>
        <row r="1816">
          <cell r="B1816">
            <v>2005</v>
          </cell>
          <cell r="K1816" t="str">
            <v>WAPELLO</v>
          </cell>
          <cell r="L1816" t="str">
            <v>Wapello</v>
          </cell>
          <cell r="V1816">
            <v>59000</v>
          </cell>
        </row>
        <row r="1817">
          <cell r="B1817">
            <v>2005</v>
          </cell>
          <cell r="K1817" t="str">
            <v>WASHINGTON</v>
          </cell>
          <cell r="L1817" t="str">
            <v>Washington</v>
          </cell>
          <cell r="V1817">
            <v>115000</v>
          </cell>
        </row>
        <row r="1818">
          <cell r="B1818">
            <v>2005</v>
          </cell>
          <cell r="K1818" t="str">
            <v>ADAIR</v>
          </cell>
          <cell r="L1818" t="str">
            <v>Adair</v>
          </cell>
          <cell r="V1818">
            <v>109000</v>
          </cell>
        </row>
        <row r="1819">
          <cell r="B1819">
            <v>2005</v>
          </cell>
          <cell r="K1819" t="str">
            <v>ADAMS</v>
          </cell>
          <cell r="L1819" t="str">
            <v>Adams</v>
          </cell>
          <cell r="V1819">
            <v>66000</v>
          </cell>
        </row>
        <row r="1820">
          <cell r="B1820">
            <v>2005</v>
          </cell>
          <cell r="K1820" t="str">
            <v>CASS</v>
          </cell>
          <cell r="L1820" t="str">
            <v>Cass</v>
          </cell>
          <cell r="V1820">
            <v>127000</v>
          </cell>
        </row>
        <row r="1821">
          <cell r="B1821">
            <v>2005</v>
          </cell>
          <cell r="K1821" t="str">
            <v>FREMONT</v>
          </cell>
          <cell r="L1821" t="str">
            <v>Fremont</v>
          </cell>
          <cell r="V1821">
            <v>112000</v>
          </cell>
        </row>
        <row r="1822">
          <cell r="B1822">
            <v>2005</v>
          </cell>
          <cell r="K1822" t="str">
            <v>MILLS</v>
          </cell>
          <cell r="L1822" t="str">
            <v>Mills</v>
          </cell>
          <cell r="V1822">
            <v>100000</v>
          </cell>
        </row>
        <row r="1823">
          <cell r="B1823">
            <v>2005</v>
          </cell>
          <cell r="K1823" t="str">
            <v>MONTGOMERY</v>
          </cell>
          <cell r="L1823" t="str">
            <v>Montgomery</v>
          </cell>
          <cell r="V1823">
            <v>94000</v>
          </cell>
        </row>
        <row r="1824">
          <cell r="B1824">
            <v>2005</v>
          </cell>
          <cell r="K1824" t="str">
            <v>PAGE</v>
          </cell>
          <cell r="L1824" t="str">
            <v>Page</v>
          </cell>
          <cell r="V1824">
            <v>105000</v>
          </cell>
        </row>
        <row r="1825">
          <cell r="B1825">
            <v>2005</v>
          </cell>
          <cell r="K1825" t="str">
            <v>POTTAWATTAMIE</v>
          </cell>
          <cell r="L1825" t="str">
            <v>Pottawattamie</v>
          </cell>
          <cell r="V1825">
            <v>225000</v>
          </cell>
        </row>
        <row r="1826">
          <cell r="B1826">
            <v>2005</v>
          </cell>
          <cell r="K1826" t="str">
            <v>TAYLOR</v>
          </cell>
          <cell r="L1826" t="str">
            <v>Taylor</v>
          </cell>
          <cell r="V1826">
            <v>70000</v>
          </cell>
        </row>
        <row r="1827">
          <cell r="B1827">
            <v>2005</v>
          </cell>
          <cell r="K1827" t="str">
            <v>AUDUBON</v>
          </cell>
          <cell r="L1827" t="str">
            <v>Audubon</v>
          </cell>
          <cell r="V1827">
            <v>108000</v>
          </cell>
        </row>
        <row r="1828">
          <cell r="B1828">
            <v>2005</v>
          </cell>
          <cell r="K1828" t="str">
            <v>CALHOUN</v>
          </cell>
          <cell r="L1828" t="str">
            <v>Calhoun</v>
          </cell>
          <cell r="V1828">
            <v>163000</v>
          </cell>
        </row>
        <row r="1829">
          <cell r="B1829">
            <v>2005</v>
          </cell>
          <cell r="K1829" t="str">
            <v>CARROLL</v>
          </cell>
          <cell r="L1829" t="str">
            <v>Carroll</v>
          </cell>
          <cell r="V1829">
            <v>168000</v>
          </cell>
        </row>
        <row r="1830">
          <cell r="B1830">
            <v>2005</v>
          </cell>
          <cell r="K1830" t="str">
            <v>CRAWFORD</v>
          </cell>
          <cell r="L1830" t="str">
            <v>Crawford</v>
          </cell>
          <cell r="V1830">
            <v>189000</v>
          </cell>
        </row>
        <row r="1831">
          <cell r="B1831">
            <v>2005</v>
          </cell>
          <cell r="K1831" t="str">
            <v>GREENE</v>
          </cell>
          <cell r="L1831" t="str">
            <v>Greene</v>
          </cell>
          <cell r="V1831">
            <v>161000</v>
          </cell>
        </row>
        <row r="1832">
          <cell r="B1832">
            <v>2005</v>
          </cell>
          <cell r="K1832" t="str">
            <v>GUTHRIE</v>
          </cell>
          <cell r="L1832" t="str">
            <v>Guthrie</v>
          </cell>
          <cell r="V1832">
            <v>110000</v>
          </cell>
        </row>
        <row r="1833">
          <cell r="B1833">
            <v>2005</v>
          </cell>
          <cell r="K1833" t="str">
            <v>HARRISON</v>
          </cell>
          <cell r="L1833" t="str">
            <v>Harrison</v>
          </cell>
          <cell r="V1833">
            <v>164000</v>
          </cell>
        </row>
        <row r="1834">
          <cell r="B1834">
            <v>2005</v>
          </cell>
          <cell r="K1834" t="str">
            <v>IDA</v>
          </cell>
          <cell r="L1834" t="str">
            <v>Ida</v>
          </cell>
          <cell r="V1834">
            <v>119000</v>
          </cell>
        </row>
        <row r="1835">
          <cell r="B1835">
            <v>2005</v>
          </cell>
          <cell r="K1835" t="str">
            <v>MONONA</v>
          </cell>
          <cell r="L1835" t="str">
            <v>Monona</v>
          </cell>
          <cell r="V1835">
            <v>165000</v>
          </cell>
        </row>
        <row r="1836">
          <cell r="B1836">
            <v>2005</v>
          </cell>
          <cell r="K1836" t="str">
            <v>SAC</v>
          </cell>
          <cell r="L1836" t="str">
            <v>Sac</v>
          </cell>
          <cell r="V1836">
            <v>159000</v>
          </cell>
        </row>
        <row r="1837">
          <cell r="B1837">
            <v>2005</v>
          </cell>
          <cell r="K1837" t="str">
            <v>SHELBY</v>
          </cell>
          <cell r="L1837" t="str">
            <v>Shelby</v>
          </cell>
          <cell r="V1837">
            <v>157000</v>
          </cell>
        </row>
        <row r="1838">
          <cell r="B1838">
            <v>2005</v>
          </cell>
          <cell r="K1838" t="str">
            <v>WOODBURY</v>
          </cell>
          <cell r="L1838" t="str">
            <v>Woodbury</v>
          </cell>
          <cell r="V1838">
            <v>207000</v>
          </cell>
        </row>
        <row r="1839">
          <cell r="B1839">
            <v>2004</v>
          </cell>
          <cell r="K1839" t="str">
            <v>BOONE</v>
          </cell>
          <cell r="L1839" t="str">
            <v>Boone</v>
          </cell>
          <cell r="V1839">
            <v>148500</v>
          </cell>
        </row>
        <row r="1840">
          <cell r="B1840">
            <v>2004</v>
          </cell>
          <cell r="K1840" t="str">
            <v>DALLAS</v>
          </cell>
          <cell r="L1840" t="str">
            <v>Dallas</v>
          </cell>
          <cell r="V1840">
            <v>127000</v>
          </cell>
        </row>
        <row r="1841">
          <cell r="B1841">
            <v>2004</v>
          </cell>
          <cell r="K1841" t="str">
            <v>GRUNDY</v>
          </cell>
          <cell r="L1841" t="str">
            <v>Grundy</v>
          </cell>
          <cell r="V1841">
            <v>154500</v>
          </cell>
        </row>
        <row r="1842">
          <cell r="B1842">
            <v>2004</v>
          </cell>
          <cell r="K1842" t="str">
            <v>HAMILTON</v>
          </cell>
          <cell r="L1842" t="str">
            <v>Hamilton</v>
          </cell>
          <cell r="V1842">
            <v>176500</v>
          </cell>
        </row>
        <row r="1843">
          <cell r="B1843">
            <v>2004</v>
          </cell>
          <cell r="K1843" t="str">
            <v>HARDIN</v>
          </cell>
          <cell r="L1843" t="str">
            <v>Hardin</v>
          </cell>
          <cell r="V1843">
            <v>177000</v>
          </cell>
        </row>
        <row r="1844">
          <cell r="B1844">
            <v>2004</v>
          </cell>
          <cell r="K1844" t="str">
            <v>JASPER</v>
          </cell>
          <cell r="L1844" t="str">
            <v>Jasper</v>
          </cell>
          <cell r="V1844">
            <v>161000</v>
          </cell>
        </row>
        <row r="1845">
          <cell r="B1845">
            <v>2004</v>
          </cell>
          <cell r="K1845" t="str">
            <v>MARSHALL</v>
          </cell>
          <cell r="L1845" t="str">
            <v>Marshall</v>
          </cell>
          <cell r="V1845">
            <v>144000</v>
          </cell>
        </row>
        <row r="1846">
          <cell r="B1846">
            <v>2004</v>
          </cell>
          <cell r="K1846" t="str">
            <v>POLK</v>
          </cell>
          <cell r="L1846" t="str">
            <v>Polk</v>
          </cell>
          <cell r="V1846">
            <v>94500</v>
          </cell>
        </row>
        <row r="1847">
          <cell r="B1847">
            <v>2004</v>
          </cell>
          <cell r="K1847" t="str">
            <v>POWESHIEK</v>
          </cell>
          <cell r="L1847" t="str">
            <v>Poweshiek</v>
          </cell>
          <cell r="V1847">
            <v>128500</v>
          </cell>
        </row>
        <row r="1848">
          <cell r="B1848">
            <v>2004</v>
          </cell>
          <cell r="K1848" t="str">
            <v>STORY</v>
          </cell>
          <cell r="L1848" t="str">
            <v>Story</v>
          </cell>
          <cell r="V1848">
            <v>162500</v>
          </cell>
        </row>
        <row r="1849">
          <cell r="B1849">
            <v>2004</v>
          </cell>
          <cell r="K1849" t="str">
            <v>TAMA</v>
          </cell>
          <cell r="L1849" t="str">
            <v>Tama</v>
          </cell>
          <cell r="V1849">
            <v>165000</v>
          </cell>
        </row>
        <row r="1850">
          <cell r="B1850">
            <v>2004</v>
          </cell>
          <cell r="K1850" t="str">
            <v>WEBSTER</v>
          </cell>
          <cell r="L1850" t="str">
            <v>Webster</v>
          </cell>
          <cell r="V1850">
            <v>194000</v>
          </cell>
        </row>
        <row r="1851">
          <cell r="B1851">
            <v>2004</v>
          </cell>
          <cell r="K1851" t="str">
            <v>BENTON</v>
          </cell>
          <cell r="L1851" t="str">
            <v>Benton</v>
          </cell>
          <cell r="V1851">
            <v>183000</v>
          </cell>
        </row>
        <row r="1852">
          <cell r="B1852">
            <v>2004</v>
          </cell>
          <cell r="K1852" t="str">
            <v>CEDAR</v>
          </cell>
          <cell r="L1852" t="str">
            <v>Cedar</v>
          </cell>
          <cell r="V1852">
            <v>149500</v>
          </cell>
        </row>
        <row r="1853">
          <cell r="B1853">
            <v>2004</v>
          </cell>
          <cell r="K1853" t="str">
            <v>CLINTON</v>
          </cell>
          <cell r="L1853" t="str">
            <v>Clinton</v>
          </cell>
          <cell r="V1853">
            <v>192000</v>
          </cell>
        </row>
        <row r="1854">
          <cell r="B1854">
            <v>2004</v>
          </cell>
          <cell r="K1854" t="str">
            <v>IOWA</v>
          </cell>
          <cell r="L1854" t="str">
            <v>Iowa</v>
          </cell>
          <cell r="V1854">
            <v>118000</v>
          </cell>
        </row>
        <row r="1855">
          <cell r="B1855">
            <v>2004</v>
          </cell>
          <cell r="K1855" t="str">
            <v>JACKSON</v>
          </cell>
          <cell r="L1855" t="str">
            <v>Jackson</v>
          </cell>
          <cell r="V1855">
            <v>96000</v>
          </cell>
        </row>
        <row r="1856">
          <cell r="B1856">
            <v>2004</v>
          </cell>
          <cell r="K1856" t="str">
            <v>JOHNSON</v>
          </cell>
          <cell r="L1856" t="str">
            <v>Johnson</v>
          </cell>
          <cell r="V1856">
            <v>110500</v>
          </cell>
        </row>
        <row r="1857">
          <cell r="B1857">
            <v>2004</v>
          </cell>
          <cell r="K1857" t="str">
            <v>JONES</v>
          </cell>
          <cell r="L1857" t="str">
            <v>Jones</v>
          </cell>
          <cell r="V1857">
            <v>143000</v>
          </cell>
        </row>
        <row r="1858">
          <cell r="B1858">
            <v>2004</v>
          </cell>
          <cell r="K1858" t="str">
            <v>LINN</v>
          </cell>
          <cell r="L1858" t="str">
            <v>Linn</v>
          </cell>
          <cell r="V1858">
            <v>147000</v>
          </cell>
        </row>
        <row r="1859">
          <cell r="B1859">
            <v>2004</v>
          </cell>
          <cell r="K1859" t="str">
            <v>MUSCATINE</v>
          </cell>
          <cell r="L1859" t="str">
            <v>Muscatine</v>
          </cell>
          <cell r="V1859">
            <v>92000</v>
          </cell>
        </row>
        <row r="1860">
          <cell r="B1860">
            <v>2004</v>
          </cell>
          <cell r="K1860" t="str">
            <v>SCOTT</v>
          </cell>
          <cell r="L1860" t="str">
            <v>Scott</v>
          </cell>
          <cell r="V1860">
            <v>113000</v>
          </cell>
        </row>
        <row r="1861">
          <cell r="B1861">
            <v>2004</v>
          </cell>
          <cell r="K1861" t="str">
            <v>BUTLER</v>
          </cell>
          <cell r="L1861" t="str">
            <v>Butler</v>
          </cell>
          <cell r="V1861">
            <v>158500</v>
          </cell>
        </row>
        <row r="1862">
          <cell r="B1862">
            <v>2004</v>
          </cell>
          <cell r="K1862" t="str">
            <v>CERRO GORDO</v>
          </cell>
          <cell r="L1862" t="str">
            <v>Cerro Gordo</v>
          </cell>
          <cell r="V1862">
            <v>172500</v>
          </cell>
        </row>
        <row r="1863">
          <cell r="B1863">
            <v>2004</v>
          </cell>
          <cell r="K1863" t="str">
            <v>FLOYD</v>
          </cell>
          <cell r="L1863" t="str">
            <v>Floyd</v>
          </cell>
          <cell r="V1863">
            <v>137000</v>
          </cell>
        </row>
        <row r="1864">
          <cell r="B1864">
            <v>2004</v>
          </cell>
          <cell r="K1864" t="str">
            <v>FRANKLIN</v>
          </cell>
          <cell r="L1864" t="str">
            <v>Franklin</v>
          </cell>
          <cell r="V1864">
            <v>180000</v>
          </cell>
        </row>
        <row r="1865">
          <cell r="B1865">
            <v>2004</v>
          </cell>
          <cell r="K1865" t="str">
            <v>HANCOCK</v>
          </cell>
          <cell r="L1865" t="str">
            <v>Hancock</v>
          </cell>
          <cell r="V1865">
            <v>174000</v>
          </cell>
        </row>
        <row r="1866">
          <cell r="B1866">
            <v>2004</v>
          </cell>
          <cell r="K1866" t="str">
            <v>HUMBOLDT</v>
          </cell>
          <cell r="L1866" t="str">
            <v>Humboldt</v>
          </cell>
          <cell r="V1866">
            <v>132000</v>
          </cell>
        </row>
        <row r="1867">
          <cell r="B1867">
            <v>2004</v>
          </cell>
          <cell r="K1867" t="str">
            <v>KOSSUTH</v>
          </cell>
          <cell r="L1867" t="str">
            <v>Kossuth</v>
          </cell>
          <cell r="V1867">
            <v>312000</v>
          </cell>
        </row>
        <row r="1868">
          <cell r="B1868">
            <v>2004</v>
          </cell>
          <cell r="K1868" t="str">
            <v>MITCHELL</v>
          </cell>
          <cell r="L1868" t="str">
            <v>Mitchell</v>
          </cell>
          <cell r="V1868">
            <v>138000</v>
          </cell>
        </row>
        <row r="1869">
          <cell r="B1869">
            <v>2004</v>
          </cell>
          <cell r="K1869" t="str">
            <v>WINNEBAGO</v>
          </cell>
          <cell r="L1869" t="str">
            <v>Winnebago</v>
          </cell>
          <cell r="V1869">
            <v>127000</v>
          </cell>
        </row>
        <row r="1870">
          <cell r="B1870">
            <v>2004</v>
          </cell>
          <cell r="K1870" t="str">
            <v>WORTH</v>
          </cell>
          <cell r="L1870" t="str">
            <v>Worth</v>
          </cell>
          <cell r="V1870">
            <v>114000</v>
          </cell>
        </row>
        <row r="1871">
          <cell r="B1871">
            <v>2004</v>
          </cell>
          <cell r="K1871" t="str">
            <v>WRIGHT</v>
          </cell>
          <cell r="L1871" t="str">
            <v>Wright</v>
          </cell>
          <cell r="V1871">
            <v>174000</v>
          </cell>
        </row>
        <row r="1872">
          <cell r="B1872">
            <v>2004</v>
          </cell>
          <cell r="K1872" t="str">
            <v>ALLAMAKEE</v>
          </cell>
          <cell r="L1872" t="str">
            <v>Allamakee</v>
          </cell>
          <cell r="V1872">
            <v>70000</v>
          </cell>
        </row>
        <row r="1873">
          <cell r="B1873">
            <v>2004</v>
          </cell>
          <cell r="K1873" t="str">
            <v>BLACK HAWK</v>
          </cell>
          <cell r="L1873" t="str">
            <v>Black Hawk</v>
          </cell>
          <cell r="V1873">
            <v>140000</v>
          </cell>
        </row>
        <row r="1874">
          <cell r="B1874">
            <v>2004</v>
          </cell>
          <cell r="K1874" t="str">
            <v>BREMER</v>
          </cell>
          <cell r="L1874" t="str">
            <v>Bremer</v>
          </cell>
          <cell r="V1874">
            <v>117500</v>
          </cell>
        </row>
        <row r="1875">
          <cell r="B1875">
            <v>2004</v>
          </cell>
          <cell r="K1875" t="str">
            <v>BUCHANAN</v>
          </cell>
          <cell r="L1875" t="str">
            <v>Buchanan</v>
          </cell>
          <cell r="V1875">
            <v>167000</v>
          </cell>
        </row>
        <row r="1876">
          <cell r="B1876">
            <v>2004</v>
          </cell>
          <cell r="K1876" t="str">
            <v>CHICKASAW</v>
          </cell>
          <cell r="L1876" t="str">
            <v>Chickasaw</v>
          </cell>
          <cell r="V1876">
            <v>132000</v>
          </cell>
        </row>
        <row r="1877">
          <cell r="B1877">
            <v>2004</v>
          </cell>
          <cell r="K1877" t="str">
            <v>CLAYTON</v>
          </cell>
          <cell r="L1877" t="str">
            <v>Clayton</v>
          </cell>
          <cell r="V1877">
            <v>137500</v>
          </cell>
        </row>
        <row r="1878">
          <cell r="B1878">
            <v>2004</v>
          </cell>
          <cell r="K1878" t="str">
            <v>DELAWARE</v>
          </cell>
          <cell r="L1878" t="str">
            <v>Delaware</v>
          </cell>
          <cell r="V1878">
            <v>178000</v>
          </cell>
        </row>
        <row r="1879">
          <cell r="B1879">
            <v>2004</v>
          </cell>
          <cell r="K1879" t="str">
            <v>DUBUQUE</v>
          </cell>
          <cell r="L1879" t="str">
            <v>Dubuque</v>
          </cell>
          <cell r="V1879">
            <v>127000</v>
          </cell>
        </row>
        <row r="1880">
          <cell r="B1880">
            <v>2004</v>
          </cell>
          <cell r="K1880" t="str">
            <v>FAYETTE</v>
          </cell>
          <cell r="L1880" t="str">
            <v>Fayette</v>
          </cell>
          <cell r="V1880">
            <v>182000</v>
          </cell>
        </row>
        <row r="1881">
          <cell r="B1881">
            <v>2004</v>
          </cell>
          <cell r="K1881" t="str">
            <v>HOWARD</v>
          </cell>
          <cell r="L1881" t="str">
            <v>Howard</v>
          </cell>
          <cell r="V1881">
            <v>115000</v>
          </cell>
        </row>
        <row r="1882">
          <cell r="B1882">
            <v>2004</v>
          </cell>
          <cell r="K1882" t="str">
            <v>WINNESHIEK</v>
          </cell>
          <cell r="L1882" t="str">
            <v>Winneshiek</v>
          </cell>
          <cell r="V1882">
            <v>137000</v>
          </cell>
        </row>
        <row r="1883">
          <cell r="B1883">
            <v>2004</v>
          </cell>
          <cell r="K1883" t="str">
            <v>BUENA VISTA</v>
          </cell>
          <cell r="L1883" t="str">
            <v>Buena Vista</v>
          </cell>
          <cell r="V1883">
            <v>169000</v>
          </cell>
        </row>
        <row r="1884">
          <cell r="B1884">
            <v>2004</v>
          </cell>
          <cell r="K1884" t="str">
            <v>CHEROKEE</v>
          </cell>
          <cell r="L1884" t="str">
            <v>Cherokee</v>
          </cell>
          <cell r="V1884">
            <v>147000</v>
          </cell>
        </row>
        <row r="1885">
          <cell r="B1885">
            <v>2004</v>
          </cell>
          <cell r="K1885" t="str">
            <v>CLAY</v>
          </cell>
          <cell r="L1885" t="str">
            <v>Clay</v>
          </cell>
          <cell r="V1885">
            <v>156000</v>
          </cell>
        </row>
        <row r="1886">
          <cell r="B1886">
            <v>2004</v>
          </cell>
          <cell r="K1886" t="str">
            <v>DICKINSON</v>
          </cell>
          <cell r="L1886" t="str">
            <v>Dickinson</v>
          </cell>
          <cell r="V1886">
            <v>93000</v>
          </cell>
        </row>
        <row r="1887">
          <cell r="B1887">
            <v>2004</v>
          </cell>
          <cell r="K1887" t="str">
            <v>EMMET</v>
          </cell>
          <cell r="L1887" t="str">
            <v>Emmet</v>
          </cell>
          <cell r="V1887">
            <v>123000</v>
          </cell>
        </row>
        <row r="1888">
          <cell r="B1888">
            <v>2004</v>
          </cell>
          <cell r="K1888" t="str">
            <v>LYON</v>
          </cell>
          <cell r="L1888" t="str">
            <v>Lyon</v>
          </cell>
          <cell r="V1888">
            <v>160000</v>
          </cell>
        </row>
        <row r="1889">
          <cell r="B1889">
            <v>2004</v>
          </cell>
          <cell r="K1889" t="str">
            <v>O BRIEN</v>
          </cell>
          <cell r="L1889" t="str">
            <v>O Brien</v>
          </cell>
          <cell r="V1889">
            <v>161000</v>
          </cell>
        </row>
        <row r="1890">
          <cell r="B1890">
            <v>2004</v>
          </cell>
          <cell r="K1890" t="str">
            <v>OSCEOLA</v>
          </cell>
          <cell r="L1890" t="str">
            <v>Osceola</v>
          </cell>
          <cell r="V1890">
            <v>119000</v>
          </cell>
        </row>
        <row r="1891">
          <cell r="B1891">
            <v>2004</v>
          </cell>
          <cell r="K1891" t="str">
            <v>PALO ALTO</v>
          </cell>
          <cell r="L1891" t="str">
            <v>Palo Alto</v>
          </cell>
          <cell r="V1891">
            <v>164500</v>
          </cell>
        </row>
        <row r="1892">
          <cell r="B1892">
            <v>2004</v>
          </cell>
          <cell r="K1892" t="str">
            <v>PLYMOUTH</v>
          </cell>
          <cell r="L1892" t="str">
            <v>Plymouth</v>
          </cell>
          <cell r="V1892">
            <v>222000</v>
          </cell>
        </row>
        <row r="1893">
          <cell r="B1893">
            <v>2004</v>
          </cell>
          <cell r="K1893" t="str">
            <v>POCAHONTAS</v>
          </cell>
          <cell r="L1893" t="str">
            <v>Pocahontas</v>
          </cell>
          <cell r="V1893">
            <v>175500</v>
          </cell>
        </row>
        <row r="1894">
          <cell r="B1894">
            <v>2004</v>
          </cell>
          <cell r="K1894" t="str">
            <v>SIOUX</v>
          </cell>
          <cell r="L1894" t="str">
            <v>Sioux</v>
          </cell>
          <cell r="V1894">
            <v>247000</v>
          </cell>
        </row>
        <row r="1895">
          <cell r="B1895">
            <v>2004</v>
          </cell>
          <cell r="K1895" t="str">
            <v>APPANOOSE</v>
          </cell>
          <cell r="L1895" t="str">
            <v>Appanoose</v>
          </cell>
          <cell r="V1895">
            <v>32000</v>
          </cell>
        </row>
        <row r="1896">
          <cell r="B1896">
            <v>2004</v>
          </cell>
          <cell r="K1896" t="str">
            <v>CLARKE</v>
          </cell>
          <cell r="L1896" t="str">
            <v>Clarke</v>
          </cell>
          <cell r="V1896">
            <v>33000</v>
          </cell>
        </row>
        <row r="1897">
          <cell r="B1897">
            <v>2004</v>
          </cell>
          <cell r="K1897" t="str">
            <v>DECATUR</v>
          </cell>
          <cell r="L1897" t="str">
            <v>Decatur</v>
          </cell>
          <cell r="V1897">
            <v>33000</v>
          </cell>
        </row>
        <row r="1898">
          <cell r="B1898">
            <v>2004</v>
          </cell>
          <cell r="K1898" t="str">
            <v>LUCAS</v>
          </cell>
          <cell r="L1898" t="str">
            <v>Lucas</v>
          </cell>
          <cell r="V1898">
            <v>26500</v>
          </cell>
        </row>
        <row r="1899">
          <cell r="B1899">
            <v>2004</v>
          </cell>
          <cell r="K1899" t="str">
            <v>MADISON</v>
          </cell>
          <cell r="L1899" t="str">
            <v>Madison</v>
          </cell>
          <cell r="V1899">
            <v>66500</v>
          </cell>
        </row>
        <row r="1900">
          <cell r="B1900">
            <v>2004</v>
          </cell>
          <cell r="K1900" t="str">
            <v>MARION</v>
          </cell>
          <cell r="L1900" t="str">
            <v>Marion</v>
          </cell>
          <cell r="V1900">
            <v>79000</v>
          </cell>
        </row>
        <row r="1901">
          <cell r="B1901">
            <v>2004</v>
          </cell>
          <cell r="K1901" t="str">
            <v>MONROE</v>
          </cell>
          <cell r="L1901" t="str">
            <v>Monroe</v>
          </cell>
          <cell r="V1901">
            <v>29500</v>
          </cell>
        </row>
        <row r="1902">
          <cell r="B1902">
            <v>2004</v>
          </cell>
          <cell r="K1902" t="str">
            <v>RINGGOLD</v>
          </cell>
          <cell r="L1902" t="str">
            <v>Ringgold</v>
          </cell>
          <cell r="V1902">
            <v>47500</v>
          </cell>
        </row>
        <row r="1903">
          <cell r="B1903">
            <v>2004</v>
          </cell>
          <cell r="K1903" t="str">
            <v>UNION</v>
          </cell>
          <cell r="L1903" t="str">
            <v>Union</v>
          </cell>
          <cell r="V1903">
            <v>55000</v>
          </cell>
        </row>
        <row r="1904">
          <cell r="B1904">
            <v>2004</v>
          </cell>
          <cell r="K1904" t="str">
            <v>WARREN</v>
          </cell>
          <cell r="L1904" t="str">
            <v>Warren</v>
          </cell>
          <cell r="V1904">
            <v>71000</v>
          </cell>
        </row>
        <row r="1905">
          <cell r="B1905">
            <v>2004</v>
          </cell>
          <cell r="K1905" t="str">
            <v>WAYNE</v>
          </cell>
          <cell r="L1905" t="str">
            <v>Wayne</v>
          </cell>
          <cell r="V1905">
            <v>48000</v>
          </cell>
        </row>
        <row r="1906">
          <cell r="B1906">
            <v>2004</v>
          </cell>
          <cell r="K1906" t="str">
            <v>DAVIS</v>
          </cell>
          <cell r="L1906" t="str">
            <v>Davis</v>
          </cell>
          <cell r="V1906">
            <v>37000</v>
          </cell>
        </row>
        <row r="1907">
          <cell r="B1907">
            <v>2004</v>
          </cell>
          <cell r="K1907" t="str">
            <v>DES MOINES</v>
          </cell>
          <cell r="L1907" t="str">
            <v>Des Moines</v>
          </cell>
          <cell r="V1907">
            <v>74500</v>
          </cell>
        </row>
        <row r="1908">
          <cell r="B1908">
            <v>2004</v>
          </cell>
          <cell r="K1908" t="str">
            <v>HENRY</v>
          </cell>
          <cell r="L1908" t="str">
            <v>Henry</v>
          </cell>
          <cell r="V1908">
            <v>84500</v>
          </cell>
        </row>
        <row r="1909">
          <cell r="B1909">
            <v>2004</v>
          </cell>
          <cell r="K1909" t="str">
            <v>JEFFERSON</v>
          </cell>
          <cell r="L1909" t="str">
            <v>Jefferson</v>
          </cell>
          <cell r="V1909">
            <v>68000</v>
          </cell>
        </row>
        <row r="1910">
          <cell r="B1910">
            <v>2004</v>
          </cell>
          <cell r="K1910" t="str">
            <v>KEOKUK</v>
          </cell>
          <cell r="L1910" t="str">
            <v>Keokuk</v>
          </cell>
          <cell r="V1910">
            <v>106000</v>
          </cell>
        </row>
        <row r="1911">
          <cell r="B1911">
            <v>2004</v>
          </cell>
          <cell r="K1911" t="str">
            <v>LEE</v>
          </cell>
          <cell r="L1911" t="str">
            <v>Lee</v>
          </cell>
          <cell r="V1911">
            <v>78000</v>
          </cell>
        </row>
        <row r="1912">
          <cell r="B1912">
            <v>2004</v>
          </cell>
          <cell r="K1912" t="str">
            <v>LOUISA</v>
          </cell>
          <cell r="L1912" t="str">
            <v>Louisa</v>
          </cell>
          <cell r="V1912">
            <v>77000</v>
          </cell>
        </row>
        <row r="1913">
          <cell r="B1913">
            <v>2004</v>
          </cell>
          <cell r="K1913" t="str">
            <v>MAHASKA</v>
          </cell>
          <cell r="L1913" t="str">
            <v>Mahaska</v>
          </cell>
          <cell r="V1913">
            <v>123000</v>
          </cell>
        </row>
        <row r="1914">
          <cell r="B1914">
            <v>2004</v>
          </cell>
          <cell r="K1914" t="str">
            <v>VAN BUREN</v>
          </cell>
          <cell r="L1914" t="str">
            <v>Van Buren</v>
          </cell>
          <cell r="V1914">
            <v>45500</v>
          </cell>
        </row>
        <row r="1915">
          <cell r="B1915">
            <v>2004</v>
          </cell>
          <cell r="K1915" t="str">
            <v>WAPELLO</v>
          </cell>
          <cell r="L1915" t="str">
            <v>Wapello</v>
          </cell>
          <cell r="V1915">
            <v>57500</v>
          </cell>
        </row>
        <row r="1916">
          <cell r="B1916">
            <v>2004</v>
          </cell>
          <cell r="K1916" t="str">
            <v>WASHINGTON</v>
          </cell>
          <cell r="L1916" t="str">
            <v>Washington</v>
          </cell>
          <cell r="V1916">
            <v>116000</v>
          </cell>
        </row>
        <row r="1917">
          <cell r="B1917">
            <v>2004</v>
          </cell>
          <cell r="K1917" t="str">
            <v>ADAIR</v>
          </cell>
          <cell r="L1917" t="str">
            <v>Adair</v>
          </cell>
          <cell r="V1917">
            <v>108000</v>
          </cell>
        </row>
        <row r="1918">
          <cell r="B1918">
            <v>2004</v>
          </cell>
          <cell r="K1918" t="str">
            <v>ADAMS</v>
          </cell>
          <cell r="L1918" t="str">
            <v>Adams</v>
          </cell>
          <cell r="V1918">
            <v>65000</v>
          </cell>
        </row>
        <row r="1919">
          <cell r="B1919">
            <v>2004</v>
          </cell>
          <cell r="K1919" t="str">
            <v>CASS</v>
          </cell>
          <cell r="L1919" t="str">
            <v>Cass</v>
          </cell>
          <cell r="V1919">
            <v>126000</v>
          </cell>
        </row>
        <row r="1920">
          <cell r="B1920">
            <v>2004</v>
          </cell>
          <cell r="K1920" t="str">
            <v>FREMONT</v>
          </cell>
          <cell r="L1920" t="str">
            <v>Fremont</v>
          </cell>
          <cell r="V1920">
            <v>116000</v>
          </cell>
        </row>
        <row r="1921">
          <cell r="B1921">
            <v>2004</v>
          </cell>
          <cell r="K1921" t="str">
            <v>MILLS</v>
          </cell>
          <cell r="L1921" t="str">
            <v>Mills</v>
          </cell>
          <cell r="V1921">
            <v>100000</v>
          </cell>
        </row>
        <row r="1922">
          <cell r="B1922">
            <v>2004</v>
          </cell>
          <cell r="K1922" t="str">
            <v>MONTGOMERY</v>
          </cell>
          <cell r="L1922" t="str">
            <v>Montgomery</v>
          </cell>
          <cell r="V1922">
            <v>93000</v>
          </cell>
        </row>
        <row r="1923">
          <cell r="B1923">
            <v>2004</v>
          </cell>
          <cell r="K1923" t="str">
            <v>PAGE</v>
          </cell>
          <cell r="L1923" t="str">
            <v>Page</v>
          </cell>
          <cell r="V1923">
            <v>105000</v>
          </cell>
        </row>
        <row r="1924">
          <cell r="B1924">
            <v>2004</v>
          </cell>
          <cell r="K1924" t="str">
            <v>POTTAWATTAMIE</v>
          </cell>
          <cell r="L1924" t="str">
            <v>Pottawattamie</v>
          </cell>
          <cell r="V1924">
            <v>226500</v>
          </cell>
        </row>
        <row r="1925">
          <cell r="B1925">
            <v>2004</v>
          </cell>
          <cell r="K1925" t="str">
            <v>TAYLOR</v>
          </cell>
          <cell r="L1925" t="str">
            <v>Taylor</v>
          </cell>
          <cell r="V1925">
            <v>71500</v>
          </cell>
        </row>
        <row r="1926">
          <cell r="B1926">
            <v>2004</v>
          </cell>
          <cell r="K1926" t="str">
            <v>AUDUBON</v>
          </cell>
          <cell r="L1926" t="str">
            <v>Audubon</v>
          </cell>
          <cell r="V1926">
            <v>108000</v>
          </cell>
        </row>
        <row r="1927">
          <cell r="B1927">
            <v>2004</v>
          </cell>
          <cell r="K1927" t="str">
            <v>CALHOUN</v>
          </cell>
          <cell r="L1927" t="str">
            <v>Calhoun</v>
          </cell>
          <cell r="V1927">
            <v>168500</v>
          </cell>
        </row>
        <row r="1928">
          <cell r="B1928">
            <v>2004</v>
          </cell>
          <cell r="K1928" t="str">
            <v>CARROLL</v>
          </cell>
          <cell r="L1928" t="str">
            <v>Carroll</v>
          </cell>
          <cell r="V1928">
            <v>164500</v>
          </cell>
        </row>
        <row r="1929">
          <cell r="B1929">
            <v>2004</v>
          </cell>
          <cell r="K1929" t="str">
            <v>CRAWFORD</v>
          </cell>
          <cell r="L1929" t="str">
            <v>Crawford</v>
          </cell>
          <cell r="V1929">
            <v>185000</v>
          </cell>
        </row>
        <row r="1930">
          <cell r="B1930">
            <v>2004</v>
          </cell>
          <cell r="K1930" t="str">
            <v>GREENE</v>
          </cell>
          <cell r="L1930" t="str">
            <v>Greene</v>
          </cell>
          <cell r="V1930">
            <v>160000</v>
          </cell>
        </row>
        <row r="1931">
          <cell r="B1931">
            <v>2004</v>
          </cell>
          <cell r="K1931" t="str">
            <v>GUTHRIE</v>
          </cell>
          <cell r="L1931" t="str">
            <v>Guthrie</v>
          </cell>
          <cell r="V1931">
            <v>110000</v>
          </cell>
        </row>
        <row r="1932">
          <cell r="B1932">
            <v>2004</v>
          </cell>
          <cell r="K1932" t="str">
            <v>HARRISON</v>
          </cell>
          <cell r="L1932" t="str">
            <v>Harrison</v>
          </cell>
          <cell r="V1932">
            <v>167000</v>
          </cell>
        </row>
        <row r="1933">
          <cell r="B1933">
            <v>2004</v>
          </cell>
          <cell r="K1933" t="str">
            <v>IDA</v>
          </cell>
          <cell r="L1933" t="str">
            <v>Ida</v>
          </cell>
          <cell r="V1933">
            <v>116000</v>
          </cell>
        </row>
        <row r="1934">
          <cell r="B1934">
            <v>2004</v>
          </cell>
          <cell r="K1934" t="str">
            <v>MONONA</v>
          </cell>
          <cell r="L1934" t="str">
            <v>Monona</v>
          </cell>
          <cell r="V1934">
            <v>165000</v>
          </cell>
        </row>
        <row r="1935">
          <cell r="B1935">
            <v>2004</v>
          </cell>
          <cell r="K1935" t="str">
            <v>SAC</v>
          </cell>
          <cell r="L1935" t="str">
            <v>Sac</v>
          </cell>
          <cell r="V1935">
            <v>164000</v>
          </cell>
        </row>
        <row r="1936">
          <cell r="B1936">
            <v>2004</v>
          </cell>
          <cell r="K1936" t="str">
            <v>SHELBY</v>
          </cell>
          <cell r="L1936" t="str">
            <v>Shelby</v>
          </cell>
          <cell r="V1936">
            <v>156000</v>
          </cell>
        </row>
        <row r="1937">
          <cell r="B1937">
            <v>2004</v>
          </cell>
          <cell r="K1937" t="str">
            <v>WOODBURY</v>
          </cell>
          <cell r="L1937" t="str">
            <v>Woodbury</v>
          </cell>
          <cell r="V1937">
            <v>201000</v>
          </cell>
        </row>
        <row r="1938">
          <cell r="B1938">
            <v>2003</v>
          </cell>
          <cell r="K1938" t="str">
            <v>BOONE</v>
          </cell>
          <cell r="L1938" t="str">
            <v>Boone</v>
          </cell>
          <cell r="V1938">
            <v>144000</v>
          </cell>
        </row>
        <row r="1939">
          <cell r="B1939">
            <v>2003</v>
          </cell>
          <cell r="K1939" t="str">
            <v>DALLAS</v>
          </cell>
          <cell r="L1939" t="str">
            <v>Dallas</v>
          </cell>
          <cell r="V1939">
            <v>129000</v>
          </cell>
        </row>
        <row r="1940">
          <cell r="B1940">
            <v>2003</v>
          </cell>
          <cell r="K1940" t="str">
            <v>GRUNDY</v>
          </cell>
          <cell r="L1940" t="str">
            <v>Grundy</v>
          </cell>
          <cell r="V1940">
            <v>156000</v>
          </cell>
        </row>
        <row r="1941">
          <cell r="B1941">
            <v>2003</v>
          </cell>
          <cell r="K1941" t="str">
            <v>HAMILTON</v>
          </cell>
          <cell r="L1941" t="str">
            <v>Hamilton</v>
          </cell>
          <cell r="V1941">
            <v>169000</v>
          </cell>
        </row>
        <row r="1942">
          <cell r="B1942">
            <v>2003</v>
          </cell>
          <cell r="K1942" t="str">
            <v>HARDIN</v>
          </cell>
          <cell r="L1942" t="str">
            <v>Hardin</v>
          </cell>
          <cell r="V1942">
            <v>169500</v>
          </cell>
        </row>
        <row r="1943">
          <cell r="B1943">
            <v>2003</v>
          </cell>
          <cell r="K1943" t="str">
            <v>JASPER</v>
          </cell>
          <cell r="L1943" t="str">
            <v>Jasper</v>
          </cell>
          <cell r="V1943">
            <v>162000</v>
          </cell>
        </row>
        <row r="1944">
          <cell r="B1944">
            <v>2003</v>
          </cell>
          <cell r="K1944" t="str">
            <v>MARSHALL</v>
          </cell>
          <cell r="L1944" t="str">
            <v>Marshall</v>
          </cell>
          <cell r="V1944">
            <v>140500</v>
          </cell>
        </row>
        <row r="1945">
          <cell r="B1945">
            <v>2003</v>
          </cell>
          <cell r="K1945" t="str">
            <v>POLK</v>
          </cell>
          <cell r="L1945" t="str">
            <v>Polk</v>
          </cell>
          <cell r="V1945">
            <v>89500</v>
          </cell>
        </row>
        <row r="1946">
          <cell r="B1946">
            <v>2003</v>
          </cell>
          <cell r="K1946" t="str">
            <v>POWESHIEK</v>
          </cell>
          <cell r="L1946" t="str">
            <v>Poweshiek</v>
          </cell>
          <cell r="V1946">
            <v>122500</v>
          </cell>
        </row>
        <row r="1947">
          <cell r="B1947">
            <v>2003</v>
          </cell>
          <cell r="K1947" t="str">
            <v>STORY</v>
          </cell>
          <cell r="L1947" t="str">
            <v>Story</v>
          </cell>
          <cell r="V1947">
            <v>161000</v>
          </cell>
        </row>
        <row r="1948">
          <cell r="B1948">
            <v>2003</v>
          </cell>
          <cell r="K1948" t="str">
            <v>TAMA</v>
          </cell>
          <cell r="L1948" t="str">
            <v>Tama</v>
          </cell>
          <cell r="V1948">
            <v>160000</v>
          </cell>
        </row>
        <row r="1949">
          <cell r="B1949">
            <v>2003</v>
          </cell>
          <cell r="K1949" t="str">
            <v>WEBSTER</v>
          </cell>
          <cell r="L1949" t="str">
            <v>Webster</v>
          </cell>
          <cell r="V1949">
            <v>187000</v>
          </cell>
        </row>
        <row r="1950">
          <cell r="B1950">
            <v>2003</v>
          </cell>
          <cell r="K1950" t="str">
            <v>BENTON</v>
          </cell>
          <cell r="L1950" t="str">
            <v>Benton</v>
          </cell>
          <cell r="V1950">
            <v>179000</v>
          </cell>
        </row>
        <row r="1951">
          <cell r="B1951">
            <v>2003</v>
          </cell>
          <cell r="K1951" t="str">
            <v>CEDAR</v>
          </cell>
          <cell r="L1951" t="str">
            <v>Cedar</v>
          </cell>
          <cell r="V1951">
            <v>147000</v>
          </cell>
        </row>
        <row r="1952">
          <cell r="B1952">
            <v>2003</v>
          </cell>
          <cell r="K1952" t="str">
            <v>CLINTON</v>
          </cell>
          <cell r="L1952" t="str">
            <v>Clinton</v>
          </cell>
          <cell r="V1952">
            <v>185000</v>
          </cell>
        </row>
        <row r="1953">
          <cell r="B1953">
            <v>2003</v>
          </cell>
          <cell r="K1953" t="str">
            <v>IOWA</v>
          </cell>
          <cell r="L1953" t="str">
            <v>Iowa</v>
          </cell>
          <cell r="V1953">
            <v>115000</v>
          </cell>
        </row>
        <row r="1954">
          <cell r="B1954">
            <v>2003</v>
          </cell>
          <cell r="K1954" t="str">
            <v>JACKSON</v>
          </cell>
          <cell r="L1954" t="str">
            <v>Jackson</v>
          </cell>
          <cell r="V1954">
            <v>94500</v>
          </cell>
        </row>
        <row r="1955">
          <cell r="B1955">
            <v>2003</v>
          </cell>
          <cell r="K1955" t="str">
            <v>JOHNSON</v>
          </cell>
          <cell r="L1955" t="str">
            <v>Johnson</v>
          </cell>
          <cell r="V1955">
            <v>105000</v>
          </cell>
        </row>
        <row r="1956">
          <cell r="B1956">
            <v>2003</v>
          </cell>
          <cell r="K1956" t="str">
            <v>JONES</v>
          </cell>
          <cell r="L1956" t="str">
            <v>Jones</v>
          </cell>
          <cell r="V1956">
            <v>138000</v>
          </cell>
        </row>
        <row r="1957">
          <cell r="B1957">
            <v>2003</v>
          </cell>
          <cell r="K1957" t="str">
            <v>LINN</v>
          </cell>
          <cell r="L1957" t="str">
            <v>Linn</v>
          </cell>
          <cell r="V1957">
            <v>143000</v>
          </cell>
        </row>
        <row r="1958">
          <cell r="B1958">
            <v>2003</v>
          </cell>
          <cell r="K1958" t="str">
            <v>MUSCATINE</v>
          </cell>
          <cell r="L1958" t="str">
            <v>Muscatine</v>
          </cell>
          <cell r="V1958">
            <v>88500</v>
          </cell>
        </row>
        <row r="1959">
          <cell r="B1959">
            <v>2003</v>
          </cell>
          <cell r="K1959" t="str">
            <v>SCOTT</v>
          </cell>
          <cell r="L1959" t="str">
            <v>Scott</v>
          </cell>
          <cell r="V1959">
            <v>114000</v>
          </cell>
        </row>
        <row r="1960">
          <cell r="B1960">
            <v>2003</v>
          </cell>
          <cell r="K1960" t="str">
            <v>BUTLER</v>
          </cell>
          <cell r="L1960" t="str">
            <v>Butler</v>
          </cell>
          <cell r="V1960">
            <v>148000</v>
          </cell>
        </row>
        <row r="1961">
          <cell r="B1961">
            <v>2003</v>
          </cell>
          <cell r="K1961" t="str">
            <v>CERRO GORDO</v>
          </cell>
          <cell r="L1961" t="str">
            <v>Cerro Gordo</v>
          </cell>
          <cell r="V1961">
            <v>160500</v>
          </cell>
        </row>
        <row r="1962">
          <cell r="B1962">
            <v>2003</v>
          </cell>
          <cell r="K1962" t="str">
            <v>FLOYD</v>
          </cell>
          <cell r="L1962" t="str">
            <v>Floyd</v>
          </cell>
          <cell r="V1962">
            <v>133000</v>
          </cell>
        </row>
        <row r="1963">
          <cell r="B1963">
            <v>2003</v>
          </cell>
          <cell r="K1963" t="str">
            <v>FRANKLIN</v>
          </cell>
          <cell r="L1963" t="str">
            <v>Franklin</v>
          </cell>
          <cell r="V1963">
            <v>172000</v>
          </cell>
        </row>
        <row r="1964">
          <cell r="B1964">
            <v>2003</v>
          </cell>
          <cell r="K1964" t="str">
            <v>HANCOCK</v>
          </cell>
          <cell r="L1964" t="str">
            <v>Hancock</v>
          </cell>
          <cell r="V1964">
            <v>164000</v>
          </cell>
        </row>
        <row r="1965">
          <cell r="B1965">
            <v>2003</v>
          </cell>
          <cell r="K1965" t="str">
            <v>HUMBOLDT</v>
          </cell>
          <cell r="L1965" t="str">
            <v>Humboldt</v>
          </cell>
          <cell r="V1965">
            <v>128500</v>
          </cell>
        </row>
        <row r="1966">
          <cell r="B1966">
            <v>2003</v>
          </cell>
          <cell r="K1966" t="str">
            <v>KOSSUTH</v>
          </cell>
          <cell r="L1966" t="str">
            <v>Kossuth</v>
          </cell>
          <cell r="V1966">
            <v>299500</v>
          </cell>
        </row>
        <row r="1967">
          <cell r="B1967">
            <v>2003</v>
          </cell>
          <cell r="K1967" t="str">
            <v>MITCHELL</v>
          </cell>
          <cell r="L1967" t="str">
            <v>Mitchell</v>
          </cell>
          <cell r="V1967">
            <v>135000</v>
          </cell>
        </row>
        <row r="1968">
          <cell r="B1968">
            <v>2003</v>
          </cell>
          <cell r="K1968" t="str">
            <v>WINNEBAGO</v>
          </cell>
          <cell r="L1968" t="str">
            <v>Winnebago</v>
          </cell>
          <cell r="V1968">
            <v>121500</v>
          </cell>
        </row>
        <row r="1969">
          <cell r="B1969">
            <v>2003</v>
          </cell>
          <cell r="K1969" t="str">
            <v>WORTH</v>
          </cell>
          <cell r="L1969" t="str">
            <v>Worth</v>
          </cell>
          <cell r="V1969">
            <v>110000</v>
          </cell>
        </row>
        <row r="1970">
          <cell r="B1970">
            <v>2003</v>
          </cell>
          <cell r="K1970" t="str">
            <v>WRIGHT</v>
          </cell>
          <cell r="L1970" t="str">
            <v>Wright</v>
          </cell>
          <cell r="V1970">
            <v>176000</v>
          </cell>
        </row>
        <row r="1971">
          <cell r="B1971">
            <v>2003</v>
          </cell>
          <cell r="K1971" t="str">
            <v>ALLAMAKEE</v>
          </cell>
          <cell r="L1971" t="str">
            <v>Allamakee</v>
          </cell>
          <cell r="V1971">
            <v>71000</v>
          </cell>
        </row>
        <row r="1972">
          <cell r="B1972">
            <v>2003</v>
          </cell>
          <cell r="K1972" t="str">
            <v>BLACK HAWK</v>
          </cell>
          <cell r="L1972" t="str">
            <v>Black Hawk</v>
          </cell>
          <cell r="V1972">
            <v>139000</v>
          </cell>
        </row>
        <row r="1973">
          <cell r="B1973">
            <v>2003</v>
          </cell>
          <cell r="K1973" t="str">
            <v>BREMER</v>
          </cell>
          <cell r="L1973" t="str">
            <v>Bremer</v>
          </cell>
          <cell r="V1973">
            <v>115000</v>
          </cell>
        </row>
        <row r="1974">
          <cell r="B1974">
            <v>2003</v>
          </cell>
          <cell r="K1974" t="str">
            <v>BUCHANAN</v>
          </cell>
          <cell r="L1974" t="str">
            <v>Buchanan</v>
          </cell>
          <cell r="V1974">
            <v>160000</v>
          </cell>
        </row>
        <row r="1975">
          <cell r="B1975">
            <v>2003</v>
          </cell>
          <cell r="K1975" t="str">
            <v>CHICKASAW</v>
          </cell>
          <cell r="L1975" t="str">
            <v>Chickasaw</v>
          </cell>
          <cell r="V1975">
            <v>126000</v>
          </cell>
        </row>
        <row r="1976">
          <cell r="B1976">
            <v>2003</v>
          </cell>
          <cell r="K1976" t="str">
            <v>CLAYTON</v>
          </cell>
          <cell r="L1976" t="str">
            <v>Clayton</v>
          </cell>
          <cell r="V1976">
            <v>136500</v>
          </cell>
        </row>
        <row r="1977">
          <cell r="B1977">
            <v>2003</v>
          </cell>
          <cell r="K1977" t="str">
            <v>DELAWARE</v>
          </cell>
          <cell r="L1977" t="str">
            <v>Delaware</v>
          </cell>
          <cell r="V1977">
            <v>171500</v>
          </cell>
        </row>
        <row r="1978">
          <cell r="B1978">
            <v>2003</v>
          </cell>
          <cell r="K1978" t="str">
            <v>DUBUQUE</v>
          </cell>
          <cell r="L1978" t="str">
            <v>Dubuque</v>
          </cell>
          <cell r="V1978">
            <v>124000</v>
          </cell>
        </row>
        <row r="1979">
          <cell r="B1979">
            <v>2003</v>
          </cell>
          <cell r="K1979" t="str">
            <v>FAYETTE</v>
          </cell>
          <cell r="L1979" t="str">
            <v>Fayette</v>
          </cell>
          <cell r="V1979">
            <v>176000</v>
          </cell>
        </row>
        <row r="1980">
          <cell r="B1980">
            <v>2003</v>
          </cell>
          <cell r="K1980" t="str">
            <v>HOWARD</v>
          </cell>
          <cell r="L1980" t="str">
            <v>Howard</v>
          </cell>
          <cell r="V1980">
            <v>109000</v>
          </cell>
        </row>
        <row r="1981">
          <cell r="B1981">
            <v>2003</v>
          </cell>
          <cell r="K1981" t="str">
            <v>WINNESHIEK</v>
          </cell>
          <cell r="L1981" t="str">
            <v>Winneshiek</v>
          </cell>
          <cell r="V1981">
            <v>136000</v>
          </cell>
        </row>
        <row r="1982">
          <cell r="B1982">
            <v>2003</v>
          </cell>
          <cell r="K1982" t="str">
            <v>BUENA VISTA</v>
          </cell>
          <cell r="L1982" t="str">
            <v>Buena Vista</v>
          </cell>
          <cell r="V1982">
            <v>163000</v>
          </cell>
        </row>
        <row r="1983">
          <cell r="B1983">
            <v>2003</v>
          </cell>
          <cell r="K1983" t="str">
            <v>CHEROKEE</v>
          </cell>
          <cell r="L1983" t="str">
            <v>Cherokee</v>
          </cell>
          <cell r="V1983">
            <v>141000</v>
          </cell>
        </row>
        <row r="1984">
          <cell r="B1984">
            <v>2003</v>
          </cell>
          <cell r="K1984" t="str">
            <v>CLAY</v>
          </cell>
          <cell r="L1984" t="str">
            <v>Clay</v>
          </cell>
          <cell r="V1984">
            <v>147000</v>
          </cell>
        </row>
        <row r="1985">
          <cell r="B1985">
            <v>2003</v>
          </cell>
          <cell r="K1985" t="str">
            <v>DICKINSON</v>
          </cell>
          <cell r="L1985" t="str">
            <v>Dickinson</v>
          </cell>
          <cell r="V1985">
            <v>89000</v>
          </cell>
        </row>
        <row r="1986">
          <cell r="B1986">
            <v>2003</v>
          </cell>
          <cell r="K1986" t="str">
            <v>EMMET</v>
          </cell>
          <cell r="L1986" t="str">
            <v>Emmet</v>
          </cell>
          <cell r="V1986">
            <v>117000</v>
          </cell>
        </row>
        <row r="1987">
          <cell r="B1987">
            <v>2003</v>
          </cell>
          <cell r="K1987" t="str">
            <v>LYON</v>
          </cell>
          <cell r="L1987" t="str">
            <v>Lyon</v>
          </cell>
          <cell r="V1987">
            <v>159000</v>
          </cell>
        </row>
        <row r="1988">
          <cell r="B1988">
            <v>2003</v>
          </cell>
          <cell r="K1988" t="str">
            <v>O BRIEN</v>
          </cell>
          <cell r="L1988" t="str">
            <v>O Brien</v>
          </cell>
          <cell r="V1988">
            <v>157500</v>
          </cell>
        </row>
        <row r="1989">
          <cell r="B1989">
            <v>2003</v>
          </cell>
          <cell r="K1989" t="str">
            <v>OSCEOLA</v>
          </cell>
          <cell r="L1989" t="str">
            <v>Osceola</v>
          </cell>
          <cell r="V1989">
            <v>113500</v>
          </cell>
        </row>
        <row r="1990">
          <cell r="B1990">
            <v>2003</v>
          </cell>
          <cell r="K1990" t="str">
            <v>PALO ALTO</v>
          </cell>
          <cell r="L1990" t="str">
            <v>Palo Alto</v>
          </cell>
          <cell r="V1990">
            <v>161000</v>
          </cell>
        </row>
        <row r="1991">
          <cell r="B1991">
            <v>2003</v>
          </cell>
          <cell r="K1991" t="str">
            <v>PLYMOUTH</v>
          </cell>
          <cell r="L1991" t="str">
            <v>Plymouth</v>
          </cell>
          <cell r="V1991">
            <v>224000</v>
          </cell>
        </row>
        <row r="1992">
          <cell r="B1992">
            <v>2003</v>
          </cell>
          <cell r="K1992" t="str">
            <v>POCAHONTAS</v>
          </cell>
          <cell r="L1992" t="str">
            <v>Pocahontas</v>
          </cell>
          <cell r="V1992">
            <v>171000</v>
          </cell>
        </row>
        <row r="1993">
          <cell r="B1993">
            <v>2003</v>
          </cell>
          <cell r="K1993" t="str">
            <v>SIOUX</v>
          </cell>
          <cell r="L1993" t="str">
            <v>Sioux</v>
          </cell>
          <cell r="V1993">
            <v>240000</v>
          </cell>
        </row>
        <row r="1994">
          <cell r="B1994">
            <v>2003</v>
          </cell>
          <cell r="K1994" t="str">
            <v>APPANOOSE</v>
          </cell>
          <cell r="L1994" t="str">
            <v>Appanoose</v>
          </cell>
          <cell r="V1994">
            <v>32000</v>
          </cell>
        </row>
        <row r="1995">
          <cell r="B1995">
            <v>2003</v>
          </cell>
          <cell r="K1995" t="str">
            <v>CLARKE</v>
          </cell>
          <cell r="L1995" t="str">
            <v>Clarke</v>
          </cell>
          <cell r="V1995">
            <v>29500</v>
          </cell>
        </row>
        <row r="1996">
          <cell r="B1996">
            <v>2003</v>
          </cell>
          <cell r="K1996" t="str">
            <v>DECATUR</v>
          </cell>
          <cell r="L1996" t="str">
            <v>Decatur</v>
          </cell>
          <cell r="V1996">
            <v>31000</v>
          </cell>
        </row>
        <row r="1997">
          <cell r="B1997">
            <v>2003</v>
          </cell>
          <cell r="K1997" t="str">
            <v>LUCAS</v>
          </cell>
          <cell r="L1997" t="str">
            <v>Lucas</v>
          </cell>
          <cell r="V1997">
            <v>25500</v>
          </cell>
        </row>
        <row r="1998">
          <cell r="B1998">
            <v>2003</v>
          </cell>
          <cell r="K1998" t="str">
            <v>MADISON</v>
          </cell>
          <cell r="L1998" t="str">
            <v>Madison</v>
          </cell>
          <cell r="V1998">
            <v>65500</v>
          </cell>
        </row>
        <row r="1999">
          <cell r="B1999">
            <v>2003</v>
          </cell>
          <cell r="K1999" t="str">
            <v>MARION</v>
          </cell>
          <cell r="L1999" t="str">
            <v>Marion</v>
          </cell>
          <cell r="V1999">
            <v>77000</v>
          </cell>
        </row>
        <row r="2000">
          <cell r="B2000">
            <v>2003</v>
          </cell>
          <cell r="K2000" t="str">
            <v>MONROE</v>
          </cell>
          <cell r="L2000" t="str">
            <v>Monroe</v>
          </cell>
          <cell r="V2000">
            <v>29000</v>
          </cell>
        </row>
        <row r="2001">
          <cell r="B2001">
            <v>2003</v>
          </cell>
          <cell r="K2001" t="str">
            <v>RINGGOLD</v>
          </cell>
          <cell r="L2001" t="str">
            <v>Ringgold</v>
          </cell>
          <cell r="V2001">
            <v>45000</v>
          </cell>
        </row>
        <row r="2002">
          <cell r="B2002">
            <v>2003</v>
          </cell>
          <cell r="K2002" t="str">
            <v>UNION</v>
          </cell>
          <cell r="L2002" t="str">
            <v>Union</v>
          </cell>
          <cell r="V2002">
            <v>52000</v>
          </cell>
        </row>
        <row r="2003">
          <cell r="B2003">
            <v>2003</v>
          </cell>
          <cell r="K2003" t="str">
            <v>WARREN</v>
          </cell>
          <cell r="L2003" t="str">
            <v>Warren</v>
          </cell>
          <cell r="V2003">
            <v>67000</v>
          </cell>
        </row>
        <row r="2004">
          <cell r="B2004">
            <v>2003</v>
          </cell>
          <cell r="K2004" t="str">
            <v>WAYNE</v>
          </cell>
          <cell r="L2004" t="str">
            <v>Wayne</v>
          </cell>
          <cell r="V2004">
            <v>47500</v>
          </cell>
        </row>
        <row r="2005">
          <cell r="B2005">
            <v>2003</v>
          </cell>
          <cell r="K2005" t="str">
            <v>DAVIS</v>
          </cell>
          <cell r="L2005" t="str">
            <v>Davis</v>
          </cell>
          <cell r="V2005">
            <v>38000</v>
          </cell>
        </row>
        <row r="2006">
          <cell r="B2006">
            <v>2003</v>
          </cell>
          <cell r="K2006" t="str">
            <v>DES MOINES</v>
          </cell>
          <cell r="L2006" t="str">
            <v>Des Moines</v>
          </cell>
          <cell r="V2006">
            <v>73000</v>
          </cell>
        </row>
        <row r="2007">
          <cell r="B2007">
            <v>2003</v>
          </cell>
          <cell r="K2007" t="str">
            <v>HENRY</v>
          </cell>
          <cell r="L2007" t="str">
            <v>Henry</v>
          </cell>
          <cell r="V2007">
            <v>85000</v>
          </cell>
        </row>
        <row r="2008">
          <cell r="B2008">
            <v>2003</v>
          </cell>
          <cell r="K2008" t="str">
            <v>JEFFERSON</v>
          </cell>
          <cell r="L2008" t="str">
            <v>Jefferson</v>
          </cell>
          <cell r="V2008">
            <v>66500</v>
          </cell>
        </row>
        <row r="2009">
          <cell r="B2009">
            <v>2003</v>
          </cell>
          <cell r="K2009" t="str">
            <v>KEOKUK</v>
          </cell>
          <cell r="L2009" t="str">
            <v>Keokuk</v>
          </cell>
          <cell r="V2009">
            <v>102000</v>
          </cell>
        </row>
        <row r="2010">
          <cell r="B2010">
            <v>2003</v>
          </cell>
          <cell r="K2010" t="str">
            <v>LEE</v>
          </cell>
          <cell r="L2010" t="str">
            <v>Lee</v>
          </cell>
          <cell r="V2010">
            <v>77500</v>
          </cell>
        </row>
        <row r="2011">
          <cell r="B2011">
            <v>2003</v>
          </cell>
          <cell r="K2011" t="str">
            <v>LOUISA</v>
          </cell>
          <cell r="L2011" t="str">
            <v>Louisa</v>
          </cell>
          <cell r="V2011">
            <v>76500</v>
          </cell>
        </row>
        <row r="2012">
          <cell r="B2012">
            <v>2003</v>
          </cell>
          <cell r="K2012" t="str">
            <v>MAHASKA</v>
          </cell>
          <cell r="L2012" t="str">
            <v>Mahaska</v>
          </cell>
          <cell r="V2012">
            <v>121000</v>
          </cell>
        </row>
        <row r="2013">
          <cell r="B2013">
            <v>2003</v>
          </cell>
          <cell r="K2013" t="str">
            <v>VAN BUREN</v>
          </cell>
          <cell r="L2013" t="str">
            <v>Van Buren</v>
          </cell>
          <cell r="V2013">
            <v>45000</v>
          </cell>
        </row>
        <row r="2014">
          <cell r="B2014">
            <v>2003</v>
          </cell>
          <cell r="K2014" t="str">
            <v>WAPELLO</v>
          </cell>
          <cell r="L2014" t="str">
            <v>Wapello</v>
          </cell>
          <cell r="V2014">
            <v>55500</v>
          </cell>
        </row>
        <row r="2015">
          <cell r="B2015">
            <v>2003</v>
          </cell>
          <cell r="K2015" t="str">
            <v>WASHINGTON</v>
          </cell>
          <cell r="L2015" t="str">
            <v>Washington</v>
          </cell>
          <cell r="V2015">
            <v>116000</v>
          </cell>
        </row>
        <row r="2016">
          <cell r="B2016">
            <v>2003</v>
          </cell>
          <cell r="K2016" t="str">
            <v>ADAIR</v>
          </cell>
          <cell r="L2016" t="str">
            <v>Adair</v>
          </cell>
          <cell r="V2016">
            <v>103500</v>
          </cell>
        </row>
        <row r="2017">
          <cell r="B2017">
            <v>2003</v>
          </cell>
          <cell r="K2017" t="str">
            <v>ADAMS</v>
          </cell>
          <cell r="L2017" t="str">
            <v>Adams</v>
          </cell>
          <cell r="V2017">
            <v>62000</v>
          </cell>
        </row>
        <row r="2018">
          <cell r="B2018">
            <v>2003</v>
          </cell>
          <cell r="K2018" t="str">
            <v>CASS</v>
          </cell>
          <cell r="L2018" t="str">
            <v>Cass</v>
          </cell>
          <cell r="V2018">
            <v>120000</v>
          </cell>
        </row>
        <row r="2019">
          <cell r="B2019">
            <v>2003</v>
          </cell>
          <cell r="K2019" t="str">
            <v>FREMONT</v>
          </cell>
          <cell r="L2019" t="str">
            <v>Fremont</v>
          </cell>
          <cell r="V2019">
            <v>112000</v>
          </cell>
        </row>
        <row r="2020">
          <cell r="B2020">
            <v>2003</v>
          </cell>
          <cell r="K2020" t="str">
            <v>MILLS</v>
          </cell>
          <cell r="L2020" t="str">
            <v>Mills</v>
          </cell>
          <cell r="V2020">
            <v>97500</v>
          </cell>
        </row>
        <row r="2021">
          <cell r="B2021">
            <v>2003</v>
          </cell>
          <cell r="K2021" t="str">
            <v>MONTGOMERY</v>
          </cell>
          <cell r="L2021" t="str">
            <v>Montgomery</v>
          </cell>
          <cell r="V2021">
            <v>90000</v>
          </cell>
        </row>
        <row r="2022">
          <cell r="B2022">
            <v>2003</v>
          </cell>
          <cell r="K2022" t="str">
            <v>PAGE</v>
          </cell>
          <cell r="L2022" t="str">
            <v>Page</v>
          </cell>
          <cell r="V2022">
            <v>99000</v>
          </cell>
        </row>
        <row r="2023">
          <cell r="B2023">
            <v>2003</v>
          </cell>
          <cell r="K2023" t="str">
            <v>POTTAWATTAMIE</v>
          </cell>
          <cell r="L2023" t="str">
            <v>Pottawattamie</v>
          </cell>
          <cell r="V2023">
            <v>220000</v>
          </cell>
        </row>
        <row r="2024">
          <cell r="B2024">
            <v>2003</v>
          </cell>
          <cell r="K2024" t="str">
            <v>TAYLOR</v>
          </cell>
          <cell r="L2024" t="str">
            <v>Taylor</v>
          </cell>
          <cell r="V2024">
            <v>68000</v>
          </cell>
        </row>
        <row r="2025">
          <cell r="B2025">
            <v>2003</v>
          </cell>
          <cell r="K2025" t="str">
            <v>AUDUBON</v>
          </cell>
          <cell r="L2025" t="str">
            <v>Audubon</v>
          </cell>
          <cell r="V2025">
            <v>104000</v>
          </cell>
        </row>
        <row r="2026">
          <cell r="B2026">
            <v>2003</v>
          </cell>
          <cell r="K2026" t="str">
            <v>CALHOUN</v>
          </cell>
          <cell r="L2026" t="str">
            <v>Calhoun</v>
          </cell>
          <cell r="V2026">
            <v>163000</v>
          </cell>
        </row>
        <row r="2027">
          <cell r="B2027">
            <v>2003</v>
          </cell>
          <cell r="K2027" t="str">
            <v>CARROLL</v>
          </cell>
          <cell r="L2027" t="str">
            <v>Carroll</v>
          </cell>
          <cell r="V2027">
            <v>158000</v>
          </cell>
        </row>
        <row r="2028">
          <cell r="B2028">
            <v>2003</v>
          </cell>
          <cell r="K2028" t="str">
            <v>CRAWFORD</v>
          </cell>
          <cell r="L2028" t="str">
            <v>Crawford</v>
          </cell>
          <cell r="V2028">
            <v>175000</v>
          </cell>
        </row>
        <row r="2029">
          <cell r="B2029">
            <v>2003</v>
          </cell>
          <cell r="K2029" t="str">
            <v>GREENE</v>
          </cell>
          <cell r="L2029" t="str">
            <v>Greene</v>
          </cell>
          <cell r="V2029">
            <v>155000</v>
          </cell>
        </row>
        <row r="2030">
          <cell r="B2030">
            <v>2003</v>
          </cell>
          <cell r="K2030" t="str">
            <v>GUTHRIE</v>
          </cell>
          <cell r="L2030" t="str">
            <v>Guthrie</v>
          </cell>
          <cell r="V2030">
            <v>106500</v>
          </cell>
        </row>
        <row r="2031">
          <cell r="B2031">
            <v>2003</v>
          </cell>
          <cell r="K2031" t="str">
            <v>HARRISON</v>
          </cell>
          <cell r="L2031" t="str">
            <v>Harrison</v>
          </cell>
          <cell r="V2031">
            <v>155500</v>
          </cell>
        </row>
        <row r="2032">
          <cell r="B2032">
            <v>2003</v>
          </cell>
          <cell r="K2032" t="str">
            <v>IDA</v>
          </cell>
          <cell r="L2032" t="str">
            <v>Ida</v>
          </cell>
          <cell r="V2032">
            <v>115500</v>
          </cell>
        </row>
        <row r="2033">
          <cell r="B2033">
            <v>2003</v>
          </cell>
          <cell r="K2033" t="str">
            <v>MONONA</v>
          </cell>
          <cell r="L2033" t="str">
            <v>Monona</v>
          </cell>
          <cell r="V2033">
            <v>158000</v>
          </cell>
        </row>
        <row r="2034">
          <cell r="B2034">
            <v>2003</v>
          </cell>
          <cell r="K2034" t="str">
            <v>SAC</v>
          </cell>
          <cell r="L2034" t="str">
            <v>Sac</v>
          </cell>
          <cell r="V2034">
            <v>145000</v>
          </cell>
        </row>
        <row r="2035">
          <cell r="B2035">
            <v>2003</v>
          </cell>
          <cell r="K2035" t="str">
            <v>SHELBY</v>
          </cell>
          <cell r="L2035" t="str">
            <v>Shelby</v>
          </cell>
          <cell r="V2035">
            <v>154000</v>
          </cell>
        </row>
        <row r="2036">
          <cell r="B2036">
            <v>2003</v>
          </cell>
          <cell r="K2036" t="str">
            <v>WOODBURY</v>
          </cell>
          <cell r="L2036" t="str">
            <v>Woodbury</v>
          </cell>
          <cell r="V2036">
            <v>187500</v>
          </cell>
        </row>
        <row r="2037">
          <cell r="B2037">
            <v>2002</v>
          </cell>
          <cell r="K2037" t="str">
            <v>BOONE</v>
          </cell>
          <cell r="L2037" t="str">
            <v>Boone</v>
          </cell>
          <cell r="V2037">
            <v>143000</v>
          </cell>
        </row>
        <row r="2038">
          <cell r="B2038">
            <v>2002</v>
          </cell>
          <cell r="K2038" t="str">
            <v>DALLAS</v>
          </cell>
          <cell r="L2038" t="str">
            <v>Dallas</v>
          </cell>
          <cell r="V2038">
            <v>127000</v>
          </cell>
        </row>
        <row r="2039">
          <cell r="B2039">
            <v>2002</v>
          </cell>
          <cell r="K2039" t="str">
            <v>GRUNDY</v>
          </cell>
          <cell r="L2039" t="str">
            <v>Grundy</v>
          </cell>
          <cell r="V2039">
            <v>154000</v>
          </cell>
        </row>
        <row r="2040">
          <cell r="B2040">
            <v>2002</v>
          </cell>
          <cell r="K2040" t="str">
            <v>HAMILTON</v>
          </cell>
          <cell r="L2040" t="str">
            <v>Hamilton</v>
          </cell>
          <cell r="V2040">
            <v>168000</v>
          </cell>
        </row>
        <row r="2041">
          <cell r="B2041">
            <v>2002</v>
          </cell>
          <cell r="K2041" t="str">
            <v>HARDIN</v>
          </cell>
          <cell r="L2041" t="str">
            <v>Hardin</v>
          </cell>
          <cell r="V2041">
            <v>163000</v>
          </cell>
        </row>
        <row r="2042">
          <cell r="B2042">
            <v>2002</v>
          </cell>
          <cell r="K2042" t="str">
            <v>JASPER</v>
          </cell>
          <cell r="L2042" t="str">
            <v>Jasper</v>
          </cell>
          <cell r="V2042">
            <v>159000</v>
          </cell>
        </row>
        <row r="2043">
          <cell r="B2043">
            <v>2002</v>
          </cell>
          <cell r="K2043" t="str">
            <v>MARSHALL</v>
          </cell>
          <cell r="L2043" t="str">
            <v>Marshall</v>
          </cell>
          <cell r="V2043">
            <v>140000</v>
          </cell>
        </row>
        <row r="2044">
          <cell r="B2044">
            <v>2002</v>
          </cell>
          <cell r="K2044" t="str">
            <v>POLK</v>
          </cell>
          <cell r="L2044" t="str">
            <v>Polk</v>
          </cell>
          <cell r="V2044">
            <v>92000</v>
          </cell>
        </row>
        <row r="2045">
          <cell r="B2045">
            <v>2002</v>
          </cell>
          <cell r="K2045" t="str">
            <v>POWESHIEK</v>
          </cell>
          <cell r="L2045" t="str">
            <v>Poweshiek</v>
          </cell>
          <cell r="V2045">
            <v>121000</v>
          </cell>
        </row>
        <row r="2046">
          <cell r="B2046">
            <v>2002</v>
          </cell>
          <cell r="K2046" t="str">
            <v>STORY</v>
          </cell>
          <cell r="L2046" t="str">
            <v>Story</v>
          </cell>
          <cell r="V2046">
            <v>159000</v>
          </cell>
        </row>
        <row r="2047">
          <cell r="B2047">
            <v>2002</v>
          </cell>
          <cell r="K2047" t="str">
            <v>TAMA</v>
          </cell>
          <cell r="L2047" t="str">
            <v>Tama</v>
          </cell>
          <cell r="V2047">
            <v>162000</v>
          </cell>
        </row>
        <row r="2048">
          <cell r="B2048">
            <v>2002</v>
          </cell>
          <cell r="K2048" t="str">
            <v>WEBSTER</v>
          </cell>
          <cell r="L2048" t="str">
            <v>Webster</v>
          </cell>
          <cell r="V2048">
            <v>187000</v>
          </cell>
        </row>
        <row r="2049">
          <cell r="B2049">
            <v>2002</v>
          </cell>
          <cell r="K2049" t="str">
            <v>BENTON</v>
          </cell>
          <cell r="L2049" t="str">
            <v>Benton</v>
          </cell>
          <cell r="V2049">
            <v>176000</v>
          </cell>
        </row>
        <row r="2050">
          <cell r="B2050">
            <v>2002</v>
          </cell>
          <cell r="K2050" t="str">
            <v>CEDAR</v>
          </cell>
          <cell r="L2050" t="str">
            <v>Cedar</v>
          </cell>
          <cell r="V2050">
            <v>141000</v>
          </cell>
        </row>
        <row r="2051">
          <cell r="B2051">
            <v>2002</v>
          </cell>
          <cell r="K2051" t="str">
            <v>CLINTON</v>
          </cell>
          <cell r="L2051" t="str">
            <v>Clinton</v>
          </cell>
          <cell r="V2051">
            <v>175000</v>
          </cell>
        </row>
        <row r="2052">
          <cell r="B2052">
            <v>2002</v>
          </cell>
          <cell r="K2052" t="str">
            <v>IOWA</v>
          </cell>
          <cell r="L2052" t="str">
            <v>Iowa</v>
          </cell>
          <cell r="V2052">
            <v>110500</v>
          </cell>
        </row>
        <row r="2053">
          <cell r="B2053">
            <v>2002</v>
          </cell>
          <cell r="K2053" t="str">
            <v>JACKSON</v>
          </cell>
          <cell r="L2053" t="str">
            <v>Jackson</v>
          </cell>
          <cell r="V2053">
            <v>90500</v>
          </cell>
        </row>
        <row r="2054">
          <cell r="B2054">
            <v>2002</v>
          </cell>
          <cell r="K2054" t="str">
            <v>JOHNSON</v>
          </cell>
          <cell r="L2054" t="str">
            <v>Johnson</v>
          </cell>
          <cell r="V2054">
            <v>104000</v>
          </cell>
        </row>
        <row r="2055">
          <cell r="B2055">
            <v>2002</v>
          </cell>
          <cell r="K2055" t="str">
            <v>JONES</v>
          </cell>
          <cell r="L2055" t="str">
            <v>Jones</v>
          </cell>
          <cell r="V2055">
            <v>134000</v>
          </cell>
        </row>
        <row r="2056">
          <cell r="B2056">
            <v>2002</v>
          </cell>
          <cell r="K2056" t="str">
            <v>LINN</v>
          </cell>
          <cell r="L2056" t="str">
            <v>Linn</v>
          </cell>
          <cell r="V2056">
            <v>136000</v>
          </cell>
        </row>
        <row r="2057">
          <cell r="B2057">
            <v>2002</v>
          </cell>
          <cell r="K2057" t="str">
            <v>MUSCATINE</v>
          </cell>
          <cell r="L2057" t="str">
            <v>Muscatine</v>
          </cell>
          <cell r="V2057">
            <v>89000</v>
          </cell>
        </row>
        <row r="2058">
          <cell r="B2058">
            <v>2002</v>
          </cell>
          <cell r="K2058" t="str">
            <v>SCOTT</v>
          </cell>
          <cell r="L2058" t="str">
            <v>Scott</v>
          </cell>
          <cell r="V2058">
            <v>109000</v>
          </cell>
        </row>
        <row r="2059">
          <cell r="B2059">
            <v>2002</v>
          </cell>
          <cell r="K2059" t="str">
            <v>BUTLER</v>
          </cell>
          <cell r="L2059" t="str">
            <v>Butler</v>
          </cell>
          <cell r="V2059">
            <v>143000</v>
          </cell>
        </row>
        <row r="2060">
          <cell r="B2060">
            <v>2002</v>
          </cell>
          <cell r="K2060" t="str">
            <v>CERRO GORDO</v>
          </cell>
          <cell r="L2060" t="str">
            <v>Cerro Gordo</v>
          </cell>
          <cell r="V2060">
            <v>157400</v>
          </cell>
        </row>
        <row r="2061">
          <cell r="B2061">
            <v>2002</v>
          </cell>
          <cell r="K2061" t="str">
            <v>FLOYD</v>
          </cell>
          <cell r="L2061" t="str">
            <v>Floyd</v>
          </cell>
          <cell r="V2061">
            <v>129400</v>
          </cell>
        </row>
        <row r="2062">
          <cell r="B2062">
            <v>2002</v>
          </cell>
          <cell r="K2062" t="str">
            <v>FRANKLIN</v>
          </cell>
          <cell r="L2062" t="str">
            <v>Franklin</v>
          </cell>
          <cell r="V2062">
            <v>166800</v>
          </cell>
        </row>
        <row r="2063">
          <cell r="B2063">
            <v>2002</v>
          </cell>
          <cell r="K2063" t="str">
            <v>HANCOCK</v>
          </cell>
          <cell r="L2063" t="str">
            <v>Hancock</v>
          </cell>
          <cell r="V2063">
            <v>161000</v>
          </cell>
        </row>
        <row r="2064">
          <cell r="B2064">
            <v>2002</v>
          </cell>
          <cell r="K2064" t="str">
            <v>HUMBOLDT</v>
          </cell>
          <cell r="L2064" t="str">
            <v>Humboldt</v>
          </cell>
          <cell r="V2064">
            <v>126500</v>
          </cell>
        </row>
        <row r="2065">
          <cell r="B2065">
            <v>2002</v>
          </cell>
          <cell r="K2065" t="str">
            <v>KOSSUTH</v>
          </cell>
          <cell r="L2065" t="str">
            <v>Kossuth</v>
          </cell>
          <cell r="V2065">
            <v>298000</v>
          </cell>
        </row>
        <row r="2066">
          <cell r="B2066">
            <v>2002</v>
          </cell>
          <cell r="K2066" t="str">
            <v>MITCHELL</v>
          </cell>
          <cell r="L2066" t="str">
            <v>Mitchell</v>
          </cell>
          <cell r="V2066">
            <v>130500</v>
          </cell>
        </row>
        <row r="2067">
          <cell r="B2067">
            <v>2002</v>
          </cell>
          <cell r="K2067" t="str">
            <v>WINNEBAGO</v>
          </cell>
          <cell r="L2067" t="str">
            <v>Winnebago</v>
          </cell>
          <cell r="V2067">
            <v>120700</v>
          </cell>
        </row>
        <row r="2068">
          <cell r="B2068">
            <v>2002</v>
          </cell>
          <cell r="K2068" t="str">
            <v>WORTH</v>
          </cell>
          <cell r="L2068" t="str">
            <v>Worth</v>
          </cell>
          <cell r="V2068">
            <v>108400</v>
          </cell>
        </row>
        <row r="2069">
          <cell r="B2069">
            <v>2002</v>
          </cell>
          <cell r="K2069" t="str">
            <v>WRIGHT</v>
          </cell>
          <cell r="L2069" t="str">
            <v>Wright</v>
          </cell>
          <cell r="V2069">
            <v>168300</v>
          </cell>
        </row>
        <row r="2070">
          <cell r="B2070">
            <v>2002</v>
          </cell>
          <cell r="K2070" t="str">
            <v>ALLAMAKEE</v>
          </cell>
          <cell r="L2070" t="str">
            <v>Allamakee</v>
          </cell>
          <cell r="V2070">
            <v>71000</v>
          </cell>
        </row>
        <row r="2071">
          <cell r="B2071">
            <v>2002</v>
          </cell>
          <cell r="K2071" t="str">
            <v>BLACK HAWK</v>
          </cell>
          <cell r="L2071" t="str">
            <v>Black Hawk</v>
          </cell>
          <cell r="V2071">
            <v>135000</v>
          </cell>
        </row>
        <row r="2072">
          <cell r="B2072">
            <v>2002</v>
          </cell>
          <cell r="K2072" t="str">
            <v>BREMER</v>
          </cell>
          <cell r="L2072" t="str">
            <v>Bremer</v>
          </cell>
          <cell r="V2072">
            <v>116000</v>
          </cell>
        </row>
        <row r="2073">
          <cell r="B2073">
            <v>2002</v>
          </cell>
          <cell r="K2073" t="str">
            <v>BUCHANAN</v>
          </cell>
          <cell r="L2073" t="str">
            <v>Buchanan</v>
          </cell>
          <cell r="V2073">
            <v>157000</v>
          </cell>
        </row>
        <row r="2074">
          <cell r="B2074">
            <v>2002</v>
          </cell>
          <cell r="K2074" t="str">
            <v>CHICKASAW</v>
          </cell>
          <cell r="L2074" t="str">
            <v>Chickasaw</v>
          </cell>
          <cell r="V2074">
            <v>126400</v>
          </cell>
        </row>
        <row r="2075">
          <cell r="B2075">
            <v>2002</v>
          </cell>
          <cell r="K2075" t="str">
            <v>CLAYTON</v>
          </cell>
          <cell r="L2075" t="str">
            <v>Clayton</v>
          </cell>
          <cell r="V2075">
            <v>137000</v>
          </cell>
        </row>
        <row r="2076">
          <cell r="B2076">
            <v>2002</v>
          </cell>
          <cell r="K2076" t="str">
            <v>DELAWARE</v>
          </cell>
          <cell r="L2076" t="str">
            <v>Delaware</v>
          </cell>
          <cell r="V2076">
            <v>162000</v>
          </cell>
        </row>
        <row r="2077">
          <cell r="B2077">
            <v>2002</v>
          </cell>
          <cell r="K2077" t="str">
            <v>DUBUQUE</v>
          </cell>
          <cell r="L2077" t="str">
            <v>Dubuque</v>
          </cell>
          <cell r="V2077">
            <v>115800</v>
          </cell>
        </row>
        <row r="2078">
          <cell r="B2078">
            <v>2002</v>
          </cell>
          <cell r="K2078" t="str">
            <v>FAYETTE</v>
          </cell>
          <cell r="L2078" t="str">
            <v>Fayette</v>
          </cell>
          <cell r="V2078">
            <v>172100</v>
          </cell>
        </row>
        <row r="2079">
          <cell r="B2079">
            <v>2002</v>
          </cell>
          <cell r="K2079" t="str">
            <v>HOWARD</v>
          </cell>
          <cell r="L2079" t="str">
            <v>Howard</v>
          </cell>
          <cell r="V2079">
            <v>108700</v>
          </cell>
        </row>
        <row r="2080">
          <cell r="B2080">
            <v>2002</v>
          </cell>
          <cell r="K2080" t="str">
            <v>WINNESHIEK</v>
          </cell>
          <cell r="L2080" t="str">
            <v>Winneshiek</v>
          </cell>
          <cell r="V2080">
            <v>134000</v>
          </cell>
        </row>
        <row r="2081">
          <cell r="B2081">
            <v>2002</v>
          </cell>
          <cell r="K2081" t="str">
            <v>BUENA VISTA</v>
          </cell>
          <cell r="L2081" t="str">
            <v>Buena Vista</v>
          </cell>
          <cell r="V2081">
            <v>160000</v>
          </cell>
        </row>
        <row r="2082">
          <cell r="B2082">
            <v>2002</v>
          </cell>
          <cell r="K2082" t="str">
            <v>CHEROKEE</v>
          </cell>
          <cell r="L2082" t="str">
            <v>Cherokee</v>
          </cell>
          <cell r="V2082">
            <v>140000</v>
          </cell>
        </row>
        <row r="2083">
          <cell r="B2083">
            <v>2002</v>
          </cell>
          <cell r="K2083" t="str">
            <v>CLAY</v>
          </cell>
          <cell r="L2083" t="str">
            <v>Clay</v>
          </cell>
          <cell r="V2083">
            <v>149500</v>
          </cell>
        </row>
        <row r="2084">
          <cell r="B2084">
            <v>2002</v>
          </cell>
          <cell r="K2084" t="str">
            <v>DICKINSON</v>
          </cell>
          <cell r="L2084" t="str">
            <v>Dickinson</v>
          </cell>
          <cell r="V2084">
            <v>90500</v>
          </cell>
        </row>
        <row r="2085">
          <cell r="B2085">
            <v>2002</v>
          </cell>
          <cell r="K2085" t="str">
            <v>EMMET</v>
          </cell>
          <cell r="L2085" t="str">
            <v>Emmet</v>
          </cell>
          <cell r="V2085">
            <v>117000</v>
          </cell>
        </row>
        <row r="2086">
          <cell r="B2086">
            <v>2002</v>
          </cell>
          <cell r="K2086" t="str">
            <v>LYON</v>
          </cell>
          <cell r="L2086" t="str">
            <v>Lyon</v>
          </cell>
          <cell r="V2086">
            <v>156000</v>
          </cell>
        </row>
        <row r="2087">
          <cell r="B2087">
            <v>2002</v>
          </cell>
          <cell r="K2087" t="str">
            <v>O BRIEN</v>
          </cell>
          <cell r="L2087" t="str">
            <v>O Brien</v>
          </cell>
          <cell r="V2087">
            <v>154000</v>
          </cell>
        </row>
        <row r="2088">
          <cell r="B2088">
            <v>2002</v>
          </cell>
          <cell r="K2088" t="str">
            <v>OSCEOLA</v>
          </cell>
          <cell r="L2088" t="str">
            <v>Osceola</v>
          </cell>
          <cell r="V2088">
            <v>114000</v>
          </cell>
        </row>
        <row r="2089">
          <cell r="B2089">
            <v>2002</v>
          </cell>
          <cell r="K2089" t="str">
            <v>PALO ALTO</v>
          </cell>
          <cell r="L2089" t="str">
            <v>Palo Alto</v>
          </cell>
          <cell r="V2089">
            <v>154000</v>
          </cell>
        </row>
        <row r="2090">
          <cell r="B2090">
            <v>2002</v>
          </cell>
          <cell r="K2090" t="str">
            <v>PLYMOUTH</v>
          </cell>
          <cell r="L2090" t="str">
            <v>Plymouth</v>
          </cell>
          <cell r="V2090">
            <v>213000</v>
          </cell>
        </row>
        <row r="2091">
          <cell r="B2091">
            <v>2002</v>
          </cell>
          <cell r="K2091" t="str">
            <v>POCAHONTAS</v>
          </cell>
          <cell r="L2091" t="str">
            <v>Pocahontas</v>
          </cell>
          <cell r="V2091">
            <v>171000</v>
          </cell>
        </row>
        <row r="2092">
          <cell r="B2092">
            <v>2002</v>
          </cell>
          <cell r="K2092" t="str">
            <v>SIOUX</v>
          </cell>
          <cell r="L2092" t="str">
            <v>Sioux</v>
          </cell>
          <cell r="V2092">
            <v>236000</v>
          </cell>
        </row>
        <row r="2093">
          <cell r="B2093">
            <v>2002</v>
          </cell>
          <cell r="K2093" t="str">
            <v>APPANOOSE</v>
          </cell>
          <cell r="L2093" t="str">
            <v>Appanoose</v>
          </cell>
          <cell r="V2093">
            <v>27000</v>
          </cell>
        </row>
        <row r="2094">
          <cell r="B2094">
            <v>2002</v>
          </cell>
          <cell r="K2094" t="str">
            <v>CLARKE</v>
          </cell>
          <cell r="L2094" t="str">
            <v>Clarke</v>
          </cell>
          <cell r="V2094">
            <v>29000</v>
          </cell>
        </row>
        <row r="2095">
          <cell r="B2095">
            <v>2002</v>
          </cell>
          <cell r="K2095" t="str">
            <v>DECATUR</v>
          </cell>
          <cell r="L2095" t="str">
            <v>Decatur</v>
          </cell>
          <cell r="V2095">
            <v>28500</v>
          </cell>
        </row>
        <row r="2096">
          <cell r="B2096">
            <v>2002</v>
          </cell>
          <cell r="K2096" t="str">
            <v>LUCAS</v>
          </cell>
          <cell r="L2096" t="str">
            <v>Lucas</v>
          </cell>
          <cell r="V2096">
            <v>24000</v>
          </cell>
        </row>
        <row r="2097">
          <cell r="B2097">
            <v>2002</v>
          </cell>
          <cell r="K2097" t="str">
            <v>MADISON</v>
          </cell>
          <cell r="L2097" t="str">
            <v>Madison</v>
          </cell>
          <cell r="V2097">
            <v>65000</v>
          </cell>
        </row>
        <row r="2098">
          <cell r="B2098">
            <v>2002</v>
          </cell>
          <cell r="K2098" t="str">
            <v>MARION</v>
          </cell>
          <cell r="L2098" t="str">
            <v>Marion</v>
          </cell>
          <cell r="V2098">
            <v>75500</v>
          </cell>
        </row>
        <row r="2099">
          <cell r="B2099">
            <v>2002</v>
          </cell>
          <cell r="K2099" t="str">
            <v>MONROE</v>
          </cell>
          <cell r="L2099" t="str">
            <v>Monroe</v>
          </cell>
          <cell r="V2099">
            <v>27000</v>
          </cell>
        </row>
        <row r="2100">
          <cell r="B2100">
            <v>2002</v>
          </cell>
          <cell r="K2100" t="str">
            <v>RINGGOLD</v>
          </cell>
          <cell r="L2100" t="str">
            <v>Ringgold</v>
          </cell>
          <cell r="V2100">
            <v>44000</v>
          </cell>
        </row>
        <row r="2101">
          <cell r="B2101">
            <v>2002</v>
          </cell>
          <cell r="K2101" t="str">
            <v>UNION</v>
          </cell>
          <cell r="L2101" t="str">
            <v>Union</v>
          </cell>
          <cell r="V2101">
            <v>52500</v>
          </cell>
        </row>
        <row r="2102">
          <cell r="B2102">
            <v>2002</v>
          </cell>
          <cell r="K2102" t="str">
            <v>WARREN</v>
          </cell>
          <cell r="L2102" t="str">
            <v>Warren</v>
          </cell>
          <cell r="V2102">
            <v>67500</v>
          </cell>
        </row>
        <row r="2103">
          <cell r="B2103">
            <v>2002</v>
          </cell>
          <cell r="K2103" t="str">
            <v>WAYNE</v>
          </cell>
          <cell r="L2103" t="str">
            <v>Wayne</v>
          </cell>
          <cell r="V2103">
            <v>45000</v>
          </cell>
        </row>
        <row r="2104">
          <cell r="B2104">
            <v>2002</v>
          </cell>
          <cell r="K2104" t="str">
            <v>DAVIS</v>
          </cell>
          <cell r="L2104" t="str">
            <v>Davis</v>
          </cell>
          <cell r="V2104">
            <v>35000</v>
          </cell>
        </row>
        <row r="2105">
          <cell r="B2105">
            <v>2002</v>
          </cell>
          <cell r="K2105" t="str">
            <v>DES MOINES</v>
          </cell>
          <cell r="L2105" t="str">
            <v>Des Moines</v>
          </cell>
          <cell r="V2105">
            <v>74000</v>
          </cell>
        </row>
        <row r="2106">
          <cell r="B2106">
            <v>2002</v>
          </cell>
          <cell r="K2106" t="str">
            <v>HENRY</v>
          </cell>
          <cell r="L2106" t="str">
            <v>Henry</v>
          </cell>
          <cell r="V2106">
            <v>86000</v>
          </cell>
        </row>
        <row r="2107">
          <cell r="B2107">
            <v>2002</v>
          </cell>
          <cell r="K2107" t="str">
            <v>JEFFERSON</v>
          </cell>
          <cell r="L2107" t="str">
            <v>Jefferson</v>
          </cell>
          <cell r="V2107">
            <v>65000</v>
          </cell>
        </row>
        <row r="2108">
          <cell r="B2108">
            <v>2002</v>
          </cell>
          <cell r="K2108" t="str">
            <v>KEOKUK</v>
          </cell>
          <cell r="L2108" t="str">
            <v>Keokuk</v>
          </cell>
          <cell r="V2108">
            <v>104000</v>
          </cell>
        </row>
        <row r="2109">
          <cell r="B2109">
            <v>2002</v>
          </cell>
          <cell r="K2109" t="str">
            <v>LEE</v>
          </cell>
          <cell r="L2109" t="str">
            <v>Lee</v>
          </cell>
          <cell r="V2109">
            <v>78000</v>
          </cell>
        </row>
        <row r="2110">
          <cell r="B2110">
            <v>2002</v>
          </cell>
          <cell r="K2110" t="str">
            <v>LOUISA</v>
          </cell>
          <cell r="L2110" t="str">
            <v>Louisa</v>
          </cell>
          <cell r="V2110">
            <v>78000</v>
          </cell>
        </row>
        <row r="2111">
          <cell r="B2111">
            <v>2002</v>
          </cell>
          <cell r="K2111" t="str">
            <v>MAHASKA</v>
          </cell>
          <cell r="L2111" t="str">
            <v>Mahaska</v>
          </cell>
          <cell r="V2111">
            <v>121000</v>
          </cell>
        </row>
        <row r="2112">
          <cell r="B2112">
            <v>2002</v>
          </cell>
          <cell r="K2112" t="str">
            <v>VAN BUREN</v>
          </cell>
          <cell r="L2112" t="str">
            <v>Van Buren</v>
          </cell>
          <cell r="V2112">
            <v>45000</v>
          </cell>
        </row>
        <row r="2113">
          <cell r="B2113">
            <v>2002</v>
          </cell>
          <cell r="K2113" t="str">
            <v>WAPELLO</v>
          </cell>
          <cell r="L2113" t="str">
            <v>Wapello</v>
          </cell>
          <cell r="V2113">
            <v>56000</v>
          </cell>
        </row>
        <row r="2114">
          <cell r="B2114">
            <v>2002</v>
          </cell>
          <cell r="K2114" t="str">
            <v>WASHINGTON</v>
          </cell>
          <cell r="L2114" t="str">
            <v>Washington</v>
          </cell>
          <cell r="V2114">
            <v>118000</v>
          </cell>
        </row>
        <row r="2115">
          <cell r="B2115">
            <v>2002</v>
          </cell>
          <cell r="K2115" t="str">
            <v>ADAIR</v>
          </cell>
          <cell r="L2115" t="str">
            <v>Adair</v>
          </cell>
          <cell r="V2115">
            <v>108000</v>
          </cell>
        </row>
        <row r="2116">
          <cell r="B2116">
            <v>2002</v>
          </cell>
          <cell r="K2116" t="str">
            <v>ADAMS</v>
          </cell>
          <cell r="L2116" t="str">
            <v>Adams</v>
          </cell>
          <cell r="V2116">
            <v>66000</v>
          </cell>
        </row>
        <row r="2117">
          <cell r="B2117">
            <v>2002</v>
          </cell>
          <cell r="K2117" t="str">
            <v>CASS</v>
          </cell>
          <cell r="L2117" t="str">
            <v>Cass</v>
          </cell>
          <cell r="V2117">
            <v>124000</v>
          </cell>
        </row>
        <row r="2118">
          <cell r="B2118">
            <v>2002</v>
          </cell>
          <cell r="K2118" t="str">
            <v>FREMONT</v>
          </cell>
          <cell r="L2118" t="str">
            <v>Fremont</v>
          </cell>
          <cell r="V2118">
            <v>118000</v>
          </cell>
        </row>
        <row r="2119">
          <cell r="B2119">
            <v>2002</v>
          </cell>
          <cell r="K2119" t="str">
            <v>MILLS</v>
          </cell>
          <cell r="L2119" t="str">
            <v>Mills</v>
          </cell>
          <cell r="V2119">
            <v>103000</v>
          </cell>
        </row>
        <row r="2120">
          <cell r="B2120">
            <v>2002</v>
          </cell>
          <cell r="K2120" t="str">
            <v>MONTGOMERY</v>
          </cell>
          <cell r="L2120" t="str">
            <v>Montgomery</v>
          </cell>
          <cell r="V2120">
            <v>92500</v>
          </cell>
        </row>
        <row r="2121">
          <cell r="B2121">
            <v>2002</v>
          </cell>
          <cell r="K2121" t="str">
            <v>PAGE</v>
          </cell>
          <cell r="L2121" t="str">
            <v>Page</v>
          </cell>
          <cell r="V2121">
            <v>106000</v>
          </cell>
        </row>
        <row r="2122">
          <cell r="B2122">
            <v>2002</v>
          </cell>
          <cell r="K2122" t="str">
            <v>POTTAWATTAMIE</v>
          </cell>
          <cell r="L2122" t="str">
            <v>Pottawattamie</v>
          </cell>
          <cell r="V2122">
            <v>225500</v>
          </cell>
        </row>
        <row r="2123">
          <cell r="B2123">
            <v>2002</v>
          </cell>
          <cell r="K2123" t="str">
            <v>TAYLOR</v>
          </cell>
          <cell r="L2123" t="str">
            <v>Taylor</v>
          </cell>
          <cell r="V2123">
            <v>72000</v>
          </cell>
        </row>
        <row r="2124">
          <cell r="B2124">
            <v>2002</v>
          </cell>
          <cell r="K2124" t="str">
            <v>AUDUBON</v>
          </cell>
          <cell r="L2124" t="str">
            <v>Audubon</v>
          </cell>
          <cell r="V2124">
            <v>103000</v>
          </cell>
        </row>
        <row r="2125">
          <cell r="B2125">
            <v>2002</v>
          </cell>
          <cell r="K2125" t="str">
            <v>CALHOUN</v>
          </cell>
          <cell r="L2125" t="str">
            <v>Calhoun</v>
          </cell>
          <cell r="V2125">
            <v>165000</v>
          </cell>
        </row>
        <row r="2126">
          <cell r="B2126">
            <v>2002</v>
          </cell>
          <cell r="K2126" t="str">
            <v>CARROLL</v>
          </cell>
          <cell r="L2126" t="str">
            <v>Carroll</v>
          </cell>
          <cell r="V2126">
            <v>160000</v>
          </cell>
        </row>
        <row r="2127">
          <cell r="B2127">
            <v>2002</v>
          </cell>
          <cell r="K2127" t="str">
            <v>CRAWFORD</v>
          </cell>
          <cell r="L2127" t="str">
            <v>Crawford</v>
          </cell>
          <cell r="V2127">
            <v>174000</v>
          </cell>
        </row>
        <row r="2128">
          <cell r="B2128">
            <v>2002</v>
          </cell>
          <cell r="K2128" t="str">
            <v>GREENE</v>
          </cell>
          <cell r="L2128" t="str">
            <v>Greene</v>
          </cell>
          <cell r="V2128">
            <v>157000</v>
          </cell>
        </row>
        <row r="2129">
          <cell r="B2129">
            <v>2002</v>
          </cell>
          <cell r="K2129" t="str">
            <v>GUTHRIE</v>
          </cell>
          <cell r="L2129" t="str">
            <v>Guthrie</v>
          </cell>
          <cell r="V2129">
            <v>106700</v>
          </cell>
        </row>
        <row r="2130">
          <cell r="B2130">
            <v>2002</v>
          </cell>
          <cell r="K2130" t="str">
            <v>HARRISON</v>
          </cell>
          <cell r="L2130" t="str">
            <v>Harrison</v>
          </cell>
          <cell r="V2130">
            <v>161600</v>
          </cell>
        </row>
        <row r="2131">
          <cell r="B2131">
            <v>2002</v>
          </cell>
          <cell r="K2131" t="str">
            <v>IDA</v>
          </cell>
          <cell r="L2131" t="str">
            <v>Ida</v>
          </cell>
          <cell r="V2131">
            <v>113400</v>
          </cell>
        </row>
        <row r="2132">
          <cell r="B2132">
            <v>2002</v>
          </cell>
          <cell r="K2132" t="str">
            <v>MONONA</v>
          </cell>
          <cell r="L2132" t="str">
            <v>Monona</v>
          </cell>
          <cell r="V2132">
            <v>166700</v>
          </cell>
        </row>
        <row r="2133">
          <cell r="B2133">
            <v>2002</v>
          </cell>
          <cell r="K2133" t="str">
            <v>SAC</v>
          </cell>
          <cell r="L2133" t="str">
            <v>Sac</v>
          </cell>
          <cell r="V2133">
            <v>154600</v>
          </cell>
        </row>
        <row r="2134">
          <cell r="B2134">
            <v>2002</v>
          </cell>
          <cell r="K2134" t="str">
            <v>SHELBY</v>
          </cell>
          <cell r="L2134" t="str">
            <v>Shelby</v>
          </cell>
          <cell r="V2134">
            <v>155000</v>
          </cell>
        </row>
        <row r="2135">
          <cell r="B2135">
            <v>2002</v>
          </cell>
          <cell r="K2135" t="str">
            <v>WOODBURY</v>
          </cell>
          <cell r="L2135" t="str">
            <v>Woodbury</v>
          </cell>
          <cell r="V2135">
            <v>183000</v>
          </cell>
        </row>
        <row r="2136">
          <cell r="B2136">
            <v>2001</v>
          </cell>
          <cell r="K2136" t="str">
            <v>BOONE</v>
          </cell>
          <cell r="L2136" t="str">
            <v>Boone</v>
          </cell>
          <cell r="V2136">
            <v>139000</v>
          </cell>
        </row>
        <row r="2137">
          <cell r="B2137">
            <v>2001</v>
          </cell>
          <cell r="K2137" t="str">
            <v>DALLAS</v>
          </cell>
          <cell r="L2137" t="str">
            <v>Dallas</v>
          </cell>
          <cell r="V2137">
            <v>126000</v>
          </cell>
        </row>
        <row r="2138">
          <cell r="B2138">
            <v>2001</v>
          </cell>
          <cell r="K2138" t="str">
            <v>GRUNDY</v>
          </cell>
          <cell r="L2138" t="str">
            <v>Grundy</v>
          </cell>
          <cell r="V2138">
            <v>153000</v>
          </cell>
        </row>
        <row r="2139">
          <cell r="B2139">
            <v>2001</v>
          </cell>
          <cell r="K2139" t="str">
            <v>HAMILTON</v>
          </cell>
          <cell r="L2139" t="str">
            <v>Hamilton</v>
          </cell>
          <cell r="V2139">
            <v>162000</v>
          </cell>
        </row>
        <row r="2140">
          <cell r="B2140">
            <v>2001</v>
          </cell>
          <cell r="K2140" t="str">
            <v>HARDIN</v>
          </cell>
          <cell r="L2140" t="str">
            <v>Hardin</v>
          </cell>
          <cell r="V2140">
            <v>158000</v>
          </cell>
        </row>
        <row r="2141">
          <cell r="B2141">
            <v>2001</v>
          </cell>
          <cell r="K2141" t="str">
            <v>JASPER</v>
          </cell>
          <cell r="L2141" t="str">
            <v>Jasper</v>
          </cell>
          <cell r="V2141">
            <v>158000</v>
          </cell>
        </row>
        <row r="2142">
          <cell r="B2142">
            <v>2001</v>
          </cell>
          <cell r="K2142" t="str">
            <v>MARSHALL</v>
          </cell>
          <cell r="L2142" t="str">
            <v>Marshall</v>
          </cell>
          <cell r="V2142">
            <v>137000</v>
          </cell>
        </row>
        <row r="2143">
          <cell r="B2143">
            <v>2001</v>
          </cell>
          <cell r="K2143" t="str">
            <v>POLK</v>
          </cell>
          <cell r="L2143" t="str">
            <v>Polk</v>
          </cell>
          <cell r="V2143">
            <v>87000</v>
          </cell>
        </row>
        <row r="2144">
          <cell r="B2144">
            <v>2001</v>
          </cell>
          <cell r="K2144" t="str">
            <v>POWESHIEK</v>
          </cell>
          <cell r="L2144" t="str">
            <v>Poweshiek</v>
          </cell>
          <cell r="V2144">
            <v>120000</v>
          </cell>
        </row>
        <row r="2145">
          <cell r="B2145">
            <v>2001</v>
          </cell>
          <cell r="K2145" t="str">
            <v>STORY</v>
          </cell>
          <cell r="L2145" t="str">
            <v>Story</v>
          </cell>
          <cell r="V2145">
            <v>152000</v>
          </cell>
        </row>
        <row r="2146">
          <cell r="B2146">
            <v>2001</v>
          </cell>
          <cell r="K2146" t="str">
            <v>TAMA</v>
          </cell>
          <cell r="L2146" t="str">
            <v>Tama</v>
          </cell>
          <cell r="V2146">
            <v>153000</v>
          </cell>
        </row>
        <row r="2147">
          <cell r="B2147">
            <v>2001</v>
          </cell>
          <cell r="K2147" t="str">
            <v>WEBSTER</v>
          </cell>
          <cell r="L2147" t="str">
            <v>Webster</v>
          </cell>
          <cell r="V2147">
            <v>186000</v>
          </cell>
        </row>
        <row r="2148">
          <cell r="B2148">
            <v>2001</v>
          </cell>
          <cell r="K2148" t="str">
            <v>BENTON</v>
          </cell>
          <cell r="L2148" t="str">
            <v>Benton</v>
          </cell>
          <cell r="V2148">
            <v>174000</v>
          </cell>
        </row>
        <row r="2149">
          <cell r="B2149">
            <v>2001</v>
          </cell>
          <cell r="K2149" t="str">
            <v>CEDAR</v>
          </cell>
          <cell r="L2149" t="str">
            <v>Cedar</v>
          </cell>
          <cell r="V2149">
            <v>138000</v>
          </cell>
        </row>
        <row r="2150">
          <cell r="B2150">
            <v>2001</v>
          </cell>
          <cell r="K2150" t="str">
            <v>CLINTON</v>
          </cell>
          <cell r="L2150" t="str">
            <v>Clinton</v>
          </cell>
          <cell r="V2150">
            <v>175000</v>
          </cell>
        </row>
        <row r="2151">
          <cell r="B2151">
            <v>2001</v>
          </cell>
          <cell r="K2151" t="str">
            <v>IOWA</v>
          </cell>
          <cell r="L2151" t="str">
            <v>Iowa</v>
          </cell>
          <cell r="V2151">
            <v>106000</v>
          </cell>
        </row>
        <row r="2152">
          <cell r="B2152">
            <v>2001</v>
          </cell>
          <cell r="K2152" t="str">
            <v>JACKSON</v>
          </cell>
          <cell r="L2152" t="str">
            <v>Jackson</v>
          </cell>
          <cell r="V2152">
            <v>88000</v>
          </cell>
        </row>
        <row r="2153">
          <cell r="B2153">
            <v>2001</v>
          </cell>
          <cell r="K2153" t="str">
            <v>JOHNSON</v>
          </cell>
          <cell r="L2153" t="str">
            <v>Johnson</v>
          </cell>
          <cell r="V2153">
            <v>102000</v>
          </cell>
        </row>
        <row r="2154">
          <cell r="B2154">
            <v>2001</v>
          </cell>
          <cell r="K2154" t="str">
            <v>JONES</v>
          </cell>
          <cell r="L2154" t="str">
            <v>Jones</v>
          </cell>
          <cell r="V2154">
            <v>132000</v>
          </cell>
        </row>
        <row r="2155">
          <cell r="B2155">
            <v>2001</v>
          </cell>
          <cell r="K2155" t="str">
            <v>LINN</v>
          </cell>
          <cell r="L2155" t="str">
            <v>Linn</v>
          </cell>
          <cell r="V2155">
            <v>136000</v>
          </cell>
        </row>
        <row r="2156">
          <cell r="B2156">
            <v>2001</v>
          </cell>
          <cell r="K2156" t="str">
            <v>MUSCATINE</v>
          </cell>
          <cell r="L2156" t="str">
            <v>Muscatine</v>
          </cell>
          <cell r="V2156">
            <v>85000</v>
          </cell>
        </row>
        <row r="2157">
          <cell r="B2157">
            <v>2001</v>
          </cell>
          <cell r="K2157" t="str">
            <v>SCOTT</v>
          </cell>
          <cell r="L2157" t="str">
            <v>Scott</v>
          </cell>
          <cell r="V2157">
            <v>106000</v>
          </cell>
        </row>
        <row r="2158">
          <cell r="B2158">
            <v>2001</v>
          </cell>
          <cell r="K2158" t="str">
            <v>BUTLER</v>
          </cell>
          <cell r="L2158" t="str">
            <v>Butler</v>
          </cell>
          <cell r="V2158">
            <v>139000</v>
          </cell>
        </row>
        <row r="2159">
          <cell r="B2159">
            <v>2001</v>
          </cell>
          <cell r="K2159" t="str">
            <v>CERRO GORDO</v>
          </cell>
          <cell r="L2159" t="str">
            <v>Cerro Gordo</v>
          </cell>
          <cell r="V2159">
            <v>152000</v>
          </cell>
        </row>
        <row r="2160">
          <cell r="B2160">
            <v>2001</v>
          </cell>
          <cell r="K2160" t="str">
            <v>FLOYD</v>
          </cell>
          <cell r="L2160" t="str">
            <v>Floyd</v>
          </cell>
          <cell r="V2160">
            <v>128000</v>
          </cell>
        </row>
        <row r="2161">
          <cell r="B2161">
            <v>2001</v>
          </cell>
          <cell r="K2161" t="str">
            <v>FRANKLIN</v>
          </cell>
          <cell r="L2161" t="str">
            <v>Franklin</v>
          </cell>
          <cell r="V2161">
            <v>164000</v>
          </cell>
        </row>
        <row r="2162">
          <cell r="B2162">
            <v>2001</v>
          </cell>
          <cell r="K2162" t="str">
            <v>HANCOCK</v>
          </cell>
          <cell r="L2162" t="str">
            <v>Hancock</v>
          </cell>
          <cell r="V2162">
            <v>161000</v>
          </cell>
        </row>
        <row r="2163">
          <cell r="B2163">
            <v>2001</v>
          </cell>
          <cell r="K2163" t="str">
            <v>HUMBOLDT</v>
          </cell>
          <cell r="L2163" t="str">
            <v>Humboldt</v>
          </cell>
          <cell r="V2163">
            <v>125000</v>
          </cell>
        </row>
        <row r="2164">
          <cell r="B2164">
            <v>2001</v>
          </cell>
          <cell r="K2164" t="str">
            <v>KOSSUTH</v>
          </cell>
          <cell r="L2164" t="str">
            <v>Kossuth</v>
          </cell>
          <cell r="V2164">
            <v>293000</v>
          </cell>
        </row>
        <row r="2165">
          <cell r="B2165">
            <v>2001</v>
          </cell>
          <cell r="K2165" t="str">
            <v>MITCHELL</v>
          </cell>
          <cell r="L2165" t="str">
            <v>Mitchell</v>
          </cell>
          <cell r="V2165">
            <v>129000</v>
          </cell>
        </row>
        <row r="2166">
          <cell r="B2166">
            <v>2001</v>
          </cell>
          <cell r="K2166" t="str">
            <v>WINNEBAGO</v>
          </cell>
          <cell r="L2166" t="str">
            <v>Winnebago</v>
          </cell>
          <cell r="V2166">
            <v>118000</v>
          </cell>
        </row>
        <row r="2167">
          <cell r="B2167">
            <v>2001</v>
          </cell>
          <cell r="K2167" t="str">
            <v>WORTH</v>
          </cell>
          <cell r="L2167" t="str">
            <v>Worth</v>
          </cell>
          <cell r="V2167">
            <v>104000</v>
          </cell>
        </row>
        <row r="2168">
          <cell r="B2168">
            <v>2001</v>
          </cell>
          <cell r="K2168" t="str">
            <v>WRIGHT</v>
          </cell>
          <cell r="L2168" t="str">
            <v>Wright</v>
          </cell>
          <cell r="V2168">
            <v>168000</v>
          </cell>
        </row>
        <row r="2169">
          <cell r="B2169">
            <v>2001</v>
          </cell>
          <cell r="K2169" t="str">
            <v>ALLAMAKEE</v>
          </cell>
          <cell r="L2169" t="str">
            <v>Allamakee</v>
          </cell>
          <cell r="V2169">
            <v>67000</v>
          </cell>
        </row>
        <row r="2170">
          <cell r="B2170">
            <v>2001</v>
          </cell>
          <cell r="K2170" t="str">
            <v>BLACK HAWK</v>
          </cell>
          <cell r="L2170" t="str">
            <v>Black Hawk</v>
          </cell>
          <cell r="V2170">
            <v>135000</v>
          </cell>
        </row>
        <row r="2171">
          <cell r="B2171">
            <v>2001</v>
          </cell>
          <cell r="K2171" t="str">
            <v>BREMER</v>
          </cell>
          <cell r="L2171" t="str">
            <v>Bremer</v>
          </cell>
          <cell r="V2171">
            <v>108000</v>
          </cell>
        </row>
        <row r="2172">
          <cell r="B2172">
            <v>2001</v>
          </cell>
          <cell r="K2172" t="str">
            <v>BUCHANAN</v>
          </cell>
          <cell r="L2172" t="str">
            <v>Buchanan</v>
          </cell>
          <cell r="V2172">
            <v>148000</v>
          </cell>
        </row>
        <row r="2173">
          <cell r="B2173">
            <v>2001</v>
          </cell>
          <cell r="K2173" t="str">
            <v>CHICKASAW</v>
          </cell>
          <cell r="L2173" t="str">
            <v>Chickasaw</v>
          </cell>
          <cell r="V2173">
            <v>120000</v>
          </cell>
        </row>
        <row r="2174">
          <cell r="B2174">
            <v>2001</v>
          </cell>
          <cell r="K2174" t="str">
            <v>CLAYTON</v>
          </cell>
          <cell r="L2174" t="str">
            <v>Clayton</v>
          </cell>
          <cell r="V2174">
            <v>128000</v>
          </cell>
        </row>
        <row r="2175">
          <cell r="B2175">
            <v>2001</v>
          </cell>
          <cell r="K2175" t="str">
            <v>DELAWARE</v>
          </cell>
          <cell r="L2175" t="str">
            <v>Delaware</v>
          </cell>
          <cell r="V2175">
            <v>160000</v>
          </cell>
        </row>
        <row r="2176">
          <cell r="B2176">
            <v>2001</v>
          </cell>
          <cell r="K2176" t="str">
            <v>DUBUQUE</v>
          </cell>
          <cell r="L2176" t="str">
            <v>Dubuque</v>
          </cell>
          <cell r="V2176">
            <v>115000</v>
          </cell>
        </row>
        <row r="2177">
          <cell r="B2177">
            <v>2001</v>
          </cell>
          <cell r="K2177" t="str">
            <v>FAYETTE</v>
          </cell>
          <cell r="L2177" t="str">
            <v>Fayette</v>
          </cell>
          <cell r="V2177">
            <v>168000</v>
          </cell>
        </row>
        <row r="2178">
          <cell r="B2178">
            <v>2001</v>
          </cell>
          <cell r="K2178" t="str">
            <v>HOWARD</v>
          </cell>
          <cell r="L2178" t="str">
            <v>Howard</v>
          </cell>
          <cell r="V2178">
            <v>104000</v>
          </cell>
        </row>
        <row r="2179">
          <cell r="B2179">
            <v>2001</v>
          </cell>
          <cell r="K2179" t="str">
            <v>WINNESHIEK</v>
          </cell>
          <cell r="L2179" t="str">
            <v>Winneshiek</v>
          </cell>
          <cell r="V2179">
            <v>130000</v>
          </cell>
        </row>
        <row r="2180">
          <cell r="B2180">
            <v>2001</v>
          </cell>
          <cell r="K2180" t="str">
            <v>BUENA VISTA</v>
          </cell>
          <cell r="L2180" t="str">
            <v>Buena Vista</v>
          </cell>
          <cell r="V2180">
            <v>159000</v>
          </cell>
        </row>
        <row r="2181">
          <cell r="B2181">
            <v>2001</v>
          </cell>
          <cell r="K2181" t="str">
            <v>CHEROKEE</v>
          </cell>
          <cell r="L2181" t="str">
            <v>Cherokee</v>
          </cell>
          <cell r="V2181">
            <v>139000</v>
          </cell>
        </row>
        <row r="2182">
          <cell r="B2182">
            <v>2001</v>
          </cell>
          <cell r="K2182" t="str">
            <v>CLAY</v>
          </cell>
          <cell r="L2182" t="str">
            <v>Clay</v>
          </cell>
          <cell r="V2182">
            <v>142000</v>
          </cell>
        </row>
        <row r="2183">
          <cell r="B2183">
            <v>2001</v>
          </cell>
          <cell r="K2183" t="str">
            <v>DICKINSON</v>
          </cell>
          <cell r="L2183" t="str">
            <v>Dickinson</v>
          </cell>
          <cell r="V2183">
            <v>87000</v>
          </cell>
        </row>
        <row r="2184">
          <cell r="B2184">
            <v>2001</v>
          </cell>
          <cell r="K2184" t="str">
            <v>EMMET</v>
          </cell>
          <cell r="L2184" t="str">
            <v>Emmet</v>
          </cell>
          <cell r="V2184">
            <v>111000</v>
          </cell>
        </row>
        <row r="2185">
          <cell r="B2185">
            <v>2001</v>
          </cell>
          <cell r="K2185" t="str">
            <v>LYON</v>
          </cell>
          <cell r="L2185" t="str">
            <v>Lyon</v>
          </cell>
          <cell r="V2185">
            <v>156000</v>
          </cell>
        </row>
        <row r="2186">
          <cell r="B2186">
            <v>2001</v>
          </cell>
          <cell r="K2186" t="str">
            <v>O BRIEN</v>
          </cell>
          <cell r="L2186" t="str">
            <v>O Brien</v>
          </cell>
          <cell r="V2186">
            <v>152000</v>
          </cell>
        </row>
        <row r="2187">
          <cell r="B2187">
            <v>2001</v>
          </cell>
          <cell r="K2187" t="str">
            <v>OSCEOLA</v>
          </cell>
          <cell r="L2187" t="str">
            <v>Osceola</v>
          </cell>
          <cell r="V2187">
            <v>109000</v>
          </cell>
        </row>
        <row r="2188">
          <cell r="B2188">
            <v>2001</v>
          </cell>
          <cell r="K2188" t="str">
            <v>PALO ALTO</v>
          </cell>
          <cell r="L2188" t="str">
            <v>Palo Alto</v>
          </cell>
          <cell r="V2188">
            <v>151000</v>
          </cell>
        </row>
        <row r="2189">
          <cell r="B2189">
            <v>2001</v>
          </cell>
          <cell r="K2189" t="str">
            <v>PLYMOUTH</v>
          </cell>
          <cell r="L2189" t="str">
            <v>Plymouth</v>
          </cell>
          <cell r="V2189">
            <v>213000</v>
          </cell>
        </row>
        <row r="2190">
          <cell r="B2190">
            <v>2001</v>
          </cell>
          <cell r="K2190" t="str">
            <v>POCAHONTAS</v>
          </cell>
          <cell r="L2190" t="str">
            <v>Pocahontas</v>
          </cell>
          <cell r="V2190">
            <v>169000</v>
          </cell>
        </row>
        <row r="2191">
          <cell r="B2191">
            <v>2001</v>
          </cell>
          <cell r="K2191" t="str">
            <v>SIOUX</v>
          </cell>
          <cell r="L2191" t="str">
            <v>Sioux</v>
          </cell>
          <cell r="V2191">
            <v>230000</v>
          </cell>
        </row>
        <row r="2192">
          <cell r="B2192">
            <v>2001</v>
          </cell>
          <cell r="K2192" t="str">
            <v>APPANOOSE</v>
          </cell>
          <cell r="L2192" t="str">
            <v>Appanoose</v>
          </cell>
          <cell r="V2192">
            <v>17000</v>
          </cell>
        </row>
        <row r="2193">
          <cell r="B2193">
            <v>2001</v>
          </cell>
          <cell r="K2193" t="str">
            <v>CLARKE</v>
          </cell>
          <cell r="L2193" t="str">
            <v>Clarke</v>
          </cell>
          <cell r="V2193">
            <v>22000</v>
          </cell>
        </row>
        <row r="2194">
          <cell r="B2194">
            <v>2001</v>
          </cell>
          <cell r="K2194" t="str">
            <v>DECATUR</v>
          </cell>
          <cell r="L2194" t="str">
            <v>Decatur</v>
          </cell>
          <cell r="V2194">
            <v>26000</v>
          </cell>
        </row>
        <row r="2195">
          <cell r="B2195">
            <v>2001</v>
          </cell>
          <cell r="K2195" t="str">
            <v>LUCAS</v>
          </cell>
          <cell r="L2195" t="str">
            <v>Lucas</v>
          </cell>
          <cell r="V2195">
            <v>17000</v>
          </cell>
        </row>
        <row r="2196">
          <cell r="B2196">
            <v>2001</v>
          </cell>
          <cell r="K2196" t="str">
            <v>MADISON</v>
          </cell>
          <cell r="L2196" t="str">
            <v>Madison</v>
          </cell>
          <cell r="V2196">
            <v>61000</v>
          </cell>
        </row>
        <row r="2197">
          <cell r="B2197">
            <v>2001</v>
          </cell>
          <cell r="K2197" t="str">
            <v>MARION</v>
          </cell>
          <cell r="L2197" t="str">
            <v>Marion</v>
          </cell>
          <cell r="V2197">
            <v>69000</v>
          </cell>
        </row>
        <row r="2198">
          <cell r="B2198">
            <v>2001</v>
          </cell>
          <cell r="K2198" t="str">
            <v>MONROE</v>
          </cell>
          <cell r="L2198" t="str">
            <v>Monroe</v>
          </cell>
          <cell r="V2198">
            <v>15000</v>
          </cell>
        </row>
        <row r="2199">
          <cell r="B2199">
            <v>2001</v>
          </cell>
          <cell r="K2199" t="str">
            <v>RINGGOLD</v>
          </cell>
          <cell r="L2199" t="str">
            <v>Ringgold</v>
          </cell>
          <cell r="V2199">
            <v>41000</v>
          </cell>
        </row>
        <row r="2200">
          <cell r="B2200">
            <v>2001</v>
          </cell>
          <cell r="K2200" t="str">
            <v>UNION</v>
          </cell>
          <cell r="L2200" t="str">
            <v>Union</v>
          </cell>
          <cell r="V2200">
            <v>47000</v>
          </cell>
        </row>
        <row r="2201">
          <cell r="B2201">
            <v>2001</v>
          </cell>
          <cell r="K2201" t="str">
            <v>WARREN</v>
          </cell>
          <cell r="L2201" t="str">
            <v>Warren</v>
          </cell>
          <cell r="V2201">
            <v>60000</v>
          </cell>
        </row>
        <row r="2202">
          <cell r="B2202">
            <v>2001</v>
          </cell>
          <cell r="K2202" t="str">
            <v>WAYNE</v>
          </cell>
          <cell r="L2202" t="str">
            <v>Wayne</v>
          </cell>
          <cell r="V2202">
            <v>33000</v>
          </cell>
        </row>
        <row r="2203">
          <cell r="B2203">
            <v>2001</v>
          </cell>
          <cell r="K2203" t="str">
            <v>DAVIS</v>
          </cell>
          <cell r="L2203" t="str">
            <v>Davis</v>
          </cell>
          <cell r="V2203">
            <v>29000</v>
          </cell>
        </row>
        <row r="2204">
          <cell r="B2204">
            <v>2001</v>
          </cell>
          <cell r="K2204" t="str">
            <v>DES MOINES</v>
          </cell>
          <cell r="L2204" t="str">
            <v>Des Moines</v>
          </cell>
          <cell r="V2204">
            <v>66000</v>
          </cell>
        </row>
        <row r="2205">
          <cell r="B2205">
            <v>2001</v>
          </cell>
          <cell r="K2205" t="str">
            <v>HENRY</v>
          </cell>
          <cell r="L2205" t="str">
            <v>Henry</v>
          </cell>
          <cell r="V2205">
            <v>70000</v>
          </cell>
        </row>
        <row r="2206">
          <cell r="B2206">
            <v>2001</v>
          </cell>
          <cell r="K2206" t="str">
            <v>JEFFERSON</v>
          </cell>
          <cell r="L2206" t="str">
            <v>Jefferson</v>
          </cell>
          <cell r="V2206">
            <v>43000</v>
          </cell>
        </row>
        <row r="2207">
          <cell r="B2207">
            <v>2001</v>
          </cell>
          <cell r="K2207" t="str">
            <v>KEOKUK</v>
          </cell>
          <cell r="L2207" t="str">
            <v>Keokuk</v>
          </cell>
          <cell r="V2207">
            <v>82000</v>
          </cell>
        </row>
        <row r="2208">
          <cell r="B2208">
            <v>2001</v>
          </cell>
          <cell r="K2208" t="str">
            <v>LEE</v>
          </cell>
          <cell r="L2208" t="str">
            <v>Lee</v>
          </cell>
          <cell r="V2208">
            <v>66000</v>
          </cell>
        </row>
        <row r="2209">
          <cell r="B2209">
            <v>2001</v>
          </cell>
          <cell r="K2209" t="str">
            <v>LOUISA</v>
          </cell>
          <cell r="L2209" t="str">
            <v>Louisa</v>
          </cell>
          <cell r="V2209">
            <v>68000</v>
          </cell>
        </row>
        <row r="2210">
          <cell r="B2210">
            <v>2001</v>
          </cell>
          <cell r="K2210" t="str">
            <v>MAHASKA</v>
          </cell>
          <cell r="L2210" t="str">
            <v>Mahaska</v>
          </cell>
          <cell r="V2210">
            <v>112000</v>
          </cell>
        </row>
        <row r="2211">
          <cell r="B2211">
            <v>2001</v>
          </cell>
          <cell r="K2211" t="str">
            <v>VAN BUREN</v>
          </cell>
          <cell r="L2211" t="str">
            <v>Van Buren</v>
          </cell>
          <cell r="V2211">
            <v>32000</v>
          </cell>
        </row>
        <row r="2212">
          <cell r="B2212">
            <v>2001</v>
          </cell>
          <cell r="K2212" t="str">
            <v>WAPELLO</v>
          </cell>
          <cell r="L2212" t="str">
            <v>Wapello</v>
          </cell>
          <cell r="V2212">
            <v>41000</v>
          </cell>
        </row>
        <row r="2213">
          <cell r="B2213">
            <v>2001</v>
          </cell>
          <cell r="K2213" t="str">
            <v>WASHINGTON</v>
          </cell>
          <cell r="L2213" t="str">
            <v>Washington</v>
          </cell>
          <cell r="V2213">
            <v>101000</v>
          </cell>
        </row>
        <row r="2214">
          <cell r="B2214">
            <v>2001</v>
          </cell>
          <cell r="K2214" t="str">
            <v>ADAIR</v>
          </cell>
          <cell r="L2214" t="str">
            <v>Adair</v>
          </cell>
          <cell r="V2214">
            <v>102000</v>
          </cell>
        </row>
        <row r="2215">
          <cell r="B2215">
            <v>2001</v>
          </cell>
          <cell r="K2215" t="str">
            <v>ADAMS</v>
          </cell>
          <cell r="L2215" t="str">
            <v>Adams</v>
          </cell>
          <cell r="V2215">
            <v>60000</v>
          </cell>
        </row>
        <row r="2216">
          <cell r="B2216">
            <v>2001</v>
          </cell>
          <cell r="K2216" t="str">
            <v>CASS</v>
          </cell>
          <cell r="L2216" t="str">
            <v>Cass</v>
          </cell>
          <cell r="V2216">
            <v>117000</v>
          </cell>
        </row>
        <row r="2217">
          <cell r="B2217">
            <v>2001</v>
          </cell>
          <cell r="K2217" t="str">
            <v>FREMONT</v>
          </cell>
          <cell r="L2217" t="str">
            <v>Fremont</v>
          </cell>
          <cell r="V2217">
            <v>106000</v>
          </cell>
        </row>
        <row r="2218">
          <cell r="B2218">
            <v>2001</v>
          </cell>
          <cell r="K2218" t="str">
            <v>MILLS</v>
          </cell>
          <cell r="L2218" t="str">
            <v>Mills</v>
          </cell>
          <cell r="V2218">
            <v>95000</v>
          </cell>
        </row>
        <row r="2219">
          <cell r="B2219">
            <v>2001</v>
          </cell>
          <cell r="K2219" t="str">
            <v>MONTGOMERY</v>
          </cell>
          <cell r="L2219" t="str">
            <v>Montgomery</v>
          </cell>
          <cell r="V2219">
            <v>86000</v>
          </cell>
        </row>
        <row r="2220">
          <cell r="B2220">
            <v>2001</v>
          </cell>
          <cell r="K2220" t="str">
            <v>PAGE</v>
          </cell>
          <cell r="L2220" t="str">
            <v>Page</v>
          </cell>
          <cell r="V2220">
            <v>96000</v>
          </cell>
        </row>
        <row r="2221">
          <cell r="B2221">
            <v>2001</v>
          </cell>
          <cell r="K2221" t="str">
            <v>POTTAWATTAMIE</v>
          </cell>
          <cell r="L2221" t="str">
            <v>Pottawattamie</v>
          </cell>
          <cell r="V2221">
            <v>220000</v>
          </cell>
        </row>
        <row r="2222">
          <cell r="B2222">
            <v>2001</v>
          </cell>
          <cell r="K2222" t="str">
            <v>TAYLOR</v>
          </cell>
          <cell r="L2222" t="str">
            <v>Taylor</v>
          </cell>
          <cell r="V2222">
            <v>68000</v>
          </cell>
        </row>
        <row r="2223">
          <cell r="B2223">
            <v>2001</v>
          </cell>
          <cell r="K2223" t="str">
            <v>AUDUBON</v>
          </cell>
          <cell r="L2223" t="str">
            <v>Audubon</v>
          </cell>
          <cell r="V2223">
            <v>103000</v>
          </cell>
        </row>
        <row r="2224">
          <cell r="B2224">
            <v>2001</v>
          </cell>
          <cell r="K2224" t="str">
            <v>CALHOUN</v>
          </cell>
          <cell r="L2224" t="str">
            <v>Calhoun</v>
          </cell>
          <cell r="V2224">
            <v>165000</v>
          </cell>
        </row>
        <row r="2225">
          <cell r="B2225">
            <v>2001</v>
          </cell>
          <cell r="K2225" t="str">
            <v>CARROLL</v>
          </cell>
          <cell r="L2225" t="str">
            <v>Carroll</v>
          </cell>
          <cell r="V2225">
            <v>160000</v>
          </cell>
        </row>
        <row r="2226">
          <cell r="B2226">
            <v>2001</v>
          </cell>
          <cell r="K2226" t="str">
            <v>CRAWFORD</v>
          </cell>
          <cell r="L2226" t="str">
            <v>Crawford</v>
          </cell>
          <cell r="V2226">
            <v>174000</v>
          </cell>
        </row>
        <row r="2227">
          <cell r="B2227">
            <v>2001</v>
          </cell>
          <cell r="K2227" t="str">
            <v>GREENE</v>
          </cell>
          <cell r="L2227" t="str">
            <v>Greene</v>
          </cell>
          <cell r="V2227">
            <v>156000</v>
          </cell>
        </row>
        <row r="2228">
          <cell r="B2228">
            <v>2001</v>
          </cell>
          <cell r="K2228" t="str">
            <v>GUTHRIE</v>
          </cell>
          <cell r="L2228" t="str">
            <v>Guthrie</v>
          </cell>
          <cell r="V2228">
            <v>104000</v>
          </cell>
        </row>
        <row r="2229">
          <cell r="B2229">
            <v>2001</v>
          </cell>
          <cell r="K2229" t="str">
            <v>HARRISON</v>
          </cell>
          <cell r="L2229" t="str">
            <v>Harrison</v>
          </cell>
          <cell r="V2229">
            <v>154000</v>
          </cell>
        </row>
        <row r="2230">
          <cell r="B2230">
            <v>2001</v>
          </cell>
          <cell r="K2230" t="str">
            <v>IDA</v>
          </cell>
          <cell r="L2230" t="str">
            <v>Ida</v>
          </cell>
          <cell r="V2230">
            <v>112000</v>
          </cell>
        </row>
        <row r="2231">
          <cell r="B2231">
            <v>2001</v>
          </cell>
          <cell r="K2231" t="str">
            <v>MONONA</v>
          </cell>
          <cell r="L2231" t="str">
            <v>Monona</v>
          </cell>
          <cell r="V2231">
            <v>159000</v>
          </cell>
        </row>
        <row r="2232">
          <cell r="B2232">
            <v>2001</v>
          </cell>
          <cell r="K2232" t="str">
            <v>SAC</v>
          </cell>
          <cell r="L2232" t="str">
            <v>Sac</v>
          </cell>
          <cell r="V2232">
            <v>153000</v>
          </cell>
        </row>
        <row r="2233">
          <cell r="B2233">
            <v>2001</v>
          </cell>
          <cell r="K2233" t="str">
            <v>SHELBY</v>
          </cell>
          <cell r="L2233" t="str">
            <v>Shelby</v>
          </cell>
          <cell r="V2233">
            <v>155000</v>
          </cell>
        </row>
        <row r="2234">
          <cell r="B2234">
            <v>2001</v>
          </cell>
          <cell r="K2234" t="str">
            <v>WOODBURY</v>
          </cell>
          <cell r="L2234" t="str">
            <v>Woodbury</v>
          </cell>
          <cell r="V2234">
            <v>182000</v>
          </cell>
        </row>
        <row r="2235">
          <cell r="B2235">
            <v>2000</v>
          </cell>
          <cell r="K2235" t="str">
            <v>BOONE</v>
          </cell>
          <cell r="L2235" t="str">
            <v>Boone</v>
          </cell>
          <cell r="V2235">
            <v>141000</v>
          </cell>
        </row>
        <row r="2236">
          <cell r="B2236">
            <v>2000</v>
          </cell>
          <cell r="K2236" t="str">
            <v>DALLAS</v>
          </cell>
          <cell r="L2236" t="str">
            <v>Dallas</v>
          </cell>
          <cell r="V2236">
            <v>131000</v>
          </cell>
        </row>
        <row r="2237">
          <cell r="B2237">
            <v>2000</v>
          </cell>
          <cell r="K2237" t="str">
            <v>GRUNDY</v>
          </cell>
          <cell r="L2237" t="str">
            <v>Grundy</v>
          </cell>
          <cell r="V2237">
            <v>155000</v>
          </cell>
        </row>
        <row r="2238">
          <cell r="B2238">
            <v>2000</v>
          </cell>
          <cell r="K2238" t="str">
            <v>HAMILTON</v>
          </cell>
          <cell r="L2238" t="str">
            <v>Hamilton</v>
          </cell>
          <cell r="V2238">
            <v>165000</v>
          </cell>
        </row>
        <row r="2239">
          <cell r="B2239">
            <v>2000</v>
          </cell>
          <cell r="K2239" t="str">
            <v>HARDIN</v>
          </cell>
          <cell r="L2239" t="str">
            <v>Hardin</v>
          </cell>
          <cell r="V2239">
            <v>161000</v>
          </cell>
        </row>
        <row r="2240">
          <cell r="B2240">
            <v>2000</v>
          </cell>
          <cell r="K2240" t="str">
            <v>JASPER</v>
          </cell>
          <cell r="L2240" t="str">
            <v>Jasper</v>
          </cell>
          <cell r="V2240">
            <v>159000</v>
          </cell>
        </row>
        <row r="2241">
          <cell r="B2241">
            <v>2000</v>
          </cell>
          <cell r="K2241" t="str">
            <v>MARSHALL</v>
          </cell>
          <cell r="L2241" t="str">
            <v>Marshall</v>
          </cell>
          <cell r="V2241">
            <v>139000</v>
          </cell>
        </row>
        <row r="2242">
          <cell r="B2242">
            <v>2000</v>
          </cell>
          <cell r="K2242" t="str">
            <v>POLK</v>
          </cell>
          <cell r="L2242" t="str">
            <v>Polk</v>
          </cell>
          <cell r="V2242">
            <v>89000</v>
          </cell>
        </row>
        <row r="2243">
          <cell r="B2243">
            <v>2000</v>
          </cell>
          <cell r="K2243" t="str">
            <v>POWESHIEK</v>
          </cell>
          <cell r="L2243" t="str">
            <v>Poweshiek</v>
          </cell>
          <cell r="V2243">
            <v>122000</v>
          </cell>
        </row>
        <row r="2244">
          <cell r="B2244">
            <v>2000</v>
          </cell>
          <cell r="K2244" t="str">
            <v>STORY</v>
          </cell>
          <cell r="L2244" t="str">
            <v>Story</v>
          </cell>
          <cell r="V2244">
            <v>153000</v>
          </cell>
        </row>
        <row r="2245">
          <cell r="B2245">
            <v>2000</v>
          </cell>
          <cell r="K2245" t="str">
            <v>TAMA</v>
          </cell>
          <cell r="L2245" t="str">
            <v>Tama</v>
          </cell>
          <cell r="V2245">
            <v>158000</v>
          </cell>
        </row>
        <row r="2246">
          <cell r="B2246">
            <v>2000</v>
          </cell>
          <cell r="K2246" t="str">
            <v>WEBSTER</v>
          </cell>
          <cell r="L2246" t="str">
            <v>Webster</v>
          </cell>
          <cell r="V2246">
            <v>189000</v>
          </cell>
        </row>
        <row r="2247">
          <cell r="B2247">
            <v>2000</v>
          </cell>
          <cell r="K2247" t="str">
            <v>BENTON</v>
          </cell>
          <cell r="L2247" t="str">
            <v>Benton</v>
          </cell>
          <cell r="V2247">
            <v>178000</v>
          </cell>
        </row>
        <row r="2248">
          <cell r="B2248">
            <v>2000</v>
          </cell>
          <cell r="K2248" t="str">
            <v>CEDAR</v>
          </cell>
          <cell r="L2248" t="str">
            <v>Cedar</v>
          </cell>
          <cell r="V2248">
            <v>140000</v>
          </cell>
        </row>
        <row r="2249">
          <cell r="B2249">
            <v>2000</v>
          </cell>
          <cell r="K2249" t="str">
            <v>CLINTON</v>
          </cell>
          <cell r="L2249" t="str">
            <v>Clinton</v>
          </cell>
          <cell r="V2249">
            <v>179000</v>
          </cell>
        </row>
        <row r="2250">
          <cell r="B2250">
            <v>2000</v>
          </cell>
          <cell r="K2250" t="str">
            <v>IOWA</v>
          </cell>
          <cell r="L2250" t="str">
            <v>Iowa</v>
          </cell>
          <cell r="V2250">
            <v>114000</v>
          </cell>
        </row>
        <row r="2251">
          <cell r="B2251">
            <v>2000</v>
          </cell>
          <cell r="K2251" t="str">
            <v>JACKSON</v>
          </cell>
          <cell r="L2251" t="str">
            <v>Jackson</v>
          </cell>
          <cell r="V2251">
            <v>94000</v>
          </cell>
        </row>
        <row r="2252">
          <cell r="B2252">
            <v>2000</v>
          </cell>
          <cell r="K2252" t="str">
            <v>JOHNSON</v>
          </cell>
          <cell r="L2252" t="str">
            <v>Johnson</v>
          </cell>
          <cell r="V2252">
            <v>108000</v>
          </cell>
        </row>
        <row r="2253">
          <cell r="B2253">
            <v>2000</v>
          </cell>
          <cell r="K2253" t="str">
            <v>JONES</v>
          </cell>
          <cell r="L2253" t="str">
            <v>Jones</v>
          </cell>
          <cell r="V2253">
            <v>138000</v>
          </cell>
        </row>
        <row r="2254">
          <cell r="B2254">
            <v>2000</v>
          </cell>
          <cell r="K2254" t="str">
            <v>LINN</v>
          </cell>
          <cell r="L2254" t="str">
            <v>Linn</v>
          </cell>
          <cell r="V2254">
            <v>139000</v>
          </cell>
        </row>
        <row r="2255">
          <cell r="B2255">
            <v>2000</v>
          </cell>
          <cell r="K2255" t="str">
            <v>MUSCATINE</v>
          </cell>
          <cell r="L2255" t="str">
            <v>Muscatine</v>
          </cell>
          <cell r="V2255">
            <v>90000</v>
          </cell>
        </row>
        <row r="2256">
          <cell r="B2256">
            <v>2000</v>
          </cell>
          <cell r="K2256" t="str">
            <v>SCOTT</v>
          </cell>
          <cell r="L2256" t="str">
            <v>Scott</v>
          </cell>
          <cell r="V2256">
            <v>108000</v>
          </cell>
        </row>
        <row r="2257">
          <cell r="B2257">
            <v>2000</v>
          </cell>
          <cell r="K2257" t="str">
            <v>BUTLER</v>
          </cell>
          <cell r="L2257" t="str">
            <v>Butler</v>
          </cell>
          <cell r="V2257">
            <v>148000</v>
          </cell>
        </row>
        <row r="2258">
          <cell r="B2258">
            <v>2000</v>
          </cell>
          <cell r="K2258" t="str">
            <v>CERRO GORDO</v>
          </cell>
          <cell r="L2258" t="str">
            <v>Cerro Gordo</v>
          </cell>
          <cell r="V2258">
            <v>159000</v>
          </cell>
        </row>
        <row r="2259">
          <cell r="B2259">
            <v>2000</v>
          </cell>
          <cell r="K2259" t="str">
            <v>FLOYD</v>
          </cell>
          <cell r="L2259" t="str">
            <v>Floyd</v>
          </cell>
          <cell r="V2259">
            <v>136000</v>
          </cell>
        </row>
        <row r="2260">
          <cell r="B2260">
            <v>2000</v>
          </cell>
          <cell r="K2260" t="str">
            <v>FRANKLIN</v>
          </cell>
          <cell r="L2260" t="str">
            <v>Franklin</v>
          </cell>
          <cell r="V2260">
            <v>169000</v>
          </cell>
        </row>
        <row r="2261">
          <cell r="B2261">
            <v>2000</v>
          </cell>
          <cell r="K2261" t="str">
            <v>HANCOCK</v>
          </cell>
          <cell r="L2261" t="str">
            <v>Hancock</v>
          </cell>
          <cell r="V2261">
            <v>168000</v>
          </cell>
        </row>
        <row r="2262">
          <cell r="B2262">
            <v>2000</v>
          </cell>
          <cell r="K2262" t="str">
            <v>HUMBOLDT</v>
          </cell>
          <cell r="L2262" t="str">
            <v>Humboldt</v>
          </cell>
          <cell r="V2262">
            <v>130000</v>
          </cell>
        </row>
        <row r="2263">
          <cell r="B2263">
            <v>2000</v>
          </cell>
          <cell r="K2263" t="str">
            <v>KOSSUTH</v>
          </cell>
          <cell r="L2263" t="str">
            <v>Kossuth</v>
          </cell>
          <cell r="V2263">
            <v>306000</v>
          </cell>
        </row>
        <row r="2264">
          <cell r="B2264">
            <v>2000</v>
          </cell>
          <cell r="K2264" t="str">
            <v>MITCHELL</v>
          </cell>
          <cell r="L2264" t="str">
            <v>Mitchell</v>
          </cell>
          <cell r="V2264">
            <v>137000</v>
          </cell>
        </row>
        <row r="2265">
          <cell r="B2265">
            <v>2000</v>
          </cell>
          <cell r="K2265" t="str">
            <v>WINNEBAGO</v>
          </cell>
          <cell r="L2265" t="str">
            <v>Winnebago</v>
          </cell>
          <cell r="V2265">
            <v>127000</v>
          </cell>
        </row>
        <row r="2266">
          <cell r="B2266">
            <v>2000</v>
          </cell>
          <cell r="K2266" t="str">
            <v>WORTH</v>
          </cell>
          <cell r="L2266" t="str">
            <v>Worth</v>
          </cell>
          <cell r="V2266">
            <v>112000</v>
          </cell>
        </row>
        <row r="2267">
          <cell r="B2267">
            <v>2000</v>
          </cell>
          <cell r="K2267" t="str">
            <v>WRIGHT</v>
          </cell>
          <cell r="L2267" t="str">
            <v>Wright</v>
          </cell>
          <cell r="V2267">
            <v>173000</v>
          </cell>
        </row>
        <row r="2268">
          <cell r="B2268">
            <v>2000</v>
          </cell>
          <cell r="K2268" t="str">
            <v>ALLAMAKEE</v>
          </cell>
          <cell r="L2268" t="str">
            <v>Allamakee</v>
          </cell>
          <cell r="V2268">
            <v>73000</v>
          </cell>
        </row>
        <row r="2269">
          <cell r="B2269">
            <v>2000</v>
          </cell>
          <cell r="K2269" t="str">
            <v>BLACK HAWK</v>
          </cell>
          <cell r="L2269" t="str">
            <v>Black Hawk</v>
          </cell>
          <cell r="V2269">
            <v>140000</v>
          </cell>
        </row>
        <row r="2270">
          <cell r="B2270">
            <v>2000</v>
          </cell>
          <cell r="K2270" t="str">
            <v>BREMER</v>
          </cell>
          <cell r="L2270" t="str">
            <v>Bremer</v>
          </cell>
          <cell r="V2270">
            <v>113000</v>
          </cell>
        </row>
        <row r="2271">
          <cell r="B2271">
            <v>2000</v>
          </cell>
          <cell r="K2271" t="str">
            <v>BUCHANAN</v>
          </cell>
          <cell r="L2271" t="str">
            <v>Buchanan</v>
          </cell>
          <cell r="V2271">
            <v>152000</v>
          </cell>
        </row>
        <row r="2272">
          <cell r="B2272">
            <v>2000</v>
          </cell>
          <cell r="K2272" t="str">
            <v>CHICKASAW</v>
          </cell>
          <cell r="L2272" t="str">
            <v>Chickasaw</v>
          </cell>
          <cell r="V2272">
            <v>131000</v>
          </cell>
        </row>
        <row r="2273">
          <cell r="B2273">
            <v>2000</v>
          </cell>
          <cell r="K2273" t="str">
            <v>CLAYTON</v>
          </cell>
          <cell r="L2273" t="str">
            <v>Clayton</v>
          </cell>
          <cell r="V2273">
            <v>141000</v>
          </cell>
        </row>
        <row r="2274">
          <cell r="B2274">
            <v>2000</v>
          </cell>
          <cell r="K2274" t="str">
            <v>DELAWARE</v>
          </cell>
          <cell r="L2274" t="str">
            <v>Delaware</v>
          </cell>
          <cell r="V2274">
            <v>169000</v>
          </cell>
        </row>
        <row r="2275">
          <cell r="B2275">
            <v>2000</v>
          </cell>
          <cell r="K2275" t="str">
            <v>DUBUQUE</v>
          </cell>
          <cell r="L2275" t="str">
            <v>Dubuque</v>
          </cell>
          <cell r="V2275">
            <v>124000</v>
          </cell>
        </row>
        <row r="2276">
          <cell r="B2276">
            <v>2000</v>
          </cell>
          <cell r="K2276" t="str">
            <v>FAYETTE</v>
          </cell>
          <cell r="L2276" t="str">
            <v>Fayette</v>
          </cell>
          <cell r="V2276">
            <v>182000</v>
          </cell>
        </row>
        <row r="2277">
          <cell r="B2277">
            <v>2000</v>
          </cell>
          <cell r="K2277" t="str">
            <v>HOWARD</v>
          </cell>
          <cell r="L2277" t="str">
            <v>Howard</v>
          </cell>
          <cell r="V2277">
            <v>114000</v>
          </cell>
        </row>
        <row r="2278">
          <cell r="B2278">
            <v>2000</v>
          </cell>
          <cell r="K2278" t="str">
            <v>WINNESHIEK</v>
          </cell>
          <cell r="L2278" t="str">
            <v>Winneshiek</v>
          </cell>
          <cell r="V2278">
            <v>139000</v>
          </cell>
        </row>
        <row r="2279">
          <cell r="B2279">
            <v>2000</v>
          </cell>
          <cell r="K2279" t="str">
            <v>BUENA VISTA</v>
          </cell>
          <cell r="L2279" t="str">
            <v>Buena Vista</v>
          </cell>
          <cell r="V2279">
            <v>164000</v>
          </cell>
        </row>
        <row r="2280">
          <cell r="B2280">
            <v>2000</v>
          </cell>
          <cell r="K2280" t="str">
            <v>CHEROKEE</v>
          </cell>
          <cell r="L2280" t="str">
            <v>Cherokee</v>
          </cell>
          <cell r="V2280">
            <v>144000</v>
          </cell>
        </row>
        <row r="2281">
          <cell r="B2281">
            <v>2000</v>
          </cell>
          <cell r="K2281" t="str">
            <v>CLAY</v>
          </cell>
          <cell r="L2281" t="str">
            <v>Clay</v>
          </cell>
          <cell r="V2281">
            <v>147000</v>
          </cell>
        </row>
        <row r="2282">
          <cell r="B2282">
            <v>2000</v>
          </cell>
          <cell r="K2282" t="str">
            <v>DICKINSON</v>
          </cell>
          <cell r="L2282" t="str">
            <v>Dickinson</v>
          </cell>
          <cell r="V2282">
            <v>89000</v>
          </cell>
        </row>
        <row r="2283">
          <cell r="B2283">
            <v>2000</v>
          </cell>
          <cell r="K2283" t="str">
            <v>EMMET</v>
          </cell>
          <cell r="L2283" t="str">
            <v>Emmet</v>
          </cell>
          <cell r="V2283">
            <v>117000</v>
          </cell>
        </row>
        <row r="2284">
          <cell r="B2284">
            <v>2000</v>
          </cell>
          <cell r="K2284" t="str">
            <v>LYON</v>
          </cell>
          <cell r="L2284" t="str">
            <v>Lyon</v>
          </cell>
          <cell r="V2284">
            <v>158000</v>
          </cell>
        </row>
        <row r="2285">
          <cell r="B2285">
            <v>2000</v>
          </cell>
          <cell r="K2285" t="str">
            <v>O BRIEN</v>
          </cell>
          <cell r="L2285" t="str">
            <v>O Brien</v>
          </cell>
          <cell r="V2285">
            <v>160000</v>
          </cell>
        </row>
        <row r="2286">
          <cell r="B2286">
            <v>2000</v>
          </cell>
          <cell r="K2286" t="str">
            <v>OSCEOLA</v>
          </cell>
          <cell r="L2286" t="str">
            <v>Osceola</v>
          </cell>
          <cell r="V2286">
            <v>115000</v>
          </cell>
        </row>
        <row r="2287">
          <cell r="B2287">
            <v>2000</v>
          </cell>
          <cell r="K2287" t="str">
            <v>PALO ALTO</v>
          </cell>
          <cell r="L2287" t="str">
            <v>Palo Alto</v>
          </cell>
          <cell r="V2287">
            <v>159000</v>
          </cell>
        </row>
        <row r="2288">
          <cell r="B2288">
            <v>2000</v>
          </cell>
          <cell r="K2288" t="str">
            <v>PLYMOUTH</v>
          </cell>
          <cell r="L2288" t="str">
            <v>Plymouth</v>
          </cell>
          <cell r="V2288">
            <v>218000</v>
          </cell>
        </row>
        <row r="2289">
          <cell r="B2289">
            <v>2000</v>
          </cell>
          <cell r="K2289" t="str">
            <v>POCAHONTAS</v>
          </cell>
          <cell r="L2289" t="str">
            <v>Pocahontas</v>
          </cell>
          <cell r="V2289">
            <v>175000</v>
          </cell>
        </row>
        <row r="2290">
          <cell r="B2290">
            <v>2000</v>
          </cell>
          <cell r="K2290" t="str">
            <v>SIOUX</v>
          </cell>
          <cell r="L2290" t="str">
            <v>Sioux</v>
          </cell>
          <cell r="V2290">
            <v>237000</v>
          </cell>
        </row>
        <row r="2291">
          <cell r="B2291">
            <v>2000</v>
          </cell>
          <cell r="K2291" t="str">
            <v>APPANOOSE</v>
          </cell>
          <cell r="L2291" t="str">
            <v>Appanoose</v>
          </cell>
          <cell r="V2291">
            <v>30000</v>
          </cell>
        </row>
        <row r="2292">
          <cell r="B2292">
            <v>2000</v>
          </cell>
          <cell r="K2292" t="str">
            <v>CLARKE</v>
          </cell>
          <cell r="L2292" t="str">
            <v>Clarke</v>
          </cell>
          <cell r="V2292">
            <v>30000</v>
          </cell>
        </row>
        <row r="2293">
          <cell r="B2293">
            <v>2000</v>
          </cell>
          <cell r="K2293" t="str">
            <v>DECATUR</v>
          </cell>
          <cell r="L2293" t="str">
            <v>Decatur</v>
          </cell>
          <cell r="V2293">
            <v>27000</v>
          </cell>
        </row>
        <row r="2294">
          <cell r="B2294">
            <v>2000</v>
          </cell>
          <cell r="K2294" t="str">
            <v>LUCAS</v>
          </cell>
          <cell r="L2294" t="str">
            <v>Lucas</v>
          </cell>
          <cell r="V2294">
            <v>24000</v>
          </cell>
        </row>
        <row r="2295">
          <cell r="B2295">
            <v>2000</v>
          </cell>
          <cell r="K2295" t="str">
            <v>MADISON</v>
          </cell>
          <cell r="L2295" t="str">
            <v>Madison</v>
          </cell>
          <cell r="V2295">
            <v>64000</v>
          </cell>
        </row>
        <row r="2296">
          <cell r="B2296">
            <v>2000</v>
          </cell>
          <cell r="K2296" t="str">
            <v>MARION</v>
          </cell>
          <cell r="L2296" t="str">
            <v>Marion</v>
          </cell>
          <cell r="V2296">
            <v>74000</v>
          </cell>
        </row>
        <row r="2297">
          <cell r="B2297">
            <v>2000</v>
          </cell>
          <cell r="K2297" t="str">
            <v>MONROE</v>
          </cell>
          <cell r="L2297" t="str">
            <v>Monroe</v>
          </cell>
          <cell r="V2297">
            <v>27000</v>
          </cell>
        </row>
        <row r="2298">
          <cell r="B2298">
            <v>2000</v>
          </cell>
          <cell r="K2298" t="str">
            <v>RINGGOLD</v>
          </cell>
          <cell r="L2298" t="str">
            <v>Ringgold</v>
          </cell>
          <cell r="V2298">
            <v>43000</v>
          </cell>
        </row>
        <row r="2299">
          <cell r="B2299">
            <v>2000</v>
          </cell>
          <cell r="K2299" t="str">
            <v>UNION</v>
          </cell>
          <cell r="L2299" t="str">
            <v>Union</v>
          </cell>
          <cell r="V2299">
            <v>51000</v>
          </cell>
        </row>
        <row r="2300">
          <cell r="B2300">
            <v>2000</v>
          </cell>
          <cell r="K2300" t="str">
            <v>WARREN</v>
          </cell>
          <cell r="L2300" t="str">
            <v>Warren</v>
          </cell>
          <cell r="V2300">
            <v>67000</v>
          </cell>
        </row>
        <row r="2301">
          <cell r="B2301">
            <v>2000</v>
          </cell>
          <cell r="K2301" t="str">
            <v>WAYNE</v>
          </cell>
          <cell r="L2301" t="str">
            <v>Wayne</v>
          </cell>
          <cell r="V2301">
            <v>45000</v>
          </cell>
        </row>
        <row r="2302">
          <cell r="B2302">
            <v>2000</v>
          </cell>
          <cell r="K2302" t="str">
            <v>DAVIS</v>
          </cell>
          <cell r="L2302" t="str">
            <v>Davis</v>
          </cell>
          <cell r="V2302">
            <v>34000</v>
          </cell>
        </row>
        <row r="2303">
          <cell r="B2303">
            <v>2000</v>
          </cell>
          <cell r="K2303" t="str">
            <v>DES MOINES</v>
          </cell>
          <cell r="L2303" t="str">
            <v>Des Moines</v>
          </cell>
          <cell r="V2303">
            <v>74000</v>
          </cell>
        </row>
        <row r="2304">
          <cell r="B2304">
            <v>2000</v>
          </cell>
          <cell r="K2304" t="str">
            <v>HENRY</v>
          </cell>
          <cell r="L2304" t="str">
            <v>Henry</v>
          </cell>
          <cell r="V2304">
            <v>83000</v>
          </cell>
        </row>
        <row r="2305">
          <cell r="B2305">
            <v>2000</v>
          </cell>
          <cell r="K2305" t="str">
            <v>JEFFERSON</v>
          </cell>
          <cell r="L2305" t="str">
            <v>Jefferson</v>
          </cell>
          <cell r="V2305">
            <v>65000</v>
          </cell>
        </row>
        <row r="2306">
          <cell r="B2306">
            <v>2000</v>
          </cell>
          <cell r="K2306" t="str">
            <v>KEOKUK</v>
          </cell>
          <cell r="L2306" t="str">
            <v>Keokuk</v>
          </cell>
          <cell r="V2306">
            <v>101000</v>
          </cell>
        </row>
        <row r="2307">
          <cell r="B2307">
            <v>2000</v>
          </cell>
          <cell r="K2307" t="str">
            <v>LEE</v>
          </cell>
          <cell r="L2307" t="str">
            <v>Lee</v>
          </cell>
          <cell r="V2307">
            <v>79000</v>
          </cell>
        </row>
        <row r="2308">
          <cell r="B2308">
            <v>2000</v>
          </cell>
          <cell r="K2308" t="str">
            <v>LOUISA</v>
          </cell>
          <cell r="L2308" t="str">
            <v>Louisa</v>
          </cell>
          <cell r="V2308">
            <v>78000</v>
          </cell>
        </row>
        <row r="2309">
          <cell r="B2309">
            <v>2000</v>
          </cell>
          <cell r="K2309" t="str">
            <v>MAHASKA</v>
          </cell>
          <cell r="L2309" t="str">
            <v>Mahaska</v>
          </cell>
          <cell r="V2309">
            <v>119000</v>
          </cell>
        </row>
        <row r="2310">
          <cell r="B2310">
            <v>2000</v>
          </cell>
          <cell r="K2310" t="str">
            <v>VAN BUREN</v>
          </cell>
          <cell r="L2310" t="str">
            <v>Van Buren</v>
          </cell>
          <cell r="V2310">
            <v>41000</v>
          </cell>
        </row>
        <row r="2311">
          <cell r="B2311">
            <v>2000</v>
          </cell>
          <cell r="K2311" t="str">
            <v>WAPELLO</v>
          </cell>
          <cell r="L2311" t="str">
            <v>Wapello</v>
          </cell>
          <cell r="V2311">
            <v>56000</v>
          </cell>
        </row>
        <row r="2312">
          <cell r="B2312">
            <v>2000</v>
          </cell>
          <cell r="K2312" t="str">
            <v>WASHINGTON</v>
          </cell>
          <cell r="L2312" t="str">
            <v>Washington</v>
          </cell>
          <cell r="V2312">
            <v>113000</v>
          </cell>
        </row>
        <row r="2313">
          <cell r="B2313">
            <v>2000</v>
          </cell>
          <cell r="K2313" t="str">
            <v>ADAIR</v>
          </cell>
          <cell r="L2313" t="str">
            <v>Adair</v>
          </cell>
          <cell r="V2313">
            <v>105000</v>
          </cell>
        </row>
        <row r="2314">
          <cell r="B2314">
            <v>2000</v>
          </cell>
          <cell r="K2314" t="str">
            <v>ADAMS</v>
          </cell>
          <cell r="L2314" t="str">
            <v>Adams</v>
          </cell>
          <cell r="V2314">
            <v>64000</v>
          </cell>
        </row>
        <row r="2315">
          <cell r="B2315">
            <v>2000</v>
          </cell>
          <cell r="K2315" t="str">
            <v>CASS</v>
          </cell>
          <cell r="L2315" t="str">
            <v>Cass</v>
          </cell>
          <cell r="V2315">
            <v>123000</v>
          </cell>
        </row>
        <row r="2316">
          <cell r="B2316">
            <v>2000</v>
          </cell>
          <cell r="K2316" t="str">
            <v>FREMONT</v>
          </cell>
          <cell r="L2316" t="str">
            <v>Fremont</v>
          </cell>
          <cell r="V2316">
            <v>111000</v>
          </cell>
        </row>
        <row r="2317">
          <cell r="B2317">
            <v>2000</v>
          </cell>
          <cell r="K2317" t="str">
            <v>MILLS</v>
          </cell>
          <cell r="L2317" t="str">
            <v>Mills</v>
          </cell>
          <cell r="V2317">
            <v>99000</v>
          </cell>
        </row>
        <row r="2318">
          <cell r="B2318">
            <v>2000</v>
          </cell>
          <cell r="K2318" t="str">
            <v>MONTGOMERY</v>
          </cell>
          <cell r="L2318" t="str">
            <v>Montgomery</v>
          </cell>
          <cell r="V2318">
            <v>89000</v>
          </cell>
        </row>
        <row r="2319">
          <cell r="B2319">
            <v>2000</v>
          </cell>
          <cell r="K2319" t="str">
            <v>PAGE</v>
          </cell>
          <cell r="L2319" t="str">
            <v>Page</v>
          </cell>
          <cell r="V2319">
            <v>101000</v>
          </cell>
        </row>
        <row r="2320">
          <cell r="B2320">
            <v>2000</v>
          </cell>
          <cell r="K2320" t="str">
            <v>POTTAWATTAMIE</v>
          </cell>
          <cell r="L2320" t="str">
            <v>Pottawattamie</v>
          </cell>
          <cell r="V2320">
            <v>225000</v>
          </cell>
        </row>
        <row r="2321">
          <cell r="B2321">
            <v>2000</v>
          </cell>
          <cell r="K2321" t="str">
            <v>TAYLOR</v>
          </cell>
          <cell r="L2321" t="str">
            <v>Taylor</v>
          </cell>
          <cell r="V2321">
            <v>68000</v>
          </cell>
        </row>
        <row r="2322">
          <cell r="B2322">
            <v>2000</v>
          </cell>
          <cell r="K2322" t="str">
            <v>AUDUBON</v>
          </cell>
          <cell r="L2322" t="str">
            <v>Audubon</v>
          </cell>
          <cell r="V2322">
            <v>105000</v>
          </cell>
        </row>
        <row r="2323">
          <cell r="B2323">
            <v>2000</v>
          </cell>
          <cell r="K2323" t="str">
            <v>CALHOUN</v>
          </cell>
          <cell r="L2323" t="str">
            <v>Calhoun</v>
          </cell>
          <cell r="V2323">
            <v>169000</v>
          </cell>
        </row>
        <row r="2324">
          <cell r="B2324">
            <v>2000</v>
          </cell>
          <cell r="K2324" t="str">
            <v>CARROLL</v>
          </cell>
          <cell r="L2324" t="str">
            <v>Carroll</v>
          </cell>
          <cell r="V2324">
            <v>161000</v>
          </cell>
        </row>
        <row r="2325">
          <cell r="B2325">
            <v>2000</v>
          </cell>
          <cell r="K2325" t="str">
            <v>CRAWFORD</v>
          </cell>
          <cell r="L2325" t="str">
            <v>Crawford</v>
          </cell>
          <cell r="V2325">
            <v>175000</v>
          </cell>
        </row>
        <row r="2326">
          <cell r="B2326">
            <v>2000</v>
          </cell>
          <cell r="K2326" t="str">
            <v>GREENE</v>
          </cell>
          <cell r="L2326" t="str">
            <v>Greene</v>
          </cell>
          <cell r="V2326">
            <v>160000</v>
          </cell>
        </row>
        <row r="2327">
          <cell r="B2327">
            <v>2000</v>
          </cell>
          <cell r="K2327" t="str">
            <v>GUTHRIE</v>
          </cell>
          <cell r="L2327" t="str">
            <v>Guthrie</v>
          </cell>
          <cell r="V2327">
            <v>108000</v>
          </cell>
        </row>
        <row r="2328">
          <cell r="B2328">
            <v>2000</v>
          </cell>
          <cell r="K2328" t="str">
            <v>HARRISON</v>
          </cell>
          <cell r="L2328" t="str">
            <v>Harrison</v>
          </cell>
          <cell r="V2328">
            <v>157000</v>
          </cell>
        </row>
        <row r="2329">
          <cell r="B2329">
            <v>2000</v>
          </cell>
          <cell r="K2329" t="str">
            <v>IDA</v>
          </cell>
          <cell r="L2329" t="str">
            <v>Ida</v>
          </cell>
          <cell r="V2329">
            <v>114000</v>
          </cell>
        </row>
        <row r="2330">
          <cell r="B2330">
            <v>2000</v>
          </cell>
          <cell r="K2330" t="str">
            <v>MONONA</v>
          </cell>
          <cell r="L2330" t="str">
            <v>Monona</v>
          </cell>
          <cell r="V2330">
            <v>164000</v>
          </cell>
        </row>
        <row r="2331">
          <cell r="B2331">
            <v>2000</v>
          </cell>
          <cell r="K2331" t="str">
            <v>SAC</v>
          </cell>
          <cell r="L2331" t="str">
            <v>Sac</v>
          </cell>
          <cell r="V2331">
            <v>158000</v>
          </cell>
        </row>
        <row r="2332">
          <cell r="B2332">
            <v>2000</v>
          </cell>
          <cell r="K2332" t="str">
            <v>SHELBY</v>
          </cell>
          <cell r="L2332" t="str">
            <v>Shelby</v>
          </cell>
          <cell r="V2332">
            <v>159000</v>
          </cell>
        </row>
        <row r="2333">
          <cell r="B2333">
            <v>2000</v>
          </cell>
          <cell r="K2333" t="str">
            <v>WOODBURY</v>
          </cell>
          <cell r="L2333" t="str">
            <v>Woodbury</v>
          </cell>
          <cell r="V2333">
            <v>184000</v>
          </cell>
        </row>
        <row r="2334">
          <cell r="B2334">
            <v>1999</v>
          </cell>
          <cell r="K2334" t="str">
            <v>BOONE</v>
          </cell>
          <cell r="L2334" t="str">
            <v>Boone</v>
          </cell>
          <cell r="V2334">
            <v>139000</v>
          </cell>
        </row>
        <row r="2335">
          <cell r="B2335">
            <v>1999</v>
          </cell>
          <cell r="K2335" t="str">
            <v>DALLAS</v>
          </cell>
          <cell r="L2335" t="str">
            <v>Dallas</v>
          </cell>
          <cell r="V2335">
            <v>129000</v>
          </cell>
        </row>
        <row r="2336">
          <cell r="B2336">
            <v>1999</v>
          </cell>
          <cell r="K2336" t="str">
            <v>GRUNDY</v>
          </cell>
          <cell r="L2336" t="str">
            <v>Grundy</v>
          </cell>
          <cell r="V2336">
            <v>155000</v>
          </cell>
        </row>
        <row r="2337">
          <cell r="B2337">
            <v>1999</v>
          </cell>
          <cell r="K2337" t="str">
            <v>HAMILTON</v>
          </cell>
          <cell r="L2337" t="str">
            <v>Hamilton</v>
          </cell>
          <cell r="V2337">
            <v>161000</v>
          </cell>
        </row>
        <row r="2338">
          <cell r="B2338">
            <v>1999</v>
          </cell>
          <cell r="K2338" t="str">
            <v>HARDIN</v>
          </cell>
          <cell r="L2338" t="str">
            <v>Hardin</v>
          </cell>
          <cell r="V2338">
            <v>159000</v>
          </cell>
        </row>
        <row r="2339">
          <cell r="B2339">
            <v>1999</v>
          </cell>
          <cell r="K2339" t="str">
            <v>JASPER</v>
          </cell>
          <cell r="L2339" t="str">
            <v>Jasper</v>
          </cell>
          <cell r="V2339">
            <v>160000</v>
          </cell>
        </row>
        <row r="2340">
          <cell r="B2340">
            <v>1999</v>
          </cell>
          <cell r="K2340" t="str">
            <v>MARSHALL</v>
          </cell>
          <cell r="L2340" t="str">
            <v>Marshall</v>
          </cell>
          <cell r="V2340">
            <v>140000</v>
          </cell>
        </row>
        <row r="2341">
          <cell r="B2341">
            <v>1999</v>
          </cell>
          <cell r="K2341" t="str">
            <v>POLK</v>
          </cell>
          <cell r="L2341" t="str">
            <v>Polk</v>
          </cell>
          <cell r="V2341">
            <v>89000</v>
          </cell>
        </row>
        <row r="2342">
          <cell r="B2342">
            <v>1999</v>
          </cell>
          <cell r="K2342" t="str">
            <v>POWESHIEK</v>
          </cell>
          <cell r="L2342" t="str">
            <v>Poweshiek</v>
          </cell>
          <cell r="V2342">
            <v>120000</v>
          </cell>
        </row>
        <row r="2343">
          <cell r="B2343">
            <v>1999</v>
          </cell>
          <cell r="K2343" t="str">
            <v>STORY</v>
          </cell>
          <cell r="L2343" t="str">
            <v>Story</v>
          </cell>
          <cell r="V2343">
            <v>151000</v>
          </cell>
        </row>
        <row r="2344">
          <cell r="B2344">
            <v>1999</v>
          </cell>
          <cell r="K2344" t="str">
            <v>TAMA</v>
          </cell>
          <cell r="L2344" t="str">
            <v>Tama</v>
          </cell>
          <cell r="V2344">
            <v>154000</v>
          </cell>
        </row>
        <row r="2345">
          <cell r="B2345">
            <v>1999</v>
          </cell>
          <cell r="K2345" t="str">
            <v>WEBSTER</v>
          </cell>
          <cell r="L2345" t="str">
            <v>Webster</v>
          </cell>
          <cell r="V2345">
            <v>186000</v>
          </cell>
        </row>
        <row r="2346">
          <cell r="B2346">
            <v>1999</v>
          </cell>
          <cell r="K2346" t="str">
            <v>BENTON</v>
          </cell>
          <cell r="L2346" t="str">
            <v>Benton</v>
          </cell>
          <cell r="V2346">
            <v>175000</v>
          </cell>
        </row>
        <row r="2347">
          <cell r="B2347">
            <v>1999</v>
          </cell>
          <cell r="K2347" t="str">
            <v>CEDAR</v>
          </cell>
          <cell r="L2347" t="str">
            <v>Cedar</v>
          </cell>
          <cell r="V2347">
            <v>139000</v>
          </cell>
        </row>
        <row r="2348">
          <cell r="B2348">
            <v>1999</v>
          </cell>
          <cell r="K2348" t="str">
            <v>CLINTON</v>
          </cell>
          <cell r="L2348" t="str">
            <v>Clinton</v>
          </cell>
          <cell r="V2348">
            <v>180000</v>
          </cell>
        </row>
        <row r="2349">
          <cell r="B2349">
            <v>1999</v>
          </cell>
          <cell r="K2349" t="str">
            <v>IOWA</v>
          </cell>
          <cell r="L2349" t="str">
            <v>Iowa</v>
          </cell>
          <cell r="V2349">
            <v>108000</v>
          </cell>
        </row>
        <row r="2350">
          <cell r="B2350">
            <v>1999</v>
          </cell>
          <cell r="K2350" t="str">
            <v>JACKSON</v>
          </cell>
          <cell r="L2350" t="str">
            <v>Jackson</v>
          </cell>
          <cell r="V2350">
            <v>95000</v>
          </cell>
        </row>
        <row r="2351">
          <cell r="B2351">
            <v>1999</v>
          </cell>
          <cell r="K2351" t="str">
            <v>JOHNSON</v>
          </cell>
          <cell r="L2351" t="str">
            <v>Johnson</v>
          </cell>
          <cell r="V2351">
            <v>107000</v>
          </cell>
        </row>
        <row r="2352">
          <cell r="B2352">
            <v>1999</v>
          </cell>
          <cell r="K2352" t="str">
            <v>JONES</v>
          </cell>
          <cell r="L2352" t="str">
            <v>Jones</v>
          </cell>
          <cell r="V2352">
            <v>137000</v>
          </cell>
        </row>
        <row r="2353">
          <cell r="B2353">
            <v>1999</v>
          </cell>
          <cell r="K2353" t="str">
            <v>LINN</v>
          </cell>
          <cell r="L2353" t="str">
            <v>Linn</v>
          </cell>
          <cell r="V2353">
            <v>140000</v>
          </cell>
        </row>
        <row r="2354">
          <cell r="B2354">
            <v>1999</v>
          </cell>
          <cell r="K2354" t="str">
            <v>MUSCATINE</v>
          </cell>
          <cell r="L2354" t="str">
            <v>Muscatine</v>
          </cell>
          <cell r="V2354">
            <v>87000</v>
          </cell>
        </row>
        <row r="2355">
          <cell r="B2355">
            <v>1999</v>
          </cell>
          <cell r="K2355" t="str">
            <v>SCOTT</v>
          </cell>
          <cell r="L2355" t="str">
            <v>Scott</v>
          </cell>
          <cell r="V2355">
            <v>109000</v>
          </cell>
        </row>
        <row r="2356">
          <cell r="B2356">
            <v>1999</v>
          </cell>
          <cell r="K2356" t="str">
            <v>BUTLER</v>
          </cell>
          <cell r="L2356" t="str">
            <v>Butler</v>
          </cell>
          <cell r="V2356">
            <v>142000</v>
          </cell>
        </row>
        <row r="2357">
          <cell r="B2357">
            <v>1999</v>
          </cell>
          <cell r="K2357" t="str">
            <v>CERRO GORDO</v>
          </cell>
          <cell r="L2357" t="str">
            <v>Cerro Gordo</v>
          </cell>
          <cell r="V2357">
            <v>150000</v>
          </cell>
        </row>
        <row r="2358">
          <cell r="B2358">
            <v>1999</v>
          </cell>
          <cell r="K2358" t="str">
            <v>FLOYD</v>
          </cell>
          <cell r="L2358" t="str">
            <v>Floyd</v>
          </cell>
          <cell r="V2358">
            <v>136000</v>
          </cell>
        </row>
        <row r="2359">
          <cell r="B2359">
            <v>1999</v>
          </cell>
          <cell r="K2359" t="str">
            <v>FRANKLIN</v>
          </cell>
          <cell r="L2359" t="str">
            <v>Franklin</v>
          </cell>
          <cell r="V2359">
            <v>166000</v>
          </cell>
        </row>
        <row r="2360">
          <cell r="B2360">
            <v>1999</v>
          </cell>
          <cell r="K2360" t="str">
            <v>HANCOCK</v>
          </cell>
          <cell r="L2360" t="str">
            <v>Hancock</v>
          </cell>
          <cell r="V2360">
            <v>165000</v>
          </cell>
        </row>
        <row r="2361">
          <cell r="B2361">
            <v>1999</v>
          </cell>
          <cell r="K2361" t="str">
            <v>HUMBOLDT</v>
          </cell>
          <cell r="L2361" t="str">
            <v>Humboldt</v>
          </cell>
          <cell r="V2361">
            <v>127000</v>
          </cell>
        </row>
        <row r="2362">
          <cell r="B2362">
            <v>1999</v>
          </cell>
          <cell r="K2362" t="str">
            <v>KOSSUTH</v>
          </cell>
          <cell r="L2362" t="str">
            <v>Kossuth</v>
          </cell>
          <cell r="V2362">
            <v>300000</v>
          </cell>
        </row>
        <row r="2363">
          <cell r="B2363">
            <v>1999</v>
          </cell>
          <cell r="K2363" t="str">
            <v>MITCHELL</v>
          </cell>
          <cell r="L2363" t="str">
            <v>Mitchell</v>
          </cell>
          <cell r="V2363">
            <v>135000</v>
          </cell>
        </row>
        <row r="2364">
          <cell r="B2364">
            <v>1999</v>
          </cell>
          <cell r="K2364" t="str">
            <v>WINNEBAGO</v>
          </cell>
          <cell r="L2364" t="str">
            <v>Winnebago</v>
          </cell>
          <cell r="V2364">
            <v>123000</v>
          </cell>
        </row>
        <row r="2365">
          <cell r="B2365">
            <v>1999</v>
          </cell>
          <cell r="K2365" t="str">
            <v>WORTH</v>
          </cell>
          <cell r="L2365" t="str">
            <v>Worth</v>
          </cell>
          <cell r="V2365">
            <v>108000</v>
          </cell>
        </row>
        <row r="2366">
          <cell r="B2366">
            <v>1999</v>
          </cell>
          <cell r="K2366" t="str">
            <v>WRIGHT</v>
          </cell>
          <cell r="L2366" t="str">
            <v>Wright</v>
          </cell>
          <cell r="V2366">
            <v>171000</v>
          </cell>
        </row>
        <row r="2367">
          <cell r="B2367">
            <v>1999</v>
          </cell>
          <cell r="K2367" t="str">
            <v>ALLAMAKEE</v>
          </cell>
          <cell r="L2367" t="str">
            <v>Allamakee</v>
          </cell>
          <cell r="V2367">
            <v>74000</v>
          </cell>
        </row>
        <row r="2368">
          <cell r="B2368">
            <v>1999</v>
          </cell>
          <cell r="K2368" t="str">
            <v>BLACK HAWK</v>
          </cell>
          <cell r="L2368" t="str">
            <v>Black Hawk</v>
          </cell>
          <cell r="V2368">
            <v>139000</v>
          </cell>
        </row>
        <row r="2369">
          <cell r="B2369">
            <v>1999</v>
          </cell>
          <cell r="K2369" t="str">
            <v>BREMER</v>
          </cell>
          <cell r="L2369" t="str">
            <v>Bremer</v>
          </cell>
          <cell r="V2369">
            <v>112000</v>
          </cell>
        </row>
        <row r="2370">
          <cell r="B2370">
            <v>1999</v>
          </cell>
          <cell r="K2370" t="str">
            <v>BUCHANAN</v>
          </cell>
          <cell r="L2370" t="str">
            <v>Buchanan</v>
          </cell>
          <cell r="V2370">
            <v>151000</v>
          </cell>
        </row>
        <row r="2371">
          <cell r="B2371">
            <v>1999</v>
          </cell>
          <cell r="K2371" t="str">
            <v>CHICKASAW</v>
          </cell>
          <cell r="L2371" t="str">
            <v>Chickasaw</v>
          </cell>
          <cell r="V2371">
            <v>128000</v>
          </cell>
        </row>
        <row r="2372">
          <cell r="B2372">
            <v>1999</v>
          </cell>
          <cell r="K2372" t="str">
            <v>CLAYTON</v>
          </cell>
          <cell r="L2372" t="str">
            <v>Clayton</v>
          </cell>
          <cell r="V2372">
            <v>141000</v>
          </cell>
        </row>
        <row r="2373">
          <cell r="B2373">
            <v>1999</v>
          </cell>
          <cell r="K2373" t="str">
            <v>DELAWARE</v>
          </cell>
          <cell r="L2373" t="str">
            <v>Delaware</v>
          </cell>
          <cell r="V2373">
            <v>171000</v>
          </cell>
        </row>
        <row r="2374">
          <cell r="B2374">
            <v>1999</v>
          </cell>
          <cell r="K2374" t="str">
            <v>DUBUQUE</v>
          </cell>
          <cell r="L2374" t="str">
            <v>Dubuque</v>
          </cell>
          <cell r="V2374">
            <v>124000</v>
          </cell>
        </row>
        <row r="2375">
          <cell r="B2375">
            <v>1999</v>
          </cell>
          <cell r="K2375" t="str">
            <v>FAYETTE</v>
          </cell>
          <cell r="L2375" t="str">
            <v>Fayette</v>
          </cell>
          <cell r="V2375">
            <v>181000</v>
          </cell>
        </row>
        <row r="2376">
          <cell r="B2376">
            <v>1999</v>
          </cell>
          <cell r="K2376" t="str">
            <v>HOWARD</v>
          </cell>
          <cell r="L2376" t="str">
            <v>Howard</v>
          </cell>
          <cell r="V2376">
            <v>110000</v>
          </cell>
        </row>
        <row r="2377">
          <cell r="B2377">
            <v>1999</v>
          </cell>
          <cell r="K2377" t="str">
            <v>WINNESHIEK</v>
          </cell>
          <cell r="L2377" t="str">
            <v>Winneshiek</v>
          </cell>
          <cell r="V2377">
            <v>140000</v>
          </cell>
        </row>
        <row r="2378">
          <cell r="B2378">
            <v>1999</v>
          </cell>
          <cell r="K2378" t="str">
            <v>BUENA VISTA</v>
          </cell>
          <cell r="L2378" t="str">
            <v>Buena Vista</v>
          </cell>
          <cell r="V2378">
            <v>160000</v>
          </cell>
        </row>
        <row r="2379">
          <cell r="B2379">
            <v>1999</v>
          </cell>
          <cell r="K2379" t="str">
            <v>CHEROKEE</v>
          </cell>
          <cell r="L2379" t="str">
            <v>Cherokee</v>
          </cell>
          <cell r="V2379">
            <v>143000</v>
          </cell>
        </row>
        <row r="2380">
          <cell r="B2380">
            <v>1999</v>
          </cell>
          <cell r="K2380" t="str">
            <v>CLAY</v>
          </cell>
          <cell r="L2380" t="str">
            <v>Clay</v>
          </cell>
          <cell r="V2380">
            <v>140000</v>
          </cell>
        </row>
        <row r="2381">
          <cell r="B2381">
            <v>1999</v>
          </cell>
          <cell r="K2381" t="str">
            <v>DICKINSON</v>
          </cell>
          <cell r="L2381" t="str">
            <v>Dickinson</v>
          </cell>
          <cell r="V2381">
            <v>87000</v>
          </cell>
        </row>
        <row r="2382">
          <cell r="B2382">
            <v>1999</v>
          </cell>
          <cell r="K2382" t="str">
            <v>EMMET</v>
          </cell>
          <cell r="L2382" t="str">
            <v>Emmet</v>
          </cell>
          <cell r="V2382">
            <v>113000</v>
          </cell>
        </row>
        <row r="2383">
          <cell r="B2383">
            <v>1999</v>
          </cell>
          <cell r="K2383" t="str">
            <v>LYON</v>
          </cell>
          <cell r="L2383" t="str">
            <v>Lyon</v>
          </cell>
          <cell r="V2383">
            <v>155000</v>
          </cell>
        </row>
        <row r="2384">
          <cell r="B2384">
            <v>1999</v>
          </cell>
          <cell r="K2384" t="str">
            <v>O BRIEN</v>
          </cell>
          <cell r="L2384" t="str">
            <v>O Brien</v>
          </cell>
          <cell r="V2384">
            <v>158000</v>
          </cell>
        </row>
        <row r="2385">
          <cell r="B2385">
            <v>1999</v>
          </cell>
          <cell r="K2385" t="str">
            <v>OSCEOLA</v>
          </cell>
          <cell r="L2385" t="str">
            <v>Osceola</v>
          </cell>
          <cell r="V2385">
            <v>112000</v>
          </cell>
        </row>
        <row r="2386">
          <cell r="B2386">
            <v>1999</v>
          </cell>
          <cell r="K2386" t="str">
            <v>PALO ALTO</v>
          </cell>
          <cell r="L2386" t="str">
            <v>Palo Alto</v>
          </cell>
          <cell r="V2386">
            <v>155000</v>
          </cell>
        </row>
        <row r="2387">
          <cell r="B2387">
            <v>1999</v>
          </cell>
          <cell r="K2387" t="str">
            <v>PLYMOUTH</v>
          </cell>
          <cell r="L2387" t="str">
            <v>Plymouth</v>
          </cell>
          <cell r="V2387">
            <v>223000</v>
          </cell>
        </row>
        <row r="2388">
          <cell r="B2388">
            <v>1999</v>
          </cell>
          <cell r="K2388" t="str">
            <v>POCAHONTAS</v>
          </cell>
          <cell r="L2388" t="str">
            <v>Pocahontas</v>
          </cell>
          <cell r="V2388">
            <v>170000</v>
          </cell>
        </row>
        <row r="2389">
          <cell r="B2389">
            <v>1999</v>
          </cell>
          <cell r="K2389" t="str">
            <v>SIOUX</v>
          </cell>
          <cell r="L2389" t="str">
            <v>Sioux</v>
          </cell>
          <cell r="V2389">
            <v>234000</v>
          </cell>
        </row>
        <row r="2390">
          <cell r="B2390">
            <v>1999</v>
          </cell>
          <cell r="K2390" t="str">
            <v>APPANOOSE</v>
          </cell>
          <cell r="L2390" t="str">
            <v>Appanoose</v>
          </cell>
          <cell r="V2390">
            <v>30000</v>
          </cell>
        </row>
        <row r="2391">
          <cell r="B2391">
            <v>1999</v>
          </cell>
          <cell r="K2391" t="str">
            <v>CLARKE</v>
          </cell>
          <cell r="L2391" t="str">
            <v>Clarke</v>
          </cell>
          <cell r="V2391">
            <v>28000</v>
          </cell>
        </row>
        <row r="2392">
          <cell r="B2392">
            <v>1999</v>
          </cell>
          <cell r="K2392" t="str">
            <v>DECATUR</v>
          </cell>
          <cell r="L2392" t="str">
            <v>Decatur</v>
          </cell>
          <cell r="V2392">
            <v>27000</v>
          </cell>
        </row>
        <row r="2393">
          <cell r="B2393">
            <v>1999</v>
          </cell>
          <cell r="K2393" t="str">
            <v>LUCAS</v>
          </cell>
          <cell r="L2393" t="str">
            <v>Lucas</v>
          </cell>
          <cell r="V2393">
            <v>22000</v>
          </cell>
        </row>
        <row r="2394">
          <cell r="B2394">
            <v>1999</v>
          </cell>
          <cell r="K2394" t="str">
            <v>MADISON</v>
          </cell>
          <cell r="L2394" t="str">
            <v>Madison</v>
          </cell>
          <cell r="V2394">
            <v>63000</v>
          </cell>
        </row>
        <row r="2395">
          <cell r="B2395">
            <v>1999</v>
          </cell>
          <cell r="K2395" t="str">
            <v>MARION</v>
          </cell>
          <cell r="L2395" t="str">
            <v>Marion</v>
          </cell>
          <cell r="V2395">
            <v>74000</v>
          </cell>
        </row>
        <row r="2396">
          <cell r="B2396">
            <v>1999</v>
          </cell>
          <cell r="K2396" t="str">
            <v>MONROE</v>
          </cell>
          <cell r="L2396" t="str">
            <v>Monroe</v>
          </cell>
          <cell r="V2396">
            <v>25000</v>
          </cell>
        </row>
        <row r="2397">
          <cell r="B2397">
            <v>1999</v>
          </cell>
          <cell r="K2397" t="str">
            <v>RINGGOLD</v>
          </cell>
          <cell r="L2397" t="str">
            <v>Ringgold</v>
          </cell>
          <cell r="V2397">
            <v>43000</v>
          </cell>
        </row>
        <row r="2398">
          <cell r="B2398">
            <v>1999</v>
          </cell>
          <cell r="K2398" t="str">
            <v>UNION</v>
          </cell>
          <cell r="L2398" t="str">
            <v>Union</v>
          </cell>
          <cell r="V2398">
            <v>50000</v>
          </cell>
        </row>
        <row r="2399">
          <cell r="B2399">
            <v>1999</v>
          </cell>
          <cell r="K2399" t="str">
            <v>WARREN</v>
          </cell>
          <cell r="L2399" t="str">
            <v>Warren</v>
          </cell>
          <cell r="V2399">
            <v>67000</v>
          </cell>
        </row>
        <row r="2400">
          <cell r="B2400">
            <v>1999</v>
          </cell>
          <cell r="K2400" t="str">
            <v>WAYNE</v>
          </cell>
          <cell r="L2400" t="str">
            <v>Wayne</v>
          </cell>
          <cell r="V2400">
            <v>41000</v>
          </cell>
        </row>
        <row r="2401">
          <cell r="B2401">
            <v>1999</v>
          </cell>
          <cell r="K2401" t="str">
            <v>DAVIS</v>
          </cell>
          <cell r="L2401" t="str">
            <v>Davis</v>
          </cell>
          <cell r="V2401">
            <v>34000</v>
          </cell>
        </row>
        <row r="2402">
          <cell r="B2402">
            <v>1999</v>
          </cell>
          <cell r="K2402" t="str">
            <v>DES MOINES</v>
          </cell>
          <cell r="L2402" t="str">
            <v>Des Moines</v>
          </cell>
          <cell r="V2402">
            <v>72000</v>
          </cell>
        </row>
        <row r="2403">
          <cell r="B2403">
            <v>1999</v>
          </cell>
          <cell r="K2403" t="str">
            <v>HENRY</v>
          </cell>
          <cell r="L2403" t="str">
            <v>Henry</v>
          </cell>
          <cell r="V2403">
            <v>81000</v>
          </cell>
        </row>
        <row r="2404">
          <cell r="B2404">
            <v>1999</v>
          </cell>
          <cell r="K2404" t="str">
            <v>JEFFERSON</v>
          </cell>
          <cell r="L2404" t="str">
            <v>Jefferson</v>
          </cell>
          <cell r="V2404">
            <v>62000</v>
          </cell>
        </row>
        <row r="2405">
          <cell r="B2405">
            <v>1999</v>
          </cell>
          <cell r="K2405" t="str">
            <v>KEOKUK</v>
          </cell>
          <cell r="L2405" t="str">
            <v>Keokuk</v>
          </cell>
          <cell r="V2405">
            <v>101000</v>
          </cell>
        </row>
        <row r="2406">
          <cell r="B2406">
            <v>1999</v>
          </cell>
          <cell r="K2406" t="str">
            <v>LEE</v>
          </cell>
          <cell r="L2406" t="str">
            <v>Lee</v>
          </cell>
          <cell r="V2406">
            <v>79000</v>
          </cell>
        </row>
        <row r="2407">
          <cell r="B2407">
            <v>1999</v>
          </cell>
          <cell r="K2407" t="str">
            <v>LOUISA</v>
          </cell>
          <cell r="L2407" t="str">
            <v>Louisa</v>
          </cell>
          <cell r="V2407">
            <v>77000</v>
          </cell>
        </row>
        <row r="2408">
          <cell r="B2408">
            <v>1999</v>
          </cell>
          <cell r="K2408" t="str">
            <v>MAHASKA</v>
          </cell>
          <cell r="L2408" t="str">
            <v>Mahaska</v>
          </cell>
          <cell r="V2408">
            <v>116000</v>
          </cell>
        </row>
        <row r="2409">
          <cell r="B2409">
            <v>1999</v>
          </cell>
          <cell r="K2409" t="str">
            <v>VAN BUREN</v>
          </cell>
          <cell r="L2409" t="str">
            <v>Van Buren</v>
          </cell>
          <cell r="V2409">
            <v>42000</v>
          </cell>
        </row>
        <row r="2410">
          <cell r="B2410">
            <v>1999</v>
          </cell>
          <cell r="K2410" t="str">
            <v>WAPELLO</v>
          </cell>
          <cell r="L2410" t="str">
            <v>Wapello</v>
          </cell>
          <cell r="V2410">
            <v>51000</v>
          </cell>
        </row>
        <row r="2411">
          <cell r="B2411">
            <v>1999</v>
          </cell>
          <cell r="K2411" t="str">
            <v>WASHINGTON</v>
          </cell>
          <cell r="L2411" t="str">
            <v>Washington</v>
          </cell>
          <cell r="V2411">
            <v>113000</v>
          </cell>
        </row>
        <row r="2412">
          <cell r="B2412">
            <v>1999</v>
          </cell>
          <cell r="K2412" t="str">
            <v>ADAIR</v>
          </cell>
          <cell r="L2412" t="str">
            <v>Adair</v>
          </cell>
          <cell r="V2412">
            <v>106000</v>
          </cell>
        </row>
        <row r="2413">
          <cell r="B2413">
            <v>1999</v>
          </cell>
          <cell r="K2413" t="str">
            <v>ADAMS</v>
          </cell>
          <cell r="L2413" t="str">
            <v>Adams</v>
          </cell>
          <cell r="V2413">
            <v>61000</v>
          </cell>
        </row>
        <row r="2414">
          <cell r="B2414">
            <v>1999</v>
          </cell>
          <cell r="K2414" t="str">
            <v>CASS</v>
          </cell>
          <cell r="L2414" t="str">
            <v>Cass</v>
          </cell>
          <cell r="V2414">
            <v>121000</v>
          </cell>
        </row>
        <row r="2415">
          <cell r="B2415">
            <v>1999</v>
          </cell>
          <cell r="K2415" t="str">
            <v>FREMONT</v>
          </cell>
          <cell r="L2415" t="str">
            <v>Fremont</v>
          </cell>
          <cell r="V2415">
            <v>111000</v>
          </cell>
        </row>
        <row r="2416">
          <cell r="B2416">
            <v>1999</v>
          </cell>
          <cell r="K2416" t="str">
            <v>MILLS</v>
          </cell>
          <cell r="L2416" t="str">
            <v>Mills</v>
          </cell>
          <cell r="V2416">
            <v>95000</v>
          </cell>
        </row>
        <row r="2417">
          <cell r="B2417">
            <v>1999</v>
          </cell>
          <cell r="K2417" t="str">
            <v>MONTGOMERY</v>
          </cell>
          <cell r="L2417" t="str">
            <v>Montgomery</v>
          </cell>
          <cell r="V2417">
            <v>87000</v>
          </cell>
        </row>
        <row r="2418">
          <cell r="B2418">
            <v>1999</v>
          </cell>
          <cell r="K2418" t="str">
            <v>PAGE</v>
          </cell>
          <cell r="L2418" t="str">
            <v>Page</v>
          </cell>
          <cell r="V2418">
            <v>96000</v>
          </cell>
        </row>
        <row r="2419">
          <cell r="B2419">
            <v>1999</v>
          </cell>
          <cell r="K2419" t="str">
            <v>POTTAWATTAMIE</v>
          </cell>
          <cell r="L2419" t="str">
            <v>Pottawattamie</v>
          </cell>
          <cell r="V2419">
            <v>222000</v>
          </cell>
        </row>
        <row r="2420">
          <cell r="B2420">
            <v>1999</v>
          </cell>
          <cell r="K2420" t="str">
            <v>TAYLOR</v>
          </cell>
          <cell r="L2420" t="str">
            <v>Taylor</v>
          </cell>
          <cell r="V2420">
            <v>65000</v>
          </cell>
        </row>
        <row r="2421">
          <cell r="B2421">
            <v>1999</v>
          </cell>
          <cell r="K2421" t="str">
            <v>AUDUBON</v>
          </cell>
          <cell r="L2421" t="str">
            <v>Audubon</v>
          </cell>
          <cell r="V2421">
            <v>104000</v>
          </cell>
        </row>
        <row r="2422">
          <cell r="B2422">
            <v>1999</v>
          </cell>
          <cell r="K2422" t="str">
            <v>CALHOUN</v>
          </cell>
          <cell r="L2422" t="str">
            <v>Calhoun</v>
          </cell>
          <cell r="V2422">
            <v>162000</v>
          </cell>
        </row>
        <row r="2423">
          <cell r="B2423">
            <v>1999</v>
          </cell>
          <cell r="K2423" t="str">
            <v>CARROLL</v>
          </cell>
          <cell r="L2423" t="str">
            <v>Carroll</v>
          </cell>
          <cell r="V2423">
            <v>161000</v>
          </cell>
        </row>
        <row r="2424">
          <cell r="B2424">
            <v>1999</v>
          </cell>
          <cell r="K2424" t="str">
            <v>CRAWFORD</v>
          </cell>
          <cell r="L2424" t="str">
            <v>Crawford</v>
          </cell>
          <cell r="V2424">
            <v>173000</v>
          </cell>
        </row>
        <row r="2425">
          <cell r="B2425">
            <v>1999</v>
          </cell>
          <cell r="K2425" t="str">
            <v>GREENE</v>
          </cell>
          <cell r="L2425" t="str">
            <v>Greene</v>
          </cell>
          <cell r="V2425">
            <v>156000</v>
          </cell>
        </row>
        <row r="2426">
          <cell r="B2426">
            <v>1999</v>
          </cell>
          <cell r="K2426" t="str">
            <v>GUTHRIE</v>
          </cell>
          <cell r="L2426" t="str">
            <v>Guthrie</v>
          </cell>
          <cell r="V2426">
            <v>105000</v>
          </cell>
        </row>
        <row r="2427">
          <cell r="B2427">
            <v>1999</v>
          </cell>
          <cell r="K2427" t="str">
            <v>HARRISON</v>
          </cell>
          <cell r="L2427" t="str">
            <v>Harrison</v>
          </cell>
          <cell r="V2427">
            <v>150000</v>
          </cell>
        </row>
        <row r="2428">
          <cell r="B2428">
            <v>1999</v>
          </cell>
          <cell r="K2428" t="str">
            <v>IDA</v>
          </cell>
          <cell r="L2428" t="str">
            <v>Ida</v>
          </cell>
          <cell r="V2428">
            <v>115000</v>
          </cell>
        </row>
        <row r="2429">
          <cell r="B2429">
            <v>1999</v>
          </cell>
          <cell r="K2429" t="str">
            <v>MONONA</v>
          </cell>
          <cell r="L2429" t="str">
            <v>Monona</v>
          </cell>
          <cell r="V2429">
            <v>155000</v>
          </cell>
        </row>
        <row r="2430">
          <cell r="B2430">
            <v>1999</v>
          </cell>
          <cell r="K2430" t="str">
            <v>SAC</v>
          </cell>
          <cell r="L2430" t="str">
            <v>Sac</v>
          </cell>
          <cell r="V2430">
            <v>155000</v>
          </cell>
        </row>
        <row r="2431">
          <cell r="B2431">
            <v>1999</v>
          </cell>
          <cell r="K2431" t="str">
            <v>SHELBY</v>
          </cell>
          <cell r="L2431" t="str">
            <v>Shelby</v>
          </cell>
          <cell r="V2431">
            <v>158000</v>
          </cell>
        </row>
        <row r="2432">
          <cell r="B2432">
            <v>1999</v>
          </cell>
          <cell r="K2432" t="str">
            <v>WOODBURY</v>
          </cell>
          <cell r="L2432" t="str">
            <v>Woodbury</v>
          </cell>
          <cell r="V2432">
            <v>180000</v>
          </cell>
        </row>
        <row r="2433">
          <cell r="B2433">
            <v>1998</v>
          </cell>
          <cell r="K2433" t="str">
            <v>BOONE</v>
          </cell>
          <cell r="L2433" t="str">
            <v>Boone</v>
          </cell>
          <cell r="V2433">
            <v>150500</v>
          </cell>
        </row>
        <row r="2434">
          <cell r="B2434">
            <v>1998</v>
          </cell>
          <cell r="K2434" t="str">
            <v>DALLAS</v>
          </cell>
          <cell r="L2434" t="str">
            <v>Dallas</v>
          </cell>
          <cell r="V2434">
            <v>137600</v>
          </cell>
        </row>
        <row r="2435">
          <cell r="B2435">
            <v>1998</v>
          </cell>
          <cell r="K2435" t="str">
            <v>GRUNDY</v>
          </cell>
          <cell r="L2435" t="str">
            <v>Grundy</v>
          </cell>
          <cell r="V2435">
            <v>154300</v>
          </cell>
        </row>
        <row r="2436">
          <cell r="B2436">
            <v>1998</v>
          </cell>
          <cell r="K2436" t="str">
            <v>HAMILTON</v>
          </cell>
          <cell r="L2436" t="str">
            <v>Hamilton</v>
          </cell>
          <cell r="V2436">
            <v>173600</v>
          </cell>
        </row>
        <row r="2437">
          <cell r="B2437">
            <v>1998</v>
          </cell>
          <cell r="K2437" t="str">
            <v>HARDIN</v>
          </cell>
          <cell r="L2437" t="str">
            <v>Hardin</v>
          </cell>
          <cell r="V2437">
            <v>164300</v>
          </cell>
        </row>
        <row r="2438">
          <cell r="B2438">
            <v>1998</v>
          </cell>
          <cell r="K2438" t="str">
            <v>JASPER</v>
          </cell>
          <cell r="L2438" t="str">
            <v>Jasper</v>
          </cell>
          <cell r="V2438">
            <v>164400</v>
          </cell>
        </row>
        <row r="2439">
          <cell r="B2439">
            <v>1998</v>
          </cell>
          <cell r="K2439" t="str">
            <v>MARSHALL</v>
          </cell>
          <cell r="L2439" t="str">
            <v>Marshall</v>
          </cell>
          <cell r="V2439">
            <v>142400</v>
          </cell>
        </row>
        <row r="2440">
          <cell r="B2440">
            <v>1998</v>
          </cell>
          <cell r="K2440" t="str">
            <v>POLK</v>
          </cell>
          <cell r="L2440" t="str">
            <v>Polk</v>
          </cell>
          <cell r="V2440">
            <v>93700</v>
          </cell>
        </row>
        <row r="2441">
          <cell r="B2441">
            <v>1998</v>
          </cell>
          <cell r="K2441" t="str">
            <v>POWESHIEK</v>
          </cell>
          <cell r="L2441" t="str">
            <v>Poweshiek</v>
          </cell>
          <cell r="V2441">
            <v>116700</v>
          </cell>
        </row>
        <row r="2442">
          <cell r="B2442">
            <v>1998</v>
          </cell>
          <cell r="K2442" t="str">
            <v>STORY</v>
          </cell>
          <cell r="L2442" t="str">
            <v>Story</v>
          </cell>
          <cell r="V2442">
            <v>159400</v>
          </cell>
        </row>
        <row r="2443">
          <cell r="B2443">
            <v>1998</v>
          </cell>
          <cell r="K2443" t="str">
            <v>TAMA</v>
          </cell>
          <cell r="L2443" t="str">
            <v>Tama</v>
          </cell>
          <cell r="V2443">
            <v>164800</v>
          </cell>
        </row>
        <row r="2444">
          <cell r="B2444">
            <v>1998</v>
          </cell>
          <cell r="K2444" t="str">
            <v>WEBSTER</v>
          </cell>
          <cell r="L2444" t="str">
            <v>Webster</v>
          </cell>
          <cell r="V2444">
            <v>191300</v>
          </cell>
        </row>
        <row r="2445">
          <cell r="B2445">
            <v>1998</v>
          </cell>
          <cell r="K2445" t="str">
            <v>BENTON</v>
          </cell>
          <cell r="L2445" t="str">
            <v>Benton</v>
          </cell>
          <cell r="V2445">
            <v>177800</v>
          </cell>
        </row>
        <row r="2446">
          <cell r="B2446">
            <v>1998</v>
          </cell>
          <cell r="K2446" t="str">
            <v>CEDAR</v>
          </cell>
          <cell r="L2446" t="str">
            <v>Cedar</v>
          </cell>
          <cell r="V2446">
            <v>141000</v>
          </cell>
        </row>
        <row r="2447">
          <cell r="B2447">
            <v>1998</v>
          </cell>
          <cell r="K2447" t="str">
            <v>CLINTON</v>
          </cell>
          <cell r="L2447" t="str">
            <v>Clinton</v>
          </cell>
          <cell r="V2447">
            <v>180700</v>
          </cell>
        </row>
        <row r="2448">
          <cell r="B2448">
            <v>1998</v>
          </cell>
          <cell r="K2448" t="str">
            <v>IOWA</v>
          </cell>
          <cell r="L2448" t="str">
            <v>Iowa</v>
          </cell>
          <cell r="V2448">
            <v>119100</v>
          </cell>
        </row>
        <row r="2449">
          <cell r="B2449">
            <v>1998</v>
          </cell>
          <cell r="K2449" t="str">
            <v>JACKSON</v>
          </cell>
          <cell r="L2449" t="str">
            <v>Jackson</v>
          </cell>
          <cell r="V2449">
            <v>99200</v>
          </cell>
        </row>
        <row r="2450">
          <cell r="B2450">
            <v>1998</v>
          </cell>
          <cell r="K2450" t="str">
            <v>JOHNSON</v>
          </cell>
          <cell r="L2450" t="str">
            <v>Johnson</v>
          </cell>
          <cell r="V2450">
            <v>106200</v>
          </cell>
        </row>
        <row r="2451">
          <cell r="B2451">
            <v>1998</v>
          </cell>
          <cell r="K2451" t="str">
            <v>JONES</v>
          </cell>
          <cell r="L2451" t="str">
            <v>Jones</v>
          </cell>
          <cell r="V2451">
            <v>145000</v>
          </cell>
        </row>
        <row r="2452">
          <cell r="B2452">
            <v>1998</v>
          </cell>
          <cell r="K2452" t="str">
            <v>LINN</v>
          </cell>
          <cell r="L2452" t="str">
            <v>Linn</v>
          </cell>
          <cell r="V2452">
            <v>140000</v>
          </cell>
        </row>
        <row r="2453">
          <cell r="B2453">
            <v>1998</v>
          </cell>
          <cell r="K2453" t="str">
            <v>MUSCATINE</v>
          </cell>
          <cell r="L2453" t="str">
            <v>Muscatine</v>
          </cell>
          <cell r="V2453">
            <v>89700</v>
          </cell>
        </row>
        <row r="2454">
          <cell r="B2454">
            <v>1998</v>
          </cell>
          <cell r="K2454" t="str">
            <v>SCOTT</v>
          </cell>
          <cell r="L2454" t="str">
            <v>Scott</v>
          </cell>
          <cell r="V2454">
            <v>116300</v>
          </cell>
        </row>
        <row r="2455">
          <cell r="B2455">
            <v>1998</v>
          </cell>
          <cell r="K2455" t="str">
            <v>BUTLER</v>
          </cell>
          <cell r="L2455" t="str">
            <v>Butler</v>
          </cell>
          <cell r="V2455">
            <v>152500</v>
          </cell>
        </row>
        <row r="2456">
          <cell r="B2456">
            <v>1998</v>
          </cell>
          <cell r="K2456" t="str">
            <v>CERRO GORDO</v>
          </cell>
          <cell r="L2456" t="str">
            <v>Cerro Gordo</v>
          </cell>
          <cell r="V2456">
            <v>148100</v>
          </cell>
        </row>
        <row r="2457">
          <cell r="B2457">
            <v>1998</v>
          </cell>
          <cell r="K2457" t="str">
            <v>FLOYD</v>
          </cell>
          <cell r="L2457" t="str">
            <v>Floyd</v>
          </cell>
          <cell r="V2457">
            <v>141500</v>
          </cell>
        </row>
        <row r="2458">
          <cell r="B2458">
            <v>1998</v>
          </cell>
          <cell r="K2458" t="str">
            <v>FRANKLIN</v>
          </cell>
          <cell r="L2458" t="str">
            <v>Franklin</v>
          </cell>
          <cell r="V2458">
            <v>165600</v>
          </cell>
        </row>
        <row r="2459">
          <cell r="B2459">
            <v>1998</v>
          </cell>
          <cell r="K2459" t="str">
            <v>HANCOCK</v>
          </cell>
          <cell r="L2459" t="str">
            <v>Hancock</v>
          </cell>
          <cell r="V2459">
            <v>172300</v>
          </cell>
        </row>
        <row r="2460">
          <cell r="B2460">
            <v>1998</v>
          </cell>
          <cell r="K2460" t="str">
            <v>HUMBOLDT</v>
          </cell>
          <cell r="L2460" t="str">
            <v>Humboldt</v>
          </cell>
          <cell r="V2460">
            <v>126100</v>
          </cell>
        </row>
        <row r="2461">
          <cell r="B2461">
            <v>1998</v>
          </cell>
          <cell r="K2461" t="str">
            <v>KOSSUTH</v>
          </cell>
          <cell r="L2461" t="str">
            <v>Kossuth</v>
          </cell>
          <cell r="V2461">
            <v>305100</v>
          </cell>
        </row>
        <row r="2462">
          <cell r="B2462">
            <v>1998</v>
          </cell>
          <cell r="K2462" t="str">
            <v>MITCHELL</v>
          </cell>
          <cell r="L2462" t="str">
            <v>Mitchell</v>
          </cell>
          <cell r="V2462">
            <v>138900</v>
          </cell>
        </row>
        <row r="2463">
          <cell r="B2463">
            <v>1998</v>
          </cell>
          <cell r="K2463" t="str">
            <v>WINNEBAGO</v>
          </cell>
          <cell r="L2463" t="str">
            <v>Winnebago</v>
          </cell>
          <cell r="V2463">
            <v>129200</v>
          </cell>
        </row>
        <row r="2464">
          <cell r="B2464">
            <v>1998</v>
          </cell>
          <cell r="K2464" t="str">
            <v>WORTH</v>
          </cell>
          <cell r="L2464" t="str">
            <v>Worth</v>
          </cell>
          <cell r="V2464">
            <v>113300</v>
          </cell>
        </row>
        <row r="2465">
          <cell r="B2465">
            <v>1998</v>
          </cell>
          <cell r="K2465" t="str">
            <v>WRIGHT</v>
          </cell>
          <cell r="L2465" t="str">
            <v>Wright</v>
          </cell>
          <cell r="V2465">
            <v>171400</v>
          </cell>
        </row>
        <row r="2466">
          <cell r="B2466">
            <v>1998</v>
          </cell>
          <cell r="K2466" t="str">
            <v>ALLAMAKEE</v>
          </cell>
          <cell r="L2466" t="str">
            <v>Allamakee</v>
          </cell>
          <cell r="V2466">
            <v>74600</v>
          </cell>
        </row>
        <row r="2467">
          <cell r="B2467">
            <v>1998</v>
          </cell>
          <cell r="K2467" t="str">
            <v>BLACK HAWK</v>
          </cell>
          <cell r="L2467" t="str">
            <v>Black Hawk</v>
          </cell>
          <cell r="V2467">
            <v>146900</v>
          </cell>
        </row>
        <row r="2468">
          <cell r="B2468">
            <v>1998</v>
          </cell>
          <cell r="K2468" t="str">
            <v>BREMER</v>
          </cell>
          <cell r="L2468" t="str">
            <v>Bremer</v>
          </cell>
          <cell r="V2468">
            <v>112500</v>
          </cell>
        </row>
        <row r="2469">
          <cell r="B2469">
            <v>1998</v>
          </cell>
          <cell r="K2469" t="str">
            <v>BUCHANAN</v>
          </cell>
          <cell r="L2469" t="str">
            <v>Buchanan</v>
          </cell>
          <cell r="V2469">
            <v>166700</v>
          </cell>
        </row>
        <row r="2470">
          <cell r="B2470">
            <v>1998</v>
          </cell>
          <cell r="K2470" t="str">
            <v>CHICKASAW</v>
          </cell>
          <cell r="L2470" t="str">
            <v>Chickasaw</v>
          </cell>
          <cell r="V2470">
            <v>128400</v>
          </cell>
        </row>
        <row r="2471">
          <cell r="B2471">
            <v>1998</v>
          </cell>
          <cell r="K2471" t="str">
            <v>CLAYTON</v>
          </cell>
          <cell r="L2471" t="str">
            <v>Clayton</v>
          </cell>
          <cell r="V2471">
            <v>167900</v>
          </cell>
        </row>
        <row r="2472">
          <cell r="B2472">
            <v>1998</v>
          </cell>
          <cell r="K2472" t="str">
            <v>DELAWARE</v>
          </cell>
          <cell r="L2472" t="str">
            <v>Delaware</v>
          </cell>
          <cell r="V2472">
            <v>174600</v>
          </cell>
        </row>
        <row r="2473">
          <cell r="B2473">
            <v>1998</v>
          </cell>
          <cell r="K2473" t="str">
            <v>DUBUQUE</v>
          </cell>
          <cell r="L2473" t="str">
            <v>Dubuque</v>
          </cell>
          <cell r="V2473">
            <v>130700</v>
          </cell>
        </row>
        <row r="2474">
          <cell r="B2474">
            <v>1998</v>
          </cell>
          <cell r="K2474" t="str">
            <v>FAYETTE</v>
          </cell>
          <cell r="L2474" t="str">
            <v>Fayette</v>
          </cell>
          <cell r="V2474">
            <v>193300</v>
          </cell>
        </row>
        <row r="2475">
          <cell r="B2475">
            <v>1998</v>
          </cell>
          <cell r="K2475" t="str">
            <v>HOWARD</v>
          </cell>
          <cell r="L2475" t="str">
            <v>Howard</v>
          </cell>
          <cell r="V2475">
            <v>122500</v>
          </cell>
        </row>
        <row r="2476">
          <cell r="B2476">
            <v>1998</v>
          </cell>
          <cell r="K2476" t="str">
            <v>WINNESHIEK</v>
          </cell>
          <cell r="L2476" t="str">
            <v>Winneshiek</v>
          </cell>
          <cell r="V2476">
            <v>141900</v>
          </cell>
        </row>
        <row r="2477">
          <cell r="B2477">
            <v>1998</v>
          </cell>
          <cell r="K2477" t="str">
            <v>BUENA VISTA</v>
          </cell>
          <cell r="L2477" t="str">
            <v>Buena Vista</v>
          </cell>
          <cell r="V2477">
            <v>168300</v>
          </cell>
        </row>
        <row r="2478">
          <cell r="B2478">
            <v>1998</v>
          </cell>
          <cell r="K2478" t="str">
            <v>CHEROKEE</v>
          </cell>
          <cell r="L2478" t="str">
            <v>Cherokee</v>
          </cell>
          <cell r="V2478">
            <v>138400</v>
          </cell>
        </row>
        <row r="2479">
          <cell r="B2479">
            <v>1998</v>
          </cell>
          <cell r="K2479" t="str">
            <v>CLAY</v>
          </cell>
          <cell r="L2479" t="str">
            <v>Clay</v>
          </cell>
          <cell r="V2479">
            <v>128300</v>
          </cell>
        </row>
        <row r="2480">
          <cell r="B2480">
            <v>1998</v>
          </cell>
          <cell r="K2480" t="str">
            <v>DICKINSON</v>
          </cell>
          <cell r="L2480" t="str">
            <v>Dickinson</v>
          </cell>
          <cell r="V2480">
            <v>86300</v>
          </cell>
        </row>
        <row r="2481">
          <cell r="B2481">
            <v>1998</v>
          </cell>
          <cell r="K2481" t="str">
            <v>EMMET</v>
          </cell>
          <cell r="L2481" t="str">
            <v>Emmet</v>
          </cell>
          <cell r="V2481">
            <v>107400</v>
          </cell>
        </row>
        <row r="2482">
          <cell r="B2482">
            <v>1998</v>
          </cell>
          <cell r="K2482" t="str">
            <v>LYON</v>
          </cell>
          <cell r="L2482" t="str">
            <v>Lyon</v>
          </cell>
          <cell r="V2482">
            <v>159600</v>
          </cell>
        </row>
        <row r="2483">
          <cell r="B2483">
            <v>1998</v>
          </cell>
          <cell r="K2483" t="str">
            <v>O BRIEN</v>
          </cell>
          <cell r="L2483" t="str">
            <v>O Brien</v>
          </cell>
          <cell r="V2483">
            <v>166300</v>
          </cell>
        </row>
        <row r="2484">
          <cell r="B2484">
            <v>1998</v>
          </cell>
          <cell r="K2484" t="str">
            <v>OSCEOLA</v>
          </cell>
          <cell r="L2484" t="str">
            <v>Osceola</v>
          </cell>
          <cell r="V2484">
            <v>111500</v>
          </cell>
        </row>
        <row r="2485">
          <cell r="B2485">
            <v>1998</v>
          </cell>
          <cell r="K2485" t="str">
            <v>PALO ALTO</v>
          </cell>
          <cell r="L2485" t="str">
            <v>Palo Alto</v>
          </cell>
          <cell r="V2485">
            <v>164600</v>
          </cell>
        </row>
        <row r="2486">
          <cell r="B2486">
            <v>1998</v>
          </cell>
          <cell r="K2486" t="str">
            <v>PLYMOUTH</v>
          </cell>
          <cell r="L2486" t="str">
            <v>Plymouth</v>
          </cell>
          <cell r="V2486">
            <v>219300</v>
          </cell>
        </row>
        <row r="2487">
          <cell r="B2487">
            <v>1998</v>
          </cell>
          <cell r="K2487" t="str">
            <v>POCAHONTAS</v>
          </cell>
          <cell r="L2487" t="str">
            <v>Pocahontas</v>
          </cell>
          <cell r="V2487">
            <v>168900</v>
          </cell>
        </row>
        <row r="2488">
          <cell r="B2488">
            <v>1998</v>
          </cell>
          <cell r="K2488" t="str">
            <v>SIOUX</v>
          </cell>
          <cell r="L2488" t="str">
            <v>Sioux</v>
          </cell>
          <cell r="V2488">
            <v>247100</v>
          </cell>
        </row>
        <row r="2489">
          <cell r="B2489">
            <v>1998</v>
          </cell>
          <cell r="K2489" t="str">
            <v>APPANOOSE</v>
          </cell>
          <cell r="L2489" t="str">
            <v>Appanoose</v>
          </cell>
          <cell r="V2489">
            <v>26200</v>
          </cell>
        </row>
        <row r="2490">
          <cell r="B2490">
            <v>1998</v>
          </cell>
          <cell r="K2490" t="str">
            <v>CLARKE</v>
          </cell>
          <cell r="L2490" t="str">
            <v>Clarke</v>
          </cell>
          <cell r="V2490">
            <v>28700</v>
          </cell>
        </row>
        <row r="2491">
          <cell r="B2491">
            <v>1998</v>
          </cell>
          <cell r="K2491" t="str">
            <v>DECATUR</v>
          </cell>
          <cell r="L2491" t="str">
            <v>Decatur</v>
          </cell>
          <cell r="V2491">
            <v>25300</v>
          </cell>
        </row>
        <row r="2492">
          <cell r="B2492">
            <v>1998</v>
          </cell>
          <cell r="K2492" t="str">
            <v>LUCAS</v>
          </cell>
          <cell r="L2492" t="str">
            <v>Lucas</v>
          </cell>
          <cell r="V2492">
            <v>24600</v>
          </cell>
        </row>
        <row r="2493">
          <cell r="B2493">
            <v>1998</v>
          </cell>
          <cell r="K2493" t="str">
            <v>MADISON</v>
          </cell>
          <cell r="L2493" t="str">
            <v>Madison</v>
          </cell>
          <cell r="V2493">
            <v>77800</v>
          </cell>
        </row>
        <row r="2494">
          <cell r="B2494">
            <v>1998</v>
          </cell>
          <cell r="K2494" t="str">
            <v>MARION</v>
          </cell>
          <cell r="L2494" t="str">
            <v>Marion</v>
          </cell>
          <cell r="V2494">
            <v>77700</v>
          </cell>
        </row>
        <row r="2495">
          <cell r="B2495">
            <v>1998</v>
          </cell>
          <cell r="K2495" t="str">
            <v>MONROE</v>
          </cell>
          <cell r="L2495" t="str">
            <v>Monroe</v>
          </cell>
          <cell r="V2495">
            <v>28700</v>
          </cell>
        </row>
        <row r="2496">
          <cell r="B2496">
            <v>1998</v>
          </cell>
          <cell r="K2496" t="str">
            <v>RINGGOLD</v>
          </cell>
          <cell r="L2496" t="str">
            <v>Ringgold</v>
          </cell>
          <cell r="V2496">
            <v>39400</v>
          </cell>
        </row>
        <row r="2497">
          <cell r="B2497">
            <v>1998</v>
          </cell>
          <cell r="K2497" t="str">
            <v>UNION</v>
          </cell>
          <cell r="L2497" t="str">
            <v>Union</v>
          </cell>
          <cell r="V2497">
            <v>43600</v>
          </cell>
        </row>
        <row r="2498">
          <cell r="B2498">
            <v>1998</v>
          </cell>
          <cell r="K2498" t="str">
            <v>WARREN</v>
          </cell>
          <cell r="L2498" t="str">
            <v>Warren</v>
          </cell>
          <cell r="V2498">
            <v>78500</v>
          </cell>
        </row>
        <row r="2499">
          <cell r="B2499">
            <v>1998</v>
          </cell>
          <cell r="K2499" t="str">
            <v>WAYNE</v>
          </cell>
          <cell r="L2499" t="str">
            <v>Wayne</v>
          </cell>
          <cell r="V2499">
            <v>42500</v>
          </cell>
        </row>
        <row r="2500">
          <cell r="B2500">
            <v>1998</v>
          </cell>
          <cell r="K2500" t="str">
            <v>DAVIS</v>
          </cell>
          <cell r="L2500" t="str">
            <v>Davis</v>
          </cell>
          <cell r="V2500">
            <v>39500</v>
          </cell>
        </row>
        <row r="2501">
          <cell r="B2501">
            <v>1998</v>
          </cell>
          <cell r="K2501" t="str">
            <v>DES MOINES</v>
          </cell>
          <cell r="L2501" t="str">
            <v>Des Moines</v>
          </cell>
          <cell r="V2501">
            <v>76200</v>
          </cell>
        </row>
        <row r="2502">
          <cell r="B2502">
            <v>1998</v>
          </cell>
          <cell r="K2502" t="str">
            <v>HENRY</v>
          </cell>
          <cell r="L2502" t="str">
            <v>Henry</v>
          </cell>
          <cell r="V2502">
            <v>90300</v>
          </cell>
        </row>
        <row r="2503">
          <cell r="B2503">
            <v>1998</v>
          </cell>
          <cell r="K2503" t="str">
            <v>JEFFERSON</v>
          </cell>
          <cell r="L2503" t="str">
            <v>Jefferson</v>
          </cell>
          <cell r="V2503">
            <v>64600</v>
          </cell>
        </row>
        <row r="2504">
          <cell r="B2504">
            <v>1998</v>
          </cell>
          <cell r="K2504" t="str">
            <v>KEOKUK</v>
          </cell>
          <cell r="L2504" t="str">
            <v>Keokuk</v>
          </cell>
          <cell r="V2504">
            <v>98800</v>
          </cell>
        </row>
        <row r="2505">
          <cell r="B2505">
            <v>1998</v>
          </cell>
          <cell r="K2505" t="str">
            <v>LEE</v>
          </cell>
          <cell r="L2505" t="str">
            <v>Lee</v>
          </cell>
          <cell r="V2505">
            <v>78600</v>
          </cell>
        </row>
        <row r="2506">
          <cell r="B2506">
            <v>1998</v>
          </cell>
          <cell r="K2506" t="str">
            <v>LOUISA</v>
          </cell>
          <cell r="L2506" t="str">
            <v>Louisa</v>
          </cell>
          <cell r="V2506">
            <v>78600</v>
          </cell>
        </row>
        <row r="2507">
          <cell r="B2507">
            <v>1998</v>
          </cell>
          <cell r="K2507" t="str">
            <v>MAHASKA</v>
          </cell>
          <cell r="L2507" t="str">
            <v>Mahaska</v>
          </cell>
          <cell r="V2507">
            <v>119100</v>
          </cell>
        </row>
        <row r="2508">
          <cell r="B2508">
            <v>1998</v>
          </cell>
          <cell r="K2508" t="str">
            <v>VAN BUREN</v>
          </cell>
          <cell r="L2508" t="str">
            <v>Van Buren</v>
          </cell>
          <cell r="V2508">
            <v>45200</v>
          </cell>
        </row>
        <row r="2509">
          <cell r="B2509">
            <v>1998</v>
          </cell>
          <cell r="K2509" t="str">
            <v>WAPELLO</v>
          </cell>
          <cell r="L2509" t="str">
            <v>Wapello</v>
          </cell>
          <cell r="V2509">
            <v>51700</v>
          </cell>
        </row>
        <row r="2510">
          <cell r="B2510">
            <v>1998</v>
          </cell>
          <cell r="K2510" t="str">
            <v>WASHINGTON</v>
          </cell>
          <cell r="L2510" t="str">
            <v>Washington</v>
          </cell>
          <cell r="V2510">
            <v>120400</v>
          </cell>
        </row>
        <row r="2511">
          <cell r="B2511">
            <v>1998</v>
          </cell>
          <cell r="K2511" t="str">
            <v>ADAIR</v>
          </cell>
          <cell r="L2511" t="str">
            <v>Adair</v>
          </cell>
          <cell r="V2511">
            <v>104600</v>
          </cell>
        </row>
        <row r="2512">
          <cell r="B2512">
            <v>1998</v>
          </cell>
          <cell r="K2512" t="str">
            <v>ADAMS</v>
          </cell>
          <cell r="L2512" t="str">
            <v>Adams</v>
          </cell>
          <cell r="V2512">
            <v>64500</v>
          </cell>
        </row>
        <row r="2513">
          <cell r="B2513">
            <v>1998</v>
          </cell>
          <cell r="K2513" t="str">
            <v>CASS</v>
          </cell>
          <cell r="L2513" t="str">
            <v>Cass</v>
          </cell>
          <cell r="V2513">
            <v>122900</v>
          </cell>
        </row>
        <row r="2514">
          <cell r="B2514">
            <v>1998</v>
          </cell>
          <cell r="K2514" t="str">
            <v>FREMONT</v>
          </cell>
          <cell r="L2514" t="str">
            <v>Fremont</v>
          </cell>
          <cell r="V2514">
            <v>124500</v>
          </cell>
        </row>
        <row r="2515">
          <cell r="B2515">
            <v>1998</v>
          </cell>
          <cell r="K2515" t="str">
            <v>MILLS</v>
          </cell>
          <cell r="L2515" t="str">
            <v>Mills</v>
          </cell>
          <cell r="V2515">
            <v>99000</v>
          </cell>
        </row>
        <row r="2516">
          <cell r="B2516">
            <v>1998</v>
          </cell>
          <cell r="K2516" t="str">
            <v>MONTGOMERY</v>
          </cell>
          <cell r="L2516" t="str">
            <v>Montgomery</v>
          </cell>
          <cell r="V2516">
            <v>88800</v>
          </cell>
        </row>
        <row r="2517">
          <cell r="B2517">
            <v>1998</v>
          </cell>
          <cell r="K2517" t="str">
            <v>PAGE</v>
          </cell>
          <cell r="L2517" t="str">
            <v>Page</v>
          </cell>
          <cell r="V2517">
            <v>102200</v>
          </cell>
        </row>
        <row r="2518">
          <cell r="B2518">
            <v>1998</v>
          </cell>
          <cell r="K2518" t="str">
            <v>POTTAWATTAMIE</v>
          </cell>
          <cell r="L2518" t="str">
            <v>Pottawattamie</v>
          </cell>
          <cell r="V2518">
            <v>240100</v>
          </cell>
        </row>
        <row r="2519">
          <cell r="B2519">
            <v>1998</v>
          </cell>
          <cell r="K2519" t="str">
            <v>TAYLOR</v>
          </cell>
          <cell r="L2519" t="str">
            <v>Taylor</v>
          </cell>
          <cell r="V2519">
            <v>60400</v>
          </cell>
        </row>
        <row r="2520">
          <cell r="B2520">
            <v>1998</v>
          </cell>
          <cell r="K2520" t="str">
            <v>AUDUBON</v>
          </cell>
          <cell r="L2520" t="str">
            <v>Audubon</v>
          </cell>
          <cell r="V2520">
            <v>116300</v>
          </cell>
        </row>
        <row r="2521">
          <cell r="B2521">
            <v>1998</v>
          </cell>
          <cell r="K2521" t="str">
            <v>CALHOUN</v>
          </cell>
          <cell r="L2521" t="str">
            <v>Calhoun</v>
          </cell>
          <cell r="V2521">
            <v>162800</v>
          </cell>
        </row>
        <row r="2522">
          <cell r="B2522">
            <v>1998</v>
          </cell>
          <cell r="K2522" t="str">
            <v>CARROLL</v>
          </cell>
          <cell r="L2522" t="str">
            <v>Carroll</v>
          </cell>
          <cell r="V2522">
            <v>159200</v>
          </cell>
        </row>
        <row r="2523">
          <cell r="B2523">
            <v>1998</v>
          </cell>
          <cell r="K2523" t="str">
            <v>CRAWFORD</v>
          </cell>
          <cell r="L2523" t="str">
            <v>Crawford</v>
          </cell>
          <cell r="V2523">
            <v>166000</v>
          </cell>
        </row>
        <row r="2524">
          <cell r="B2524">
            <v>1998</v>
          </cell>
          <cell r="K2524" t="str">
            <v>GREENE</v>
          </cell>
          <cell r="L2524" t="str">
            <v>Greene</v>
          </cell>
          <cell r="V2524">
            <v>152600</v>
          </cell>
        </row>
        <row r="2525">
          <cell r="B2525">
            <v>1998</v>
          </cell>
          <cell r="K2525" t="str">
            <v>GUTHRIE</v>
          </cell>
          <cell r="L2525" t="str">
            <v>Guthrie</v>
          </cell>
          <cell r="V2525">
            <v>100600</v>
          </cell>
        </row>
        <row r="2526">
          <cell r="B2526">
            <v>1998</v>
          </cell>
          <cell r="K2526" t="str">
            <v>HARRISON</v>
          </cell>
          <cell r="L2526" t="str">
            <v>Harrison</v>
          </cell>
          <cell r="V2526">
            <v>162300</v>
          </cell>
        </row>
        <row r="2527">
          <cell r="B2527">
            <v>1998</v>
          </cell>
          <cell r="K2527" t="str">
            <v>IDA</v>
          </cell>
          <cell r="L2527" t="str">
            <v>Ida</v>
          </cell>
          <cell r="V2527">
            <v>109400</v>
          </cell>
        </row>
        <row r="2528">
          <cell r="B2528">
            <v>1998</v>
          </cell>
          <cell r="K2528" t="str">
            <v>MONONA</v>
          </cell>
          <cell r="L2528" t="str">
            <v>Monona</v>
          </cell>
          <cell r="V2528">
            <v>159800</v>
          </cell>
        </row>
        <row r="2529">
          <cell r="B2529">
            <v>1998</v>
          </cell>
          <cell r="K2529" t="str">
            <v>SAC</v>
          </cell>
          <cell r="L2529" t="str">
            <v>Sac</v>
          </cell>
          <cell r="V2529">
            <v>160100</v>
          </cell>
        </row>
        <row r="2530">
          <cell r="B2530">
            <v>1998</v>
          </cell>
          <cell r="K2530" t="str">
            <v>SHELBY</v>
          </cell>
          <cell r="L2530" t="str">
            <v>Shelby</v>
          </cell>
          <cell r="V2530">
            <v>166000</v>
          </cell>
        </row>
        <row r="2531">
          <cell r="B2531">
            <v>1998</v>
          </cell>
          <cell r="K2531" t="str">
            <v>WOODBURY</v>
          </cell>
          <cell r="L2531" t="str">
            <v>Woodbury</v>
          </cell>
          <cell r="V2531">
            <v>203900</v>
          </cell>
        </row>
        <row r="2532">
          <cell r="B2532">
            <v>1997</v>
          </cell>
          <cell r="K2532" t="str">
            <v>BOONE</v>
          </cell>
          <cell r="L2532" t="str">
            <v>Boone</v>
          </cell>
          <cell r="V2532">
            <v>145500</v>
          </cell>
        </row>
        <row r="2533">
          <cell r="B2533">
            <v>1997</v>
          </cell>
          <cell r="K2533" t="str">
            <v>DALLAS</v>
          </cell>
          <cell r="L2533" t="str">
            <v>Dallas</v>
          </cell>
          <cell r="V2533">
            <v>130700</v>
          </cell>
        </row>
        <row r="2534">
          <cell r="B2534">
            <v>1997</v>
          </cell>
          <cell r="K2534" t="str">
            <v>GRUNDY</v>
          </cell>
          <cell r="L2534" t="str">
            <v>Grundy</v>
          </cell>
          <cell r="V2534">
            <v>155800</v>
          </cell>
        </row>
        <row r="2535">
          <cell r="B2535">
            <v>1997</v>
          </cell>
          <cell r="K2535" t="str">
            <v>HAMILTON</v>
          </cell>
          <cell r="L2535" t="str">
            <v>Hamilton</v>
          </cell>
          <cell r="V2535">
            <v>170600</v>
          </cell>
        </row>
        <row r="2536">
          <cell r="B2536">
            <v>1997</v>
          </cell>
          <cell r="K2536" t="str">
            <v>HARDIN</v>
          </cell>
          <cell r="L2536" t="str">
            <v>Hardin</v>
          </cell>
          <cell r="V2536">
            <v>164900</v>
          </cell>
        </row>
        <row r="2537">
          <cell r="B2537">
            <v>1997</v>
          </cell>
          <cell r="K2537" t="str">
            <v>JASPER</v>
          </cell>
          <cell r="L2537" t="str">
            <v>Jasper</v>
          </cell>
          <cell r="V2537">
            <v>164400</v>
          </cell>
        </row>
        <row r="2538">
          <cell r="B2538">
            <v>1997</v>
          </cell>
          <cell r="K2538" t="str">
            <v>MARSHALL</v>
          </cell>
          <cell r="L2538" t="str">
            <v>Marshall</v>
          </cell>
          <cell r="V2538">
            <v>136000</v>
          </cell>
        </row>
        <row r="2539">
          <cell r="B2539">
            <v>1997</v>
          </cell>
          <cell r="K2539" t="str">
            <v>POLK</v>
          </cell>
          <cell r="L2539" t="str">
            <v>Polk</v>
          </cell>
          <cell r="V2539">
            <v>93700</v>
          </cell>
        </row>
        <row r="2540">
          <cell r="B2540">
            <v>1997</v>
          </cell>
          <cell r="K2540" t="str">
            <v>POWESHIEK</v>
          </cell>
          <cell r="L2540" t="str">
            <v>Poweshiek</v>
          </cell>
          <cell r="V2540">
            <v>113900</v>
          </cell>
        </row>
        <row r="2541">
          <cell r="B2541">
            <v>1997</v>
          </cell>
          <cell r="K2541" t="str">
            <v>STORY</v>
          </cell>
          <cell r="L2541" t="str">
            <v>Story</v>
          </cell>
          <cell r="V2541">
            <v>160100</v>
          </cell>
        </row>
        <row r="2542">
          <cell r="B2542">
            <v>1997</v>
          </cell>
          <cell r="K2542" t="str">
            <v>TAMA</v>
          </cell>
          <cell r="L2542" t="str">
            <v>Tama</v>
          </cell>
          <cell r="V2542">
            <v>160000</v>
          </cell>
        </row>
        <row r="2543">
          <cell r="B2543">
            <v>1997</v>
          </cell>
          <cell r="K2543" t="str">
            <v>WEBSTER</v>
          </cell>
          <cell r="L2543" t="str">
            <v>Webster</v>
          </cell>
          <cell r="V2543">
            <v>190400</v>
          </cell>
        </row>
        <row r="2544">
          <cell r="B2544">
            <v>1997</v>
          </cell>
          <cell r="K2544" t="str">
            <v>BENTON</v>
          </cell>
          <cell r="L2544" t="str">
            <v>Benton</v>
          </cell>
          <cell r="V2544">
            <v>173600</v>
          </cell>
        </row>
        <row r="2545">
          <cell r="B2545">
            <v>1997</v>
          </cell>
          <cell r="K2545" t="str">
            <v>CEDAR</v>
          </cell>
          <cell r="L2545" t="str">
            <v>Cedar</v>
          </cell>
          <cell r="V2545">
            <v>145800</v>
          </cell>
        </row>
        <row r="2546">
          <cell r="B2546">
            <v>1997</v>
          </cell>
          <cell r="K2546" t="str">
            <v>CLINTON</v>
          </cell>
          <cell r="L2546" t="str">
            <v>Clinton</v>
          </cell>
          <cell r="V2546">
            <v>180700</v>
          </cell>
        </row>
        <row r="2547">
          <cell r="B2547">
            <v>1997</v>
          </cell>
          <cell r="K2547" t="str">
            <v>IOWA</v>
          </cell>
          <cell r="L2547" t="str">
            <v>Iowa</v>
          </cell>
          <cell r="V2547">
            <v>118700</v>
          </cell>
        </row>
        <row r="2548">
          <cell r="B2548">
            <v>1997</v>
          </cell>
          <cell r="K2548" t="str">
            <v>JACKSON</v>
          </cell>
          <cell r="L2548" t="str">
            <v>Jackson</v>
          </cell>
          <cell r="V2548">
            <v>99200</v>
          </cell>
        </row>
        <row r="2549">
          <cell r="B2549">
            <v>1997</v>
          </cell>
          <cell r="K2549" t="str">
            <v>JOHNSON</v>
          </cell>
          <cell r="L2549" t="str">
            <v>Johnson</v>
          </cell>
          <cell r="V2549">
            <v>103700</v>
          </cell>
        </row>
        <row r="2550">
          <cell r="B2550">
            <v>1997</v>
          </cell>
          <cell r="K2550" t="str">
            <v>JONES</v>
          </cell>
          <cell r="L2550" t="str">
            <v>Jones</v>
          </cell>
          <cell r="V2550">
            <v>143200</v>
          </cell>
        </row>
        <row r="2551">
          <cell r="B2551">
            <v>1997</v>
          </cell>
          <cell r="K2551" t="str">
            <v>LINN</v>
          </cell>
          <cell r="L2551" t="str">
            <v>Linn</v>
          </cell>
          <cell r="V2551">
            <v>135400</v>
          </cell>
        </row>
        <row r="2552">
          <cell r="B2552">
            <v>1997</v>
          </cell>
          <cell r="K2552" t="str">
            <v>MUSCATINE</v>
          </cell>
          <cell r="L2552" t="str">
            <v>Muscatine</v>
          </cell>
          <cell r="V2552">
            <v>91300</v>
          </cell>
        </row>
        <row r="2553">
          <cell r="B2553">
            <v>1997</v>
          </cell>
          <cell r="K2553" t="str">
            <v>SCOTT</v>
          </cell>
          <cell r="L2553" t="str">
            <v>Scott</v>
          </cell>
          <cell r="V2553">
            <v>119400</v>
          </cell>
        </row>
        <row r="2554">
          <cell r="B2554">
            <v>1997</v>
          </cell>
          <cell r="K2554" t="str">
            <v>BUTLER</v>
          </cell>
          <cell r="L2554" t="str">
            <v>Butler</v>
          </cell>
          <cell r="V2554">
            <v>145600</v>
          </cell>
        </row>
        <row r="2555">
          <cell r="B2555">
            <v>1997</v>
          </cell>
          <cell r="K2555" t="str">
            <v>CERRO GORDO</v>
          </cell>
          <cell r="L2555" t="str">
            <v>Cerro Gordo</v>
          </cell>
          <cell r="V2555">
            <v>143100</v>
          </cell>
        </row>
        <row r="2556">
          <cell r="B2556">
            <v>1997</v>
          </cell>
          <cell r="K2556" t="str">
            <v>FLOYD</v>
          </cell>
          <cell r="L2556" t="str">
            <v>Floyd</v>
          </cell>
          <cell r="V2556">
            <v>140400</v>
          </cell>
        </row>
        <row r="2557">
          <cell r="B2557">
            <v>1997</v>
          </cell>
          <cell r="K2557" t="str">
            <v>FRANKLIN</v>
          </cell>
          <cell r="L2557" t="str">
            <v>Franklin</v>
          </cell>
          <cell r="V2557">
            <v>164000</v>
          </cell>
        </row>
        <row r="2558">
          <cell r="B2558">
            <v>1997</v>
          </cell>
          <cell r="K2558" t="str">
            <v>HANCOCK</v>
          </cell>
          <cell r="L2558" t="str">
            <v>Hancock</v>
          </cell>
          <cell r="V2558">
            <v>170300</v>
          </cell>
        </row>
        <row r="2559">
          <cell r="B2559">
            <v>1997</v>
          </cell>
          <cell r="K2559" t="str">
            <v>HUMBOLDT</v>
          </cell>
          <cell r="L2559" t="str">
            <v>Humboldt</v>
          </cell>
          <cell r="V2559">
            <v>124700</v>
          </cell>
        </row>
        <row r="2560">
          <cell r="B2560">
            <v>1997</v>
          </cell>
          <cell r="K2560" t="str">
            <v>KOSSUTH</v>
          </cell>
          <cell r="L2560" t="str">
            <v>Kossuth</v>
          </cell>
          <cell r="V2560">
            <v>290300</v>
          </cell>
        </row>
        <row r="2561">
          <cell r="B2561">
            <v>1997</v>
          </cell>
          <cell r="K2561" t="str">
            <v>MITCHELL</v>
          </cell>
          <cell r="L2561" t="str">
            <v>Mitchell</v>
          </cell>
          <cell r="V2561">
            <v>132400</v>
          </cell>
        </row>
        <row r="2562">
          <cell r="B2562">
            <v>1997</v>
          </cell>
          <cell r="K2562" t="str">
            <v>WINNEBAGO</v>
          </cell>
          <cell r="L2562" t="str">
            <v>Winnebago</v>
          </cell>
          <cell r="V2562">
            <v>123100</v>
          </cell>
        </row>
        <row r="2563">
          <cell r="B2563">
            <v>1997</v>
          </cell>
          <cell r="K2563" t="str">
            <v>WORTH</v>
          </cell>
          <cell r="L2563" t="str">
            <v>Worth</v>
          </cell>
          <cell r="V2563">
            <v>107000</v>
          </cell>
        </row>
        <row r="2564">
          <cell r="B2564">
            <v>1997</v>
          </cell>
          <cell r="K2564" t="str">
            <v>WRIGHT</v>
          </cell>
          <cell r="L2564" t="str">
            <v>Wright</v>
          </cell>
          <cell r="V2564">
            <v>168100</v>
          </cell>
        </row>
        <row r="2565">
          <cell r="B2565">
            <v>1997</v>
          </cell>
          <cell r="K2565" t="str">
            <v>ALLAMAKEE</v>
          </cell>
          <cell r="L2565" t="str">
            <v>Allamakee</v>
          </cell>
          <cell r="V2565">
            <v>74900</v>
          </cell>
        </row>
        <row r="2566">
          <cell r="B2566">
            <v>1997</v>
          </cell>
          <cell r="K2566" t="str">
            <v>BLACK HAWK</v>
          </cell>
          <cell r="L2566" t="str">
            <v>Black Hawk</v>
          </cell>
          <cell r="V2566">
            <v>137900</v>
          </cell>
        </row>
        <row r="2567">
          <cell r="B2567">
            <v>1997</v>
          </cell>
          <cell r="K2567" t="str">
            <v>BREMER</v>
          </cell>
          <cell r="L2567" t="str">
            <v>Bremer</v>
          </cell>
          <cell r="V2567">
            <v>111800</v>
          </cell>
        </row>
        <row r="2568">
          <cell r="B2568">
            <v>1997</v>
          </cell>
          <cell r="K2568" t="str">
            <v>BUCHANAN</v>
          </cell>
          <cell r="L2568" t="str">
            <v>Buchanan</v>
          </cell>
          <cell r="V2568">
            <v>165000</v>
          </cell>
        </row>
        <row r="2569">
          <cell r="B2569">
            <v>1997</v>
          </cell>
          <cell r="K2569" t="str">
            <v>CHICKASAW</v>
          </cell>
          <cell r="L2569" t="str">
            <v>Chickasaw</v>
          </cell>
          <cell r="V2569">
            <v>123300</v>
          </cell>
        </row>
        <row r="2570">
          <cell r="B2570">
            <v>1997</v>
          </cell>
          <cell r="K2570" t="str">
            <v>CLAYTON</v>
          </cell>
          <cell r="L2570" t="str">
            <v>Clayton</v>
          </cell>
          <cell r="V2570">
            <v>158800</v>
          </cell>
        </row>
        <row r="2571">
          <cell r="B2571">
            <v>1997</v>
          </cell>
          <cell r="K2571" t="str">
            <v>DELAWARE</v>
          </cell>
          <cell r="L2571" t="str">
            <v>Delaware</v>
          </cell>
          <cell r="V2571">
            <v>174600</v>
          </cell>
        </row>
        <row r="2572">
          <cell r="B2572">
            <v>1997</v>
          </cell>
          <cell r="K2572" t="str">
            <v>DUBUQUE</v>
          </cell>
          <cell r="L2572" t="str">
            <v>Dubuque</v>
          </cell>
          <cell r="V2572">
            <v>130200</v>
          </cell>
        </row>
        <row r="2573">
          <cell r="B2573">
            <v>1997</v>
          </cell>
          <cell r="K2573" t="str">
            <v>FAYETTE</v>
          </cell>
          <cell r="L2573" t="str">
            <v>Fayette</v>
          </cell>
          <cell r="V2573">
            <v>187600</v>
          </cell>
        </row>
        <row r="2574">
          <cell r="B2574">
            <v>1997</v>
          </cell>
          <cell r="K2574" t="str">
            <v>HOWARD</v>
          </cell>
          <cell r="L2574" t="str">
            <v>Howard</v>
          </cell>
          <cell r="V2574">
            <v>113300</v>
          </cell>
        </row>
        <row r="2575">
          <cell r="B2575">
            <v>1997</v>
          </cell>
          <cell r="K2575" t="str">
            <v>WINNESHIEK</v>
          </cell>
          <cell r="L2575" t="str">
            <v>Winneshiek</v>
          </cell>
          <cell r="V2575">
            <v>137600</v>
          </cell>
        </row>
        <row r="2576">
          <cell r="B2576">
            <v>1997</v>
          </cell>
          <cell r="K2576" t="str">
            <v>BUENA VISTA</v>
          </cell>
          <cell r="L2576" t="str">
            <v>Buena Vista</v>
          </cell>
          <cell r="V2576">
            <v>166100</v>
          </cell>
        </row>
        <row r="2577">
          <cell r="B2577">
            <v>1997</v>
          </cell>
          <cell r="K2577" t="str">
            <v>CHEROKEE</v>
          </cell>
          <cell r="L2577" t="str">
            <v>Cherokee</v>
          </cell>
          <cell r="V2577">
            <v>138300</v>
          </cell>
        </row>
        <row r="2578">
          <cell r="B2578">
            <v>1997</v>
          </cell>
          <cell r="K2578" t="str">
            <v>CLAY</v>
          </cell>
          <cell r="L2578" t="str">
            <v>Clay</v>
          </cell>
          <cell r="V2578">
            <v>123900</v>
          </cell>
        </row>
        <row r="2579">
          <cell r="B2579">
            <v>1997</v>
          </cell>
          <cell r="K2579" t="str">
            <v>DICKINSON</v>
          </cell>
          <cell r="L2579" t="str">
            <v>Dickinson</v>
          </cell>
          <cell r="V2579">
            <v>83900</v>
          </cell>
        </row>
        <row r="2580">
          <cell r="B2580">
            <v>1997</v>
          </cell>
          <cell r="K2580" t="str">
            <v>EMMET</v>
          </cell>
          <cell r="L2580" t="str">
            <v>Emmet</v>
          </cell>
          <cell r="V2580">
            <v>101100</v>
          </cell>
        </row>
        <row r="2581">
          <cell r="B2581">
            <v>1997</v>
          </cell>
          <cell r="K2581" t="str">
            <v>LYON</v>
          </cell>
          <cell r="L2581" t="str">
            <v>Lyon</v>
          </cell>
          <cell r="V2581">
            <v>153600</v>
          </cell>
        </row>
        <row r="2582">
          <cell r="B2582">
            <v>1997</v>
          </cell>
          <cell r="K2582" t="str">
            <v>O BRIEN</v>
          </cell>
          <cell r="L2582" t="str">
            <v>O Brien</v>
          </cell>
          <cell r="V2582">
            <v>159900</v>
          </cell>
        </row>
        <row r="2583">
          <cell r="B2583">
            <v>1997</v>
          </cell>
          <cell r="K2583" t="str">
            <v>OSCEOLA</v>
          </cell>
          <cell r="L2583" t="str">
            <v>Osceola</v>
          </cell>
          <cell r="V2583">
            <v>110100</v>
          </cell>
        </row>
        <row r="2584">
          <cell r="B2584">
            <v>1997</v>
          </cell>
          <cell r="K2584" t="str">
            <v>PALO ALTO</v>
          </cell>
          <cell r="L2584" t="str">
            <v>Palo Alto</v>
          </cell>
          <cell r="V2584">
            <v>152500</v>
          </cell>
        </row>
        <row r="2585">
          <cell r="B2585">
            <v>1997</v>
          </cell>
          <cell r="K2585" t="str">
            <v>PLYMOUTH</v>
          </cell>
          <cell r="L2585" t="str">
            <v>Plymouth</v>
          </cell>
          <cell r="V2585">
            <v>217600</v>
          </cell>
        </row>
        <row r="2586">
          <cell r="B2586">
            <v>1997</v>
          </cell>
          <cell r="K2586" t="str">
            <v>POCAHONTAS</v>
          </cell>
          <cell r="L2586" t="str">
            <v>Pocahontas</v>
          </cell>
          <cell r="V2586">
            <v>169100</v>
          </cell>
        </row>
        <row r="2587">
          <cell r="B2587">
            <v>1997</v>
          </cell>
          <cell r="K2587" t="str">
            <v>SIOUX</v>
          </cell>
          <cell r="L2587" t="str">
            <v>Sioux</v>
          </cell>
          <cell r="V2587">
            <v>243900</v>
          </cell>
        </row>
        <row r="2588">
          <cell r="B2588">
            <v>1997</v>
          </cell>
          <cell r="K2588" t="str">
            <v>APPANOOSE</v>
          </cell>
          <cell r="L2588" t="str">
            <v>Appanoose</v>
          </cell>
          <cell r="V2588">
            <v>28800</v>
          </cell>
        </row>
        <row r="2589">
          <cell r="B2589">
            <v>1997</v>
          </cell>
          <cell r="K2589" t="str">
            <v>CLARKE</v>
          </cell>
          <cell r="L2589" t="str">
            <v>Clarke</v>
          </cell>
          <cell r="V2589">
            <v>28100</v>
          </cell>
        </row>
        <row r="2590">
          <cell r="B2590">
            <v>1997</v>
          </cell>
          <cell r="K2590" t="str">
            <v>DECATUR</v>
          </cell>
          <cell r="L2590" t="str">
            <v>Decatur</v>
          </cell>
          <cell r="V2590">
            <v>26900</v>
          </cell>
        </row>
        <row r="2591">
          <cell r="B2591">
            <v>1997</v>
          </cell>
          <cell r="K2591" t="str">
            <v>LUCAS</v>
          </cell>
          <cell r="L2591" t="str">
            <v>Lucas</v>
          </cell>
          <cell r="V2591">
            <v>24900</v>
          </cell>
        </row>
        <row r="2592">
          <cell r="B2592">
            <v>1997</v>
          </cell>
          <cell r="K2592" t="str">
            <v>MADISON</v>
          </cell>
          <cell r="L2592" t="str">
            <v>Madison</v>
          </cell>
          <cell r="V2592">
            <v>73200</v>
          </cell>
        </row>
        <row r="2593">
          <cell r="B2593">
            <v>1997</v>
          </cell>
          <cell r="K2593" t="str">
            <v>MARION</v>
          </cell>
          <cell r="L2593" t="str">
            <v>Marion</v>
          </cell>
          <cell r="V2593">
            <v>81000</v>
          </cell>
        </row>
        <row r="2594">
          <cell r="B2594">
            <v>1997</v>
          </cell>
          <cell r="K2594" t="str">
            <v>MONROE</v>
          </cell>
          <cell r="L2594" t="str">
            <v>Monroe</v>
          </cell>
          <cell r="V2594">
            <v>29100</v>
          </cell>
        </row>
        <row r="2595">
          <cell r="B2595">
            <v>1997</v>
          </cell>
          <cell r="K2595" t="str">
            <v>RINGGOLD</v>
          </cell>
          <cell r="L2595" t="str">
            <v>Ringgold</v>
          </cell>
          <cell r="V2595">
            <v>39800</v>
          </cell>
        </row>
        <row r="2596">
          <cell r="B2596">
            <v>1997</v>
          </cell>
          <cell r="K2596" t="str">
            <v>UNION</v>
          </cell>
          <cell r="L2596" t="str">
            <v>Union</v>
          </cell>
          <cell r="V2596">
            <v>42500</v>
          </cell>
        </row>
        <row r="2597">
          <cell r="B2597">
            <v>1997</v>
          </cell>
          <cell r="K2597" t="str">
            <v>WARREN</v>
          </cell>
          <cell r="L2597" t="str">
            <v>Warren</v>
          </cell>
          <cell r="V2597">
            <v>73000</v>
          </cell>
        </row>
        <row r="2598">
          <cell r="B2598">
            <v>1997</v>
          </cell>
          <cell r="K2598" t="str">
            <v>WAYNE</v>
          </cell>
          <cell r="L2598" t="str">
            <v>Wayne</v>
          </cell>
          <cell r="V2598">
            <v>44700</v>
          </cell>
        </row>
        <row r="2599">
          <cell r="B2599">
            <v>1997</v>
          </cell>
          <cell r="K2599" t="str">
            <v>DAVIS</v>
          </cell>
          <cell r="L2599" t="str">
            <v>Davis</v>
          </cell>
          <cell r="V2599">
            <v>35800</v>
          </cell>
        </row>
        <row r="2600">
          <cell r="B2600">
            <v>1997</v>
          </cell>
          <cell r="K2600" t="str">
            <v>DES MOINES</v>
          </cell>
          <cell r="L2600" t="str">
            <v>Des Moines</v>
          </cell>
          <cell r="V2600">
            <v>71400</v>
          </cell>
        </row>
        <row r="2601">
          <cell r="B2601">
            <v>1997</v>
          </cell>
          <cell r="K2601" t="str">
            <v>HENRY</v>
          </cell>
          <cell r="L2601" t="str">
            <v>Henry</v>
          </cell>
          <cell r="V2601">
            <v>89000</v>
          </cell>
        </row>
        <row r="2602">
          <cell r="B2602">
            <v>1997</v>
          </cell>
          <cell r="K2602" t="str">
            <v>JEFFERSON</v>
          </cell>
          <cell r="L2602" t="str">
            <v>Jefferson</v>
          </cell>
          <cell r="V2602">
            <v>64200</v>
          </cell>
        </row>
        <row r="2603">
          <cell r="B2603">
            <v>1997</v>
          </cell>
          <cell r="K2603" t="str">
            <v>KEOKUK</v>
          </cell>
          <cell r="L2603" t="str">
            <v>Keokuk</v>
          </cell>
          <cell r="V2603">
            <v>102900</v>
          </cell>
        </row>
        <row r="2604">
          <cell r="B2604">
            <v>1997</v>
          </cell>
          <cell r="K2604" t="str">
            <v>LEE</v>
          </cell>
          <cell r="L2604" t="str">
            <v>Lee</v>
          </cell>
          <cell r="V2604">
            <v>79300</v>
          </cell>
        </row>
        <row r="2605">
          <cell r="B2605">
            <v>1997</v>
          </cell>
          <cell r="K2605" t="str">
            <v>LOUISA</v>
          </cell>
          <cell r="L2605" t="str">
            <v>Louisa</v>
          </cell>
          <cell r="V2605">
            <v>78100</v>
          </cell>
        </row>
        <row r="2606">
          <cell r="B2606">
            <v>1997</v>
          </cell>
          <cell r="K2606" t="str">
            <v>MAHASKA</v>
          </cell>
          <cell r="L2606" t="str">
            <v>Mahaska</v>
          </cell>
          <cell r="V2606">
            <v>123900</v>
          </cell>
        </row>
        <row r="2607">
          <cell r="B2607">
            <v>1997</v>
          </cell>
          <cell r="K2607" t="str">
            <v>VAN BUREN</v>
          </cell>
          <cell r="L2607" t="str">
            <v>Van Buren</v>
          </cell>
          <cell r="V2607">
            <v>46600</v>
          </cell>
        </row>
        <row r="2608">
          <cell r="B2608">
            <v>1997</v>
          </cell>
          <cell r="K2608" t="str">
            <v>WAPELLO</v>
          </cell>
          <cell r="L2608" t="str">
            <v>Wapello</v>
          </cell>
          <cell r="V2608">
            <v>51000</v>
          </cell>
        </row>
        <row r="2609">
          <cell r="B2609">
            <v>1997</v>
          </cell>
          <cell r="K2609" t="str">
            <v>WASHINGTON</v>
          </cell>
          <cell r="L2609" t="str">
            <v>Washington</v>
          </cell>
          <cell r="V2609">
            <v>120800</v>
          </cell>
        </row>
        <row r="2610">
          <cell r="B2610">
            <v>1997</v>
          </cell>
          <cell r="K2610" t="str">
            <v>ADAIR</v>
          </cell>
          <cell r="L2610" t="str">
            <v>Adair</v>
          </cell>
          <cell r="V2610">
            <v>99500</v>
          </cell>
        </row>
        <row r="2611">
          <cell r="B2611">
            <v>1997</v>
          </cell>
          <cell r="K2611" t="str">
            <v>ADAMS</v>
          </cell>
          <cell r="L2611" t="str">
            <v>Adams</v>
          </cell>
          <cell r="V2611">
            <v>57300</v>
          </cell>
        </row>
        <row r="2612">
          <cell r="B2612">
            <v>1997</v>
          </cell>
          <cell r="K2612" t="str">
            <v>CASS</v>
          </cell>
          <cell r="L2612" t="str">
            <v>Cass</v>
          </cell>
          <cell r="V2612">
            <v>120100</v>
          </cell>
        </row>
        <row r="2613">
          <cell r="B2613">
            <v>1997</v>
          </cell>
          <cell r="K2613" t="str">
            <v>FREMONT</v>
          </cell>
          <cell r="L2613" t="str">
            <v>Fremont</v>
          </cell>
          <cell r="V2613">
            <v>114500</v>
          </cell>
        </row>
        <row r="2614">
          <cell r="B2614">
            <v>1997</v>
          </cell>
          <cell r="K2614" t="str">
            <v>MILLS</v>
          </cell>
          <cell r="L2614" t="str">
            <v>Mills</v>
          </cell>
          <cell r="V2614">
            <v>89900</v>
          </cell>
        </row>
        <row r="2615">
          <cell r="B2615">
            <v>1997</v>
          </cell>
          <cell r="K2615" t="str">
            <v>MONTGOMERY</v>
          </cell>
          <cell r="L2615" t="str">
            <v>Montgomery</v>
          </cell>
          <cell r="V2615">
            <v>83900</v>
          </cell>
        </row>
        <row r="2616">
          <cell r="B2616">
            <v>1997</v>
          </cell>
          <cell r="K2616" t="str">
            <v>PAGE</v>
          </cell>
          <cell r="L2616" t="str">
            <v>Page</v>
          </cell>
          <cell r="V2616">
            <v>94400</v>
          </cell>
        </row>
        <row r="2617">
          <cell r="B2617">
            <v>1997</v>
          </cell>
          <cell r="K2617" t="str">
            <v>POTTAWATTAMIE</v>
          </cell>
          <cell r="L2617" t="str">
            <v>Pottawattamie</v>
          </cell>
          <cell r="V2617">
            <v>226300</v>
          </cell>
        </row>
        <row r="2618">
          <cell r="B2618">
            <v>1997</v>
          </cell>
          <cell r="K2618" t="str">
            <v>TAYLOR</v>
          </cell>
          <cell r="L2618" t="str">
            <v>Taylor</v>
          </cell>
          <cell r="V2618">
            <v>58100</v>
          </cell>
        </row>
        <row r="2619">
          <cell r="B2619">
            <v>1997</v>
          </cell>
          <cell r="K2619" t="str">
            <v>AUDUBON</v>
          </cell>
          <cell r="L2619" t="str">
            <v>Audubon</v>
          </cell>
          <cell r="V2619">
            <v>107900</v>
          </cell>
        </row>
        <row r="2620">
          <cell r="B2620">
            <v>1997</v>
          </cell>
          <cell r="K2620" t="str">
            <v>CALHOUN</v>
          </cell>
          <cell r="L2620" t="str">
            <v>Calhoun</v>
          </cell>
          <cell r="V2620">
            <v>156500</v>
          </cell>
        </row>
        <row r="2621">
          <cell r="B2621">
            <v>1997</v>
          </cell>
          <cell r="K2621" t="str">
            <v>CARROLL</v>
          </cell>
          <cell r="L2621" t="str">
            <v>Carroll</v>
          </cell>
          <cell r="V2621">
            <v>159100</v>
          </cell>
        </row>
        <row r="2622">
          <cell r="B2622">
            <v>1997</v>
          </cell>
          <cell r="K2622" t="str">
            <v>CRAWFORD</v>
          </cell>
          <cell r="L2622" t="str">
            <v>Crawford</v>
          </cell>
          <cell r="V2622">
            <v>167900</v>
          </cell>
        </row>
        <row r="2623">
          <cell r="B2623">
            <v>1997</v>
          </cell>
          <cell r="K2623" t="str">
            <v>GREENE</v>
          </cell>
          <cell r="L2623" t="str">
            <v>Greene</v>
          </cell>
          <cell r="V2623">
            <v>153500</v>
          </cell>
        </row>
        <row r="2624">
          <cell r="B2624">
            <v>1997</v>
          </cell>
          <cell r="K2624" t="str">
            <v>GUTHRIE</v>
          </cell>
          <cell r="L2624" t="str">
            <v>Guthrie</v>
          </cell>
          <cell r="V2624">
            <v>97300</v>
          </cell>
        </row>
        <row r="2625">
          <cell r="B2625">
            <v>1997</v>
          </cell>
          <cell r="K2625" t="str">
            <v>HARRISON</v>
          </cell>
          <cell r="L2625" t="str">
            <v>Harrison</v>
          </cell>
          <cell r="V2625">
            <v>155700</v>
          </cell>
        </row>
        <row r="2626">
          <cell r="B2626">
            <v>1997</v>
          </cell>
          <cell r="K2626" t="str">
            <v>IDA</v>
          </cell>
          <cell r="L2626" t="str">
            <v>Ida</v>
          </cell>
          <cell r="V2626">
            <v>110100</v>
          </cell>
        </row>
        <row r="2627">
          <cell r="B2627">
            <v>1997</v>
          </cell>
          <cell r="K2627" t="str">
            <v>MONONA</v>
          </cell>
          <cell r="L2627" t="str">
            <v>Monona</v>
          </cell>
          <cell r="V2627">
            <v>146400</v>
          </cell>
        </row>
        <row r="2628">
          <cell r="B2628">
            <v>1997</v>
          </cell>
          <cell r="K2628" t="str">
            <v>SAC</v>
          </cell>
          <cell r="L2628" t="str">
            <v>Sac</v>
          </cell>
          <cell r="V2628">
            <v>152600</v>
          </cell>
        </row>
        <row r="2629">
          <cell r="B2629">
            <v>1997</v>
          </cell>
          <cell r="K2629" t="str">
            <v>SHELBY</v>
          </cell>
          <cell r="L2629" t="str">
            <v>Shelby</v>
          </cell>
          <cell r="V2629">
            <v>156700</v>
          </cell>
        </row>
        <row r="2630">
          <cell r="B2630">
            <v>1997</v>
          </cell>
          <cell r="K2630" t="str">
            <v>WOODBURY</v>
          </cell>
          <cell r="L2630" t="str">
            <v>Woodbury</v>
          </cell>
          <cell r="V2630">
            <v>196300</v>
          </cell>
        </row>
        <row r="2631">
          <cell r="B2631">
            <v>1996</v>
          </cell>
          <cell r="K2631" t="str">
            <v>BOONE</v>
          </cell>
          <cell r="L2631" t="str">
            <v>Boone</v>
          </cell>
          <cell r="V2631">
            <v>147000</v>
          </cell>
        </row>
        <row r="2632">
          <cell r="B2632">
            <v>1996</v>
          </cell>
          <cell r="K2632" t="str">
            <v>DALLAS</v>
          </cell>
          <cell r="L2632" t="str">
            <v>Dallas</v>
          </cell>
          <cell r="V2632">
            <v>143000</v>
          </cell>
        </row>
        <row r="2633">
          <cell r="B2633">
            <v>1996</v>
          </cell>
          <cell r="K2633" t="str">
            <v>GRUNDY</v>
          </cell>
          <cell r="L2633" t="str">
            <v>Grundy</v>
          </cell>
          <cell r="V2633">
            <v>162000</v>
          </cell>
        </row>
        <row r="2634">
          <cell r="B2634">
            <v>1996</v>
          </cell>
          <cell r="K2634" t="str">
            <v>HAMILTON</v>
          </cell>
          <cell r="L2634" t="str">
            <v>Hamilton</v>
          </cell>
          <cell r="V2634">
            <v>175000</v>
          </cell>
        </row>
        <row r="2635">
          <cell r="B2635">
            <v>1996</v>
          </cell>
          <cell r="K2635" t="str">
            <v>HARDIN</v>
          </cell>
          <cell r="L2635" t="str">
            <v>Hardin</v>
          </cell>
          <cell r="V2635">
            <v>172000</v>
          </cell>
        </row>
        <row r="2636">
          <cell r="B2636">
            <v>1996</v>
          </cell>
          <cell r="K2636" t="str">
            <v>JASPER</v>
          </cell>
          <cell r="L2636" t="str">
            <v>Jasper</v>
          </cell>
          <cell r="V2636">
            <v>160000</v>
          </cell>
        </row>
        <row r="2637">
          <cell r="B2637">
            <v>1996</v>
          </cell>
          <cell r="K2637" t="str">
            <v>MARSHALL</v>
          </cell>
          <cell r="L2637" t="str">
            <v>Marshall</v>
          </cell>
          <cell r="V2637">
            <v>139000</v>
          </cell>
        </row>
        <row r="2638">
          <cell r="B2638">
            <v>1996</v>
          </cell>
          <cell r="K2638" t="str">
            <v>POLK</v>
          </cell>
          <cell r="L2638" t="str">
            <v>Polk</v>
          </cell>
          <cell r="V2638">
            <v>95000</v>
          </cell>
        </row>
        <row r="2639">
          <cell r="B2639">
            <v>1996</v>
          </cell>
          <cell r="K2639" t="str">
            <v>POWESHIEK</v>
          </cell>
          <cell r="L2639" t="str">
            <v>Poweshiek</v>
          </cell>
          <cell r="V2639">
            <v>111000</v>
          </cell>
        </row>
        <row r="2640">
          <cell r="B2640">
            <v>1996</v>
          </cell>
          <cell r="K2640" t="str">
            <v>STORY</v>
          </cell>
          <cell r="L2640" t="str">
            <v>Story</v>
          </cell>
          <cell r="V2640">
            <v>156000</v>
          </cell>
        </row>
        <row r="2641">
          <cell r="B2641">
            <v>1996</v>
          </cell>
          <cell r="K2641" t="str">
            <v>TAMA</v>
          </cell>
          <cell r="L2641" t="str">
            <v>Tama</v>
          </cell>
          <cell r="V2641">
            <v>164000</v>
          </cell>
        </row>
        <row r="2642">
          <cell r="B2642">
            <v>1996</v>
          </cell>
          <cell r="K2642" t="str">
            <v>WEBSTER</v>
          </cell>
          <cell r="L2642" t="str">
            <v>Webster</v>
          </cell>
          <cell r="V2642">
            <v>189000</v>
          </cell>
        </row>
        <row r="2643">
          <cell r="B2643">
            <v>1996</v>
          </cell>
          <cell r="K2643" t="str">
            <v>BENTON</v>
          </cell>
          <cell r="L2643" t="str">
            <v>Benton</v>
          </cell>
          <cell r="V2643">
            <v>189000</v>
          </cell>
        </row>
        <row r="2644">
          <cell r="B2644">
            <v>1996</v>
          </cell>
          <cell r="K2644" t="str">
            <v>CEDAR</v>
          </cell>
          <cell r="L2644" t="str">
            <v>Cedar</v>
          </cell>
          <cell r="V2644">
            <v>163000</v>
          </cell>
        </row>
        <row r="2645">
          <cell r="B2645">
            <v>1996</v>
          </cell>
          <cell r="K2645" t="str">
            <v>CLINTON</v>
          </cell>
          <cell r="L2645" t="str">
            <v>Clinton</v>
          </cell>
          <cell r="V2645">
            <v>193000</v>
          </cell>
        </row>
        <row r="2646">
          <cell r="B2646">
            <v>1996</v>
          </cell>
          <cell r="K2646" t="str">
            <v>IOWA</v>
          </cell>
          <cell r="L2646" t="str">
            <v>Iowa</v>
          </cell>
          <cell r="V2646">
            <v>130000</v>
          </cell>
        </row>
        <row r="2647">
          <cell r="B2647">
            <v>1996</v>
          </cell>
          <cell r="K2647" t="str">
            <v>JACKSON</v>
          </cell>
          <cell r="L2647" t="str">
            <v>Jackson</v>
          </cell>
          <cell r="V2647">
            <v>109000</v>
          </cell>
        </row>
        <row r="2648">
          <cell r="B2648">
            <v>1996</v>
          </cell>
          <cell r="K2648" t="str">
            <v>JOHNSON</v>
          </cell>
          <cell r="L2648" t="str">
            <v>Johnson</v>
          </cell>
          <cell r="V2648">
            <v>110000</v>
          </cell>
        </row>
        <row r="2649">
          <cell r="B2649">
            <v>1996</v>
          </cell>
          <cell r="K2649" t="str">
            <v>JONES</v>
          </cell>
          <cell r="L2649" t="str">
            <v>Jones</v>
          </cell>
          <cell r="V2649">
            <v>157000</v>
          </cell>
        </row>
        <row r="2650">
          <cell r="B2650">
            <v>1996</v>
          </cell>
          <cell r="K2650" t="str">
            <v>LINN</v>
          </cell>
          <cell r="L2650" t="str">
            <v>Linn</v>
          </cell>
          <cell r="V2650">
            <v>148000</v>
          </cell>
        </row>
        <row r="2651">
          <cell r="B2651">
            <v>1996</v>
          </cell>
          <cell r="K2651" t="str">
            <v>MUSCATINE</v>
          </cell>
          <cell r="L2651" t="str">
            <v>Muscatine</v>
          </cell>
          <cell r="V2651">
            <v>98000</v>
          </cell>
        </row>
        <row r="2652">
          <cell r="B2652">
            <v>1996</v>
          </cell>
          <cell r="K2652" t="str">
            <v>SCOTT</v>
          </cell>
          <cell r="L2652" t="str">
            <v>Scott</v>
          </cell>
          <cell r="V2652">
            <v>120000</v>
          </cell>
        </row>
        <row r="2653">
          <cell r="B2653">
            <v>1996</v>
          </cell>
          <cell r="K2653" t="str">
            <v>BUTLER</v>
          </cell>
          <cell r="L2653" t="str">
            <v>Butler</v>
          </cell>
          <cell r="V2653">
            <v>155000</v>
          </cell>
        </row>
        <row r="2654">
          <cell r="B2654">
            <v>1996</v>
          </cell>
          <cell r="K2654" t="str">
            <v>CERRO GORDO</v>
          </cell>
          <cell r="L2654" t="str">
            <v>Cerro Gordo</v>
          </cell>
          <cell r="V2654">
            <v>160000</v>
          </cell>
        </row>
        <row r="2655">
          <cell r="B2655">
            <v>1996</v>
          </cell>
          <cell r="K2655" t="str">
            <v>FLOYD</v>
          </cell>
          <cell r="L2655" t="str">
            <v>Floyd</v>
          </cell>
          <cell r="V2655">
            <v>138000</v>
          </cell>
        </row>
        <row r="2656">
          <cell r="B2656">
            <v>1996</v>
          </cell>
          <cell r="K2656" t="str">
            <v>FRANKLIN</v>
          </cell>
          <cell r="L2656" t="str">
            <v>Franklin</v>
          </cell>
          <cell r="V2656">
            <v>180000</v>
          </cell>
        </row>
        <row r="2657">
          <cell r="B2657">
            <v>1996</v>
          </cell>
          <cell r="K2657" t="str">
            <v>HANCOCK</v>
          </cell>
          <cell r="L2657" t="str">
            <v>Hancock</v>
          </cell>
          <cell r="V2657">
            <v>169000</v>
          </cell>
        </row>
        <row r="2658">
          <cell r="B2658">
            <v>1996</v>
          </cell>
          <cell r="K2658" t="str">
            <v>HUMBOLDT</v>
          </cell>
          <cell r="L2658" t="str">
            <v>Humboldt</v>
          </cell>
          <cell r="V2658">
            <v>136000</v>
          </cell>
        </row>
        <row r="2659">
          <cell r="B2659">
            <v>1996</v>
          </cell>
          <cell r="K2659" t="str">
            <v>KOSSUTH</v>
          </cell>
          <cell r="L2659" t="str">
            <v>Kossuth</v>
          </cell>
          <cell r="V2659">
            <v>302000</v>
          </cell>
        </row>
        <row r="2660">
          <cell r="B2660">
            <v>1996</v>
          </cell>
          <cell r="K2660" t="str">
            <v>MITCHELL</v>
          </cell>
          <cell r="L2660" t="str">
            <v>Mitchell</v>
          </cell>
          <cell r="V2660">
            <v>138000</v>
          </cell>
        </row>
        <row r="2661">
          <cell r="B2661">
            <v>1996</v>
          </cell>
          <cell r="K2661" t="str">
            <v>WINNEBAGO</v>
          </cell>
          <cell r="L2661" t="str">
            <v>Winnebago</v>
          </cell>
          <cell r="V2661">
            <v>128000</v>
          </cell>
        </row>
        <row r="2662">
          <cell r="B2662">
            <v>1996</v>
          </cell>
          <cell r="K2662" t="str">
            <v>WORTH</v>
          </cell>
          <cell r="L2662" t="str">
            <v>Worth</v>
          </cell>
          <cell r="V2662">
            <v>104000</v>
          </cell>
        </row>
        <row r="2663">
          <cell r="B2663">
            <v>1996</v>
          </cell>
          <cell r="K2663" t="str">
            <v>WRIGHT</v>
          </cell>
          <cell r="L2663" t="str">
            <v>Wright</v>
          </cell>
          <cell r="V2663">
            <v>171000</v>
          </cell>
        </row>
        <row r="2664">
          <cell r="B2664">
            <v>1996</v>
          </cell>
          <cell r="K2664" t="str">
            <v>ALLAMAKEE</v>
          </cell>
          <cell r="L2664" t="str">
            <v>Allamakee</v>
          </cell>
          <cell r="V2664">
            <v>83000</v>
          </cell>
        </row>
        <row r="2665">
          <cell r="B2665">
            <v>1996</v>
          </cell>
          <cell r="K2665" t="str">
            <v>BLACK HAWK</v>
          </cell>
          <cell r="L2665" t="str">
            <v>Black Hawk</v>
          </cell>
          <cell r="V2665">
            <v>153000</v>
          </cell>
        </row>
        <row r="2666">
          <cell r="B2666">
            <v>1996</v>
          </cell>
          <cell r="K2666" t="str">
            <v>BREMER</v>
          </cell>
          <cell r="L2666" t="str">
            <v>Bremer</v>
          </cell>
          <cell r="V2666">
            <v>125000</v>
          </cell>
        </row>
        <row r="2667">
          <cell r="B2667">
            <v>1996</v>
          </cell>
          <cell r="K2667" t="str">
            <v>BUCHANAN</v>
          </cell>
          <cell r="L2667" t="str">
            <v>Buchanan</v>
          </cell>
          <cell r="V2667">
            <v>166000</v>
          </cell>
        </row>
        <row r="2668">
          <cell r="B2668">
            <v>1996</v>
          </cell>
          <cell r="K2668" t="str">
            <v>CHICKASAW</v>
          </cell>
          <cell r="L2668" t="str">
            <v>Chickasaw</v>
          </cell>
          <cell r="V2668">
            <v>134000</v>
          </cell>
        </row>
        <row r="2669">
          <cell r="B2669">
            <v>1996</v>
          </cell>
          <cell r="K2669" t="str">
            <v>CLAYTON</v>
          </cell>
          <cell r="L2669" t="str">
            <v>Clayton</v>
          </cell>
          <cell r="V2669">
            <v>144000</v>
          </cell>
        </row>
        <row r="2670">
          <cell r="B2670">
            <v>1996</v>
          </cell>
          <cell r="K2670" t="str">
            <v>DELAWARE</v>
          </cell>
          <cell r="L2670" t="str">
            <v>Delaware</v>
          </cell>
          <cell r="V2670">
            <v>190000</v>
          </cell>
        </row>
        <row r="2671">
          <cell r="B2671">
            <v>1996</v>
          </cell>
          <cell r="K2671" t="str">
            <v>DUBUQUE</v>
          </cell>
          <cell r="L2671" t="str">
            <v>Dubuque</v>
          </cell>
          <cell r="V2671">
            <v>131000</v>
          </cell>
        </row>
        <row r="2672">
          <cell r="B2672">
            <v>1996</v>
          </cell>
          <cell r="K2672" t="str">
            <v>FAYETTE</v>
          </cell>
          <cell r="L2672" t="str">
            <v>Fayette</v>
          </cell>
          <cell r="V2672">
            <v>204000</v>
          </cell>
        </row>
        <row r="2673">
          <cell r="B2673">
            <v>1996</v>
          </cell>
          <cell r="K2673" t="str">
            <v>HOWARD</v>
          </cell>
          <cell r="L2673" t="str">
            <v>Howard</v>
          </cell>
          <cell r="V2673">
            <v>117000</v>
          </cell>
        </row>
        <row r="2674">
          <cell r="B2674">
            <v>1996</v>
          </cell>
          <cell r="K2674" t="str">
            <v>WINNESHIEK</v>
          </cell>
          <cell r="L2674" t="str">
            <v>Winneshiek</v>
          </cell>
          <cell r="V2674">
            <v>146000</v>
          </cell>
        </row>
        <row r="2675">
          <cell r="B2675">
            <v>1996</v>
          </cell>
          <cell r="K2675" t="str">
            <v>BUENA VISTA</v>
          </cell>
          <cell r="L2675" t="str">
            <v>Buena Vista</v>
          </cell>
          <cell r="V2675">
            <v>165000</v>
          </cell>
        </row>
        <row r="2676">
          <cell r="B2676">
            <v>1996</v>
          </cell>
          <cell r="K2676" t="str">
            <v>CHEROKEE</v>
          </cell>
          <cell r="L2676" t="str">
            <v>Cherokee</v>
          </cell>
          <cell r="V2676">
            <v>146000</v>
          </cell>
        </row>
        <row r="2677">
          <cell r="B2677">
            <v>1996</v>
          </cell>
          <cell r="K2677" t="str">
            <v>CLAY</v>
          </cell>
          <cell r="L2677" t="str">
            <v>Clay</v>
          </cell>
          <cell r="V2677">
            <v>148000</v>
          </cell>
        </row>
        <row r="2678">
          <cell r="B2678">
            <v>1996</v>
          </cell>
          <cell r="K2678" t="str">
            <v>DICKINSON</v>
          </cell>
          <cell r="L2678" t="str">
            <v>Dickinson</v>
          </cell>
          <cell r="V2678">
            <v>89000</v>
          </cell>
        </row>
        <row r="2679">
          <cell r="B2679">
            <v>1996</v>
          </cell>
          <cell r="K2679" t="str">
            <v>EMMET</v>
          </cell>
          <cell r="L2679" t="str">
            <v>Emmet</v>
          </cell>
          <cell r="V2679">
            <v>110000</v>
          </cell>
        </row>
        <row r="2680">
          <cell r="B2680">
            <v>1996</v>
          </cell>
          <cell r="K2680" t="str">
            <v>LYON</v>
          </cell>
          <cell r="L2680" t="str">
            <v>Lyon</v>
          </cell>
          <cell r="V2680">
            <v>168000</v>
          </cell>
        </row>
        <row r="2681">
          <cell r="B2681">
            <v>1996</v>
          </cell>
          <cell r="K2681" t="str">
            <v>O BRIEN</v>
          </cell>
          <cell r="L2681" t="str">
            <v>O Brien</v>
          </cell>
          <cell r="V2681">
            <v>160000</v>
          </cell>
        </row>
        <row r="2682">
          <cell r="B2682">
            <v>1996</v>
          </cell>
          <cell r="K2682" t="str">
            <v>OSCEOLA</v>
          </cell>
          <cell r="L2682" t="str">
            <v>Osceola</v>
          </cell>
          <cell r="V2682">
            <v>119000</v>
          </cell>
        </row>
        <row r="2683">
          <cell r="B2683">
            <v>1996</v>
          </cell>
          <cell r="K2683" t="str">
            <v>PALO ALTO</v>
          </cell>
          <cell r="L2683" t="str">
            <v>Palo Alto</v>
          </cell>
          <cell r="V2683">
            <v>154000</v>
          </cell>
        </row>
        <row r="2684">
          <cell r="B2684">
            <v>1996</v>
          </cell>
          <cell r="K2684" t="str">
            <v>PLYMOUTH</v>
          </cell>
          <cell r="L2684" t="str">
            <v>Plymouth</v>
          </cell>
          <cell r="V2684">
            <v>212000</v>
          </cell>
        </row>
        <row r="2685">
          <cell r="B2685">
            <v>1996</v>
          </cell>
          <cell r="K2685" t="str">
            <v>POCAHONTAS</v>
          </cell>
          <cell r="L2685" t="str">
            <v>Pocahontas</v>
          </cell>
          <cell r="V2685">
            <v>172000</v>
          </cell>
        </row>
        <row r="2686">
          <cell r="B2686">
            <v>1996</v>
          </cell>
          <cell r="K2686" t="str">
            <v>SIOUX</v>
          </cell>
          <cell r="L2686" t="str">
            <v>Sioux</v>
          </cell>
          <cell r="V2686">
            <v>239000</v>
          </cell>
        </row>
        <row r="2687">
          <cell r="B2687">
            <v>1996</v>
          </cell>
          <cell r="K2687" t="str">
            <v>APPANOOSE</v>
          </cell>
          <cell r="L2687" t="str">
            <v>Appanoose</v>
          </cell>
          <cell r="V2687">
            <v>27000</v>
          </cell>
        </row>
        <row r="2688">
          <cell r="B2688">
            <v>1996</v>
          </cell>
          <cell r="K2688" t="str">
            <v>CLARKE</v>
          </cell>
          <cell r="L2688" t="str">
            <v>Clarke</v>
          </cell>
          <cell r="V2688">
            <v>30000</v>
          </cell>
        </row>
        <row r="2689">
          <cell r="B2689">
            <v>1996</v>
          </cell>
          <cell r="K2689" t="str">
            <v>DECATUR</v>
          </cell>
          <cell r="L2689" t="str">
            <v>Decatur</v>
          </cell>
          <cell r="V2689">
            <v>32000</v>
          </cell>
        </row>
        <row r="2690">
          <cell r="B2690">
            <v>1996</v>
          </cell>
          <cell r="K2690" t="str">
            <v>LUCAS</v>
          </cell>
          <cell r="L2690" t="str">
            <v>Lucas</v>
          </cell>
          <cell r="V2690">
            <v>25000</v>
          </cell>
        </row>
        <row r="2691">
          <cell r="B2691">
            <v>1996</v>
          </cell>
          <cell r="K2691" t="str">
            <v>MADISON</v>
          </cell>
          <cell r="L2691" t="str">
            <v>Madison</v>
          </cell>
          <cell r="V2691">
            <v>64000</v>
          </cell>
        </row>
        <row r="2692">
          <cell r="B2692">
            <v>1996</v>
          </cell>
          <cell r="K2692" t="str">
            <v>MARION</v>
          </cell>
          <cell r="L2692" t="str">
            <v>Marion</v>
          </cell>
          <cell r="V2692">
            <v>66000</v>
          </cell>
        </row>
        <row r="2693">
          <cell r="B2693">
            <v>1996</v>
          </cell>
          <cell r="K2693" t="str">
            <v>MONROE</v>
          </cell>
          <cell r="L2693" t="str">
            <v>Monroe</v>
          </cell>
          <cell r="V2693">
            <v>29000</v>
          </cell>
        </row>
        <row r="2694">
          <cell r="B2694">
            <v>1996</v>
          </cell>
          <cell r="K2694" t="str">
            <v>RINGGOLD</v>
          </cell>
          <cell r="L2694" t="str">
            <v>Ringgold</v>
          </cell>
          <cell r="V2694">
            <v>43000</v>
          </cell>
        </row>
        <row r="2695">
          <cell r="B2695">
            <v>1996</v>
          </cell>
          <cell r="K2695" t="str">
            <v>UNION</v>
          </cell>
          <cell r="L2695" t="str">
            <v>Union</v>
          </cell>
          <cell r="V2695">
            <v>43000</v>
          </cell>
        </row>
        <row r="2696">
          <cell r="B2696">
            <v>1996</v>
          </cell>
          <cell r="K2696" t="str">
            <v>WARREN</v>
          </cell>
          <cell r="L2696" t="str">
            <v>Warren</v>
          </cell>
          <cell r="V2696">
            <v>67000</v>
          </cell>
        </row>
        <row r="2697">
          <cell r="B2697">
            <v>1996</v>
          </cell>
          <cell r="K2697" t="str">
            <v>WAYNE</v>
          </cell>
          <cell r="L2697" t="str">
            <v>Wayne</v>
          </cell>
          <cell r="V2697">
            <v>42000</v>
          </cell>
        </row>
        <row r="2698">
          <cell r="B2698">
            <v>1996</v>
          </cell>
          <cell r="K2698" t="str">
            <v>DAVIS</v>
          </cell>
          <cell r="L2698" t="str">
            <v>Davis</v>
          </cell>
          <cell r="V2698">
            <v>39000</v>
          </cell>
        </row>
        <row r="2699">
          <cell r="B2699">
            <v>1996</v>
          </cell>
          <cell r="K2699" t="str">
            <v>DES MOINES</v>
          </cell>
          <cell r="L2699" t="str">
            <v>Des Moines</v>
          </cell>
          <cell r="V2699">
            <v>76000</v>
          </cell>
        </row>
        <row r="2700">
          <cell r="B2700">
            <v>1996</v>
          </cell>
          <cell r="K2700" t="str">
            <v>HENRY</v>
          </cell>
          <cell r="L2700" t="str">
            <v>Henry</v>
          </cell>
          <cell r="V2700">
            <v>88000</v>
          </cell>
        </row>
        <row r="2701">
          <cell r="B2701">
            <v>1996</v>
          </cell>
          <cell r="K2701" t="str">
            <v>JEFFERSON</v>
          </cell>
          <cell r="L2701" t="str">
            <v>Jefferson</v>
          </cell>
          <cell r="V2701">
            <v>67000</v>
          </cell>
        </row>
        <row r="2702">
          <cell r="B2702">
            <v>1996</v>
          </cell>
          <cell r="K2702" t="str">
            <v>KEOKUK</v>
          </cell>
          <cell r="L2702" t="str">
            <v>Keokuk</v>
          </cell>
          <cell r="V2702">
            <v>115000</v>
          </cell>
        </row>
        <row r="2703">
          <cell r="B2703">
            <v>1996</v>
          </cell>
          <cell r="K2703" t="str">
            <v>LEE</v>
          </cell>
          <cell r="L2703" t="str">
            <v>Lee</v>
          </cell>
          <cell r="V2703">
            <v>82000</v>
          </cell>
        </row>
        <row r="2704">
          <cell r="B2704">
            <v>1996</v>
          </cell>
          <cell r="K2704" t="str">
            <v>LOUISA</v>
          </cell>
          <cell r="L2704" t="str">
            <v>Louisa</v>
          </cell>
          <cell r="V2704">
            <v>84000</v>
          </cell>
        </row>
        <row r="2705">
          <cell r="B2705">
            <v>1996</v>
          </cell>
          <cell r="K2705" t="str">
            <v>MAHASKA</v>
          </cell>
          <cell r="L2705" t="str">
            <v>Mahaska</v>
          </cell>
          <cell r="V2705">
            <v>129000</v>
          </cell>
        </row>
        <row r="2706">
          <cell r="B2706">
            <v>1996</v>
          </cell>
          <cell r="K2706" t="str">
            <v>VAN BUREN</v>
          </cell>
          <cell r="L2706" t="str">
            <v>Van Buren</v>
          </cell>
          <cell r="V2706">
            <v>45000</v>
          </cell>
        </row>
        <row r="2707">
          <cell r="B2707">
            <v>1996</v>
          </cell>
          <cell r="K2707" t="str">
            <v>WAPELLO</v>
          </cell>
          <cell r="L2707" t="str">
            <v>Wapello</v>
          </cell>
          <cell r="V2707">
            <v>63000</v>
          </cell>
        </row>
        <row r="2708">
          <cell r="B2708">
            <v>1996</v>
          </cell>
          <cell r="K2708" t="str">
            <v>WASHINGTON</v>
          </cell>
          <cell r="L2708" t="str">
            <v>Washington</v>
          </cell>
          <cell r="V2708">
            <v>129000</v>
          </cell>
        </row>
        <row r="2709">
          <cell r="B2709">
            <v>1996</v>
          </cell>
          <cell r="K2709" t="str">
            <v>ADAIR</v>
          </cell>
          <cell r="L2709" t="str">
            <v>Adair</v>
          </cell>
          <cell r="V2709">
            <v>107000</v>
          </cell>
        </row>
        <row r="2710">
          <cell r="B2710">
            <v>1996</v>
          </cell>
          <cell r="K2710" t="str">
            <v>ADAMS</v>
          </cell>
          <cell r="L2710" t="str">
            <v>Adams</v>
          </cell>
          <cell r="V2710">
            <v>66000</v>
          </cell>
        </row>
        <row r="2711">
          <cell r="B2711">
            <v>1996</v>
          </cell>
          <cell r="K2711" t="str">
            <v>CASS</v>
          </cell>
          <cell r="L2711" t="str">
            <v>Cass</v>
          </cell>
          <cell r="V2711">
            <v>120000</v>
          </cell>
        </row>
        <row r="2712">
          <cell r="B2712">
            <v>1996</v>
          </cell>
          <cell r="K2712" t="str">
            <v>FREMONT</v>
          </cell>
          <cell r="L2712" t="str">
            <v>Fremont</v>
          </cell>
          <cell r="V2712">
            <v>120000</v>
          </cell>
        </row>
        <row r="2713">
          <cell r="B2713">
            <v>1996</v>
          </cell>
          <cell r="K2713" t="str">
            <v>MILLS</v>
          </cell>
          <cell r="L2713" t="str">
            <v>Mills</v>
          </cell>
          <cell r="V2713">
            <v>99000</v>
          </cell>
        </row>
        <row r="2714">
          <cell r="B2714">
            <v>1996</v>
          </cell>
          <cell r="K2714" t="str">
            <v>MONTGOMERY</v>
          </cell>
          <cell r="L2714" t="str">
            <v>Montgomery</v>
          </cell>
          <cell r="V2714">
            <v>90000</v>
          </cell>
        </row>
        <row r="2715">
          <cell r="B2715">
            <v>1996</v>
          </cell>
          <cell r="K2715" t="str">
            <v>PAGE</v>
          </cell>
          <cell r="L2715" t="str">
            <v>Page</v>
          </cell>
          <cell r="V2715">
            <v>102000</v>
          </cell>
        </row>
        <row r="2716">
          <cell r="B2716">
            <v>1996</v>
          </cell>
          <cell r="K2716" t="str">
            <v>POTTAWATTAMIE</v>
          </cell>
          <cell r="L2716" t="str">
            <v>Pottawattamie</v>
          </cell>
          <cell r="V2716">
            <v>221000</v>
          </cell>
        </row>
        <row r="2717">
          <cell r="B2717">
            <v>1996</v>
          </cell>
          <cell r="K2717" t="str">
            <v>TAYLOR</v>
          </cell>
          <cell r="L2717" t="str">
            <v>Taylor</v>
          </cell>
          <cell r="V2717">
            <v>66000</v>
          </cell>
        </row>
        <row r="2718">
          <cell r="B2718">
            <v>1996</v>
          </cell>
          <cell r="K2718" t="str">
            <v>AUDUBON</v>
          </cell>
          <cell r="L2718" t="str">
            <v>Audubon</v>
          </cell>
          <cell r="V2718">
            <v>106000</v>
          </cell>
        </row>
        <row r="2719">
          <cell r="B2719">
            <v>1996</v>
          </cell>
          <cell r="K2719" t="str">
            <v>CALHOUN</v>
          </cell>
          <cell r="L2719" t="str">
            <v>Calhoun</v>
          </cell>
          <cell r="V2719">
            <v>164000</v>
          </cell>
        </row>
        <row r="2720">
          <cell r="B2720">
            <v>1996</v>
          </cell>
          <cell r="K2720" t="str">
            <v>CARROLL</v>
          </cell>
          <cell r="L2720" t="str">
            <v>Carroll</v>
          </cell>
          <cell r="V2720">
            <v>154000</v>
          </cell>
        </row>
        <row r="2721">
          <cell r="B2721">
            <v>1996</v>
          </cell>
          <cell r="K2721" t="str">
            <v>CRAWFORD</v>
          </cell>
          <cell r="L2721" t="str">
            <v>Crawford</v>
          </cell>
          <cell r="V2721">
            <v>169000</v>
          </cell>
        </row>
        <row r="2722">
          <cell r="B2722">
            <v>1996</v>
          </cell>
          <cell r="K2722" t="str">
            <v>GREENE</v>
          </cell>
          <cell r="L2722" t="str">
            <v>Greene</v>
          </cell>
          <cell r="V2722">
            <v>161000</v>
          </cell>
        </row>
        <row r="2723">
          <cell r="B2723">
            <v>1996</v>
          </cell>
          <cell r="K2723" t="str">
            <v>GUTHRIE</v>
          </cell>
          <cell r="L2723" t="str">
            <v>Guthrie</v>
          </cell>
          <cell r="V2723">
            <v>114000</v>
          </cell>
        </row>
        <row r="2724">
          <cell r="B2724">
            <v>1996</v>
          </cell>
          <cell r="K2724" t="str">
            <v>HARRISON</v>
          </cell>
          <cell r="L2724" t="str">
            <v>Harrison</v>
          </cell>
          <cell r="V2724">
            <v>164000</v>
          </cell>
        </row>
        <row r="2725">
          <cell r="B2725">
            <v>1996</v>
          </cell>
          <cell r="K2725" t="str">
            <v>IDA</v>
          </cell>
          <cell r="L2725" t="str">
            <v>Ida</v>
          </cell>
          <cell r="V2725">
            <v>115000</v>
          </cell>
        </row>
        <row r="2726">
          <cell r="B2726">
            <v>1996</v>
          </cell>
          <cell r="K2726" t="str">
            <v>MONONA</v>
          </cell>
          <cell r="L2726" t="str">
            <v>Monona</v>
          </cell>
          <cell r="V2726">
            <v>166000</v>
          </cell>
        </row>
        <row r="2727">
          <cell r="B2727">
            <v>1996</v>
          </cell>
          <cell r="K2727" t="str">
            <v>SAC</v>
          </cell>
          <cell r="L2727" t="str">
            <v>Sac</v>
          </cell>
          <cell r="V2727">
            <v>166000</v>
          </cell>
        </row>
        <row r="2728">
          <cell r="B2728">
            <v>1996</v>
          </cell>
          <cell r="K2728" t="str">
            <v>SHELBY</v>
          </cell>
          <cell r="L2728" t="str">
            <v>Shelby</v>
          </cell>
          <cell r="V2728">
            <v>169000</v>
          </cell>
        </row>
        <row r="2729">
          <cell r="B2729">
            <v>1996</v>
          </cell>
          <cell r="K2729" t="str">
            <v>WOODBURY</v>
          </cell>
          <cell r="L2729" t="str">
            <v>Woodbury</v>
          </cell>
          <cell r="V2729">
            <v>190000</v>
          </cell>
        </row>
        <row r="2730">
          <cell r="B2730">
            <v>1995</v>
          </cell>
          <cell r="K2730" t="str">
            <v>BOONE</v>
          </cell>
          <cell r="L2730" t="str">
            <v>Boone</v>
          </cell>
          <cell r="V2730">
            <v>137000</v>
          </cell>
        </row>
        <row r="2731">
          <cell r="B2731">
            <v>1995</v>
          </cell>
          <cell r="K2731" t="str">
            <v>DALLAS</v>
          </cell>
          <cell r="L2731" t="str">
            <v>Dallas</v>
          </cell>
          <cell r="V2731">
            <v>131000</v>
          </cell>
        </row>
        <row r="2732">
          <cell r="B2732">
            <v>1995</v>
          </cell>
          <cell r="K2732" t="str">
            <v>GRUNDY</v>
          </cell>
          <cell r="L2732" t="str">
            <v>Grundy</v>
          </cell>
          <cell r="V2732">
            <v>162000</v>
          </cell>
        </row>
        <row r="2733">
          <cell r="B2733">
            <v>1995</v>
          </cell>
          <cell r="K2733" t="str">
            <v>HAMILTON</v>
          </cell>
          <cell r="L2733" t="str">
            <v>Hamilton</v>
          </cell>
          <cell r="V2733">
            <v>165000</v>
          </cell>
        </row>
        <row r="2734">
          <cell r="B2734">
            <v>1995</v>
          </cell>
          <cell r="K2734" t="str">
            <v>HARDIN</v>
          </cell>
          <cell r="L2734" t="str">
            <v>Hardin</v>
          </cell>
          <cell r="V2734">
            <v>170000</v>
          </cell>
        </row>
        <row r="2735">
          <cell r="B2735">
            <v>1995</v>
          </cell>
          <cell r="K2735" t="str">
            <v>JASPER</v>
          </cell>
          <cell r="L2735" t="str">
            <v>Jasper</v>
          </cell>
          <cell r="V2735">
            <v>159000</v>
          </cell>
        </row>
        <row r="2736">
          <cell r="B2736">
            <v>1995</v>
          </cell>
          <cell r="K2736" t="str">
            <v>MARSHALL</v>
          </cell>
          <cell r="L2736" t="str">
            <v>Marshall</v>
          </cell>
          <cell r="V2736">
            <v>140000</v>
          </cell>
        </row>
        <row r="2737">
          <cell r="B2737">
            <v>1995</v>
          </cell>
          <cell r="K2737" t="str">
            <v>POLK</v>
          </cell>
          <cell r="L2737" t="str">
            <v>Polk</v>
          </cell>
          <cell r="V2737">
            <v>90000</v>
          </cell>
        </row>
        <row r="2738">
          <cell r="B2738">
            <v>1995</v>
          </cell>
          <cell r="K2738" t="str">
            <v>POWESHIEK</v>
          </cell>
          <cell r="L2738" t="str">
            <v>Poweshiek</v>
          </cell>
          <cell r="V2738">
            <v>116000</v>
          </cell>
        </row>
        <row r="2739">
          <cell r="B2739">
            <v>1995</v>
          </cell>
          <cell r="K2739" t="str">
            <v>STORY</v>
          </cell>
          <cell r="L2739" t="str">
            <v>Story</v>
          </cell>
          <cell r="V2739">
            <v>155000</v>
          </cell>
        </row>
        <row r="2740">
          <cell r="B2740">
            <v>1995</v>
          </cell>
          <cell r="K2740" t="str">
            <v>TAMA</v>
          </cell>
          <cell r="L2740" t="str">
            <v>Tama</v>
          </cell>
          <cell r="V2740">
            <v>168000</v>
          </cell>
        </row>
        <row r="2741">
          <cell r="B2741">
            <v>1995</v>
          </cell>
          <cell r="K2741" t="str">
            <v>WEBSTER</v>
          </cell>
          <cell r="L2741" t="str">
            <v>Webster</v>
          </cell>
          <cell r="V2741">
            <v>181000</v>
          </cell>
        </row>
        <row r="2742">
          <cell r="B2742">
            <v>1995</v>
          </cell>
          <cell r="K2742" t="str">
            <v>BENTON</v>
          </cell>
          <cell r="L2742" t="str">
            <v>Benton</v>
          </cell>
          <cell r="V2742">
            <v>182000</v>
          </cell>
        </row>
        <row r="2743">
          <cell r="B2743">
            <v>1995</v>
          </cell>
          <cell r="K2743" t="str">
            <v>CEDAR</v>
          </cell>
          <cell r="L2743" t="str">
            <v>Cedar</v>
          </cell>
          <cell r="V2743">
            <v>165000</v>
          </cell>
        </row>
        <row r="2744">
          <cell r="B2744">
            <v>1995</v>
          </cell>
          <cell r="K2744" t="str">
            <v>CLINTON</v>
          </cell>
          <cell r="L2744" t="str">
            <v>Clinton</v>
          </cell>
          <cell r="V2744">
            <v>194000</v>
          </cell>
        </row>
        <row r="2745">
          <cell r="B2745">
            <v>1995</v>
          </cell>
          <cell r="K2745" t="str">
            <v>IOWA</v>
          </cell>
          <cell r="L2745" t="str">
            <v>Iowa</v>
          </cell>
          <cell r="V2745">
            <v>119000</v>
          </cell>
        </row>
        <row r="2746">
          <cell r="B2746">
            <v>1995</v>
          </cell>
          <cell r="K2746" t="str">
            <v>JACKSON</v>
          </cell>
          <cell r="L2746" t="str">
            <v>Jackson</v>
          </cell>
          <cell r="V2746">
            <v>104000</v>
          </cell>
        </row>
        <row r="2747">
          <cell r="B2747">
            <v>1995</v>
          </cell>
          <cell r="K2747" t="str">
            <v>JOHNSON</v>
          </cell>
          <cell r="L2747" t="str">
            <v>Johnson</v>
          </cell>
          <cell r="V2747">
            <v>105000</v>
          </cell>
        </row>
        <row r="2748">
          <cell r="B2748">
            <v>1995</v>
          </cell>
          <cell r="K2748" t="str">
            <v>JONES</v>
          </cell>
          <cell r="L2748" t="str">
            <v>Jones</v>
          </cell>
          <cell r="V2748">
            <v>150000</v>
          </cell>
        </row>
        <row r="2749">
          <cell r="B2749">
            <v>1995</v>
          </cell>
          <cell r="K2749" t="str">
            <v>LINN</v>
          </cell>
          <cell r="L2749" t="str">
            <v>Linn</v>
          </cell>
          <cell r="V2749">
            <v>141000</v>
          </cell>
        </row>
        <row r="2750">
          <cell r="B2750">
            <v>1995</v>
          </cell>
          <cell r="K2750" t="str">
            <v>MUSCATINE</v>
          </cell>
          <cell r="L2750" t="str">
            <v>Muscatine</v>
          </cell>
          <cell r="V2750">
            <v>93000</v>
          </cell>
        </row>
        <row r="2751">
          <cell r="B2751">
            <v>1995</v>
          </cell>
          <cell r="K2751" t="str">
            <v>SCOTT</v>
          </cell>
          <cell r="L2751" t="str">
            <v>Scott</v>
          </cell>
          <cell r="V2751">
            <v>124000</v>
          </cell>
        </row>
        <row r="2752">
          <cell r="B2752">
            <v>1995</v>
          </cell>
          <cell r="K2752" t="str">
            <v>BUTLER</v>
          </cell>
          <cell r="L2752" t="str">
            <v>Butler</v>
          </cell>
          <cell r="V2752">
            <v>151000</v>
          </cell>
        </row>
        <row r="2753">
          <cell r="B2753">
            <v>1995</v>
          </cell>
          <cell r="K2753" t="str">
            <v>CERRO GORDO</v>
          </cell>
          <cell r="L2753" t="str">
            <v>Cerro Gordo</v>
          </cell>
          <cell r="V2753">
            <v>164000</v>
          </cell>
        </row>
        <row r="2754">
          <cell r="B2754">
            <v>1995</v>
          </cell>
          <cell r="K2754" t="str">
            <v>FLOYD</v>
          </cell>
          <cell r="L2754" t="str">
            <v>Floyd</v>
          </cell>
          <cell r="V2754">
            <v>134000</v>
          </cell>
        </row>
        <row r="2755">
          <cell r="B2755">
            <v>1995</v>
          </cell>
          <cell r="K2755" t="str">
            <v>FRANKLIN</v>
          </cell>
          <cell r="L2755" t="str">
            <v>Franklin</v>
          </cell>
          <cell r="V2755">
            <v>175000</v>
          </cell>
        </row>
        <row r="2756">
          <cell r="B2756">
            <v>1995</v>
          </cell>
          <cell r="K2756" t="str">
            <v>HANCOCK</v>
          </cell>
          <cell r="L2756" t="str">
            <v>Hancock</v>
          </cell>
          <cell r="V2756">
            <v>167000</v>
          </cell>
        </row>
        <row r="2757">
          <cell r="B2757">
            <v>1995</v>
          </cell>
          <cell r="K2757" t="str">
            <v>HUMBOLDT</v>
          </cell>
          <cell r="L2757" t="str">
            <v>Humboldt</v>
          </cell>
          <cell r="V2757">
            <v>127000</v>
          </cell>
        </row>
        <row r="2758">
          <cell r="B2758">
            <v>1995</v>
          </cell>
          <cell r="K2758" t="str">
            <v>KOSSUTH</v>
          </cell>
          <cell r="L2758" t="str">
            <v>Kossuth</v>
          </cell>
          <cell r="V2758">
            <v>300000</v>
          </cell>
        </row>
        <row r="2759">
          <cell r="B2759">
            <v>1995</v>
          </cell>
          <cell r="K2759" t="str">
            <v>MITCHELL</v>
          </cell>
          <cell r="L2759" t="str">
            <v>Mitchell</v>
          </cell>
          <cell r="V2759">
            <v>134000</v>
          </cell>
        </row>
        <row r="2760">
          <cell r="B2760">
            <v>1995</v>
          </cell>
          <cell r="K2760" t="str">
            <v>WINNEBAGO</v>
          </cell>
          <cell r="L2760" t="str">
            <v>Winnebago</v>
          </cell>
          <cell r="V2760">
            <v>128000</v>
          </cell>
        </row>
        <row r="2761">
          <cell r="B2761">
            <v>1995</v>
          </cell>
          <cell r="K2761" t="str">
            <v>WORTH</v>
          </cell>
          <cell r="L2761" t="str">
            <v>Worth</v>
          </cell>
          <cell r="V2761">
            <v>111000</v>
          </cell>
        </row>
        <row r="2762">
          <cell r="B2762">
            <v>1995</v>
          </cell>
          <cell r="K2762" t="str">
            <v>WRIGHT</v>
          </cell>
          <cell r="L2762" t="str">
            <v>Wright</v>
          </cell>
          <cell r="V2762">
            <v>170000</v>
          </cell>
        </row>
        <row r="2763">
          <cell r="B2763">
            <v>1995</v>
          </cell>
          <cell r="K2763" t="str">
            <v>ALLAMAKEE</v>
          </cell>
          <cell r="L2763" t="str">
            <v>Allamakee</v>
          </cell>
          <cell r="V2763">
            <v>77000</v>
          </cell>
        </row>
        <row r="2764">
          <cell r="B2764">
            <v>1995</v>
          </cell>
          <cell r="K2764" t="str">
            <v>BLACK HAWK</v>
          </cell>
          <cell r="L2764" t="str">
            <v>Black Hawk</v>
          </cell>
          <cell r="V2764">
            <v>150000</v>
          </cell>
        </row>
        <row r="2765">
          <cell r="B2765">
            <v>1995</v>
          </cell>
          <cell r="K2765" t="str">
            <v>BREMER</v>
          </cell>
          <cell r="L2765" t="str">
            <v>Bremer</v>
          </cell>
          <cell r="V2765">
            <v>121000</v>
          </cell>
        </row>
        <row r="2766">
          <cell r="B2766">
            <v>1995</v>
          </cell>
          <cell r="K2766" t="str">
            <v>BUCHANAN</v>
          </cell>
          <cell r="L2766" t="str">
            <v>Buchanan</v>
          </cell>
          <cell r="V2766">
            <v>171000</v>
          </cell>
        </row>
        <row r="2767">
          <cell r="B2767">
            <v>1995</v>
          </cell>
          <cell r="K2767" t="str">
            <v>CHICKASAW</v>
          </cell>
          <cell r="L2767" t="str">
            <v>Chickasaw</v>
          </cell>
          <cell r="V2767">
            <v>130000</v>
          </cell>
        </row>
        <row r="2768">
          <cell r="B2768">
            <v>1995</v>
          </cell>
          <cell r="K2768" t="str">
            <v>CLAYTON</v>
          </cell>
          <cell r="L2768" t="str">
            <v>Clayton</v>
          </cell>
          <cell r="V2768">
            <v>148000</v>
          </cell>
        </row>
        <row r="2769">
          <cell r="B2769">
            <v>1995</v>
          </cell>
          <cell r="K2769" t="str">
            <v>DELAWARE</v>
          </cell>
          <cell r="L2769" t="str">
            <v>Delaware</v>
          </cell>
          <cell r="V2769">
            <v>186000</v>
          </cell>
        </row>
        <row r="2770">
          <cell r="B2770">
            <v>1995</v>
          </cell>
          <cell r="K2770" t="str">
            <v>DUBUQUE</v>
          </cell>
          <cell r="L2770" t="str">
            <v>Dubuque</v>
          </cell>
          <cell r="V2770">
            <v>125000</v>
          </cell>
        </row>
        <row r="2771">
          <cell r="B2771">
            <v>1995</v>
          </cell>
          <cell r="K2771" t="str">
            <v>FAYETTE</v>
          </cell>
          <cell r="L2771" t="str">
            <v>Fayette</v>
          </cell>
          <cell r="V2771">
            <v>197000</v>
          </cell>
        </row>
        <row r="2772">
          <cell r="B2772">
            <v>1995</v>
          </cell>
          <cell r="K2772" t="str">
            <v>HOWARD</v>
          </cell>
          <cell r="L2772" t="str">
            <v>Howard</v>
          </cell>
          <cell r="V2772">
            <v>110000</v>
          </cell>
        </row>
        <row r="2773">
          <cell r="B2773">
            <v>1995</v>
          </cell>
          <cell r="K2773" t="str">
            <v>WINNESHIEK</v>
          </cell>
          <cell r="L2773" t="str">
            <v>Winneshiek</v>
          </cell>
          <cell r="V2773">
            <v>137000</v>
          </cell>
        </row>
        <row r="2774">
          <cell r="B2774">
            <v>1995</v>
          </cell>
          <cell r="K2774" t="str">
            <v>BUENA VISTA</v>
          </cell>
          <cell r="L2774" t="str">
            <v>Buena Vista</v>
          </cell>
          <cell r="V2774">
            <v>164000</v>
          </cell>
        </row>
        <row r="2775">
          <cell r="B2775">
            <v>1995</v>
          </cell>
          <cell r="K2775" t="str">
            <v>CHEROKEE</v>
          </cell>
          <cell r="L2775" t="str">
            <v>Cherokee</v>
          </cell>
          <cell r="V2775">
            <v>144000</v>
          </cell>
        </row>
        <row r="2776">
          <cell r="B2776">
            <v>1995</v>
          </cell>
          <cell r="K2776" t="str">
            <v>CLAY</v>
          </cell>
          <cell r="L2776" t="str">
            <v>Clay</v>
          </cell>
          <cell r="V2776">
            <v>141000</v>
          </cell>
        </row>
        <row r="2777">
          <cell r="B2777">
            <v>1995</v>
          </cell>
          <cell r="K2777" t="str">
            <v>DICKINSON</v>
          </cell>
          <cell r="L2777" t="str">
            <v>Dickinson</v>
          </cell>
          <cell r="V2777">
            <v>84000</v>
          </cell>
        </row>
        <row r="2778">
          <cell r="B2778">
            <v>1995</v>
          </cell>
          <cell r="K2778" t="str">
            <v>EMMET</v>
          </cell>
          <cell r="L2778" t="str">
            <v>Emmet</v>
          </cell>
          <cell r="V2778">
            <v>108000</v>
          </cell>
        </row>
        <row r="2779">
          <cell r="B2779">
            <v>1995</v>
          </cell>
          <cell r="K2779" t="str">
            <v>LYON</v>
          </cell>
          <cell r="L2779" t="str">
            <v>Lyon</v>
          </cell>
          <cell r="V2779">
            <v>158000</v>
          </cell>
        </row>
        <row r="2780">
          <cell r="B2780">
            <v>1995</v>
          </cell>
          <cell r="K2780" t="str">
            <v>O BRIEN</v>
          </cell>
          <cell r="L2780" t="str">
            <v>O Brien</v>
          </cell>
          <cell r="V2780">
            <v>158000</v>
          </cell>
        </row>
        <row r="2781">
          <cell r="B2781">
            <v>1995</v>
          </cell>
          <cell r="K2781" t="str">
            <v>OSCEOLA</v>
          </cell>
          <cell r="L2781" t="str">
            <v>Osceola</v>
          </cell>
          <cell r="V2781">
            <v>112000</v>
          </cell>
        </row>
        <row r="2782">
          <cell r="B2782">
            <v>1995</v>
          </cell>
          <cell r="K2782" t="str">
            <v>PALO ALTO</v>
          </cell>
          <cell r="L2782" t="str">
            <v>Palo Alto</v>
          </cell>
          <cell r="V2782">
            <v>147000</v>
          </cell>
        </row>
        <row r="2783">
          <cell r="B2783">
            <v>1995</v>
          </cell>
          <cell r="K2783" t="str">
            <v>PLYMOUTH</v>
          </cell>
          <cell r="L2783" t="str">
            <v>Plymouth</v>
          </cell>
          <cell r="V2783">
            <v>215000</v>
          </cell>
        </row>
        <row r="2784">
          <cell r="B2784">
            <v>1995</v>
          </cell>
          <cell r="K2784" t="str">
            <v>POCAHONTAS</v>
          </cell>
          <cell r="L2784" t="str">
            <v>Pocahontas</v>
          </cell>
          <cell r="V2784">
            <v>167000</v>
          </cell>
        </row>
        <row r="2785">
          <cell r="B2785">
            <v>1995</v>
          </cell>
          <cell r="K2785" t="str">
            <v>SIOUX</v>
          </cell>
          <cell r="L2785" t="str">
            <v>Sioux</v>
          </cell>
          <cell r="V2785">
            <v>240000</v>
          </cell>
        </row>
        <row r="2786">
          <cell r="B2786">
            <v>1995</v>
          </cell>
          <cell r="K2786" t="str">
            <v>APPANOOSE</v>
          </cell>
          <cell r="L2786" t="str">
            <v>Appanoose</v>
          </cell>
          <cell r="V2786">
            <v>9000</v>
          </cell>
        </row>
        <row r="2787">
          <cell r="B2787">
            <v>1995</v>
          </cell>
          <cell r="K2787" t="str">
            <v>CLARKE</v>
          </cell>
          <cell r="L2787" t="str">
            <v>Clarke</v>
          </cell>
          <cell r="V2787">
            <v>7000</v>
          </cell>
        </row>
        <row r="2788">
          <cell r="B2788">
            <v>1995</v>
          </cell>
          <cell r="K2788" t="str">
            <v>DECATUR</v>
          </cell>
          <cell r="L2788" t="str">
            <v>Decatur</v>
          </cell>
          <cell r="V2788">
            <v>9000</v>
          </cell>
        </row>
        <row r="2789">
          <cell r="B2789">
            <v>1995</v>
          </cell>
          <cell r="K2789" t="str">
            <v>LUCAS</v>
          </cell>
          <cell r="L2789" t="str">
            <v>Lucas</v>
          </cell>
          <cell r="V2789">
            <v>9000</v>
          </cell>
        </row>
        <row r="2790">
          <cell r="B2790">
            <v>1995</v>
          </cell>
          <cell r="K2790" t="str">
            <v>MADISON</v>
          </cell>
          <cell r="L2790" t="str">
            <v>Madison</v>
          </cell>
          <cell r="V2790">
            <v>59000</v>
          </cell>
        </row>
        <row r="2791">
          <cell r="B2791">
            <v>1995</v>
          </cell>
          <cell r="K2791" t="str">
            <v>MARION</v>
          </cell>
          <cell r="L2791" t="str">
            <v>Marion</v>
          </cell>
          <cell r="V2791">
            <v>65000</v>
          </cell>
        </row>
        <row r="2792">
          <cell r="B2792">
            <v>1995</v>
          </cell>
          <cell r="K2792" t="str">
            <v>MONROE</v>
          </cell>
          <cell r="L2792" t="str">
            <v>Monroe</v>
          </cell>
          <cell r="V2792">
            <v>10000</v>
          </cell>
        </row>
        <row r="2793">
          <cell r="B2793">
            <v>1995</v>
          </cell>
          <cell r="K2793" t="str">
            <v>RINGGOLD</v>
          </cell>
          <cell r="L2793" t="str">
            <v>Ringgold</v>
          </cell>
          <cell r="V2793">
            <v>18000</v>
          </cell>
        </row>
        <row r="2794">
          <cell r="B2794">
            <v>1995</v>
          </cell>
          <cell r="K2794" t="str">
            <v>UNION</v>
          </cell>
          <cell r="L2794" t="str">
            <v>Union</v>
          </cell>
          <cell r="V2794">
            <v>34000</v>
          </cell>
        </row>
        <row r="2795">
          <cell r="B2795">
            <v>1995</v>
          </cell>
          <cell r="K2795" t="str">
            <v>WARREN</v>
          </cell>
          <cell r="L2795" t="str">
            <v>Warren</v>
          </cell>
          <cell r="V2795">
            <v>61000</v>
          </cell>
        </row>
        <row r="2796">
          <cell r="B2796">
            <v>1995</v>
          </cell>
          <cell r="K2796" t="str">
            <v>WAYNE</v>
          </cell>
          <cell r="L2796" t="str">
            <v>Wayne</v>
          </cell>
          <cell r="V2796">
            <v>11000</v>
          </cell>
        </row>
        <row r="2797">
          <cell r="B2797">
            <v>1995</v>
          </cell>
          <cell r="K2797" t="str">
            <v>DAVIS</v>
          </cell>
          <cell r="L2797" t="str">
            <v>Davis</v>
          </cell>
          <cell r="V2797">
            <v>12000</v>
          </cell>
        </row>
        <row r="2798">
          <cell r="B2798">
            <v>1995</v>
          </cell>
          <cell r="K2798" t="str">
            <v>DES MOINES</v>
          </cell>
          <cell r="L2798" t="str">
            <v>Des Moines</v>
          </cell>
          <cell r="V2798">
            <v>64000</v>
          </cell>
        </row>
        <row r="2799">
          <cell r="B2799">
            <v>1995</v>
          </cell>
          <cell r="K2799" t="str">
            <v>HENRY</v>
          </cell>
          <cell r="L2799" t="str">
            <v>Henry</v>
          </cell>
          <cell r="V2799">
            <v>69000</v>
          </cell>
        </row>
        <row r="2800">
          <cell r="B2800">
            <v>1995</v>
          </cell>
          <cell r="K2800" t="str">
            <v>JEFFERSON</v>
          </cell>
          <cell r="L2800" t="str">
            <v>Jefferson</v>
          </cell>
          <cell r="V2800">
            <v>41000</v>
          </cell>
        </row>
        <row r="2801">
          <cell r="B2801">
            <v>1995</v>
          </cell>
          <cell r="K2801" t="str">
            <v>KEOKUK</v>
          </cell>
          <cell r="L2801" t="str">
            <v>Keokuk</v>
          </cell>
          <cell r="V2801">
            <v>89000</v>
          </cell>
        </row>
        <row r="2802">
          <cell r="B2802">
            <v>1995</v>
          </cell>
          <cell r="K2802" t="str">
            <v>LEE</v>
          </cell>
          <cell r="L2802" t="str">
            <v>Lee</v>
          </cell>
          <cell r="V2802">
            <v>51000</v>
          </cell>
        </row>
        <row r="2803">
          <cell r="B2803">
            <v>1995</v>
          </cell>
          <cell r="K2803" t="str">
            <v>LOUISA</v>
          </cell>
          <cell r="L2803" t="str">
            <v>Louisa</v>
          </cell>
          <cell r="V2803">
            <v>77000</v>
          </cell>
        </row>
        <row r="2804">
          <cell r="B2804">
            <v>1995</v>
          </cell>
          <cell r="K2804" t="str">
            <v>MAHASKA</v>
          </cell>
          <cell r="L2804" t="str">
            <v>Mahaska</v>
          </cell>
          <cell r="V2804">
            <v>111000</v>
          </cell>
        </row>
        <row r="2805">
          <cell r="B2805">
            <v>1995</v>
          </cell>
          <cell r="K2805" t="str">
            <v>VAN BUREN</v>
          </cell>
          <cell r="L2805" t="str">
            <v>Van Buren</v>
          </cell>
          <cell r="V2805">
            <v>13000</v>
          </cell>
        </row>
        <row r="2806">
          <cell r="B2806">
            <v>1995</v>
          </cell>
          <cell r="K2806" t="str">
            <v>WAPELLO</v>
          </cell>
          <cell r="L2806" t="str">
            <v>Wapello</v>
          </cell>
          <cell r="V2806">
            <v>31000</v>
          </cell>
        </row>
        <row r="2807">
          <cell r="B2807">
            <v>1995</v>
          </cell>
          <cell r="K2807" t="str">
            <v>WASHINGTON</v>
          </cell>
          <cell r="L2807" t="str">
            <v>Washington</v>
          </cell>
          <cell r="V2807">
            <v>113000</v>
          </cell>
        </row>
        <row r="2808">
          <cell r="B2808">
            <v>1995</v>
          </cell>
          <cell r="K2808" t="str">
            <v>ADAIR</v>
          </cell>
          <cell r="L2808" t="str">
            <v>Adair</v>
          </cell>
          <cell r="V2808">
            <v>100000</v>
          </cell>
        </row>
        <row r="2809">
          <cell r="B2809">
            <v>1995</v>
          </cell>
          <cell r="K2809" t="str">
            <v>ADAMS</v>
          </cell>
          <cell r="L2809" t="str">
            <v>Adams</v>
          </cell>
          <cell r="V2809">
            <v>46000</v>
          </cell>
        </row>
        <row r="2810">
          <cell r="B2810">
            <v>1995</v>
          </cell>
          <cell r="K2810" t="str">
            <v>CASS</v>
          </cell>
          <cell r="L2810" t="str">
            <v>Cass</v>
          </cell>
          <cell r="V2810">
            <v>120000</v>
          </cell>
        </row>
        <row r="2811">
          <cell r="B2811">
            <v>1995</v>
          </cell>
          <cell r="K2811" t="str">
            <v>FREMONT</v>
          </cell>
          <cell r="L2811" t="str">
            <v>Fremont</v>
          </cell>
          <cell r="V2811">
            <v>87000</v>
          </cell>
        </row>
        <row r="2812">
          <cell r="B2812">
            <v>1995</v>
          </cell>
          <cell r="K2812" t="str">
            <v>MILLS</v>
          </cell>
          <cell r="L2812" t="str">
            <v>Mills</v>
          </cell>
          <cell r="V2812">
            <v>87000</v>
          </cell>
        </row>
        <row r="2813">
          <cell r="B2813">
            <v>1995</v>
          </cell>
          <cell r="K2813" t="str">
            <v>MONTGOMERY</v>
          </cell>
          <cell r="L2813" t="str">
            <v>Montgomery</v>
          </cell>
          <cell r="V2813">
            <v>78000</v>
          </cell>
        </row>
        <row r="2814">
          <cell r="B2814">
            <v>1995</v>
          </cell>
          <cell r="K2814" t="str">
            <v>PAGE</v>
          </cell>
          <cell r="L2814" t="str">
            <v>Page</v>
          </cell>
          <cell r="V2814">
            <v>81000</v>
          </cell>
        </row>
        <row r="2815">
          <cell r="B2815">
            <v>1995</v>
          </cell>
          <cell r="K2815" t="str">
            <v>POTTAWATTAMIE</v>
          </cell>
          <cell r="L2815" t="str">
            <v>Pottawattamie</v>
          </cell>
          <cell r="V2815">
            <v>227000</v>
          </cell>
        </row>
        <row r="2816">
          <cell r="B2816">
            <v>1995</v>
          </cell>
          <cell r="K2816" t="str">
            <v>TAYLOR</v>
          </cell>
          <cell r="L2816" t="str">
            <v>Taylor</v>
          </cell>
          <cell r="V2816">
            <v>36000</v>
          </cell>
        </row>
        <row r="2817">
          <cell r="B2817">
            <v>1995</v>
          </cell>
          <cell r="K2817" t="str">
            <v>AUDUBON</v>
          </cell>
          <cell r="L2817" t="str">
            <v>Audubon</v>
          </cell>
          <cell r="V2817">
            <v>98000</v>
          </cell>
        </row>
        <row r="2818">
          <cell r="B2818">
            <v>1995</v>
          </cell>
          <cell r="K2818" t="str">
            <v>CALHOUN</v>
          </cell>
          <cell r="L2818" t="str">
            <v>Calhoun</v>
          </cell>
          <cell r="V2818">
            <v>159000</v>
          </cell>
        </row>
        <row r="2819">
          <cell r="B2819">
            <v>1995</v>
          </cell>
          <cell r="K2819" t="str">
            <v>CARROLL</v>
          </cell>
          <cell r="L2819" t="str">
            <v>Carroll</v>
          </cell>
          <cell r="V2819">
            <v>160000</v>
          </cell>
        </row>
        <row r="2820">
          <cell r="B2820">
            <v>1995</v>
          </cell>
          <cell r="K2820" t="str">
            <v>CRAWFORD</v>
          </cell>
          <cell r="L2820" t="str">
            <v>Crawford</v>
          </cell>
          <cell r="V2820">
            <v>173000</v>
          </cell>
        </row>
        <row r="2821">
          <cell r="B2821">
            <v>1995</v>
          </cell>
          <cell r="K2821" t="str">
            <v>GREENE</v>
          </cell>
          <cell r="L2821" t="str">
            <v>Greene</v>
          </cell>
          <cell r="V2821">
            <v>153000</v>
          </cell>
        </row>
        <row r="2822">
          <cell r="B2822">
            <v>1995</v>
          </cell>
          <cell r="K2822" t="str">
            <v>GUTHRIE</v>
          </cell>
          <cell r="L2822" t="str">
            <v>Guthrie</v>
          </cell>
          <cell r="V2822">
            <v>103000</v>
          </cell>
        </row>
        <row r="2823">
          <cell r="B2823">
            <v>1995</v>
          </cell>
          <cell r="K2823" t="str">
            <v>HARRISON</v>
          </cell>
          <cell r="L2823" t="str">
            <v>Harrison</v>
          </cell>
          <cell r="V2823">
            <v>153000</v>
          </cell>
        </row>
        <row r="2824">
          <cell r="B2824">
            <v>1995</v>
          </cell>
          <cell r="K2824" t="str">
            <v>IDA</v>
          </cell>
          <cell r="L2824" t="str">
            <v>Ida</v>
          </cell>
          <cell r="V2824">
            <v>116000</v>
          </cell>
        </row>
        <row r="2825">
          <cell r="B2825">
            <v>1995</v>
          </cell>
          <cell r="K2825" t="str">
            <v>MONONA</v>
          </cell>
          <cell r="L2825" t="str">
            <v>Monona</v>
          </cell>
          <cell r="V2825">
            <v>148000</v>
          </cell>
        </row>
        <row r="2826">
          <cell r="B2826">
            <v>1995</v>
          </cell>
          <cell r="K2826" t="str">
            <v>SAC</v>
          </cell>
          <cell r="L2826" t="str">
            <v>Sac</v>
          </cell>
          <cell r="V2826">
            <v>156000</v>
          </cell>
        </row>
        <row r="2827">
          <cell r="B2827">
            <v>1995</v>
          </cell>
          <cell r="K2827" t="str">
            <v>SHELBY</v>
          </cell>
          <cell r="L2827" t="str">
            <v>Shelby</v>
          </cell>
          <cell r="V2827">
            <v>173000</v>
          </cell>
        </row>
        <row r="2828">
          <cell r="B2828">
            <v>1995</v>
          </cell>
          <cell r="K2828" t="str">
            <v>WOODBURY</v>
          </cell>
          <cell r="L2828" t="str">
            <v>Woodbury</v>
          </cell>
          <cell r="V2828">
            <v>181000</v>
          </cell>
        </row>
        <row r="2829">
          <cell r="B2829">
            <v>1994</v>
          </cell>
          <cell r="K2829" t="str">
            <v>BOONE</v>
          </cell>
          <cell r="L2829" t="str">
            <v>Boone</v>
          </cell>
          <cell r="V2829">
            <v>145000</v>
          </cell>
        </row>
        <row r="2830">
          <cell r="B2830">
            <v>1994</v>
          </cell>
          <cell r="K2830" t="str">
            <v>DALLAS</v>
          </cell>
          <cell r="L2830" t="str">
            <v>Dallas</v>
          </cell>
          <cell r="V2830">
            <v>136000</v>
          </cell>
        </row>
        <row r="2831">
          <cell r="B2831">
            <v>1994</v>
          </cell>
          <cell r="K2831" t="str">
            <v>GRUNDY</v>
          </cell>
          <cell r="L2831" t="str">
            <v>Grundy</v>
          </cell>
          <cell r="V2831">
            <v>164000</v>
          </cell>
        </row>
        <row r="2832">
          <cell r="B2832">
            <v>1994</v>
          </cell>
          <cell r="K2832" t="str">
            <v>HAMILTON</v>
          </cell>
          <cell r="L2832" t="str">
            <v>Hamilton</v>
          </cell>
          <cell r="V2832">
            <v>170000</v>
          </cell>
        </row>
        <row r="2833">
          <cell r="B2833">
            <v>1994</v>
          </cell>
          <cell r="K2833" t="str">
            <v>HARDIN</v>
          </cell>
          <cell r="L2833" t="str">
            <v>Hardin</v>
          </cell>
          <cell r="V2833">
            <v>174000</v>
          </cell>
        </row>
        <row r="2834">
          <cell r="B2834">
            <v>1994</v>
          </cell>
          <cell r="K2834" t="str">
            <v>JASPER</v>
          </cell>
          <cell r="L2834" t="str">
            <v>Jasper</v>
          </cell>
          <cell r="V2834">
            <v>166000</v>
          </cell>
        </row>
        <row r="2835">
          <cell r="B2835">
            <v>1994</v>
          </cell>
          <cell r="K2835" t="str">
            <v>MARSHALL</v>
          </cell>
          <cell r="L2835" t="str">
            <v>Marshall</v>
          </cell>
          <cell r="V2835">
            <v>147000</v>
          </cell>
        </row>
        <row r="2836">
          <cell r="B2836">
            <v>1994</v>
          </cell>
          <cell r="K2836" t="str">
            <v>POLK</v>
          </cell>
          <cell r="L2836" t="str">
            <v>Polk</v>
          </cell>
          <cell r="V2836">
            <v>96000</v>
          </cell>
        </row>
        <row r="2837">
          <cell r="B2837">
            <v>1994</v>
          </cell>
          <cell r="K2837" t="str">
            <v>POWESHIEK</v>
          </cell>
          <cell r="L2837" t="str">
            <v>Poweshiek</v>
          </cell>
          <cell r="V2837">
            <v>121000</v>
          </cell>
        </row>
        <row r="2838">
          <cell r="B2838">
            <v>1994</v>
          </cell>
          <cell r="K2838" t="str">
            <v>STORY</v>
          </cell>
          <cell r="L2838" t="str">
            <v>Story</v>
          </cell>
          <cell r="V2838">
            <v>160000</v>
          </cell>
        </row>
        <row r="2839">
          <cell r="B2839">
            <v>1994</v>
          </cell>
          <cell r="K2839" t="str">
            <v>TAMA</v>
          </cell>
          <cell r="L2839" t="str">
            <v>Tama</v>
          </cell>
          <cell r="V2839">
            <v>180000</v>
          </cell>
        </row>
        <row r="2840">
          <cell r="B2840">
            <v>1994</v>
          </cell>
          <cell r="K2840" t="str">
            <v>WEBSTER</v>
          </cell>
          <cell r="L2840" t="str">
            <v>Webster</v>
          </cell>
          <cell r="V2840">
            <v>190000</v>
          </cell>
        </row>
        <row r="2841">
          <cell r="B2841">
            <v>1994</v>
          </cell>
          <cell r="K2841" t="str">
            <v>BENTON</v>
          </cell>
          <cell r="L2841" t="str">
            <v>Benton</v>
          </cell>
          <cell r="V2841">
            <v>186000</v>
          </cell>
        </row>
        <row r="2842">
          <cell r="B2842">
            <v>1994</v>
          </cell>
          <cell r="K2842" t="str">
            <v>CEDAR</v>
          </cell>
          <cell r="L2842" t="str">
            <v>Cedar</v>
          </cell>
          <cell r="V2842">
            <v>170000</v>
          </cell>
        </row>
        <row r="2843">
          <cell r="B2843">
            <v>1994</v>
          </cell>
          <cell r="K2843" t="str">
            <v>CLINTON</v>
          </cell>
          <cell r="L2843" t="str">
            <v>Clinton</v>
          </cell>
          <cell r="V2843">
            <v>198000</v>
          </cell>
        </row>
        <row r="2844">
          <cell r="B2844">
            <v>1994</v>
          </cell>
          <cell r="K2844" t="str">
            <v>IOWA</v>
          </cell>
          <cell r="L2844" t="str">
            <v>Iowa</v>
          </cell>
          <cell r="V2844">
            <v>132000</v>
          </cell>
        </row>
        <row r="2845">
          <cell r="B2845">
            <v>1994</v>
          </cell>
          <cell r="K2845" t="str">
            <v>JACKSON</v>
          </cell>
          <cell r="L2845" t="str">
            <v>Jackson</v>
          </cell>
          <cell r="V2845">
            <v>106000</v>
          </cell>
        </row>
        <row r="2846">
          <cell r="B2846">
            <v>1994</v>
          </cell>
          <cell r="K2846" t="str">
            <v>JOHNSON</v>
          </cell>
          <cell r="L2846" t="str">
            <v>Johnson</v>
          </cell>
          <cell r="V2846">
            <v>115000</v>
          </cell>
        </row>
        <row r="2847">
          <cell r="B2847">
            <v>1994</v>
          </cell>
          <cell r="K2847" t="str">
            <v>JONES</v>
          </cell>
          <cell r="L2847" t="str">
            <v>Jones</v>
          </cell>
          <cell r="V2847">
            <v>154000</v>
          </cell>
        </row>
        <row r="2848">
          <cell r="B2848">
            <v>1994</v>
          </cell>
          <cell r="K2848" t="str">
            <v>LINN</v>
          </cell>
          <cell r="L2848" t="str">
            <v>Linn</v>
          </cell>
          <cell r="V2848">
            <v>145000</v>
          </cell>
        </row>
        <row r="2849">
          <cell r="B2849">
            <v>1994</v>
          </cell>
          <cell r="K2849" t="str">
            <v>MUSCATINE</v>
          </cell>
          <cell r="L2849" t="str">
            <v>Muscatine</v>
          </cell>
          <cell r="V2849">
            <v>100000</v>
          </cell>
        </row>
        <row r="2850">
          <cell r="B2850">
            <v>1994</v>
          </cell>
          <cell r="K2850" t="str">
            <v>SCOTT</v>
          </cell>
          <cell r="L2850" t="str">
            <v>Scott</v>
          </cell>
          <cell r="V2850">
            <v>129000</v>
          </cell>
        </row>
        <row r="2851">
          <cell r="B2851">
            <v>1994</v>
          </cell>
          <cell r="K2851" t="str">
            <v>BUTLER</v>
          </cell>
          <cell r="L2851" t="str">
            <v>Butler</v>
          </cell>
          <cell r="V2851">
            <v>153000</v>
          </cell>
        </row>
        <row r="2852">
          <cell r="B2852">
            <v>1994</v>
          </cell>
          <cell r="K2852" t="str">
            <v>CERRO GORDO</v>
          </cell>
          <cell r="L2852" t="str">
            <v>Cerro Gordo</v>
          </cell>
          <cell r="V2852">
            <v>166000</v>
          </cell>
        </row>
        <row r="2853">
          <cell r="B2853">
            <v>1994</v>
          </cell>
          <cell r="K2853" t="str">
            <v>FLOYD</v>
          </cell>
          <cell r="L2853" t="str">
            <v>Floyd</v>
          </cell>
          <cell r="V2853">
            <v>139000</v>
          </cell>
        </row>
        <row r="2854">
          <cell r="B2854">
            <v>1994</v>
          </cell>
          <cell r="K2854" t="str">
            <v>FRANKLIN</v>
          </cell>
          <cell r="L2854" t="str">
            <v>Franklin</v>
          </cell>
          <cell r="V2854">
            <v>181000</v>
          </cell>
        </row>
        <row r="2855">
          <cell r="B2855">
            <v>1994</v>
          </cell>
          <cell r="K2855" t="str">
            <v>HANCOCK</v>
          </cell>
          <cell r="L2855" t="str">
            <v>Hancock</v>
          </cell>
          <cell r="V2855">
            <v>170000</v>
          </cell>
        </row>
        <row r="2856">
          <cell r="B2856">
            <v>1994</v>
          </cell>
          <cell r="K2856" t="str">
            <v>HUMBOLDT</v>
          </cell>
          <cell r="L2856" t="str">
            <v>Humboldt</v>
          </cell>
          <cell r="V2856">
            <v>134000</v>
          </cell>
        </row>
        <row r="2857">
          <cell r="B2857">
            <v>1994</v>
          </cell>
          <cell r="K2857" t="str">
            <v>KOSSUTH</v>
          </cell>
          <cell r="L2857" t="str">
            <v>Kossuth</v>
          </cell>
          <cell r="V2857">
            <v>306000</v>
          </cell>
        </row>
        <row r="2858">
          <cell r="B2858">
            <v>1994</v>
          </cell>
          <cell r="K2858" t="str">
            <v>MITCHELL</v>
          </cell>
          <cell r="L2858" t="str">
            <v>Mitchell</v>
          </cell>
          <cell r="V2858">
            <v>136000</v>
          </cell>
        </row>
        <row r="2859">
          <cell r="B2859">
            <v>1994</v>
          </cell>
          <cell r="K2859" t="str">
            <v>WINNEBAGO</v>
          </cell>
          <cell r="L2859" t="str">
            <v>Winnebago</v>
          </cell>
          <cell r="V2859">
            <v>129000</v>
          </cell>
        </row>
        <row r="2860">
          <cell r="B2860">
            <v>1994</v>
          </cell>
          <cell r="K2860" t="str">
            <v>WORTH</v>
          </cell>
          <cell r="L2860" t="str">
            <v>Worth</v>
          </cell>
          <cell r="V2860">
            <v>112000</v>
          </cell>
        </row>
        <row r="2861">
          <cell r="B2861">
            <v>1994</v>
          </cell>
          <cell r="K2861" t="str">
            <v>WRIGHT</v>
          </cell>
          <cell r="L2861" t="str">
            <v>Wright</v>
          </cell>
          <cell r="V2861">
            <v>175000</v>
          </cell>
        </row>
        <row r="2862">
          <cell r="B2862">
            <v>1994</v>
          </cell>
          <cell r="K2862" t="str">
            <v>ALLAMAKEE</v>
          </cell>
          <cell r="L2862" t="str">
            <v>Allamakee</v>
          </cell>
          <cell r="V2862">
            <v>77000</v>
          </cell>
        </row>
        <row r="2863">
          <cell r="B2863">
            <v>1994</v>
          </cell>
          <cell r="K2863" t="str">
            <v>BLACK HAWK</v>
          </cell>
          <cell r="L2863" t="str">
            <v>Black Hawk</v>
          </cell>
          <cell r="V2863">
            <v>152000</v>
          </cell>
        </row>
        <row r="2864">
          <cell r="B2864">
            <v>1994</v>
          </cell>
          <cell r="K2864" t="str">
            <v>BREMER</v>
          </cell>
          <cell r="L2864" t="str">
            <v>Bremer</v>
          </cell>
          <cell r="V2864">
            <v>122000</v>
          </cell>
        </row>
        <row r="2865">
          <cell r="B2865">
            <v>1994</v>
          </cell>
          <cell r="K2865" t="str">
            <v>BUCHANAN</v>
          </cell>
          <cell r="L2865" t="str">
            <v>Buchanan</v>
          </cell>
          <cell r="V2865">
            <v>176000</v>
          </cell>
        </row>
        <row r="2866">
          <cell r="B2866">
            <v>1994</v>
          </cell>
          <cell r="K2866" t="str">
            <v>CHICKASAW</v>
          </cell>
          <cell r="L2866" t="str">
            <v>Chickasaw</v>
          </cell>
          <cell r="V2866">
            <v>134000</v>
          </cell>
        </row>
        <row r="2867">
          <cell r="B2867">
            <v>1994</v>
          </cell>
          <cell r="K2867" t="str">
            <v>CLAYTON</v>
          </cell>
          <cell r="L2867" t="str">
            <v>Clayton</v>
          </cell>
          <cell r="V2867">
            <v>148000</v>
          </cell>
        </row>
        <row r="2868">
          <cell r="B2868">
            <v>1994</v>
          </cell>
          <cell r="K2868" t="str">
            <v>DELAWARE</v>
          </cell>
          <cell r="L2868" t="str">
            <v>Delaware</v>
          </cell>
          <cell r="V2868">
            <v>187000</v>
          </cell>
        </row>
        <row r="2869">
          <cell r="B2869">
            <v>1994</v>
          </cell>
          <cell r="K2869" t="str">
            <v>DUBUQUE</v>
          </cell>
          <cell r="L2869" t="str">
            <v>Dubuque</v>
          </cell>
          <cell r="V2869">
            <v>125000</v>
          </cell>
        </row>
        <row r="2870">
          <cell r="B2870">
            <v>1994</v>
          </cell>
          <cell r="K2870" t="str">
            <v>FAYETTE</v>
          </cell>
          <cell r="L2870" t="str">
            <v>Fayette</v>
          </cell>
          <cell r="V2870">
            <v>199000</v>
          </cell>
        </row>
        <row r="2871">
          <cell r="B2871">
            <v>1994</v>
          </cell>
          <cell r="K2871" t="str">
            <v>HOWARD</v>
          </cell>
          <cell r="L2871" t="str">
            <v>Howard</v>
          </cell>
          <cell r="V2871">
            <v>110000</v>
          </cell>
        </row>
        <row r="2872">
          <cell r="B2872">
            <v>1994</v>
          </cell>
          <cell r="K2872" t="str">
            <v>WINNESHIEK</v>
          </cell>
          <cell r="L2872" t="str">
            <v>Winneshiek</v>
          </cell>
          <cell r="V2872">
            <v>137000</v>
          </cell>
        </row>
        <row r="2873">
          <cell r="B2873">
            <v>1994</v>
          </cell>
          <cell r="K2873" t="str">
            <v>BUENA VISTA</v>
          </cell>
          <cell r="L2873" t="str">
            <v>Buena Vista</v>
          </cell>
          <cell r="V2873">
            <v>168000</v>
          </cell>
        </row>
        <row r="2874">
          <cell r="B2874">
            <v>1994</v>
          </cell>
          <cell r="K2874" t="str">
            <v>CHEROKEE</v>
          </cell>
          <cell r="L2874" t="str">
            <v>Cherokee</v>
          </cell>
          <cell r="V2874">
            <v>148000</v>
          </cell>
        </row>
        <row r="2875">
          <cell r="B2875">
            <v>1994</v>
          </cell>
          <cell r="K2875" t="str">
            <v>CLAY</v>
          </cell>
          <cell r="L2875" t="str">
            <v>Clay</v>
          </cell>
          <cell r="V2875">
            <v>148000</v>
          </cell>
        </row>
        <row r="2876">
          <cell r="B2876">
            <v>1994</v>
          </cell>
          <cell r="K2876" t="str">
            <v>DICKINSON</v>
          </cell>
          <cell r="L2876" t="str">
            <v>Dickinson</v>
          </cell>
          <cell r="V2876">
            <v>90000</v>
          </cell>
        </row>
        <row r="2877">
          <cell r="B2877">
            <v>1994</v>
          </cell>
          <cell r="K2877" t="str">
            <v>EMMET</v>
          </cell>
          <cell r="L2877" t="str">
            <v>Emmet</v>
          </cell>
          <cell r="V2877">
            <v>111000</v>
          </cell>
        </row>
        <row r="2878">
          <cell r="B2878">
            <v>1994</v>
          </cell>
          <cell r="K2878" t="str">
            <v>LYON</v>
          </cell>
          <cell r="L2878" t="str">
            <v>Lyon</v>
          </cell>
          <cell r="V2878">
            <v>162000</v>
          </cell>
        </row>
        <row r="2879">
          <cell r="B2879">
            <v>1994</v>
          </cell>
          <cell r="K2879" t="str">
            <v>O BRIEN</v>
          </cell>
          <cell r="L2879" t="str">
            <v>O Brien</v>
          </cell>
          <cell r="V2879">
            <v>161000</v>
          </cell>
        </row>
        <row r="2880">
          <cell r="B2880">
            <v>1994</v>
          </cell>
          <cell r="K2880" t="str">
            <v>OSCEOLA</v>
          </cell>
          <cell r="L2880" t="str">
            <v>Osceola</v>
          </cell>
          <cell r="V2880">
            <v>115000</v>
          </cell>
        </row>
        <row r="2881">
          <cell r="B2881">
            <v>1994</v>
          </cell>
          <cell r="K2881" t="str">
            <v>PALO ALTO</v>
          </cell>
          <cell r="L2881" t="str">
            <v>Palo Alto</v>
          </cell>
          <cell r="V2881">
            <v>156000</v>
          </cell>
        </row>
        <row r="2882">
          <cell r="B2882">
            <v>1994</v>
          </cell>
          <cell r="K2882" t="str">
            <v>PLYMOUTH</v>
          </cell>
          <cell r="L2882" t="str">
            <v>Plymouth</v>
          </cell>
          <cell r="V2882">
            <v>221000</v>
          </cell>
        </row>
        <row r="2883">
          <cell r="B2883">
            <v>1994</v>
          </cell>
          <cell r="K2883" t="str">
            <v>POCAHONTAS</v>
          </cell>
          <cell r="L2883" t="str">
            <v>Pocahontas</v>
          </cell>
          <cell r="V2883">
            <v>173000</v>
          </cell>
        </row>
        <row r="2884">
          <cell r="B2884">
            <v>1994</v>
          </cell>
          <cell r="K2884" t="str">
            <v>SIOUX</v>
          </cell>
          <cell r="L2884" t="str">
            <v>Sioux</v>
          </cell>
          <cell r="V2884">
            <v>249000</v>
          </cell>
        </row>
        <row r="2885">
          <cell r="B2885">
            <v>1994</v>
          </cell>
          <cell r="K2885" t="str">
            <v>APPANOOSE</v>
          </cell>
          <cell r="L2885" t="str">
            <v>Appanoose</v>
          </cell>
          <cell r="V2885">
            <v>32000</v>
          </cell>
        </row>
        <row r="2886">
          <cell r="B2886">
            <v>1994</v>
          </cell>
          <cell r="K2886" t="str">
            <v>CLARKE</v>
          </cell>
          <cell r="L2886" t="str">
            <v>Clarke</v>
          </cell>
          <cell r="V2886">
            <v>39000</v>
          </cell>
        </row>
        <row r="2887">
          <cell r="B2887">
            <v>1994</v>
          </cell>
          <cell r="K2887" t="str">
            <v>DECATUR</v>
          </cell>
          <cell r="L2887" t="str">
            <v>Decatur</v>
          </cell>
          <cell r="V2887">
            <v>34000</v>
          </cell>
        </row>
        <row r="2888">
          <cell r="B2888">
            <v>1994</v>
          </cell>
          <cell r="K2888" t="str">
            <v>LUCAS</v>
          </cell>
          <cell r="L2888" t="str">
            <v>Lucas</v>
          </cell>
          <cell r="V2888">
            <v>29000</v>
          </cell>
        </row>
        <row r="2889">
          <cell r="B2889">
            <v>1994</v>
          </cell>
          <cell r="K2889" t="str">
            <v>MADISON</v>
          </cell>
          <cell r="L2889" t="str">
            <v>Madison</v>
          </cell>
          <cell r="V2889">
            <v>72000</v>
          </cell>
        </row>
        <row r="2890">
          <cell r="B2890">
            <v>1994</v>
          </cell>
          <cell r="K2890" t="str">
            <v>MARION</v>
          </cell>
          <cell r="L2890" t="str">
            <v>Marion</v>
          </cell>
          <cell r="V2890">
            <v>80000</v>
          </cell>
        </row>
        <row r="2891">
          <cell r="B2891">
            <v>1994</v>
          </cell>
          <cell r="K2891" t="str">
            <v>MONROE</v>
          </cell>
          <cell r="L2891" t="str">
            <v>Monroe</v>
          </cell>
          <cell r="V2891">
            <v>31000</v>
          </cell>
        </row>
        <row r="2892">
          <cell r="B2892">
            <v>1994</v>
          </cell>
          <cell r="K2892" t="str">
            <v>RINGGOLD</v>
          </cell>
          <cell r="L2892" t="str">
            <v>Ringgold</v>
          </cell>
          <cell r="V2892">
            <v>48000</v>
          </cell>
        </row>
        <row r="2893">
          <cell r="B2893">
            <v>1994</v>
          </cell>
          <cell r="K2893" t="str">
            <v>UNION</v>
          </cell>
          <cell r="L2893" t="str">
            <v>Union</v>
          </cell>
          <cell r="V2893">
            <v>53000</v>
          </cell>
        </row>
        <row r="2894">
          <cell r="B2894">
            <v>1994</v>
          </cell>
          <cell r="K2894" t="str">
            <v>WARREN</v>
          </cell>
          <cell r="L2894" t="str">
            <v>Warren</v>
          </cell>
          <cell r="V2894">
            <v>76000</v>
          </cell>
        </row>
        <row r="2895">
          <cell r="B2895">
            <v>1994</v>
          </cell>
          <cell r="K2895" t="str">
            <v>WAYNE</v>
          </cell>
          <cell r="L2895" t="str">
            <v>Wayne</v>
          </cell>
          <cell r="V2895">
            <v>51000</v>
          </cell>
        </row>
        <row r="2896">
          <cell r="B2896">
            <v>1994</v>
          </cell>
          <cell r="K2896" t="str">
            <v>DAVIS</v>
          </cell>
          <cell r="L2896" t="str">
            <v>Davis</v>
          </cell>
          <cell r="V2896">
            <v>40000</v>
          </cell>
        </row>
        <row r="2897">
          <cell r="B2897">
            <v>1994</v>
          </cell>
          <cell r="K2897" t="str">
            <v>DES MOINES</v>
          </cell>
          <cell r="L2897" t="str">
            <v>Des Moines</v>
          </cell>
          <cell r="V2897">
            <v>77000</v>
          </cell>
        </row>
        <row r="2898">
          <cell r="B2898">
            <v>1994</v>
          </cell>
          <cell r="K2898" t="str">
            <v>HENRY</v>
          </cell>
          <cell r="L2898" t="str">
            <v>Henry</v>
          </cell>
          <cell r="V2898">
            <v>90000</v>
          </cell>
        </row>
        <row r="2899">
          <cell r="B2899">
            <v>1994</v>
          </cell>
          <cell r="K2899" t="str">
            <v>JEFFERSON</v>
          </cell>
          <cell r="L2899" t="str">
            <v>Jefferson</v>
          </cell>
          <cell r="V2899">
            <v>71000</v>
          </cell>
        </row>
        <row r="2900">
          <cell r="B2900">
            <v>1994</v>
          </cell>
          <cell r="K2900" t="str">
            <v>KEOKUK</v>
          </cell>
          <cell r="L2900" t="str">
            <v>Keokuk</v>
          </cell>
          <cell r="V2900">
            <v>115000</v>
          </cell>
        </row>
        <row r="2901">
          <cell r="B2901">
            <v>1994</v>
          </cell>
          <cell r="K2901" t="str">
            <v>LEE</v>
          </cell>
          <cell r="L2901" t="str">
            <v>Lee</v>
          </cell>
          <cell r="V2901">
            <v>80000</v>
          </cell>
        </row>
        <row r="2902">
          <cell r="B2902">
            <v>1994</v>
          </cell>
          <cell r="K2902" t="str">
            <v>LOUISA</v>
          </cell>
          <cell r="L2902" t="str">
            <v>Louisa</v>
          </cell>
          <cell r="V2902">
            <v>88000</v>
          </cell>
        </row>
        <row r="2903">
          <cell r="B2903">
            <v>1994</v>
          </cell>
          <cell r="K2903" t="str">
            <v>MAHASKA</v>
          </cell>
          <cell r="L2903" t="str">
            <v>Mahaska</v>
          </cell>
          <cell r="V2903">
            <v>127000</v>
          </cell>
        </row>
        <row r="2904">
          <cell r="B2904">
            <v>1994</v>
          </cell>
          <cell r="K2904" t="str">
            <v>VAN BUREN</v>
          </cell>
          <cell r="L2904" t="str">
            <v>Van Buren</v>
          </cell>
          <cell r="V2904">
            <v>47000</v>
          </cell>
        </row>
        <row r="2905">
          <cell r="B2905">
            <v>1994</v>
          </cell>
          <cell r="K2905" t="str">
            <v>WAPELLO</v>
          </cell>
          <cell r="L2905" t="str">
            <v>Wapello</v>
          </cell>
          <cell r="V2905">
            <v>59000</v>
          </cell>
        </row>
        <row r="2906">
          <cell r="B2906">
            <v>1994</v>
          </cell>
          <cell r="K2906" t="str">
            <v>WASHINGTON</v>
          </cell>
          <cell r="L2906" t="str">
            <v>Washington</v>
          </cell>
          <cell r="V2906">
            <v>131000</v>
          </cell>
        </row>
        <row r="2907">
          <cell r="B2907">
            <v>1994</v>
          </cell>
          <cell r="K2907" t="str">
            <v>ADAIR</v>
          </cell>
          <cell r="L2907" t="str">
            <v>Adair</v>
          </cell>
          <cell r="V2907">
            <v>110000</v>
          </cell>
        </row>
        <row r="2908">
          <cell r="B2908">
            <v>1994</v>
          </cell>
          <cell r="K2908" t="str">
            <v>ADAMS</v>
          </cell>
          <cell r="L2908" t="str">
            <v>Adams</v>
          </cell>
          <cell r="V2908">
            <v>63000</v>
          </cell>
        </row>
        <row r="2909">
          <cell r="B2909">
            <v>1994</v>
          </cell>
          <cell r="K2909" t="str">
            <v>CASS</v>
          </cell>
          <cell r="L2909" t="str">
            <v>Cass</v>
          </cell>
          <cell r="V2909">
            <v>132000</v>
          </cell>
        </row>
        <row r="2910">
          <cell r="B2910">
            <v>1994</v>
          </cell>
          <cell r="K2910" t="str">
            <v>FREMONT</v>
          </cell>
          <cell r="L2910" t="str">
            <v>Fremont</v>
          </cell>
          <cell r="V2910">
            <v>116000</v>
          </cell>
        </row>
        <row r="2911">
          <cell r="B2911">
            <v>1994</v>
          </cell>
          <cell r="K2911" t="str">
            <v>MILLS</v>
          </cell>
          <cell r="L2911" t="str">
            <v>Mills</v>
          </cell>
          <cell r="V2911">
            <v>100000</v>
          </cell>
        </row>
        <row r="2912">
          <cell r="B2912">
            <v>1994</v>
          </cell>
          <cell r="K2912" t="str">
            <v>MONTGOMERY</v>
          </cell>
          <cell r="L2912" t="str">
            <v>Montgomery</v>
          </cell>
          <cell r="V2912">
            <v>91000</v>
          </cell>
        </row>
        <row r="2913">
          <cell r="B2913">
            <v>1994</v>
          </cell>
          <cell r="K2913" t="str">
            <v>PAGE</v>
          </cell>
          <cell r="L2913" t="str">
            <v>Page</v>
          </cell>
          <cell r="V2913">
            <v>99000</v>
          </cell>
        </row>
        <row r="2914">
          <cell r="B2914">
            <v>1994</v>
          </cell>
          <cell r="K2914" t="str">
            <v>POTTAWATTAMIE</v>
          </cell>
          <cell r="L2914" t="str">
            <v>Pottawattamie</v>
          </cell>
          <cell r="V2914">
            <v>239000</v>
          </cell>
        </row>
        <row r="2915">
          <cell r="B2915">
            <v>1994</v>
          </cell>
          <cell r="K2915" t="str">
            <v>TAYLOR</v>
          </cell>
          <cell r="L2915" t="str">
            <v>Taylor</v>
          </cell>
          <cell r="V2915">
            <v>69000</v>
          </cell>
        </row>
        <row r="2916">
          <cell r="B2916">
            <v>1994</v>
          </cell>
          <cell r="K2916" t="str">
            <v>AUDUBON</v>
          </cell>
          <cell r="L2916" t="str">
            <v>Audubon</v>
          </cell>
          <cell r="V2916">
            <v>105000</v>
          </cell>
        </row>
        <row r="2917">
          <cell r="B2917">
            <v>1994</v>
          </cell>
          <cell r="K2917" t="str">
            <v>CALHOUN</v>
          </cell>
          <cell r="L2917" t="str">
            <v>Calhoun</v>
          </cell>
          <cell r="V2917">
            <v>168000</v>
          </cell>
        </row>
        <row r="2918">
          <cell r="B2918">
            <v>1994</v>
          </cell>
          <cell r="K2918" t="str">
            <v>CARROLL</v>
          </cell>
          <cell r="L2918" t="str">
            <v>Carroll</v>
          </cell>
          <cell r="V2918">
            <v>164000</v>
          </cell>
        </row>
        <row r="2919">
          <cell r="B2919">
            <v>1994</v>
          </cell>
          <cell r="K2919" t="str">
            <v>CRAWFORD</v>
          </cell>
          <cell r="L2919" t="str">
            <v>Crawford</v>
          </cell>
          <cell r="V2919">
            <v>176000</v>
          </cell>
        </row>
        <row r="2920">
          <cell r="B2920">
            <v>1994</v>
          </cell>
          <cell r="K2920" t="str">
            <v>GREENE</v>
          </cell>
          <cell r="L2920" t="str">
            <v>Greene</v>
          </cell>
          <cell r="V2920">
            <v>161000</v>
          </cell>
        </row>
        <row r="2921">
          <cell r="B2921">
            <v>1994</v>
          </cell>
          <cell r="K2921" t="str">
            <v>GUTHRIE</v>
          </cell>
          <cell r="L2921" t="str">
            <v>Guthrie</v>
          </cell>
          <cell r="V2921">
            <v>108000</v>
          </cell>
        </row>
        <row r="2922">
          <cell r="B2922">
            <v>1994</v>
          </cell>
          <cell r="K2922" t="str">
            <v>HARRISON</v>
          </cell>
          <cell r="L2922" t="str">
            <v>Harrison</v>
          </cell>
          <cell r="V2922">
            <v>161000</v>
          </cell>
        </row>
        <row r="2923">
          <cell r="B2923">
            <v>1994</v>
          </cell>
          <cell r="K2923" t="str">
            <v>IDA</v>
          </cell>
          <cell r="L2923" t="str">
            <v>Ida</v>
          </cell>
          <cell r="V2923">
            <v>120000</v>
          </cell>
        </row>
        <row r="2924">
          <cell r="B2924">
            <v>1994</v>
          </cell>
          <cell r="K2924" t="str">
            <v>MONONA</v>
          </cell>
          <cell r="L2924" t="str">
            <v>Monona</v>
          </cell>
          <cell r="V2924">
            <v>159000</v>
          </cell>
        </row>
        <row r="2925">
          <cell r="B2925">
            <v>1994</v>
          </cell>
          <cell r="K2925" t="str">
            <v>SAC</v>
          </cell>
          <cell r="L2925" t="str">
            <v>Sac</v>
          </cell>
          <cell r="V2925">
            <v>161000</v>
          </cell>
        </row>
        <row r="2926">
          <cell r="B2926">
            <v>1994</v>
          </cell>
          <cell r="K2926" t="str">
            <v>SHELBY</v>
          </cell>
          <cell r="L2926" t="str">
            <v>Shelby</v>
          </cell>
          <cell r="V2926">
            <v>180000</v>
          </cell>
        </row>
        <row r="2927">
          <cell r="B2927">
            <v>1994</v>
          </cell>
          <cell r="K2927" t="str">
            <v>WOODBURY</v>
          </cell>
          <cell r="L2927" t="str">
            <v>Woodbury</v>
          </cell>
          <cell r="V2927">
            <v>194000</v>
          </cell>
        </row>
        <row r="2928">
          <cell r="B2928">
            <v>1993</v>
          </cell>
          <cell r="K2928" t="str">
            <v>BOONE</v>
          </cell>
          <cell r="L2928" t="str">
            <v>Boone</v>
          </cell>
          <cell r="V2928">
            <v>132000</v>
          </cell>
        </row>
        <row r="2929">
          <cell r="B2929">
            <v>1993</v>
          </cell>
          <cell r="K2929" t="str">
            <v>DALLAS</v>
          </cell>
          <cell r="L2929" t="str">
            <v>Dallas</v>
          </cell>
          <cell r="V2929">
            <v>128000</v>
          </cell>
        </row>
        <row r="2930">
          <cell r="B2930">
            <v>1993</v>
          </cell>
          <cell r="K2930" t="str">
            <v>GRUNDY</v>
          </cell>
          <cell r="L2930" t="str">
            <v>Grundy</v>
          </cell>
          <cell r="V2930">
            <v>152000</v>
          </cell>
        </row>
        <row r="2931">
          <cell r="B2931">
            <v>1993</v>
          </cell>
          <cell r="K2931" t="str">
            <v>HAMILTON</v>
          </cell>
          <cell r="L2931" t="str">
            <v>Hamilton</v>
          </cell>
          <cell r="V2931">
            <v>156000</v>
          </cell>
        </row>
        <row r="2932">
          <cell r="B2932">
            <v>1993</v>
          </cell>
          <cell r="K2932" t="str">
            <v>HARDIN</v>
          </cell>
          <cell r="L2932" t="str">
            <v>Hardin</v>
          </cell>
          <cell r="V2932">
            <v>160000</v>
          </cell>
        </row>
        <row r="2933">
          <cell r="B2933">
            <v>1993</v>
          </cell>
          <cell r="K2933" t="str">
            <v>JASPER</v>
          </cell>
          <cell r="L2933" t="str">
            <v>Jasper</v>
          </cell>
          <cell r="V2933">
            <v>157000</v>
          </cell>
        </row>
        <row r="2934">
          <cell r="B2934">
            <v>1993</v>
          </cell>
          <cell r="K2934" t="str">
            <v>MARSHALL</v>
          </cell>
          <cell r="L2934" t="str">
            <v>Marshall</v>
          </cell>
          <cell r="V2934">
            <v>138000</v>
          </cell>
        </row>
        <row r="2935">
          <cell r="B2935">
            <v>1993</v>
          </cell>
          <cell r="K2935" t="str">
            <v>POLK</v>
          </cell>
          <cell r="L2935" t="str">
            <v>Polk</v>
          </cell>
          <cell r="V2935">
            <v>89000</v>
          </cell>
        </row>
        <row r="2936">
          <cell r="B2936">
            <v>1993</v>
          </cell>
          <cell r="K2936" t="str">
            <v>POWESHIEK</v>
          </cell>
          <cell r="L2936" t="str">
            <v>Poweshiek</v>
          </cell>
          <cell r="V2936">
            <v>115000</v>
          </cell>
        </row>
        <row r="2937">
          <cell r="B2937">
            <v>1993</v>
          </cell>
          <cell r="K2937" t="str">
            <v>STORY</v>
          </cell>
          <cell r="L2937" t="str">
            <v>Story</v>
          </cell>
          <cell r="V2937">
            <v>148000</v>
          </cell>
        </row>
        <row r="2938">
          <cell r="B2938">
            <v>1993</v>
          </cell>
          <cell r="K2938" t="str">
            <v>TAMA</v>
          </cell>
          <cell r="L2938" t="str">
            <v>Tama</v>
          </cell>
          <cell r="V2938">
            <v>169000</v>
          </cell>
        </row>
        <row r="2939">
          <cell r="B2939">
            <v>1993</v>
          </cell>
          <cell r="K2939" t="str">
            <v>WEBSTER</v>
          </cell>
          <cell r="L2939" t="str">
            <v>Webster</v>
          </cell>
          <cell r="V2939">
            <v>172000</v>
          </cell>
        </row>
        <row r="2940">
          <cell r="B2940">
            <v>1993</v>
          </cell>
          <cell r="K2940" t="str">
            <v>BENTON</v>
          </cell>
          <cell r="L2940" t="str">
            <v>Benton</v>
          </cell>
          <cell r="V2940">
            <v>174000</v>
          </cell>
        </row>
        <row r="2941">
          <cell r="B2941">
            <v>1993</v>
          </cell>
          <cell r="K2941" t="str">
            <v>CEDAR</v>
          </cell>
          <cell r="L2941" t="str">
            <v>Cedar</v>
          </cell>
          <cell r="V2941">
            <v>162000</v>
          </cell>
        </row>
        <row r="2942">
          <cell r="B2942">
            <v>1993</v>
          </cell>
          <cell r="K2942" t="str">
            <v>CLINTON</v>
          </cell>
          <cell r="L2942" t="str">
            <v>Clinton</v>
          </cell>
          <cell r="V2942">
            <v>186000</v>
          </cell>
        </row>
        <row r="2943">
          <cell r="B2943">
            <v>1993</v>
          </cell>
          <cell r="K2943" t="str">
            <v>IOWA</v>
          </cell>
          <cell r="L2943" t="str">
            <v>Iowa</v>
          </cell>
          <cell r="V2943">
            <v>118000</v>
          </cell>
        </row>
        <row r="2944">
          <cell r="B2944">
            <v>1993</v>
          </cell>
          <cell r="K2944" t="str">
            <v>JACKSON</v>
          </cell>
          <cell r="L2944" t="str">
            <v>Jackson</v>
          </cell>
          <cell r="V2944">
            <v>100000</v>
          </cell>
        </row>
        <row r="2945">
          <cell r="B2945">
            <v>1993</v>
          </cell>
          <cell r="K2945" t="str">
            <v>JOHNSON</v>
          </cell>
          <cell r="L2945" t="str">
            <v>Johnson</v>
          </cell>
          <cell r="V2945">
            <v>109000</v>
          </cell>
        </row>
        <row r="2946">
          <cell r="B2946">
            <v>1993</v>
          </cell>
          <cell r="K2946" t="str">
            <v>JONES</v>
          </cell>
          <cell r="L2946" t="str">
            <v>Jones</v>
          </cell>
          <cell r="V2946">
            <v>144000</v>
          </cell>
        </row>
        <row r="2947">
          <cell r="B2947">
            <v>1993</v>
          </cell>
          <cell r="K2947" t="str">
            <v>LINN</v>
          </cell>
          <cell r="L2947" t="str">
            <v>Linn</v>
          </cell>
          <cell r="V2947">
            <v>138000</v>
          </cell>
        </row>
        <row r="2948">
          <cell r="B2948">
            <v>1993</v>
          </cell>
          <cell r="K2948" t="str">
            <v>MUSCATINE</v>
          </cell>
          <cell r="L2948" t="str">
            <v>Muscatine</v>
          </cell>
          <cell r="V2948">
            <v>90000</v>
          </cell>
        </row>
        <row r="2949">
          <cell r="B2949">
            <v>1993</v>
          </cell>
          <cell r="K2949" t="str">
            <v>SCOTT</v>
          </cell>
          <cell r="L2949" t="str">
            <v>Scott</v>
          </cell>
          <cell r="V2949">
            <v>123000</v>
          </cell>
        </row>
        <row r="2950">
          <cell r="B2950">
            <v>1993</v>
          </cell>
          <cell r="K2950" t="str">
            <v>BUTLER</v>
          </cell>
          <cell r="L2950" t="str">
            <v>Butler</v>
          </cell>
          <cell r="V2950">
            <v>143000</v>
          </cell>
        </row>
        <row r="2951">
          <cell r="B2951">
            <v>1993</v>
          </cell>
          <cell r="K2951" t="str">
            <v>CERRO GORDO</v>
          </cell>
          <cell r="L2951" t="str">
            <v>Cerro Gordo</v>
          </cell>
          <cell r="V2951">
            <v>155000</v>
          </cell>
        </row>
        <row r="2952">
          <cell r="B2952">
            <v>1993</v>
          </cell>
          <cell r="K2952" t="str">
            <v>FLOYD</v>
          </cell>
          <cell r="L2952" t="str">
            <v>Floyd</v>
          </cell>
          <cell r="V2952">
            <v>129000</v>
          </cell>
        </row>
        <row r="2953">
          <cell r="B2953">
            <v>1993</v>
          </cell>
          <cell r="K2953" t="str">
            <v>FRANKLIN</v>
          </cell>
          <cell r="L2953" t="str">
            <v>Franklin</v>
          </cell>
          <cell r="V2953">
            <v>166000</v>
          </cell>
        </row>
        <row r="2954">
          <cell r="B2954">
            <v>1993</v>
          </cell>
          <cell r="K2954" t="str">
            <v>HANCOCK</v>
          </cell>
          <cell r="L2954" t="str">
            <v>Hancock</v>
          </cell>
          <cell r="V2954">
            <v>159000</v>
          </cell>
        </row>
        <row r="2955">
          <cell r="B2955">
            <v>1993</v>
          </cell>
          <cell r="K2955" t="str">
            <v>HUMBOLDT</v>
          </cell>
          <cell r="L2955" t="str">
            <v>Humboldt</v>
          </cell>
          <cell r="V2955">
            <v>118000</v>
          </cell>
        </row>
        <row r="2956">
          <cell r="B2956">
            <v>1993</v>
          </cell>
          <cell r="K2956" t="str">
            <v>KOSSUTH</v>
          </cell>
          <cell r="L2956" t="str">
            <v>Kossuth</v>
          </cell>
          <cell r="V2956">
            <v>275000</v>
          </cell>
        </row>
        <row r="2957">
          <cell r="B2957">
            <v>1993</v>
          </cell>
          <cell r="K2957" t="str">
            <v>MITCHELL</v>
          </cell>
          <cell r="L2957" t="str">
            <v>Mitchell</v>
          </cell>
          <cell r="V2957">
            <v>128000</v>
          </cell>
        </row>
        <row r="2958">
          <cell r="B2958">
            <v>1993</v>
          </cell>
          <cell r="K2958" t="str">
            <v>WINNEBAGO</v>
          </cell>
          <cell r="L2958" t="str">
            <v>Winnebago</v>
          </cell>
          <cell r="V2958">
            <v>115000</v>
          </cell>
        </row>
        <row r="2959">
          <cell r="B2959">
            <v>1993</v>
          </cell>
          <cell r="K2959" t="str">
            <v>WORTH</v>
          </cell>
          <cell r="L2959" t="str">
            <v>Worth</v>
          </cell>
          <cell r="V2959">
            <v>104000</v>
          </cell>
        </row>
        <row r="2960">
          <cell r="B2960">
            <v>1993</v>
          </cell>
          <cell r="K2960" t="str">
            <v>WRIGHT</v>
          </cell>
          <cell r="L2960" t="str">
            <v>Wright</v>
          </cell>
          <cell r="V2960">
            <v>160000</v>
          </cell>
        </row>
        <row r="2961">
          <cell r="B2961">
            <v>1993</v>
          </cell>
          <cell r="K2961" t="str">
            <v>ALLAMAKEE</v>
          </cell>
          <cell r="L2961" t="str">
            <v>Allamakee</v>
          </cell>
          <cell r="V2961">
            <v>75000</v>
          </cell>
        </row>
        <row r="2962">
          <cell r="B2962">
            <v>1993</v>
          </cell>
          <cell r="K2962" t="str">
            <v>BLACK HAWK</v>
          </cell>
          <cell r="L2962" t="str">
            <v>Black Hawk</v>
          </cell>
          <cell r="V2962">
            <v>144000</v>
          </cell>
        </row>
        <row r="2963">
          <cell r="B2963">
            <v>1993</v>
          </cell>
          <cell r="K2963" t="str">
            <v>BREMER</v>
          </cell>
          <cell r="L2963" t="str">
            <v>Bremer</v>
          </cell>
          <cell r="V2963">
            <v>117000</v>
          </cell>
        </row>
        <row r="2964">
          <cell r="B2964">
            <v>1993</v>
          </cell>
          <cell r="K2964" t="str">
            <v>BUCHANAN</v>
          </cell>
          <cell r="L2964" t="str">
            <v>Buchanan</v>
          </cell>
          <cell r="V2964">
            <v>169000</v>
          </cell>
        </row>
        <row r="2965">
          <cell r="B2965">
            <v>1993</v>
          </cell>
          <cell r="K2965" t="str">
            <v>CHICKASAW</v>
          </cell>
          <cell r="L2965" t="str">
            <v>Chickasaw</v>
          </cell>
          <cell r="V2965">
            <v>129000</v>
          </cell>
        </row>
        <row r="2966">
          <cell r="B2966">
            <v>1993</v>
          </cell>
          <cell r="K2966" t="str">
            <v>CLAYTON</v>
          </cell>
          <cell r="L2966" t="str">
            <v>Clayton</v>
          </cell>
          <cell r="V2966">
            <v>149000</v>
          </cell>
        </row>
        <row r="2967">
          <cell r="B2967">
            <v>1993</v>
          </cell>
          <cell r="K2967" t="str">
            <v>DELAWARE</v>
          </cell>
          <cell r="L2967" t="str">
            <v>Delaware</v>
          </cell>
          <cell r="V2967">
            <v>180000</v>
          </cell>
        </row>
        <row r="2968">
          <cell r="B2968">
            <v>1993</v>
          </cell>
          <cell r="K2968" t="str">
            <v>DUBUQUE</v>
          </cell>
          <cell r="L2968" t="str">
            <v>Dubuque</v>
          </cell>
          <cell r="V2968">
            <v>125000</v>
          </cell>
        </row>
        <row r="2969">
          <cell r="B2969">
            <v>1993</v>
          </cell>
          <cell r="K2969" t="str">
            <v>FAYETTE</v>
          </cell>
          <cell r="L2969" t="str">
            <v>Fayette</v>
          </cell>
          <cell r="V2969">
            <v>190000</v>
          </cell>
        </row>
        <row r="2970">
          <cell r="B2970">
            <v>1993</v>
          </cell>
          <cell r="K2970" t="str">
            <v>HOWARD</v>
          </cell>
          <cell r="L2970" t="str">
            <v>Howard</v>
          </cell>
          <cell r="V2970">
            <v>106000</v>
          </cell>
        </row>
        <row r="2971">
          <cell r="B2971">
            <v>1993</v>
          </cell>
          <cell r="K2971" t="str">
            <v>WINNESHIEK</v>
          </cell>
          <cell r="L2971" t="str">
            <v>Winneshiek</v>
          </cell>
          <cell r="V2971">
            <v>132000</v>
          </cell>
        </row>
        <row r="2972">
          <cell r="B2972">
            <v>1993</v>
          </cell>
          <cell r="K2972" t="str">
            <v>BUENA VISTA</v>
          </cell>
          <cell r="L2972" t="str">
            <v>Buena Vista</v>
          </cell>
          <cell r="V2972">
            <v>156000</v>
          </cell>
        </row>
        <row r="2973">
          <cell r="B2973">
            <v>1993</v>
          </cell>
          <cell r="K2973" t="str">
            <v>CHEROKEE</v>
          </cell>
          <cell r="L2973" t="str">
            <v>Cherokee</v>
          </cell>
          <cell r="V2973">
            <v>139000</v>
          </cell>
        </row>
        <row r="2974">
          <cell r="B2974">
            <v>1993</v>
          </cell>
          <cell r="K2974" t="str">
            <v>CLAY</v>
          </cell>
          <cell r="L2974" t="str">
            <v>Clay</v>
          </cell>
          <cell r="V2974">
            <v>134000</v>
          </cell>
        </row>
        <row r="2975">
          <cell r="B2975">
            <v>1993</v>
          </cell>
          <cell r="K2975" t="str">
            <v>DICKINSON</v>
          </cell>
          <cell r="L2975" t="str">
            <v>Dickinson</v>
          </cell>
          <cell r="V2975">
            <v>81000</v>
          </cell>
        </row>
        <row r="2976">
          <cell r="B2976">
            <v>1993</v>
          </cell>
          <cell r="K2976" t="str">
            <v>EMMET</v>
          </cell>
          <cell r="L2976" t="str">
            <v>Emmet</v>
          </cell>
          <cell r="V2976">
            <v>99000</v>
          </cell>
        </row>
        <row r="2977">
          <cell r="B2977">
            <v>1993</v>
          </cell>
          <cell r="K2977" t="str">
            <v>LYON</v>
          </cell>
          <cell r="L2977" t="str">
            <v>Lyon</v>
          </cell>
          <cell r="V2977">
            <v>149000</v>
          </cell>
        </row>
        <row r="2978">
          <cell r="B2978">
            <v>1993</v>
          </cell>
          <cell r="K2978" t="str">
            <v>O BRIEN</v>
          </cell>
          <cell r="L2978" t="str">
            <v>O Brien</v>
          </cell>
          <cell r="V2978">
            <v>151000</v>
          </cell>
        </row>
        <row r="2979">
          <cell r="B2979">
            <v>1993</v>
          </cell>
          <cell r="K2979" t="str">
            <v>OSCEOLA</v>
          </cell>
          <cell r="L2979" t="str">
            <v>Osceola</v>
          </cell>
          <cell r="V2979">
            <v>100000</v>
          </cell>
        </row>
        <row r="2980">
          <cell r="B2980">
            <v>1993</v>
          </cell>
          <cell r="K2980" t="str">
            <v>PALO ALTO</v>
          </cell>
          <cell r="L2980" t="str">
            <v>Palo Alto</v>
          </cell>
          <cell r="V2980">
            <v>141000</v>
          </cell>
        </row>
        <row r="2981">
          <cell r="B2981">
            <v>1993</v>
          </cell>
          <cell r="K2981" t="str">
            <v>PLYMOUTH</v>
          </cell>
          <cell r="L2981" t="str">
            <v>Plymouth</v>
          </cell>
          <cell r="V2981">
            <v>212000</v>
          </cell>
        </row>
        <row r="2982">
          <cell r="B2982">
            <v>1993</v>
          </cell>
          <cell r="K2982" t="str">
            <v>POCAHONTAS</v>
          </cell>
          <cell r="L2982" t="str">
            <v>Pocahontas</v>
          </cell>
          <cell r="V2982">
            <v>157000</v>
          </cell>
        </row>
        <row r="2983">
          <cell r="B2983">
            <v>1993</v>
          </cell>
          <cell r="K2983" t="str">
            <v>SIOUX</v>
          </cell>
          <cell r="L2983" t="str">
            <v>Sioux</v>
          </cell>
          <cell r="V2983">
            <v>229000</v>
          </cell>
        </row>
        <row r="2984">
          <cell r="B2984">
            <v>1993</v>
          </cell>
          <cell r="K2984" t="str">
            <v>APPANOOSE</v>
          </cell>
          <cell r="L2984" t="str">
            <v>Appanoose</v>
          </cell>
          <cell r="V2984">
            <v>26000</v>
          </cell>
        </row>
        <row r="2985">
          <cell r="B2985">
            <v>1993</v>
          </cell>
          <cell r="K2985" t="str">
            <v>CLARKE</v>
          </cell>
          <cell r="L2985" t="str">
            <v>Clarke</v>
          </cell>
          <cell r="V2985">
            <v>29000</v>
          </cell>
        </row>
        <row r="2986">
          <cell r="B2986">
            <v>1993</v>
          </cell>
          <cell r="K2986" t="str">
            <v>DECATUR</v>
          </cell>
          <cell r="L2986" t="str">
            <v>Decatur</v>
          </cell>
          <cell r="V2986">
            <v>31000</v>
          </cell>
        </row>
        <row r="2987">
          <cell r="B2987">
            <v>1993</v>
          </cell>
          <cell r="K2987" t="str">
            <v>LUCAS</v>
          </cell>
          <cell r="L2987" t="str">
            <v>Lucas</v>
          </cell>
          <cell r="V2987">
            <v>24000</v>
          </cell>
        </row>
        <row r="2988">
          <cell r="B2988">
            <v>1993</v>
          </cell>
          <cell r="K2988" t="str">
            <v>MADISON</v>
          </cell>
          <cell r="L2988" t="str">
            <v>Madison</v>
          </cell>
          <cell r="V2988">
            <v>64000</v>
          </cell>
        </row>
        <row r="2989">
          <cell r="B2989">
            <v>1993</v>
          </cell>
          <cell r="K2989" t="str">
            <v>MARION</v>
          </cell>
          <cell r="L2989" t="str">
            <v>Marion</v>
          </cell>
          <cell r="V2989">
            <v>69000</v>
          </cell>
        </row>
        <row r="2990">
          <cell r="B2990">
            <v>1993</v>
          </cell>
          <cell r="K2990" t="str">
            <v>MONROE</v>
          </cell>
          <cell r="L2990" t="str">
            <v>Monroe</v>
          </cell>
          <cell r="V2990">
            <v>24000</v>
          </cell>
        </row>
        <row r="2991">
          <cell r="B2991">
            <v>1993</v>
          </cell>
          <cell r="K2991" t="str">
            <v>RINGGOLD</v>
          </cell>
          <cell r="L2991" t="str">
            <v>Ringgold</v>
          </cell>
          <cell r="V2991">
            <v>44000</v>
          </cell>
        </row>
        <row r="2992">
          <cell r="B2992">
            <v>1993</v>
          </cell>
          <cell r="K2992" t="str">
            <v>UNION</v>
          </cell>
          <cell r="L2992" t="str">
            <v>Union</v>
          </cell>
          <cell r="V2992">
            <v>47000</v>
          </cell>
        </row>
        <row r="2993">
          <cell r="B2993">
            <v>1993</v>
          </cell>
          <cell r="K2993" t="str">
            <v>WARREN</v>
          </cell>
          <cell r="L2993" t="str">
            <v>Warren</v>
          </cell>
          <cell r="V2993">
            <v>62000</v>
          </cell>
        </row>
        <row r="2994">
          <cell r="B2994">
            <v>1993</v>
          </cell>
          <cell r="K2994" t="str">
            <v>WAYNE</v>
          </cell>
          <cell r="L2994" t="str">
            <v>Wayne</v>
          </cell>
          <cell r="V2994">
            <v>44000</v>
          </cell>
        </row>
        <row r="2995">
          <cell r="B2995">
            <v>1993</v>
          </cell>
          <cell r="K2995" t="str">
            <v>DAVIS</v>
          </cell>
          <cell r="L2995" t="str">
            <v>Davis</v>
          </cell>
          <cell r="V2995">
            <v>38000</v>
          </cell>
        </row>
        <row r="2996">
          <cell r="B2996">
            <v>1993</v>
          </cell>
          <cell r="K2996" t="str">
            <v>DES MOINES</v>
          </cell>
          <cell r="L2996" t="str">
            <v>Des Moines</v>
          </cell>
          <cell r="V2996">
            <v>70000</v>
          </cell>
        </row>
        <row r="2997">
          <cell r="B2997">
            <v>1993</v>
          </cell>
          <cell r="K2997" t="str">
            <v>HENRY</v>
          </cell>
          <cell r="L2997" t="str">
            <v>Henry</v>
          </cell>
          <cell r="V2997">
            <v>85000</v>
          </cell>
        </row>
        <row r="2998">
          <cell r="B2998">
            <v>1993</v>
          </cell>
          <cell r="K2998" t="str">
            <v>JEFFERSON</v>
          </cell>
          <cell r="L2998" t="str">
            <v>Jefferson</v>
          </cell>
          <cell r="V2998">
            <v>65000</v>
          </cell>
        </row>
        <row r="2999">
          <cell r="B2999">
            <v>1993</v>
          </cell>
          <cell r="K2999" t="str">
            <v>KEOKUK</v>
          </cell>
          <cell r="L2999" t="str">
            <v>Keokuk</v>
          </cell>
          <cell r="V2999">
            <v>108000</v>
          </cell>
        </row>
        <row r="3000">
          <cell r="B3000">
            <v>1993</v>
          </cell>
          <cell r="K3000" t="str">
            <v>LEE</v>
          </cell>
          <cell r="L3000" t="str">
            <v>Lee</v>
          </cell>
          <cell r="V3000">
            <v>76000</v>
          </cell>
        </row>
        <row r="3001">
          <cell r="B3001">
            <v>1993</v>
          </cell>
          <cell r="K3001" t="str">
            <v>LOUISA</v>
          </cell>
          <cell r="L3001" t="str">
            <v>Louisa</v>
          </cell>
          <cell r="V3001">
            <v>83000</v>
          </cell>
        </row>
        <row r="3002">
          <cell r="B3002">
            <v>1993</v>
          </cell>
          <cell r="K3002" t="str">
            <v>MAHASKA</v>
          </cell>
          <cell r="L3002" t="str">
            <v>Mahaska</v>
          </cell>
          <cell r="V3002">
            <v>117000</v>
          </cell>
        </row>
        <row r="3003">
          <cell r="B3003">
            <v>1993</v>
          </cell>
          <cell r="K3003" t="str">
            <v>VAN BUREN</v>
          </cell>
          <cell r="L3003" t="str">
            <v>Van Buren</v>
          </cell>
          <cell r="V3003">
            <v>41000</v>
          </cell>
        </row>
        <row r="3004">
          <cell r="B3004">
            <v>1993</v>
          </cell>
          <cell r="K3004" t="str">
            <v>WAPELLO</v>
          </cell>
          <cell r="L3004" t="str">
            <v>Wapello</v>
          </cell>
          <cell r="V3004">
            <v>49000</v>
          </cell>
        </row>
        <row r="3005">
          <cell r="B3005">
            <v>1993</v>
          </cell>
          <cell r="K3005" t="str">
            <v>WASHINGTON</v>
          </cell>
          <cell r="L3005" t="str">
            <v>Washington</v>
          </cell>
          <cell r="V3005">
            <v>125000</v>
          </cell>
        </row>
        <row r="3006">
          <cell r="B3006">
            <v>1993</v>
          </cell>
          <cell r="K3006" t="str">
            <v>ADAIR</v>
          </cell>
          <cell r="L3006" t="str">
            <v>Adair</v>
          </cell>
          <cell r="V3006">
            <v>105000</v>
          </cell>
        </row>
        <row r="3007">
          <cell r="B3007">
            <v>1993</v>
          </cell>
          <cell r="K3007" t="str">
            <v>ADAMS</v>
          </cell>
          <cell r="L3007" t="str">
            <v>Adams</v>
          </cell>
          <cell r="V3007">
            <v>58000</v>
          </cell>
        </row>
        <row r="3008">
          <cell r="B3008">
            <v>1993</v>
          </cell>
          <cell r="K3008" t="str">
            <v>CASS</v>
          </cell>
          <cell r="L3008" t="str">
            <v>Cass</v>
          </cell>
          <cell r="V3008">
            <v>122000</v>
          </cell>
        </row>
        <row r="3009">
          <cell r="B3009">
            <v>1993</v>
          </cell>
          <cell r="K3009" t="str">
            <v>FREMONT</v>
          </cell>
          <cell r="L3009" t="str">
            <v>Fremont</v>
          </cell>
          <cell r="V3009">
            <v>107000</v>
          </cell>
        </row>
        <row r="3010">
          <cell r="B3010">
            <v>1993</v>
          </cell>
          <cell r="K3010" t="str">
            <v>MILLS</v>
          </cell>
          <cell r="L3010" t="str">
            <v>Mills</v>
          </cell>
          <cell r="V3010">
            <v>96000</v>
          </cell>
        </row>
        <row r="3011">
          <cell r="B3011">
            <v>1993</v>
          </cell>
          <cell r="K3011" t="str">
            <v>MONTGOMERY</v>
          </cell>
          <cell r="L3011" t="str">
            <v>Montgomery</v>
          </cell>
          <cell r="V3011">
            <v>86000</v>
          </cell>
        </row>
        <row r="3012">
          <cell r="B3012">
            <v>1993</v>
          </cell>
          <cell r="K3012" t="str">
            <v>PAGE</v>
          </cell>
          <cell r="L3012" t="str">
            <v>Page</v>
          </cell>
          <cell r="V3012">
            <v>92000</v>
          </cell>
        </row>
        <row r="3013">
          <cell r="B3013">
            <v>1993</v>
          </cell>
          <cell r="K3013" t="str">
            <v>POTTAWATTAMIE</v>
          </cell>
          <cell r="L3013" t="str">
            <v>Pottawattamie</v>
          </cell>
          <cell r="V3013">
            <v>229000</v>
          </cell>
        </row>
        <row r="3014">
          <cell r="B3014">
            <v>1993</v>
          </cell>
          <cell r="K3014" t="str">
            <v>TAYLOR</v>
          </cell>
          <cell r="L3014" t="str">
            <v>Taylor</v>
          </cell>
          <cell r="V3014">
            <v>63000</v>
          </cell>
        </row>
        <row r="3015">
          <cell r="B3015">
            <v>1993</v>
          </cell>
          <cell r="K3015" t="str">
            <v>AUDUBON</v>
          </cell>
          <cell r="L3015" t="str">
            <v>Audubon</v>
          </cell>
          <cell r="V3015">
            <v>102000</v>
          </cell>
        </row>
        <row r="3016">
          <cell r="B3016">
            <v>1993</v>
          </cell>
          <cell r="K3016" t="str">
            <v>CALHOUN</v>
          </cell>
          <cell r="L3016" t="str">
            <v>Calhoun</v>
          </cell>
          <cell r="V3016">
            <v>150000</v>
          </cell>
        </row>
        <row r="3017">
          <cell r="B3017">
            <v>1993</v>
          </cell>
          <cell r="K3017" t="str">
            <v>CARROLL</v>
          </cell>
          <cell r="L3017" t="str">
            <v>Carroll</v>
          </cell>
          <cell r="V3017">
            <v>154000</v>
          </cell>
        </row>
        <row r="3018">
          <cell r="B3018">
            <v>1993</v>
          </cell>
          <cell r="K3018" t="str">
            <v>CRAWFORD</v>
          </cell>
          <cell r="L3018" t="str">
            <v>Crawford</v>
          </cell>
          <cell r="V3018">
            <v>166000</v>
          </cell>
        </row>
        <row r="3019">
          <cell r="B3019">
            <v>1993</v>
          </cell>
          <cell r="K3019" t="str">
            <v>GREENE</v>
          </cell>
          <cell r="L3019" t="str">
            <v>Greene</v>
          </cell>
          <cell r="V3019">
            <v>145000</v>
          </cell>
        </row>
        <row r="3020">
          <cell r="B3020">
            <v>1993</v>
          </cell>
          <cell r="K3020" t="str">
            <v>GUTHRIE</v>
          </cell>
          <cell r="L3020" t="str">
            <v>Guthrie</v>
          </cell>
          <cell r="V3020">
            <v>102000</v>
          </cell>
        </row>
        <row r="3021">
          <cell r="B3021">
            <v>1993</v>
          </cell>
          <cell r="K3021" t="str">
            <v>HARRISON</v>
          </cell>
          <cell r="L3021" t="str">
            <v>Harrison</v>
          </cell>
          <cell r="V3021">
            <v>150000</v>
          </cell>
        </row>
        <row r="3022">
          <cell r="B3022">
            <v>1993</v>
          </cell>
          <cell r="K3022" t="str">
            <v>IDA</v>
          </cell>
          <cell r="L3022" t="str">
            <v>Ida</v>
          </cell>
          <cell r="V3022">
            <v>117000</v>
          </cell>
        </row>
        <row r="3023">
          <cell r="B3023">
            <v>1993</v>
          </cell>
          <cell r="K3023" t="str">
            <v>MONONA</v>
          </cell>
          <cell r="L3023" t="str">
            <v>Monona</v>
          </cell>
          <cell r="V3023">
            <v>149000</v>
          </cell>
        </row>
        <row r="3024">
          <cell r="B3024">
            <v>1993</v>
          </cell>
          <cell r="K3024" t="str">
            <v>SAC</v>
          </cell>
          <cell r="L3024" t="str">
            <v>Sac</v>
          </cell>
          <cell r="V3024">
            <v>150000</v>
          </cell>
        </row>
        <row r="3025">
          <cell r="B3025">
            <v>1993</v>
          </cell>
          <cell r="K3025" t="str">
            <v>SHELBY</v>
          </cell>
          <cell r="L3025" t="str">
            <v>Shelby</v>
          </cell>
          <cell r="V3025">
            <v>171000</v>
          </cell>
        </row>
        <row r="3026">
          <cell r="B3026">
            <v>1993</v>
          </cell>
          <cell r="K3026" t="str">
            <v>WOODBURY</v>
          </cell>
          <cell r="L3026" t="str">
            <v>Woodbury</v>
          </cell>
          <cell r="V3026">
            <v>189000</v>
          </cell>
        </row>
        <row r="3027">
          <cell r="B3027">
            <v>1992</v>
          </cell>
          <cell r="K3027" t="str">
            <v>BOONE</v>
          </cell>
          <cell r="L3027" t="str">
            <v>Boone</v>
          </cell>
          <cell r="V3027">
            <v>142000</v>
          </cell>
        </row>
        <row r="3028">
          <cell r="B3028">
            <v>1992</v>
          </cell>
          <cell r="K3028" t="str">
            <v>DALLAS</v>
          </cell>
          <cell r="L3028" t="str">
            <v>Dallas</v>
          </cell>
          <cell r="V3028">
            <v>140000</v>
          </cell>
        </row>
        <row r="3029">
          <cell r="B3029">
            <v>1992</v>
          </cell>
          <cell r="K3029" t="str">
            <v>GRUNDY</v>
          </cell>
          <cell r="L3029" t="str">
            <v>Grundy</v>
          </cell>
          <cell r="V3029">
            <v>165000</v>
          </cell>
        </row>
        <row r="3030">
          <cell r="B3030">
            <v>1992</v>
          </cell>
          <cell r="K3030" t="str">
            <v>HAMILTON</v>
          </cell>
          <cell r="L3030" t="str">
            <v>Hamilton</v>
          </cell>
          <cell r="V3030">
            <v>169000</v>
          </cell>
        </row>
        <row r="3031">
          <cell r="B3031">
            <v>1992</v>
          </cell>
          <cell r="K3031" t="str">
            <v>HARDIN</v>
          </cell>
          <cell r="L3031" t="str">
            <v>Hardin</v>
          </cell>
          <cell r="V3031">
            <v>173000</v>
          </cell>
        </row>
        <row r="3032">
          <cell r="B3032">
            <v>1992</v>
          </cell>
          <cell r="K3032" t="str">
            <v>JASPER</v>
          </cell>
          <cell r="L3032" t="str">
            <v>Jasper</v>
          </cell>
          <cell r="V3032">
            <v>172000</v>
          </cell>
        </row>
        <row r="3033">
          <cell r="B3033">
            <v>1992</v>
          </cell>
          <cell r="K3033" t="str">
            <v>MARSHALL</v>
          </cell>
          <cell r="L3033" t="str">
            <v>Marshall</v>
          </cell>
          <cell r="V3033">
            <v>156000</v>
          </cell>
        </row>
        <row r="3034">
          <cell r="B3034">
            <v>1992</v>
          </cell>
          <cell r="K3034" t="str">
            <v>POLK</v>
          </cell>
          <cell r="L3034" t="str">
            <v>Polk</v>
          </cell>
          <cell r="V3034">
            <v>101000</v>
          </cell>
        </row>
        <row r="3035">
          <cell r="B3035">
            <v>1992</v>
          </cell>
          <cell r="K3035" t="str">
            <v>POWESHIEK</v>
          </cell>
          <cell r="L3035" t="str">
            <v>Poweshiek</v>
          </cell>
          <cell r="V3035">
            <v>125000</v>
          </cell>
        </row>
        <row r="3036">
          <cell r="B3036">
            <v>1992</v>
          </cell>
          <cell r="K3036" t="str">
            <v>STORY</v>
          </cell>
          <cell r="L3036" t="str">
            <v>Story</v>
          </cell>
          <cell r="V3036">
            <v>162000</v>
          </cell>
        </row>
        <row r="3037">
          <cell r="B3037">
            <v>1992</v>
          </cell>
          <cell r="K3037" t="str">
            <v>TAMA</v>
          </cell>
          <cell r="L3037" t="str">
            <v>Tama</v>
          </cell>
          <cell r="V3037">
            <v>185000</v>
          </cell>
        </row>
        <row r="3038">
          <cell r="B3038">
            <v>1992</v>
          </cell>
          <cell r="K3038" t="str">
            <v>WEBSTER</v>
          </cell>
          <cell r="L3038" t="str">
            <v>Webster</v>
          </cell>
          <cell r="V3038">
            <v>187000</v>
          </cell>
        </row>
        <row r="3039">
          <cell r="B3039">
            <v>1992</v>
          </cell>
          <cell r="K3039" t="str">
            <v>BENTON</v>
          </cell>
          <cell r="L3039" t="str">
            <v>Benton</v>
          </cell>
          <cell r="V3039">
            <v>185000</v>
          </cell>
        </row>
        <row r="3040">
          <cell r="B3040">
            <v>1992</v>
          </cell>
          <cell r="K3040" t="str">
            <v>CEDAR</v>
          </cell>
          <cell r="L3040" t="str">
            <v>Cedar</v>
          </cell>
          <cell r="V3040">
            <v>175000</v>
          </cell>
        </row>
        <row r="3041">
          <cell r="B3041">
            <v>1992</v>
          </cell>
          <cell r="K3041" t="str">
            <v>CLINTON</v>
          </cell>
          <cell r="L3041" t="str">
            <v>Clinton</v>
          </cell>
          <cell r="V3041">
            <v>202000</v>
          </cell>
        </row>
        <row r="3042">
          <cell r="B3042">
            <v>1992</v>
          </cell>
          <cell r="K3042" t="str">
            <v>IOWA</v>
          </cell>
          <cell r="L3042" t="str">
            <v>Iowa</v>
          </cell>
          <cell r="V3042">
            <v>133000</v>
          </cell>
        </row>
        <row r="3043">
          <cell r="B3043">
            <v>1992</v>
          </cell>
          <cell r="K3043" t="str">
            <v>JACKSON</v>
          </cell>
          <cell r="L3043" t="str">
            <v>Jackson</v>
          </cell>
          <cell r="V3043">
            <v>110000</v>
          </cell>
        </row>
        <row r="3044">
          <cell r="B3044">
            <v>1992</v>
          </cell>
          <cell r="K3044" t="str">
            <v>JOHNSON</v>
          </cell>
          <cell r="L3044" t="str">
            <v>Johnson</v>
          </cell>
          <cell r="V3044">
            <v>126000</v>
          </cell>
        </row>
        <row r="3045">
          <cell r="B3045">
            <v>1992</v>
          </cell>
          <cell r="K3045" t="str">
            <v>JONES</v>
          </cell>
          <cell r="L3045" t="str">
            <v>Jones</v>
          </cell>
          <cell r="V3045">
            <v>157000</v>
          </cell>
        </row>
        <row r="3046">
          <cell r="B3046">
            <v>1992</v>
          </cell>
          <cell r="K3046" t="str">
            <v>LINN</v>
          </cell>
          <cell r="L3046" t="str">
            <v>Linn</v>
          </cell>
          <cell r="V3046">
            <v>149000</v>
          </cell>
        </row>
        <row r="3047">
          <cell r="B3047">
            <v>1992</v>
          </cell>
          <cell r="K3047" t="str">
            <v>MUSCATINE</v>
          </cell>
          <cell r="L3047" t="str">
            <v>Muscatine</v>
          </cell>
          <cell r="V3047">
            <v>101000</v>
          </cell>
        </row>
        <row r="3048">
          <cell r="B3048">
            <v>1992</v>
          </cell>
          <cell r="K3048" t="str">
            <v>SCOTT</v>
          </cell>
          <cell r="L3048" t="str">
            <v>Scott</v>
          </cell>
          <cell r="V3048">
            <v>131000</v>
          </cell>
        </row>
        <row r="3049">
          <cell r="B3049">
            <v>1992</v>
          </cell>
          <cell r="K3049" t="str">
            <v>BUTLER</v>
          </cell>
          <cell r="L3049" t="str">
            <v>Butler</v>
          </cell>
          <cell r="V3049">
            <v>160000</v>
          </cell>
        </row>
        <row r="3050">
          <cell r="B3050">
            <v>1992</v>
          </cell>
          <cell r="K3050" t="str">
            <v>CERRO GORDO</v>
          </cell>
          <cell r="L3050" t="str">
            <v>Cerro Gordo</v>
          </cell>
          <cell r="V3050">
            <v>173000</v>
          </cell>
        </row>
        <row r="3051">
          <cell r="B3051">
            <v>1992</v>
          </cell>
          <cell r="K3051" t="str">
            <v>FLOYD</v>
          </cell>
          <cell r="L3051" t="str">
            <v>Floyd</v>
          </cell>
          <cell r="V3051">
            <v>142000</v>
          </cell>
        </row>
        <row r="3052">
          <cell r="B3052">
            <v>1992</v>
          </cell>
          <cell r="K3052" t="str">
            <v>FRANKLIN</v>
          </cell>
          <cell r="L3052" t="str">
            <v>Franklin</v>
          </cell>
          <cell r="V3052">
            <v>185000</v>
          </cell>
        </row>
        <row r="3053">
          <cell r="B3053">
            <v>1992</v>
          </cell>
          <cell r="K3053" t="str">
            <v>HANCOCK</v>
          </cell>
          <cell r="L3053" t="str">
            <v>Hancock</v>
          </cell>
          <cell r="V3053">
            <v>177000</v>
          </cell>
        </row>
        <row r="3054">
          <cell r="B3054">
            <v>1992</v>
          </cell>
          <cell r="K3054" t="str">
            <v>HUMBOLDT</v>
          </cell>
          <cell r="L3054" t="str">
            <v>Humboldt</v>
          </cell>
          <cell r="V3054">
            <v>132000</v>
          </cell>
        </row>
        <row r="3055">
          <cell r="B3055">
            <v>1992</v>
          </cell>
          <cell r="K3055" t="str">
            <v>KOSSUTH</v>
          </cell>
          <cell r="L3055" t="str">
            <v>Kossuth</v>
          </cell>
          <cell r="V3055">
            <v>311000</v>
          </cell>
        </row>
        <row r="3056">
          <cell r="B3056">
            <v>1992</v>
          </cell>
          <cell r="K3056" t="str">
            <v>MITCHELL</v>
          </cell>
          <cell r="L3056" t="str">
            <v>Mitchell</v>
          </cell>
          <cell r="V3056">
            <v>140000</v>
          </cell>
        </row>
        <row r="3057">
          <cell r="B3057">
            <v>1992</v>
          </cell>
          <cell r="K3057" t="str">
            <v>WINNEBAGO</v>
          </cell>
          <cell r="L3057" t="str">
            <v>Winnebago</v>
          </cell>
          <cell r="V3057">
            <v>135000</v>
          </cell>
        </row>
        <row r="3058">
          <cell r="B3058">
            <v>1992</v>
          </cell>
          <cell r="K3058" t="str">
            <v>WORTH</v>
          </cell>
          <cell r="L3058" t="str">
            <v>Worth</v>
          </cell>
          <cell r="V3058">
            <v>113000</v>
          </cell>
        </row>
        <row r="3059">
          <cell r="B3059">
            <v>1992</v>
          </cell>
          <cell r="K3059" t="str">
            <v>WRIGHT</v>
          </cell>
          <cell r="L3059" t="str">
            <v>Wright</v>
          </cell>
          <cell r="V3059">
            <v>175000</v>
          </cell>
        </row>
        <row r="3060">
          <cell r="B3060">
            <v>1992</v>
          </cell>
          <cell r="K3060" t="str">
            <v>ALLAMAKEE</v>
          </cell>
          <cell r="L3060" t="str">
            <v>Allamakee</v>
          </cell>
          <cell r="V3060">
            <v>78000</v>
          </cell>
        </row>
        <row r="3061">
          <cell r="B3061">
            <v>1992</v>
          </cell>
          <cell r="K3061" t="str">
            <v>BLACK HAWK</v>
          </cell>
          <cell r="L3061" t="str">
            <v>Black Hawk</v>
          </cell>
          <cell r="V3061">
            <v>155000</v>
          </cell>
        </row>
        <row r="3062">
          <cell r="B3062">
            <v>1992</v>
          </cell>
          <cell r="K3062" t="str">
            <v>BREMER</v>
          </cell>
          <cell r="L3062" t="str">
            <v>Bremer</v>
          </cell>
          <cell r="V3062">
            <v>126000</v>
          </cell>
        </row>
        <row r="3063">
          <cell r="B3063">
            <v>1992</v>
          </cell>
          <cell r="K3063" t="str">
            <v>BUCHANAN</v>
          </cell>
          <cell r="L3063" t="str">
            <v>Buchanan</v>
          </cell>
          <cell r="V3063">
            <v>183000</v>
          </cell>
        </row>
        <row r="3064">
          <cell r="B3064">
            <v>1992</v>
          </cell>
          <cell r="K3064" t="str">
            <v>CHICKASAW</v>
          </cell>
          <cell r="L3064" t="str">
            <v>Chickasaw</v>
          </cell>
          <cell r="V3064">
            <v>140000</v>
          </cell>
        </row>
        <row r="3065">
          <cell r="B3065">
            <v>1992</v>
          </cell>
          <cell r="K3065" t="str">
            <v>CLAYTON</v>
          </cell>
          <cell r="L3065" t="str">
            <v>Clayton</v>
          </cell>
          <cell r="V3065">
            <v>161000</v>
          </cell>
        </row>
        <row r="3066">
          <cell r="B3066">
            <v>1992</v>
          </cell>
          <cell r="K3066" t="str">
            <v>DELAWARE</v>
          </cell>
          <cell r="L3066" t="str">
            <v>Delaware</v>
          </cell>
          <cell r="V3066">
            <v>191000</v>
          </cell>
        </row>
        <row r="3067">
          <cell r="B3067">
            <v>1992</v>
          </cell>
          <cell r="K3067" t="str">
            <v>DUBUQUE</v>
          </cell>
          <cell r="L3067" t="str">
            <v>Dubuque</v>
          </cell>
          <cell r="V3067">
            <v>129000</v>
          </cell>
        </row>
        <row r="3068">
          <cell r="B3068">
            <v>1992</v>
          </cell>
          <cell r="K3068" t="str">
            <v>FAYETTE</v>
          </cell>
          <cell r="L3068" t="str">
            <v>Fayette</v>
          </cell>
          <cell r="V3068">
            <v>207000</v>
          </cell>
        </row>
        <row r="3069">
          <cell r="B3069">
            <v>1992</v>
          </cell>
          <cell r="K3069" t="str">
            <v>HOWARD</v>
          </cell>
          <cell r="L3069" t="str">
            <v>Howard</v>
          </cell>
          <cell r="V3069">
            <v>118000</v>
          </cell>
        </row>
        <row r="3070">
          <cell r="B3070">
            <v>1992</v>
          </cell>
          <cell r="K3070" t="str">
            <v>WINNESHIEK</v>
          </cell>
          <cell r="L3070" t="str">
            <v>Winneshiek</v>
          </cell>
          <cell r="V3070">
            <v>141000</v>
          </cell>
        </row>
        <row r="3071">
          <cell r="B3071">
            <v>1992</v>
          </cell>
          <cell r="K3071" t="str">
            <v>BUENA VISTA</v>
          </cell>
          <cell r="L3071" t="str">
            <v>Buena Vista</v>
          </cell>
          <cell r="V3071">
            <v>166000</v>
          </cell>
        </row>
        <row r="3072">
          <cell r="B3072">
            <v>1992</v>
          </cell>
          <cell r="K3072" t="str">
            <v>CHEROKEE</v>
          </cell>
          <cell r="L3072" t="str">
            <v>Cherokee</v>
          </cell>
          <cell r="V3072">
            <v>149000</v>
          </cell>
        </row>
        <row r="3073">
          <cell r="B3073">
            <v>1992</v>
          </cell>
          <cell r="K3073" t="str">
            <v>CLAY</v>
          </cell>
          <cell r="L3073" t="str">
            <v>Clay</v>
          </cell>
          <cell r="V3073">
            <v>147000</v>
          </cell>
        </row>
        <row r="3074">
          <cell r="B3074">
            <v>1992</v>
          </cell>
          <cell r="K3074" t="str">
            <v>DICKINSON</v>
          </cell>
          <cell r="L3074" t="str">
            <v>Dickinson</v>
          </cell>
          <cell r="V3074">
            <v>90000</v>
          </cell>
        </row>
        <row r="3075">
          <cell r="B3075">
            <v>1992</v>
          </cell>
          <cell r="K3075" t="str">
            <v>EMMET</v>
          </cell>
          <cell r="L3075" t="str">
            <v>Emmet</v>
          </cell>
          <cell r="V3075">
            <v>109000</v>
          </cell>
        </row>
        <row r="3076">
          <cell r="B3076">
            <v>1992</v>
          </cell>
          <cell r="K3076" t="str">
            <v>LYON</v>
          </cell>
          <cell r="L3076" t="str">
            <v>Lyon</v>
          </cell>
          <cell r="V3076">
            <v>159000</v>
          </cell>
        </row>
        <row r="3077">
          <cell r="B3077">
            <v>1992</v>
          </cell>
          <cell r="K3077" t="str">
            <v>O BRIEN</v>
          </cell>
          <cell r="L3077" t="str">
            <v>O Brien</v>
          </cell>
          <cell r="V3077">
            <v>163000</v>
          </cell>
        </row>
        <row r="3078">
          <cell r="B3078">
            <v>1992</v>
          </cell>
          <cell r="K3078" t="str">
            <v>OSCEOLA</v>
          </cell>
          <cell r="L3078" t="str">
            <v>Osceola</v>
          </cell>
          <cell r="V3078">
            <v>113000</v>
          </cell>
        </row>
        <row r="3079">
          <cell r="B3079">
            <v>1992</v>
          </cell>
          <cell r="K3079" t="str">
            <v>PALO ALTO</v>
          </cell>
          <cell r="L3079" t="str">
            <v>Palo Alto</v>
          </cell>
          <cell r="V3079">
            <v>160000</v>
          </cell>
        </row>
        <row r="3080">
          <cell r="B3080">
            <v>1992</v>
          </cell>
          <cell r="K3080" t="str">
            <v>PLYMOUTH</v>
          </cell>
          <cell r="L3080" t="str">
            <v>Plymouth</v>
          </cell>
          <cell r="V3080">
            <v>231000</v>
          </cell>
        </row>
        <row r="3081">
          <cell r="B3081">
            <v>1992</v>
          </cell>
          <cell r="K3081" t="str">
            <v>POCAHONTAS</v>
          </cell>
          <cell r="L3081" t="str">
            <v>Pocahontas</v>
          </cell>
          <cell r="V3081">
            <v>170000</v>
          </cell>
        </row>
        <row r="3082">
          <cell r="B3082">
            <v>1992</v>
          </cell>
          <cell r="K3082" t="str">
            <v>SIOUX</v>
          </cell>
          <cell r="L3082" t="str">
            <v>Sioux</v>
          </cell>
          <cell r="V3082">
            <v>248000</v>
          </cell>
        </row>
        <row r="3083">
          <cell r="B3083">
            <v>1992</v>
          </cell>
          <cell r="K3083" t="str">
            <v>APPANOOSE</v>
          </cell>
          <cell r="L3083" t="str">
            <v>Appanoose</v>
          </cell>
          <cell r="V3083">
            <v>34000</v>
          </cell>
        </row>
        <row r="3084">
          <cell r="B3084">
            <v>1992</v>
          </cell>
          <cell r="K3084" t="str">
            <v>CLARKE</v>
          </cell>
          <cell r="L3084" t="str">
            <v>Clarke</v>
          </cell>
          <cell r="V3084">
            <v>40000</v>
          </cell>
        </row>
        <row r="3085">
          <cell r="B3085">
            <v>1992</v>
          </cell>
          <cell r="K3085" t="str">
            <v>DECATUR</v>
          </cell>
          <cell r="L3085" t="str">
            <v>Decatur</v>
          </cell>
          <cell r="V3085">
            <v>36000</v>
          </cell>
        </row>
        <row r="3086">
          <cell r="B3086">
            <v>1992</v>
          </cell>
          <cell r="K3086" t="str">
            <v>LUCAS</v>
          </cell>
          <cell r="L3086" t="str">
            <v>Lucas</v>
          </cell>
          <cell r="V3086">
            <v>34000</v>
          </cell>
        </row>
        <row r="3087">
          <cell r="B3087">
            <v>1992</v>
          </cell>
          <cell r="K3087" t="str">
            <v>MADISON</v>
          </cell>
          <cell r="L3087" t="str">
            <v>Madison</v>
          </cell>
          <cell r="V3087">
            <v>75000</v>
          </cell>
        </row>
        <row r="3088">
          <cell r="B3088">
            <v>1992</v>
          </cell>
          <cell r="K3088" t="str">
            <v>MARION</v>
          </cell>
          <cell r="L3088" t="str">
            <v>Marion</v>
          </cell>
          <cell r="V3088">
            <v>82000</v>
          </cell>
        </row>
        <row r="3089">
          <cell r="B3089">
            <v>1992</v>
          </cell>
          <cell r="K3089" t="str">
            <v>MONROE</v>
          </cell>
          <cell r="L3089" t="str">
            <v>Monroe</v>
          </cell>
          <cell r="V3089">
            <v>33000</v>
          </cell>
        </row>
        <row r="3090">
          <cell r="B3090">
            <v>1992</v>
          </cell>
          <cell r="K3090" t="str">
            <v>RINGGOLD</v>
          </cell>
          <cell r="L3090" t="str">
            <v>Ringgold</v>
          </cell>
          <cell r="V3090">
            <v>51000</v>
          </cell>
        </row>
        <row r="3091">
          <cell r="B3091">
            <v>1992</v>
          </cell>
          <cell r="K3091" t="str">
            <v>UNION</v>
          </cell>
          <cell r="L3091" t="str">
            <v>Union</v>
          </cell>
          <cell r="V3091">
            <v>54000</v>
          </cell>
        </row>
        <row r="3092">
          <cell r="B3092">
            <v>1992</v>
          </cell>
          <cell r="K3092" t="str">
            <v>WARREN</v>
          </cell>
          <cell r="L3092" t="str">
            <v>Warren</v>
          </cell>
          <cell r="V3092">
            <v>82000</v>
          </cell>
        </row>
        <row r="3093">
          <cell r="B3093">
            <v>1992</v>
          </cell>
          <cell r="K3093" t="str">
            <v>WAYNE</v>
          </cell>
          <cell r="L3093" t="str">
            <v>Wayne</v>
          </cell>
          <cell r="V3093">
            <v>56000</v>
          </cell>
        </row>
        <row r="3094">
          <cell r="B3094">
            <v>1992</v>
          </cell>
          <cell r="K3094" t="str">
            <v>DAVIS</v>
          </cell>
          <cell r="L3094" t="str">
            <v>Davis</v>
          </cell>
          <cell r="V3094">
            <v>45000</v>
          </cell>
        </row>
        <row r="3095">
          <cell r="B3095">
            <v>1992</v>
          </cell>
          <cell r="K3095" t="str">
            <v>DES MOINES</v>
          </cell>
          <cell r="L3095" t="str">
            <v>Des Moines</v>
          </cell>
          <cell r="V3095">
            <v>76000</v>
          </cell>
        </row>
        <row r="3096">
          <cell r="B3096">
            <v>1992</v>
          </cell>
          <cell r="K3096" t="str">
            <v>HENRY</v>
          </cell>
          <cell r="L3096" t="str">
            <v>Henry</v>
          </cell>
          <cell r="V3096">
            <v>93000</v>
          </cell>
        </row>
        <row r="3097">
          <cell r="B3097">
            <v>1992</v>
          </cell>
          <cell r="K3097" t="str">
            <v>JEFFERSON</v>
          </cell>
          <cell r="L3097" t="str">
            <v>Jefferson</v>
          </cell>
          <cell r="V3097">
            <v>74000</v>
          </cell>
        </row>
        <row r="3098">
          <cell r="B3098">
            <v>1992</v>
          </cell>
          <cell r="K3098" t="str">
            <v>KEOKUK</v>
          </cell>
          <cell r="L3098" t="str">
            <v>Keokuk</v>
          </cell>
          <cell r="V3098">
            <v>119000</v>
          </cell>
        </row>
        <row r="3099">
          <cell r="B3099">
            <v>1992</v>
          </cell>
          <cell r="K3099" t="str">
            <v>LEE</v>
          </cell>
          <cell r="L3099" t="str">
            <v>Lee</v>
          </cell>
          <cell r="V3099">
            <v>83000</v>
          </cell>
        </row>
        <row r="3100">
          <cell r="B3100">
            <v>1992</v>
          </cell>
          <cell r="K3100" t="str">
            <v>LOUISA</v>
          </cell>
          <cell r="L3100" t="str">
            <v>Louisa</v>
          </cell>
          <cell r="V3100">
            <v>89000</v>
          </cell>
        </row>
        <row r="3101">
          <cell r="B3101">
            <v>1992</v>
          </cell>
          <cell r="K3101" t="str">
            <v>MAHASKA</v>
          </cell>
          <cell r="L3101" t="str">
            <v>Mahaska</v>
          </cell>
          <cell r="V3101">
            <v>127000</v>
          </cell>
        </row>
        <row r="3102">
          <cell r="B3102">
            <v>1992</v>
          </cell>
          <cell r="K3102" t="str">
            <v>VAN BUREN</v>
          </cell>
          <cell r="L3102" t="str">
            <v>Van Buren</v>
          </cell>
          <cell r="V3102">
            <v>50000</v>
          </cell>
        </row>
        <row r="3103">
          <cell r="B3103">
            <v>1992</v>
          </cell>
          <cell r="K3103" t="str">
            <v>WAPELLO</v>
          </cell>
          <cell r="L3103" t="str">
            <v>Wapello</v>
          </cell>
          <cell r="V3103">
            <v>60000</v>
          </cell>
        </row>
        <row r="3104">
          <cell r="B3104">
            <v>1992</v>
          </cell>
          <cell r="K3104" t="str">
            <v>WASHINGTON</v>
          </cell>
          <cell r="L3104" t="str">
            <v>Washington</v>
          </cell>
          <cell r="V3104">
            <v>134000</v>
          </cell>
        </row>
        <row r="3105">
          <cell r="B3105">
            <v>1992</v>
          </cell>
          <cell r="K3105" t="str">
            <v>ADAIR</v>
          </cell>
          <cell r="L3105" t="str">
            <v>Adair</v>
          </cell>
          <cell r="V3105">
            <v>114000</v>
          </cell>
        </row>
        <row r="3106">
          <cell r="B3106">
            <v>1992</v>
          </cell>
          <cell r="K3106" t="str">
            <v>ADAMS</v>
          </cell>
          <cell r="L3106" t="str">
            <v>Adams</v>
          </cell>
          <cell r="V3106">
            <v>64000</v>
          </cell>
        </row>
        <row r="3107">
          <cell r="B3107">
            <v>1992</v>
          </cell>
          <cell r="K3107" t="str">
            <v>CASS</v>
          </cell>
          <cell r="L3107" t="str">
            <v>Cass</v>
          </cell>
          <cell r="V3107">
            <v>135000</v>
          </cell>
        </row>
        <row r="3108">
          <cell r="B3108">
            <v>1992</v>
          </cell>
          <cell r="K3108" t="str">
            <v>FREMONT</v>
          </cell>
          <cell r="L3108" t="str">
            <v>Fremont</v>
          </cell>
          <cell r="V3108">
            <v>119000</v>
          </cell>
        </row>
        <row r="3109">
          <cell r="B3109">
            <v>1992</v>
          </cell>
          <cell r="K3109" t="str">
            <v>MILLS</v>
          </cell>
          <cell r="L3109" t="str">
            <v>Mills</v>
          </cell>
          <cell r="V3109">
            <v>101000</v>
          </cell>
        </row>
        <row r="3110">
          <cell r="B3110">
            <v>1992</v>
          </cell>
          <cell r="K3110" t="str">
            <v>MONTGOMERY</v>
          </cell>
          <cell r="L3110" t="str">
            <v>Montgomery</v>
          </cell>
          <cell r="V3110">
            <v>91000</v>
          </cell>
        </row>
        <row r="3111">
          <cell r="B3111">
            <v>1992</v>
          </cell>
          <cell r="K3111" t="str">
            <v>PAGE</v>
          </cell>
          <cell r="L3111" t="str">
            <v>Page</v>
          </cell>
          <cell r="V3111">
            <v>103000</v>
          </cell>
        </row>
        <row r="3112">
          <cell r="B3112">
            <v>1992</v>
          </cell>
          <cell r="K3112" t="str">
            <v>POTTAWATTAMIE</v>
          </cell>
          <cell r="L3112" t="str">
            <v>Pottawattamie</v>
          </cell>
          <cell r="V3112">
            <v>247000</v>
          </cell>
        </row>
        <row r="3113">
          <cell r="B3113">
            <v>1992</v>
          </cell>
          <cell r="K3113" t="str">
            <v>TAYLOR</v>
          </cell>
          <cell r="L3113" t="str">
            <v>Taylor</v>
          </cell>
          <cell r="V3113">
            <v>71000</v>
          </cell>
        </row>
        <row r="3114">
          <cell r="B3114">
            <v>1992</v>
          </cell>
          <cell r="K3114" t="str">
            <v>AUDUBON</v>
          </cell>
          <cell r="L3114" t="str">
            <v>Audubon</v>
          </cell>
          <cell r="V3114">
            <v>111000</v>
          </cell>
        </row>
        <row r="3115">
          <cell r="B3115">
            <v>1992</v>
          </cell>
          <cell r="K3115" t="str">
            <v>CALHOUN</v>
          </cell>
          <cell r="L3115" t="str">
            <v>Calhoun</v>
          </cell>
          <cell r="V3115">
            <v>166000</v>
          </cell>
        </row>
        <row r="3116">
          <cell r="B3116">
            <v>1992</v>
          </cell>
          <cell r="K3116" t="str">
            <v>CARROLL</v>
          </cell>
          <cell r="L3116" t="str">
            <v>Carroll</v>
          </cell>
          <cell r="V3116">
            <v>164000</v>
          </cell>
        </row>
        <row r="3117">
          <cell r="B3117">
            <v>1992</v>
          </cell>
          <cell r="K3117" t="str">
            <v>CRAWFORD</v>
          </cell>
          <cell r="L3117" t="str">
            <v>Crawford</v>
          </cell>
          <cell r="V3117">
            <v>178000</v>
          </cell>
        </row>
        <row r="3118">
          <cell r="B3118">
            <v>1992</v>
          </cell>
          <cell r="K3118" t="str">
            <v>GREENE</v>
          </cell>
          <cell r="L3118" t="str">
            <v>Greene</v>
          </cell>
          <cell r="V3118">
            <v>156000</v>
          </cell>
        </row>
        <row r="3119">
          <cell r="B3119">
            <v>1992</v>
          </cell>
          <cell r="K3119" t="str">
            <v>GUTHRIE</v>
          </cell>
          <cell r="L3119" t="str">
            <v>Guthrie</v>
          </cell>
          <cell r="V3119">
            <v>113000</v>
          </cell>
        </row>
        <row r="3120">
          <cell r="B3120">
            <v>1992</v>
          </cell>
          <cell r="K3120" t="str">
            <v>HARRISON</v>
          </cell>
          <cell r="L3120" t="str">
            <v>Harrison</v>
          </cell>
          <cell r="V3120">
            <v>168000</v>
          </cell>
        </row>
        <row r="3121">
          <cell r="B3121">
            <v>1992</v>
          </cell>
          <cell r="K3121" t="str">
            <v>IDA</v>
          </cell>
          <cell r="L3121" t="str">
            <v>Ida</v>
          </cell>
          <cell r="V3121">
            <v>125000</v>
          </cell>
        </row>
        <row r="3122">
          <cell r="B3122">
            <v>1992</v>
          </cell>
          <cell r="K3122" t="str">
            <v>MONONA</v>
          </cell>
          <cell r="L3122" t="str">
            <v>Monona</v>
          </cell>
          <cell r="V3122">
            <v>170000</v>
          </cell>
        </row>
        <row r="3123">
          <cell r="B3123">
            <v>1992</v>
          </cell>
          <cell r="K3123" t="str">
            <v>SAC</v>
          </cell>
          <cell r="L3123" t="str">
            <v>Sac</v>
          </cell>
          <cell r="V3123">
            <v>160000</v>
          </cell>
        </row>
        <row r="3124">
          <cell r="B3124">
            <v>1992</v>
          </cell>
          <cell r="K3124" t="str">
            <v>SHELBY</v>
          </cell>
          <cell r="L3124" t="str">
            <v>Shelby</v>
          </cell>
          <cell r="V3124">
            <v>183000</v>
          </cell>
        </row>
        <row r="3125">
          <cell r="B3125">
            <v>1992</v>
          </cell>
          <cell r="K3125" t="str">
            <v>WOODBURY</v>
          </cell>
          <cell r="L3125" t="str">
            <v>Woodbury</v>
          </cell>
          <cell r="V3125">
            <v>211000</v>
          </cell>
        </row>
        <row r="3126">
          <cell r="B3126">
            <v>1991</v>
          </cell>
          <cell r="K3126" t="str">
            <v>BOONE</v>
          </cell>
          <cell r="L3126" t="str">
            <v>Boone</v>
          </cell>
          <cell r="V3126">
            <v>134000</v>
          </cell>
        </row>
        <row r="3127">
          <cell r="B3127">
            <v>1991</v>
          </cell>
          <cell r="K3127" t="str">
            <v>DALLAS</v>
          </cell>
          <cell r="L3127" t="str">
            <v>Dallas</v>
          </cell>
          <cell r="V3127">
            <v>139000</v>
          </cell>
        </row>
        <row r="3128">
          <cell r="B3128">
            <v>1991</v>
          </cell>
          <cell r="K3128" t="str">
            <v>GRUNDY</v>
          </cell>
          <cell r="L3128" t="str">
            <v>Grundy</v>
          </cell>
          <cell r="V3128">
            <v>153000</v>
          </cell>
        </row>
        <row r="3129">
          <cell r="B3129">
            <v>1991</v>
          </cell>
          <cell r="K3129" t="str">
            <v>HAMILTON</v>
          </cell>
          <cell r="L3129" t="str">
            <v>Hamilton</v>
          </cell>
          <cell r="V3129">
            <v>150000</v>
          </cell>
        </row>
        <row r="3130">
          <cell r="B3130">
            <v>1991</v>
          </cell>
          <cell r="K3130" t="str">
            <v>HARDIN</v>
          </cell>
          <cell r="L3130" t="str">
            <v>Hardin</v>
          </cell>
          <cell r="V3130">
            <v>158000</v>
          </cell>
        </row>
        <row r="3131">
          <cell r="B3131">
            <v>1991</v>
          </cell>
          <cell r="K3131" t="str">
            <v>JASPER</v>
          </cell>
          <cell r="L3131" t="str">
            <v>Jasper</v>
          </cell>
          <cell r="V3131">
            <v>165000</v>
          </cell>
        </row>
        <row r="3132">
          <cell r="B3132">
            <v>1991</v>
          </cell>
          <cell r="K3132" t="str">
            <v>MARSHALL</v>
          </cell>
          <cell r="L3132" t="str">
            <v>Marshall</v>
          </cell>
          <cell r="V3132">
            <v>148000</v>
          </cell>
        </row>
        <row r="3133">
          <cell r="B3133">
            <v>1991</v>
          </cell>
          <cell r="K3133" t="str">
            <v>POLK</v>
          </cell>
          <cell r="L3133" t="str">
            <v>Polk</v>
          </cell>
          <cell r="V3133">
            <v>98000</v>
          </cell>
        </row>
        <row r="3134">
          <cell r="B3134">
            <v>1991</v>
          </cell>
          <cell r="K3134" t="str">
            <v>POWESHIEK</v>
          </cell>
          <cell r="L3134" t="str">
            <v>Poweshiek</v>
          </cell>
          <cell r="V3134">
            <v>127000</v>
          </cell>
        </row>
        <row r="3135">
          <cell r="B3135">
            <v>1991</v>
          </cell>
          <cell r="K3135" t="str">
            <v>STORY</v>
          </cell>
          <cell r="L3135" t="str">
            <v>Story</v>
          </cell>
          <cell r="V3135">
            <v>158000</v>
          </cell>
        </row>
        <row r="3136">
          <cell r="B3136">
            <v>1991</v>
          </cell>
          <cell r="K3136" t="str">
            <v>TAMA</v>
          </cell>
          <cell r="L3136" t="str">
            <v>Tama</v>
          </cell>
          <cell r="V3136">
            <v>176000</v>
          </cell>
        </row>
        <row r="3137">
          <cell r="B3137">
            <v>1991</v>
          </cell>
          <cell r="K3137" t="str">
            <v>WEBSTER</v>
          </cell>
          <cell r="L3137" t="str">
            <v>Webster</v>
          </cell>
          <cell r="V3137">
            <v>170000</v>
          </cell>
        </row>
        <row r="3138">
          <cell r="B3138">
            <v>1991</v>
          </cell>
          <cell r="K3138" t="str">
            <v>BENTON</v>
          </cell>
          <cell r="L3138" t="str">
            <v>Benton</v>
          </cell>
          <cell r="V3138">
            <v>183000</v>
          </cell>
        </row>
        <row r="3139">
          <cell r="B3139">
            <v>1991</v>
          </cell>
          <cell r="K3139" t="str">
            <v>CEDAR</v>
          </cell>
          <cell r="L3139" t="str">
            <v>Cedar</v>
          </cell>
          <cell r="V3139">
            <v>180000</v>
          </cell>
        </row>
        <row r="3140">
          <cell r="B3140">
            <v>1991</v>
          </cell>
          <cell r="K3140" t="str">
            <v>CLINTON</v>
          </cell>
          <cell r="L3140" t="str">
            <v>Clinton</v>
          </cell>
          <cell r="V3140">
            <v>201000</v>
          </cell>
        </row>
        <row r="3141">
          <cell r="B3141">
            <v>1991</v>
          </cell>
          <cell r="K3141" t="str">
            <v>IOWA</v>
          </cell>
          <cell r="L3141" t="str">
            <v>Iowa</v>
          </cell>
          <cell r="V3141">
            <v>134000</v>
          </cell>
        </row>
        <row r="3142">
          <cell r="B3142">
            <v>1991</v>
          </cell>
          <cell r="K3142" t="str">
            <v>JACKSON</v>
          </cell>
          <cell r="L3142" t="str">
            <v>Jackson</v>
          </cell>
          <cell r="V3142">
            <v>108000</v>
          </cell>
        </row>
        <row r="3143">
          <cell r="B3143">
            <v>1991</v>
          </cell>
          <cell r="K3143" t="str">
            <v>JOHNSON</v>
          </cell>
          <cell r="L3143" t="str">
            <v>Johnson</v>
          </cell>
          <cell r="V3143">
            <v>130000</v>
          </cell>
        </row>
        <row r="3144">
          <cell r="B3144">
            <v>1991</v>
          </cell>
          <cell r="K3144" t="str">
            <v>JONES</v>
          </cell>
          <cell r="L3144" t="str">
            <v>Jones</v>
          </cell>
          <cell r="V3144">
            <v>154000</v>
          </cell>
        </row>
        <row r="3145">
          <cell r="B3145">
            <v>1991</v>
          </cell>
          <cell r="K3145" t="str">
            <v>LINN</v>
          </cell>
          <cell r="L3145" t="str">
            <v>Linn</v>
          </cell>
          <cell r="V3145">
            <v>152000</v>
          </cell>
        </row>
        <row r="3146">
          <cell r="B3146">
            <v>1991</v>
          </cell>
          <cell r="K3146" t="str">
            <v>MUSCATINE</v>
          </cell>
          <cell r="L3146" t="str">
            <v>Muscatine</v>
          </cell>
          <cell r="V3146">
            <v>99000</v>
          </cell>
        </row>
        <row r="3147">
          <cell r="B3147">
            <v>1991</v>
          </cell>
          <cell r="K3147" t="str">
            <v>SCOTT</v>
          </cell>
          <cell r="L3147" t="str">
            <v>Scott</v>
          </cell>
          <cell r="V3147">
            <v>129000</v>
          </cell>
        </row>
        <row r="3148">
          <cell r="B3148">
            <v>1991</v>
          </cell>
          <cell r="K3148" t="str">
            <v>BUTLER</v>
          </cell>
          <cell r="L3148" t="str">
            <v>Butler</v>
          </cell>
          <cell r="V3148">
            <v>148000</v>
          </cell>
        </row>
        <row r="3149">
          <cell r="B3149">
            <v>1991</v>
          </cell>
          <cell r="K3149" t="str">
            <v>CERRO GORDO</v>
          </cell>
          <cell r="L3149" t="str">
            <v>Cerro Gordo</v>
          </cell>
          <cell r="V3149">
            <v>154000</v>
          </cell>
        </row>
        <row r="3150">
          <cell r="B3150">
            <v>1991</v>
          </cell>
          <cell r="K3150" t="str">
            <v>FLOYD</v>
          </cell>
          <cell r="L3150" t="str">
            <v>Floyd</v>
          </cell>
          <cell r="V3150">
            <v>133000</v>
          </cell>
        </row>
        <row r="3151">
          <cell r="B3151">
            <v>1991</v>
          </cell>
          <cell r="K3151" t="str">
            <v>FRANKLIN</v>
          </cell>
          <cell r="L3151" t="str">
            <v>Franklin</v>
          </cell>
          <cell r="V3151">
            <v>147000</v>
          </cell>
        </row>
        <row r="3152">
          <cell r="B3152">
            <v>1991</v>
          </cell>
          <cell r="K3152" t="str">
            <v>HANCOCK</v>
          </cell>
          <cell r="L3152" t="str">
            <v>Hancock</v>
          </cell>
          <cell r="V3152">
            <v>154000</v>
          </cell>
        </row>
        <row r="3153">
          <cell r="B3153">
            <v>1991</v>
          </cell>
          <cell r="K3153" t="str">
            <v>HUMBOLDT</v>
          </cell>
          <cell r="L3153" t="str">
            <v>Humboldt</v>
          </cell>
          <cell r="V3153">
            <v>102000</v>
          </cell>
        </row>
        <row r="3154">
          <cell r="B3154">
            <v>1991</v>
          </cell>
          <cell r="K3154" t="str">
            <v>KOSSUTH</v>
          </cell>
          <cell r="L3154" t="str">
            <v>Kossuth</v>
          </cell>
          <cell r="V3154">
            <v>245000</v>
          </cell>
        </row>
        <row r="3155">
          <cell r="B3155">
            <v>1991</v>
          </cell>
          <cell r="K3155" t="str">
            <v>MITCHELL</v>
          </cell>
          <cell r="L3155" t="str">
            <v>Mitchell</v>
          </cell>
          <cell r="V3155">
            <v>127000</v>
          </cell>
        </row>
        <row r="3156">
          <cell r="B3156">
            <v>1991</v>
          </cell>
          <cell r="K3156" t="str">
            <v>WINNEBAGO</v>
          </cell>
          <cell r="L3156" t="str">
            <v>Winnebago</v>
          </cell>
          <cell r="V3156">
            <v>105000</v>
          </cell>
        </row>
        <row r="3157">
          <cell r="B3157">
            <v>1991</v>
          </cell>
          <cell r="K3157" t="str">
            <v>WORTH</v>
          </cell>
          <cell r="L3157" t="str">
            <v>Worth</v>
          </cell>
          <cell r="V3157">
            <v>101000</v>
          </cell>
        </row>
        <row r="3158">
          <cell r="B3158">
            <v>1991</v>
          </cell>
          <cell r="K3158" t="str">
            <v>WRIGHT</v>
          </cell>
          <cell r="L3158" t="str">
            <v>Wright</v>
          </cell>
          <cell r="V3158">
            <v>138000</v>
          </cell>
        </row>
        <row r="3159">
          <cell r="B3159">
            <v>1991</v>
          </cell>
          <cell r="K3159" t="str">
            <v>ALLAMAKEE</v>
          </cell>
          <cell r="L3159" t="str">
            <v>Allamakee</v>
          </cell>
          <cell r="V3159">
            <v>77000</v>
          </cell>
        </row>
        <row r="3160">
          <cell r="B3160">
            <v>1991</v>
          </cell>
          <cell r="K3160" t="str">
            <v>BLACK HAWK</v>
          </cell>
          <cell r="L3160" t="str">
            <v>Black Hawk</v>
          </cell>
          <cell r="V3160">
            <v>145000</v>
          </cell>
        </row>
        <row r="3161">
          <cell r="B3161">
            <v>1991</v>
          </cell>
          <cell r="K3161" t="str">
            <v>BREMER</v>
          </cell>
          <cell r="L3161" t="str">
            <v>Bremer</v>
          </cell>
          <cell r="V3161">
            <v>117000</v>
          </cell>
        </row>
        <row r="3162">
          <cell r="B3162">
            <v>1991</v>
          </cell>
          <cell r="K3162" t="str">
            <v>BUCHANAN</v>
          </cell>
          <cell r="L3162" t="str">
            <v>Buchanan</v>
          </cell>
          <cell r="V3162">
            <v>184000</v>
          </cell>
        </row>
        <row r="3163">
          <cell r="B3163">
            <v>1991</v>
          </cell>
          <cell r="K3163" t="str">
            <v>CHICKASAW</v>
          </cell>
          <cell r="L3163" t="str">
            <v>Chickasaw</v>
          </cell>
          <cell r="V3163">
            <v>127000</v>
          </cell>
        </row>
        <row r="3164">
          <cell r="B3164">
            <v>1991</v>
          </cell>
          <cell r="K3164" t="str">
            <v>CLAYTON</v>
          </cell>
          <cell r="L3164" t="str">
            <v>Clayton</v>
          </cell>
          <cell r="V3164">
            <v>152000</v>
          </cell>
        </row>
        <row r="3165">
          <cell r="B3165">
            <v>1991</v>
          </cell>
          <cell r="K3165" t="str">
            <v>DELAWARE</v>
          </cell>
          <cell r="L3165" t="str">
            <v>Delaware</v>
          </cell>
          <cell r="V3165">
            <v>189000</v>
          </cell>
        </row>
        <row r="3166">
          <cell r="B3166">
            <v>1991</v>
          </cell>
          <cell r="K3166" t="str">
            <v>DUBUQUE</v>
          </cell>
          <cell r="L3166" t="str">
            <v>Dubuque</v>
          </cell>
          <cell r="V3166">
            <v>123000</v>
          </cell>
        </row>
        <row r="3167">
          <cell r="B3167">
            <v>1991</v>
          </cell>
          <cell r="K3167" t="str">
            <v>FAYETTE</v>
          </cell>
          <cell r="L3167" t="str">
            <v>Fayette</v>
          </cell>
          <cell r="V3167">
            <v>200000</v>
          </cell>
        </row>
        <row r="3168">
          <cell r="B3168">
            <v>1991</v>
          </cell>
          <cell r="K3168" t="str">
            <v>HOWARD</v>
          </cell>
          <cell r="L3168" t="str">
            <v>Howard</v>
          </cell>
          <cell r="V3168">
            <v>106000</v>
          </cell>
        </row>
        <row r="3169">
          <cell r="B3169">
            <v>1991</v>
          </cell>
          <cell r="K3169" t="str">
            <v>WINNESHIEK</v>
          </cell>
          <cell r="L3169" t="str">
            <v>Winneshiek</v>
          </cell>
          <cell r="V3169">
            <v>141000</v>
          </cell>
        </row>
        <row r="3170">
          <cell r="B3170">
            <v>1991</v>
          </cell>
          <cell r="K3170" t="str">
            <v>BUENA VISTA</v>
          </cell>
          <cell r="L3170" t="str">
            <v>Buena Vista</v>
          </cell>
          <cell r="V3170">
            <v>154000</v>
          </cell>
        </row>
        <row r="3171">
          <cell r="B3171">
            <v>1991</v>
          </cell>
          <cell r="K3171" t="str">
            <v>CHEROKEE</v>
          </cell>
          <cell r="L3171" t="str">
            <v>Cherokee</v>
          </cell>
          <cell r="V3171">
            <v>145000</v>
          </cell>
        </row>
        <row r="3172">
          <cell r="B3172">
            <v>1991</v>
          </cell>
          <cell r="K3172" t="str">
            <v>CLAY</v>
          </cell>
          <cell r="L3172" t="str">
            <v>Clay</v>
          </cell>
          <cell r="V3172">
            <v>137000</v>
          </cell>
        </row>
        <row r="3173">
          <cell r="B3173">
            <v>1991</v>
          </cell>
          <cell r="K3173" t="str">
            <v>DICKINSON</v>
          </cell>
          <cell r="L3173" t="str">
            <v>Dickinson</v>
          </cell>
          <cell r="V3173">
            <v>81000</v>
          </cell>
        </row>
        <row r="3174">
          <cell r="B3174">
            <v>1991</v>
          </cell>
          <cell r="K3174" t="str">
            <v>EMMET</v>
          </cell>
          <cell r="L3174" t="str">
            <v>Emmet</v>
          </cell>
          <cell r="V3174">
            <v>99000</v>
          </cell>
        </row>
        <row r="3175">
          <cell r="B3175">
            <v>1991</v>
          </cell>
          <cell r="K3175" t="str">
            <v>LYON</v>
          </cell>
          <cell r="L3175" t="str">
            <v>Lyon</v>
          </cell>
          <cell r="V3175">
            <v>154000</v>
          </cell>
        </row>
        <row r="3176">
          <cell r="B3176">
            <v>1991</v>
          </cell>
          <cell r="K3176" t="str">
            <v>O BRIEN</v>
          </cell>
          <cell r="L3176" t="str">
            <v>O Brien</v>
          </cell>
          <cell r="V3176">
            <v>160000</v>
          </cell>
        </row>
        <row r="3177">
          <cell r="B3177">
            <v>1991</v>
          </cell>
          <cell r="K3177" t="str">
            <v>OSCEOLA</v>
          </cell>
          <cell r="L3177" t="str">
            <v>Osceola</v>
          </cell>
          <cell r="V3177">
            <v>110000</v>
          </cell>
        </row>
        <row r="3178">
          <cell r="B3178">
            <v>1991</v>
          </cell>
          <cell r="K3178" t="str">
            <v>PALO ALTO</v>
          </cell>
          <cell r="L3178" t="str">
            <v>Palo Alto</v>
          </cell>
          <cell r="V3178">
            <v>125000</v>
          </cell>
        </row>
        <row r="3179">
          <cell r="B3179">
            <v>1991</v>
          </cell>
          <cell r="K3179" t="str">
            <v>PLYMOUTH</v>
          </cell>
          <cell r="L3179" t="str">
            <v>Plymouth</v>
          </cell>
          <cell r="V3179">
            <v>218000</v>
          </cell>
        </row>
        <row r="3180">
          <cell r="B3180">
            <v>1991</v>
          </cell>
          <cell r="K3180" t="str">
            <v>POCAHONTAS</v>
          </cell>
          <cell r="L3180" t="str">
            <v>Pocahontas</v>
          </cell>
          <cell r="V3180">
            <v>150000</v>
          </cell>
        </row>
        <row r="3181">
          <cell r="B3181">
            <v>1991</v>
          </cell>
          <cell r="K3181" t="str">
            <v>SIOUX</v>
          </cell>
          <cell r="L3181" t="str">
            <v>Sioux</v>
          </cell>
          <cell r="V3181">
            <v>243000</v>
          </cell>
        </row>
        <row r="3182">
          <cell r="B3182">
            <v>1991</v>
          </cell>
          <cell r="K3182" t="str">
            <v>APPANOOSE</v>
          </cell>
          <cell r="L3182" t="str">
            <v>Appanoose</v>
          </cell>
          <cell r="V3182">
            <v>33000</v>
          </cell>
        </row>
        <row r="3183">
          <cell r="B3183">
            <v>1991</v>
          </cell>
          <cell r="K3183" t="str">
            <v>CLARKE</v>
          </cell>
          <cell r="L3183" t="str">
            <v>Clarke</v>
          </cell>
          <cell r="V3183">
            <v>39000</v>
          </cell>
        </row>
        <row r="3184">
          <cell r="B3184">
            <v>1991</v>
          </cell>
          <cell r="K3184" t="str">
            <v>DECATUR</v>
          </cell>
          <cell r="L3184" t="str">
            <v>Decatur</v>
          </cell>
          <cell r="V3184">
            <v>35000</v>
          </cell>
        </row>
        <row r="3185">
          <cell r="B3185">
            <v>1991</v>
          </cell>
          <cell r="K3185" t="str">
            <v>LUCAS</v>
          </cell>
          <cell r="L3185" t="str">
            <v>Lucas</v>
          </cell>
          <cell r="V3185">
            <v>33000</v>
          </cell>
        </row>
        <row r="3186">
          <cell r="B3186">
            <v>1991</v>
          </cell>
          <cell r="K3186" t="str">
            <v>MADISON</v>
          </cell>
          <cell r="L3186" t="str">
            <v>Madison</v>
          </cell>
          <cell r="V3186">
            <v>73000</v>
          </cell>
        </row>
        <row r="3187">
          <cell r="B3187">
            <v>1991</v>
          </cell>
          <cell r="K3187" t="str">
            <v>MARION</v>
          </cell>
          <cell r="L3187" t="str">
            <v>Marion</v>
          </cell>
          <cell r="V3187">
            <v>78000</v>
          </cell>
        </row>
        <row r="3188">
          <cell r="B3188">
            <v>1991</v>
          </cell>
          <cell r="K3188" t="str">
            <v>MONROE</v>
          </cell>
          <cell r="L3188" t="str">
            <v>Monroe</v>
          </cell>
          <cell r="V3188">
            <v>31000</v>
          </cell>
        </row>
        <row r="3189">
          <cell r="B3189">
            <v>1991</v>
          </cell>
          <cell r="K3189" t="str">
            <v>RINGGOLD</v>
          </cell>
          <cell r="L3189" t="str">
            <v>Ringgold</v>
          </cell>
          <cell r="V3189">
            <v>50000</v>
          </cell>
        </row>
        <row r="3190">
          <cell r="B3190">
            <v>1991</v>
          </cell>
          <cell r="K3190" t="str">
            <v>UNION</v>
          </cell>
          <cell r="L3190" t="str">
            <v>Union</v>
          </cell>
          <cell r="V3190">
            <v>52000</v>
          </cell>
        </row>
        <row r="3191">
          <cell r="B3191">
            <v>1991</v>
          </cell>
          <cell r="K3191" t="str">
            <v>WARREN</v>
          </cell>
          <cell r="L3191" t="str">
            <v>Warren</v>
          </cell>
          <cell r="V3191">
            <v>79000</v>
          </cell>
        </row>
        <row r="3192">
          <cell r="B3192">
            <v>1991</v>
          </cell>
          <cell r="K3192" t="str">
            <v>WAYNE</v>
          </cell>
          <cell r="L3192" t="str">
            <v>Wayne</v>
          </cell>
          <cell r="V3192">
            <v>53000</v>
          </cell>
        </row>
        <row r="3193">
          <cell r="B3193">
            <v>1991</v>
          </cell>
          <cell r="K3193" t="str">
            <v>DAVIS</v>
          </cell>
          <cell r="L3193" t="str">
            <v>Davis</v>
          </cell>
          <cell r="V3193">
            <v>45000</v>
          </cell>
        </row>
        <row r="3194">
          <cell r="B3194">
            <v>1991</v>
          </cell>
          <cell r="K3194" t="str">
            <v>DES MOINES</v>
          </cell>
          <cell r="L3194" t="str">
            <v>Des Moines</v>
          </cell>
          <cell r="V3194">
            <v>77000</v>
          </cell>
        </row>
        <row r="3195">
          <cell r="B3195">
            <v>1991</v>
          </cell>
          <cell r="K3195" t="str">
            <v>HENRY</v>
          </cell>
          <cell r="L3195" t="str">
            <v>Henry</v>
          </cell>
          <cell r="V3195">
            <v>93000</v>
          </cell>
        </row>
        <row r="3196">
          <cell r="B3196">
            <v>1991</v>
          </cell>
          <cell r="K3196" t="str">
            <v>JEFFERSON</v>
          </cell>
          <cell r="L3196" t="str">
            <v>Jefferson</v>
          </cell>
          <cell r="V3196">
            <v>75000</v>
          </cell>
        </row>
        <row r="3197">
          <cell r="B3197">
            <v>1991</v>
          </cell>
          <cell r="K3197" t="str">
            <v>KEOKUK</v>
          </cell>
          <cell r="L3197" t="str">
            <v>Keokuk</v>
          </cell>
          <cell r="V3197">
            <v>122000</v>
          </cell>
        </row>
        <row r="3198">
          <cell r="B3198">
            <v>1991</v>
          </cell>
          <cell r="K3198" t="str">
            <v>LEE</v>
          </cell>
          <cell r="L3198" t="str">
            <v>Lee</v>
          </cell>
          <cell r="V3198">
            <v>79000</v>
          </cell>
        </row>
        <row r="3199">
          <cell r="B3199">
            <v>1991</v>
          </cell>
          <cell r="K3199" t="str">
            <v>LOUISA</v>
          </cell>
          <cell r="L3199" t="str">
            <v>Louisa</v>
          </cell>
          <cell r="V3199">
            <v>90000</v>
          </cell>
        </row>
        <row r="3200">
          <cell r="B3200">
            <v>1991</v>
          </cell>
          <cell r="K3200" t="str">
            <v>MAHASKA</v>
          </cell>
          <cell r="L3200" t="str">
            <v>Mahaska</v>
          </cell>
          <cell r="V3200">
            <v>128000</v>
          </cell>
        </row>
        <row r="3201">
          <cell r="B3201">
            <v>1991</v>
          </cell>
          <cell r="K3201" t="str">
            <v>VAN BUREN</v>
          </cell>
          <cell r="L3201" t="str">
            <v>Van Buren</v>
          </cell>
          <cell r="V3201">
            <v>50000</v>
          </cell>
        </row>
        <row r="3202">
          <cell r="B3202">
            <v>1991</v>
          </cell>
          <cell r="K3202" t="str">
            <v>WAPELLO</v>
          </cell>
          <cell r="L3202" t="str">
            <v>Wapello</v>
          </cell>
          <cell r="V3202">
            <v>59000</v>
          </cell>
        </row>
        <row r="3203">
          <cell r="B3203">
            <v>1991</v>
          </cell>
          <cell r="K3203" t="str">
            <v>WASHINGTON</v>
          </cell>
          <cell r="L3203" t="str">
            <v>Washington</v>
          </cell>
          <cell r="V3203">
            <v>141000</v>
          </cell>
        </row>
        <row r="3204">
          <cell r="B3204">
            <v>1991</v>
          </cell>
          <cell r="K3204" t="str">
            <v>ADAIR</v>
          </cell>
          <cell r="L3204" t="str">
            <v>Adair</v>
          </cell>
          <cell r="V3204">
            <v>111000</v>
          </cell>
        </row>
        <row r="3205">
          <cell r="B3205">
            <v>1991</v>
          </cell>
          <cell r="K3205" t="str">
            <v>ADAMS</v>
          </cell>
          <cell r="L3205" t="str">
            <v>Adams</v>
          </cell>
          <cell r="V3205">
            <v>61000</v>
          </cell>
        </row>
        <row r="3206">
          <cell r="B3206">
            <v>1991</v>
          </cell>
          <cell r="K3206" t="str">
            <v>CASS</v>
          </cell>
          <cell r="L3206" t="str">
            <v>Cass</v>
          </cell>
          <cell r="V3206">
            <v>129000</v>
          </cell>
        </row>
        <row r="3207">
          <cell r="B3207">
            <v>1991</v>
          </cell>
          <cell r="K3207" t="str">
            <v>FREMONT</v>
          </cell>
          <cell r="L3207" t="str">
            <v>Fremont</v>
          </cell>
          <cell r="V3207">
            <v>112000</v>
          </cell>
        </row>
        <row r="3208">
          <cell r="B3208">
            <v>1991</v>
          </cell>
          <cell r="K3208" t="str">
            <v>MILLS</v>
          </cell>
          <cell r="L3208" t="str">
            <v>Mills</v>
          </cell>
          <cell r="V3208">
            <v>97000</v>
          </cell>
        </row>
        <row r="3209">
          <cell r="B3209">
            <v>1991</v>
          </cell>
          <cell r="K3209" t="str">
            <v>MONTGOMERY</v>
          </cell>
          <cell r="L3209" t="str">
            <v>Montgomery</v>
          </cell>
          <cell r="V3209">
            <v>89000</v>
          </cell>
        </row>
        <row r="3210">
          <cell r="B3210">
            <v>1991</v>
          </cell>
          <cell r="K3210" t="str">
            <v>PAGE</v>
          </cell>
          <cell r="L3210" t="str">
            <v>Page</v>
          </cell>
          <cell r="V3210">
            <v>102000</v>
          </cell>
        </row>
        <row r="3211">
          <cell r="B3211">
            <v>1991</v>
          </cell>
          <cell r="K3211" t="str">
            <v>POTTAWATTAMIE</v>
          </cell>
          <cell r="L3211" t="str">
            <v>Pottawattamie</v>
          </cell>
          <cell r="V3211">
            <v>239000</v>
          </cell>
        </row>
        <row r="3212">
          <cell r="B3212">
            <v>1991</v>
          </cell>
          <cell r="K3212" t="str">
            <v>TAYLOR</v>
          </cell>
          <cell r="L3212" t="str">
            <v>Taylor</v>
          </cell>
          <cell r="V3212">
            <v>67000</v>
          </cell>
        </row>
        <row r="3213">
          <cell r="B3213">
            <v>1991</v>
          </cell>
          <cell r="K3213" t="str">
            <v>AUDUBON</v>
          </cell>
          <cell r="L3213" t="str">
            <v>Audubon</v>
          </cell>
          <cell r="V3213">
            <v>109000</v>
          </cell>
        </row>
        <row r="3214">
          <cell r="B3214">
            <v>1991</v>
          </cell>
          <cell r="K3214" t="str">
            <v>CALHOUN</v>
          </cell>
          <cell r="L3214" t="str">
            <v>Calhoun</v>
          </cell>
          <cell r="V3214">
            <v>151000</v>
          </cell>
        </row>
        <row r="3215">
          <cell r="B3215">
            <v>1991</v>
          </cell>
          <cell r="K3215" t="str">
            <v>CARROLL</v>
          </cell>
          <cell r="L3215" t="str">
            <v>Carroll</v>
          </cell>
          <cell r="V3215">
            <v>164000</v>
          </cell>
        </row>
        <row r="3216">
          <cell r="B3216">
            <v>1991</v>
          </cell>
          <cell r="K3216" t="str">
            <v>CRAWFORD</v>
          </cell>
          <cell r="L3216" t="str">
            <v>Crawford</v>
          </cell>
          <cell r="V3216">
            <v>172000</v>
          </cell>
        </row>
        <row r="3217">
          <cell r="B3217">
            <v>1991</v>
          </cell>
          <cell r="K3217" t="str">
            <v>GREENE</v>
          </cell>
          <cell r="L3217" t="str">
            <v>Greene</v>
          </cell>
          <cell r="V3217">
            <v>148000</v>
          </cell>
        </row>
        <row r="3218">
          <cell r="B3218">
            <v>1991</v>
          </cell>
          <cell r="K3218" t="str">
            <v>GUTHRIE</v>
          </cell>
          <cell r="L3218" t="str">
            <v>Guthrie</v>
          </cell>
          <cell r="V3218">
            <v>110000</v>
          </cell>
        </row>
        <row r="3219">
          <cell r="B3219">
            <v>1991</v>
          </cell>
          <cell r="K3219" t="str">
            <v>HARRISON</v>
          </cell>
          <cell r="L3219" t="str">
            <v>Harrison</v>
          </cell>
          <cell r="V3219">
            <v>159000</v>
          </cell>
        </row>
        <row r="3220">
          <cell r="B3220">
            <v>1991</v>
          </cell>
          <cell r="K3220" t="str">
            <v>IDA</v>
          </cell>
          <cell r="L3220" t="str">
            <v>Ida</v>
          </cell>
          <cell r="V3220">
            <v>127000</v>
          </cell>
        </row>
        <row r="3221">
          <cell r="B3221">
            <v>1991</v>
          </cell>
          <cell r="K3221" t="str">
            <v>MONONA</v>
          </cell>
          <cell r="L3221" t="str">
            <v>Monona</v>
          </cell>
          <cell r="V3221">
            <v>164000</v>
          </cell>
        </row>
        <row r="3222">
          <cell r="B3222">
            <v>1991</v>
          </cell>
          <cell r="K3222" t="str">
            <v>SAC</v>
          </cell>
          <cell r="L3222" t="str">
            <v>Sac</v>
          </cell>
          <cell r="V3222">
            <v>148000</v>
          </cell>
        </row>
        <row r="3223">
          <cell r="B3223">
            <v>1991</v>
          </cell>
          <cell r="K3223" t="str">
            <v>SHELBY</v>
          </cell>
          <cell r="L3223" t="str">
            <v>Shelby</v>
          </cell>
          <cell r="V3223">
            <v>178000</v>
          </cell>
        </row>
        <row r="3224">
          <cell r="B3224">
            <v>1991</v>
          </cell>
          <cell r="K3224" t="str">
            <v>WOODBURY</v>
          </cell>
          <cell r="L3224" t="str">
            <v>Woodbury</v>
          </cell>
          <cell r="V3224">
            <v>211000</v>
          </cell>
        </row>
        <row r="3225">
          <cell r="B3225">
            <v>1990</v>
          </cell>
          <cell r="K3225" t="str">
            <v>BOONE</v>
          </cell>
          <cell r="L3225" t="str">
            <v>Boone</v>
          </cell>
          <cell r="V3225">
            <v>140000</v>
          </cell>
        </row>
        <row r="3226">
          <cell r="B3226">
            <v>1990</v>
          </cell>
          <cell r="K3226" t="str">
            <v>DALLAS</v>
          </cell>
          <cell r="L3226" t="str">
            <v>Dallas</v>
          </cell>
          <cell r="V3226">
            <v>140000</v>
          </cell>
        </row>
        <row r="3227">
          <cell r="B3227">
            <v>1990</v>
          </cell>
          <cell r="K3227" t="str">
            <v>GRUNDY</v>
          </cell>
          <cell r="L3227" t="str">
            <v>Grundy</v>
          </cell>
          <cell r="V3227">
            <v>162000</v>
          </cell>
        </row>
        <row r="3228">
          <cell r="B3228">
            <v>1990</v>
          </cell>
          <cell r="K3228" t="str">
            <v>HAMILTON</v>
          </cell>
          <cell r="L3228" t="str">
            <v>Hamilton</v>
          </cell>
          <cell r="V3228">
            <v>162000</v>
          </cell>
        </row>
        <row r="3229">
          <cell r="B3229">
            <v>1990</v>
          </cell>
          <cell r="K3229" t="str">
            <v>HARDIN</v>
          </cell>
          <cell r="L3229" t="str">
            <v>Hardin</v>
          </cell>
          <cell r="V3229">
            <v>169000</v>
          </cell>
        </row>
        <row r="3230">
          <cell r="B3230">
            <v>1990</v>
          </cell>
          <cell r="K3230" t="str">
            <v>JASPER</v>
          </cell>
          <cell r="L3230" t="str">
            <v>Jasper</v>
          </cell>
          <cell r="V3230">
            <v>170000</v>
          </cell>
        </row>
        <row r="3231">
          <cell r="B3231">
            <v>1990</v>
          </cell>
          <cell r="K3231" t="str">
            <v>MARSHALL</v>
          </cell>
          <cell r="L3231" t="str">
            <v>Marshall</v>
          </cell>
          <cell r="V3231">
            <v>156000</v>
          </cell>
        </row>
        <row r="3232">
          <cell r="B3232">
            <v>1990</v>
          </cell>
          <cell r="K3232" t="str">
            <v>POLK</v>
          </cell>
          <cell r="L3232" t="str">
            <v>Polk</v>
          </cell>
          <cell r="V3232">
            <v>102000</v>
          </cell>
        </row>
        <row r="3233">
          <cell r="B3233">
            <v>1990</v>
          </cell>
          <cell r="K3233" t="str">
            <v>POWESHIEK</v>
          </cell>
          <cell r="L3233" t="str">
            <v>Poweshiek</v>
          </cell>
          <cell r="V3233">
            <v>125000</v>
          </cell>
        </row>
        <row r="3234">
          <cell r="B3234">
            <v>1990</v>
          </cell>
          <cell r="K3234" t="str">
            <v>STORY</v>
          </cell>
          <cell r="L3234" t="str">
            <v>Story</v>
          </cell>
          <cell r="V3234">
            <v>164000</v>
          </cell>
        </row>
        <row r="3235">
          <cell r="B3235">
            <v>1990</v>
          </cell>
          <cell r="K3235" t="str">
            <v>TAMA</v>
          </cell>
          <cell r="L3235" t="str">
            <v>Tama</v>
          </cell>
          <cell r="V3235">
            <v>184000</v>
          </cell>
        </row>
        <row r="3236">
          <cell r="B3236">
            <v>1990</v>
          </cell>
          <cell r="K3236" t="str">
            <v>WEBSTER</v>
          </cell>
          <cell r="L3236" t="str">
            <v>Webster</v>
          </cell>
          <cell r="V3236">
            <v>182000</v>
          </cell>
        </row>
        <row r="3237">
          <cell r="B3237">
            <v>1990</v>
          </cell>
          <cell r="K3237" t="str">
            <v>BENTON</v>
          </cell>
          <cell r="L3237" t="str">
            <v>Benton</v>
          </cell>
          <cell r="V3237">
            <v>180000</v>
          </cell>
        </row>
        <row r="3238">
          <cell r="B3238">
            <v>1990</v>
          </cell>
          <cell r="K3238" t="str">
            <v>CEDAR</v>
          </cell>
          <cell r="L3238" t="str">
            <v>Cedar</v>
          </cell>
          <cell r="V3238">
            <v>176000</v>
          </cell>
        </row>
        <row r="3239">
          <cell r="B3239">
            <v>1990</v>
          </cell>
          <cell r="K3239" t="str">
            <v>CLINTON</v>
          </cell>
          <cell r="L3239" t="str">
            <v>Clinton</v>
          </cell>
          <cell r="V3239">
            <v>196000</v>
          </cell>
        </row>
        <row r="3240">
          <cell r="B3240">
            <v>1990</v>
          </cell>
          <cell r="K3240" t="str">
            <v>IOWA</v>
          </cell>
          <cell r="L3240" t="str">
            <v>Iowa</v>
          </cell>
          <cell r="V3240">
            <v>129000</v>
          </cell>
        </row>
        <row r="3241">
          <cell r="B3241">
            <v>1990</v>
          </cell>
          <cell r="K3241" t="str">
            <v>JACKSON</v>
          </cell>
          <cell r="L3241" t="str">
            <v>Jackson</v>
          </cell>
          <cell r="V3241">
            <v>105000</v>
          </cell>
        </row>
        <row r="3242">
          <cell r="B3242">
            <v>1990</v>
          </cell>
          <cell r="K3242" t="str">
            <v>JOHNSON</v>
          </cell>
          <cell r="L3242" t="str">
            <v>Johnson</v>
          </cell>
          <cell r="V3242">
            <v>124000</v>
          </cell>
        </row>
        <row r="3243">
          <cell r="B3243">
            <v>1990</v>
          </cell>
          <cell r="K3243" t="str">
            <v>JONES</v>
          </cell>
          <cell r="L3243" t="str">
            <v>Jones</v>
          </cell>
          <cell r="V3243">
            <v>152000</v>
          </cell>
        </row>
        <row r="3244">
          <cell r="B3244">
            <v>1990</v>
          </cell>
          <cell r="K3244" t="str">
            <v>LINN</v>
          </cell>
          <cell r="L3244" t="str">
            <v>Linn</v>
          </cell>
          <cell r="V3244">
            <v>152000</v>
          </cell>
        </row>
        <row r="3245">
          <cell r="B3245">
            <v>1990</v>
          </cell>
          <cell r="K3245" t="str">
            <v>MUSCATINE</v>
          </cell>
          <cell r="L3245" t="str">
            <v>Muscatine</v>
          </cell>
          <cell r="V3245">
            <v>98000</v>
          </cell>
        </row>
        <row r="3246">
          <cell r="B3246">
            <v>1990</v>
          </cell>
          <cell r="K3246" t="str">
            <v>SCOTT</v>
          </cell>
          <cell r="L3246" t="str">
            <v>Scott</v>
          </cell>
          <cell r="V3246">
            <v>127000</v>
          </cell>
        </row>
        <row r="3247">
          <cell r="B3247">
            <v>1990</v>
          </cell>
          <cell r="K3247" t="str">
            <v>BUTLER</v>
          </cell>
          <cell r="L3247" t="str">
            <v>Butler</v>
          </cell>
          <cell r="V3247">
            <v>157000</v>
          </cell>
        </row>
        <row r="3248">
          <cell r="B3248">
            <v>1990</v>
          </cell>
          <cell r="K3248" t="str">
            <v>CERRO GORDO</v>
          </cell>
          <cell r="L3248" t="str">
            <v>Cerro Gordo</v>
          </cell>
          <cell r="V3248">
            <v>168000</v>
          </cell>
        </row>
        <row r="3249">
          <cell r="B3249">
            <v>1990</v>
          </cell>
          <cell r="K3249" t="str">
            <v>FLOYD</v>
          </cell>
          <cell r="L3249" t="str">
            <v>Floyd</v>
          </cell>
          <cell r="V3249">
            <v>135000</v>
          </cell>
        </row>
        <row r="3250">
          <cell r="B3250">
            <v>1990</v>
          </cell>
          <cell r="K3250" t="str">
            <v>FRANKLIN</v>
          </cell>
          <cell r="L3250" t="str">
            <v>Franklin</v>
          </cell>
          <cell r="V3250">
            <v>173000</v>
          </cell>
        </row>
        <row r="3251">
          <cell r="B3251">
            <v>1990</v>
          </cell>
          <cell r="K3251" t="str">
            <v>HANCOCK</v>
          </cell>
          <cell r="L3251" t="str">
            <v>Hancock</v>
          </cell>
          <cell r="V3251">
            <v>164000</v>
          </cell>
        </row>
        <row r="3252">
          <cell r="B3252">
            <v>1990</v>
          </cell>
          <cell r="K3252" t="str">
            <v>HUMBOLDT</v>
          </cell>
          <cell r="L3252" t="str">
            <v>Humboldt</v>
          </cell>
          <cell r="V3252">
            <v>125000</v>
          </cell>
        </row>
        <row r="3253">
          <cell r="B3253">
            <v>1990</v>
          </cell>
          <cell r="K3253" t="str">
            <v>KOSSUTH</v>
          </cell>
          <cell r="L3253" t="str">
            <v>Kossuth</v>
          </cell>
          <cell r="V3253">
            <v>278000</v>
          </cell>
        </row>
        <row r="3254">
          <cell r="B3254">
            <v>1990</v>
          </cell>
          <cell r="K3254" t="str">
            <v>MITCHELL</v>
          </cell>
          <cell r="L3254" t="str">
            <v>Mitchell</v>
          </cell>
          <cell r="V3254">
            <v>130000</v>
          </cell>
        </row>
        <row r="3255">
          <cell r="B3255">
            <v>1990</v>
          </cell>
          <cell r="K3255" t="str">
            <v>WINNEBAGO</v>
          </cell>
          <cell r="L3255" t="str">
            <v>Winnebago</v>
          </cell>
          <cell r="V3255">
            <v>121000</v>
          </cell>
        </row>
        <row r="3256">
          <cell r="B3256">
            <v>1990</v>
          </cell>
          <cell r="K3256" t="str">
            <v>WORTH</v>
          </cell>
          <cell r="L3256" t="str">
            <v>Worth</v>
          </cell>
          <cell r="V3256">
            <v>106000</v>
          </cell>
        </row>
        <row r="3257">
          <cell r="B3257">
            <v>1990</v>
          </cell>
          <cell r="K3257" t="str">
            <v>WRIGHT</v>
          </cell>
          <cell r="L3257" t="str">
            <v>Wright</v>
          </cell>
          <cell r="V3257">
            <v>162000</v>
          </cell>
        </row>
        <row r="3258">
          <cell r="B3258">
            <v>1990</v>
          </cell>
          <cell r="K3258" t="str">
            <v>ALLAMAKEE</v>
          </cell>
          <cell r="L3258" t="str">
            <v>Allamakee</v>
          </cell>
          <cell r="V3258">
            <v>75000</v>
          </cell>
        </row>
        <row r="3259">
          <cell r="B3259">
            <v>1990</v>
          </cell>
          <cell r="K3259" t="str">
            <v>BLACK HAWK</v>
          </cell>
          <cell r="L3259" t="str">
            <v>Black Hawk</v>
          </cell>
          <cell r="V3259">
            <v>152000</v>
          </cell>
        </row>
        <row r="3260">
          <cell r="B3260">
            <v>1990</v>
          </cell>
          <cell r="K3260" t="str">
            <v>BREMER</v>
          </cell>
          <cell r="L3260" t="str">
            <v>Bremer</v>
          </cell>
          <cell r="V3260">
            <v>119000</v>
          </cell>
        </row>
        <row r="3261">
          <cell r="B3261">
            <v>1990</v>
          </cell>
          <cell r="K3261" t="str">
            <v>BUCHANAN</v>
          </cell>
          <cell r="L3261" t="str">
            <v>Buchanan</v>
          </cell>
          <cell r="V3261">
            <v>181000</v>
          </cell>
        </row>
        <row r="3262">
          <cell r="B3262">
            <v>1990</v>
          </cell>
          <cell r="K3262" t="str">
            <v>CHICKASAW</v>
          </cell>
          <cell r="L3262" t="str">
            <v>Chickasaw</v>
          </cell>
          <cell r="V3262">
            <v>128000</v>
          </cell>
        </row>
        <row r="3263">
          <cell r="B3263">
            <v>1990</v>
          </cell>
          <cell r="K3263" t="str">
            <v>CLAYTON</v>
          </cell>
          <cell r="L3263" t="str">
            <v>Clayton</v>
          </cell>
          <cell r="V3263">
            <v>144000</v>
          </cell>
        </row>
        <row r="3264">
          <cell r="B3264">
            <v>1990</v>
          </cell>
          <cell r="K3264" t="str">
            <v>DELAWARE</v>
          </cell>
          <cell r="L3264" t="str">
            <v>Delaware</v>
          </cell>
          <cell r="V3264">
            <v>184000</v>
          </cell>
        </row>
        <row r="3265">
          <cell r="B3265">
            <v>1990</v>
          </cell>
          <cell r="K3265" t="str">
            <v>DUBUQUE</v>
          </cell>
          <cell r="L3265" t="str">
            <v>Dubuque</v>
          </cell>
          <cell r="V3265">
            <v>120000</v>
          </cell>
        </row>
        <row r="3266">
          <cell r="B3266">
            <v>1990</v>
          </cell>
          <cell r="K3266" t="str">
            <v>FAYETTE</v>
          </cell>
          <cell r="L3266" t="str">
            <v>Fayette</v>
          </cell>
          <cell r="V3266">
            <v>201000</v>
          </cell>
        </row>
        <row r="3267">
          <cell r="B3267">
            <v>1990</v>
          </cell>
          <cell r="K3267" t="str">
            <v>HOWARD</v>
          </cell>
          <cell r="L3267" t="str">
            <v>Howard</v>
          </cell>
          <cell r="V3267">
            <v>108000</v>
          </cell>
        </row>
        <row r="3268">
          <cell r="B3268">
            <v>1990</v>
          </cell>
          <cell r="K3268" t="str">
            <v>WINNESHIEK</v>
          </cell>
          <cell r="L3268" t="str">
            <v>Winneshiek</v>
          </cell>
          <cell r="V3268">
            <v>135000</v>
          </cell>
        </row>
        <row r="3269">
          <cell r="B3269">
            <v>1990</v>
          </cell>
          <cell r="K3269" t="str">
            <v>BUENA VISTA</v>
          </cell>
          <cell r="L3269" t="str">
            <v>Buena Vista</v>
          </cell>
          <cell r="V3269">
            <v>160000</v>
          </cell>
        </row>
        <row r="3270">
          <cell r="B3270">
            <v>1990</v>
          </cell>
          <cell r="K3270" t="str">
            <v>CHEROKEE</v>
          </cell>
          <cell r="L3270" t="str">
            <v>Cherokee</v>
          </cell>
          <cell r="V3270">
            <v>149000</v>
          </cell>
        </row>
        <row r="3271">
          <cell r="B3271">
            <v>1990</v>
          </cell>
          <cell r="K3271" t="str">
            <v>CLAY</v>
          </cell>
          <cell r="L3271" t="str">
            <v>Clay</v>
          </cell>
          <cell r="V3271">
            <v>139000</v>
          </cell>
        </row>
        <row r="3272">
          <cell r="B3272">
            <v>1990</v>
          </cell>
          <cell r="K3272" t="str">
            <v>DICKINSON</v>
          </cell>
          <cell r="L3272" t="str">
            <v>Dickinson</v>
          </cell>
          <cell r="V3272">
            <v>88000</v>
          </cell>
        </row>
        <row r="3273">
          <cell r="B3273">
            <v>1990</v>
          </cell>
          <cell r="K3273" t="str">
            <v>EMMET</v>
          </cell>
          <cell r="L3273" t="str">
            <v>Emmet</v>
          </cell>
          <cell r="V3273">
            <v>104000</v>
          </cell>
        </row>
        <row r="3274">
          <cell r="B3274">
            <v>1990</v>
          </cell>
          <cell r="K3274" t="str">
            <v>LYON</v>
          </cell>
          <cell r="L3274" t="str">
            <v>Lyon</v>
          </cell>
          <cell r="V3274">
            <v>150000</v>
          </cell>
        </row>
        <row r="3275">
          <cell r="B3275">
            <v>1990</v>
          </cell>
          <cell r="K3275" t="str">
            <v>O BRIEN</v>
          </cell>
          <cell r="L3275" t="str">
            <v>O Brien</v>
          </cell>
          <cell r="V3275">
            <v>162000</v>
          </cell>
        </row>
        <row r="3276">
          <cell r="B3276">
            <v>1990</v>
          </cell>
          <cell r="K3276" t="str">
            <v>OSCEOLA</v>
          </cell>
          <cell r="L3276" t="str">
            <v>Osceola</v>
          </cell>
          <cell r="V3276">
            <v>109000</v>
          </cell>
        </row>
        <row r="3277">
          <cell r="B3277">
            <v>1990</v>
          </cell>
          <cell r="K3277" t="str">
            <v>PALO ALTO</v>
          </cell>
          <cell r="L3277" t="str">
            <v>Palo Alto</v>
          </cell>
          <cell r="V3277">
            <v>154000</v>
          </cell>
        </row>
        <row r="3278">
          <cell r="B3278">
            <v>1990</v>
          </cell>
          <cell r="K3278" t="str">
            <v>PLYMOUTH</v>
          </cell>
          <cell r="L3278" t="str">
            <v>Plymouth</v>
          </cell>
          <cell r="V3278">
            <v>224000</v>
          </cell>
        </row>
        <row r="3279">
          <cell r="B3279">
            <v>1990</v>
          </cell>
          <cell r="K3279" t="str">
            <v>POCAHONTAS</v>
          </cell>
          <cell r="L3279" t="str">
            <v>Pocahontas</v>
          </cell>
          <cell r="V3279">
            <v>161000</v>
          </cell>
        </row>
        <row r="3280">
          <cell r="B3280">
            <v>1990</v>
          </cell>
          <cell r="K3280" t="str">
            <v>SIOUX</v>
          </cell>
          <cell r="L3280" t="str">
            <v>Sioux</v>
          </cell>
          <cell r="V3280">
            <v>242000</v>
          </cell>
        </row>
        <row r="3281">
          <cell r="B3281">
            <v>1990</v>
          </cell>
          <cell r="K3281" t="str">
            <v>APPANOOSE</v>
          </cell>
          <cell r="L3281" t="str">
            <v>Appanoose</v>
          </cell>
          <cell r="V3281">
            <v>32000</v>
          </cell>
        </row>
        <row r="3282">
          <cell r="B3282">
            <v>1990</v>
          </cell>
          <cell r="K3282" t="str">
            <v>CLARKE</v>
          </cell>
          <cell r="L3282" t="str">
            <v>Clarke</v>
          </cell>
          <cell r="V3282">
            <v>40000</v>
          </cell>
        </row>
        <row r="3283">
          <cell r="B3283">
            <v>1990</v>
          </cell>
          <cell r="K3283" t="str">
            <v>DECATUR</v>
          </cell>
          <cell r="L3283" t="str">
            <v>Decatur</v>
          </cell>
          <cell r="V3283">
            <v>34000</v>
          </cell>
        </row>
        <row r="3284">
          <cell r="B3284">
            <v>1990</v>
          </cell>
          <cell r="K3284" t="str">
            <v>LUCAS</v>
          </cell>
          <cell r="L3284" t="str">
            <v>Lucas</v>
          </cell>
          <cell r="V3284">
            <v>33000</v>
          </cell>
        </row>
        <row r="3285">
          <cell r="B3285">
            <v>1990</v>
          </cell>
          <cell r="K3285" t="str">
            <v>MADISON</v>
          </cell>
          <cell r="L3285" t="str">
            <v>Madison</v>
          </cell>
          <cell r="V3285">
            <v>76000</v>
          </cell>
        </row>
        <row r="3286">
          <cell r="B3286">
            <v>1990</v>
          </cell>
          <cell r="K3286" t="str">
            <v>MARION</v>
          </cell>
          <cell r="L3286" t="str">
            <v>Marion</v>
          </cell>
          <cell r="V3286">
            <v>79000</v>
          </cell>
        </row>
        <row r="3287">
          <cell r="B3287">
            <v>1990</v>
          </cell>
          <cell r="K3287" t="str">
            <v>MONROE</v>
          </cell>
          <cell r="L3287" t="str">
            <v>Monroe</v>
          </cell>
          <cell r="V3287">
            <v>30000</v>
          </cell>
        </row>
        <row r="3288">
          <cell r="B3288">
            <v>1990</v>
          </cell>
          <cell r="K3288" t="str">
            <v>RINGGOLD</v>
          </cell>
          <cell r="L3288" t="str">
            <v>Ringgold</v>
          </cell>
          <cell r="V3288">
            <v>48000</v>
          </cell>
        </row>
        <row r="3289">
          <cell r="B3289">
            <v>1990</v>
          </cell>
          <cell r="K3289" t="str">
            <v>UNION</v>
          </cell>
          <cell r="L3289" t="str">
            <v>Union</v>
          </cell>
          <cell r="V3289">
            <v>53000</v>
          </cell>
        </row>
        <row r="3290">
          <cell r="B3290">
            <v>1990</v>
          </cell>
          <cell r="K3290" t="str">
            <v>WARREN</v>
          </cell>
          <cell r="L3290" t="str">
            <v>Warren</v>
          </cell>
          <cell r="V3290">
            <v>81000</v>
          </cell>
        </row>
        <row r="3291">
          <cell r="B3291">
            <v>1990</v>
          </cell>
          <cell r="K3291" t="str">
            <v>WAYNE</v>
          </cell>
          <cell r="L3291" t="str">
            <v>Wayne</v>
          </cell>
          <cell r="V3291">
            <v>50000</v>
          </cell>
        </row>
        <row r="3292">
          <cell r="B3292">
            <v>1990</v>
          </cell>
          <cell r="K3292" t="str">
            <v>DAVIS</v>
          </cell>
          <cell r="L3292" t="str">
            <v>Davis</v>
          </cell>
          <cell r="V3292">
            <v>44000</v>
          </cell>
        </row>
        <row r="3293">
          <cell r="B3293">
            <v>1990</v>
          </cell>
          <cell r="K3293" t="str">
            <v>DES MOINES</v>
          </cell>
          <cell r="L3293" t="str">
            <v>Des Moines</v>
          </cell>
          <cell r="V3293">
            <v>76000</v>
          </cell>
        </row>
        <row r="3294">
          <cell r="B3294">
            <v>1990</v>
          </cell>
          <cell r="K3294" t="str">
            <v>HENRY</v>
          </cell>
          <cell r="L3294" t="str">
            <v>Henry</v>
          </cell>
          <cell r="V3294">
            <v>91000</v>
          </cell>
        </row>
        <row r="3295">
          <cell r="B3295">
            <v>1990</v>
          </cell>
          <cell r="K3295" t="str">
            <v>JEFFERSON</v>
          </cell>
          <cell r="L3295" t="str">
            <v>Jefferson</v>
          </cell>
          <cell r="V3295">
            <v>75000</v>
          </cell>
        </row>
        <row r="3296">
          <cell r="B3296">
            <v>1990</v>
          </cell>
          <cell r="K3296" t="str">
            <v>KEOKUK</v>
          </cell>
          <cell r="L3296" t="str">
            <v>Keokuk</v>
          </cell>
          <cell r="V3296">
            <v>117000</v>
          </cell>
        </row>
        <row r="3297">
          <cell r="B3297">
            <v>1990</v>
          </cell>
          <cell r="K3297" t="str">
            <v>LEE</v>
          </cell>
          <cell r="L3297" t="str">
            <v>Lee</v>
          </cell>
          <cell r="V3297">
            <v>77000</v>
          </cell>
        </row>
        <row r="3298">
          <cell r="B3298">
            <v>1990</v>
          </cell>
          <cell r="K3298" t="str">
            <v>LOUISA</v>
          </cell>
          <cell r="L3298" t="str">
            <v>Louisa</v>
          </cell>
          <cell r="V3298">
            <v>90000</v>
          </cell>
        </row>
        <row r="3299">
          <cell r="B3299">
            <v>1990</v>
          </cell>
          <cell r="K3299" t="str">
            <v>MAHASKA</v>
          </cell>
          <cell r="L3299" t="str">
            <v>Mahaska</v>
          </cell>
          <cell r="V3299">
            <v>125000</v>
          </cell>
        </row>
        <row r="3300">
          <cell r="B3300">
            <v>1990</v>
          </cell>
          <cell r="K3300" t="str">
            <v>VAN BUREN</v>
          </cell>
          <cell r="L3300" t="str">
            <v>Van Buren</v>
          </cell>
          <cell r="V3300">
            <v>48000</v>
          </cell>
        </row>
        <row r="3301">
          <cell r="B3301">
            <v>1990</v>
          </cell>
          <cell r="K3301" t="str">
            <v>WAPELLO</v>
          </cell>
          <cell r="L3301" t="str">
            <v>Wapello</v>
          </cell>
          <cell r="V3301">
            <v>58000</v>
          </cell>
        </row>
        <row r="3302">
          <cell r="B3302">
            <v>1990</v>
          </cell>
          <cell r="K3302" t="str">
            <v>WASHINGTON</v>
          </cell>
          <cell r="L3302" t="str">
            <v>Washington</v>
          </cell>
          <cell r="V3302">
            <v>139000</v>
          </cell>
        </row>
        <row r="3303">
          <cell r="B3303">
            <v>1990</v>
          </cell>
          <cell r="K3303" t="str">
            <v>ADAIR</v>
          </cell>
          <cell r="L3303" t="str">
            <v>Adair</v>
          </cell>
          <cell r="V3303">
            <v>114000</v>
          </cell>
        </row>
        <row r="3304">
          <cell r="B3304">
            <v>1990</v>
          </cell>
          <cell r="K3304" t="str">
            <v>ADAMS</v>
          </cell>
          <cell r="L3304" t="str">
            <v>Adams</v>
          </cell>
          <cell r="V3304">
            <v>64000</v>
          </cell>
        </row>
        <row r="3305">
          <cell r="B3305">
            <v>1990</v>
          </cell>
          <cell r="K3305" t="str">
            <v>CASS</v>
          </cell>
          <cell r="L3305" t="str">
            <v>Cass</v>
          </cell>
          <cell r="V3305">
            <v>131000</v>
          </cell>
        </row>
        <row r="3306">
          <cell r="B3306">
            <v>1990</v>
          </cell>
          <cell r="K3306" t="str">
            <v>FREMONT</v>
          </cell>
          <cell r="L3306" t="str">
            <v>Fremont</v>
          </cell>
          <cell r="V3306">
            <v>114000</v>
          </cell>
        </row>
        <row r="3307">
          <cell r="B3307">
            <v>1990</v>
          </cell>
          <cell r="K3307" t="str">
            <v>MILLS</v>
          </cell>
          <cell r="L3307" t="str">
            <v>Mills</v>
          </cell>
          <cell r="V3307">
            <v>100000</v>
          </cell>
        </row>
        <row r="3308">
          <cell r="B3308">
            <v>1990</v>
          </cell>
          <cell r="K3308" t="str">
            <v>MONTGOMERY</v>
          </cell>
          <cell r="L3308" t="str">
            <v>Montgomery</v>
          </cell>
          <cell r="V3308">
            <v>90000</v>
          </cell>
        </row>
        <row r="3309">
          <cell r="B3309">
            <v>1990</v>
          </cell>
          <cell r="K3309" t="str">
            <v>PAGE</v>
          </cell>
          <cell r="L3309" t="str">
            <v>Page</v>
          </cell>
          <cell r="V3309">
            <v>103000</v>
          </cell>
        </row>
        <row r="3310">
          <cell r="B3310">
            <v>1990</v>
          </cell>
          <cell r="K3310" t="str">
            <v>POTTAWATTAMIE</v>
          </cell>
          <cell r="L3310" t="str">
            <v>Pottawattamie</v>
          </cell>
          <cell r="V3310">
            <v>239000</v>
          </cell>
        </row>
        <row r="3311">
          <cell r="B3311">
            <v>1990</v>
          </cell>
          <cell r="K3311" t="str">
            <v>TAYLOR</v>
          </cell>
          <cell r="L3311" t="str">
            <v>Taylor</v>
          </cell>
          <cell r="V3311">
            <v>69000</v>
          </cell>
        </row>
        <row r="3312">
          <cell r="B3312">
            <v>1990</v>
          </cell>
          <cell r="K3312" t="str">
            <v>AUDUBON</v>
          </cell>
          <cell r="L3312" t="str">
            <v>Audubon</v>
          </cell>
          <cell r="V3312">
            <v>111000</v>
          </cell>
        </row>
        <row r="3313">
          <cell r="B3313">
            <v>1990</v>
          </cell>
          <cell r="K3313" t="str">
            <v>CALHOUN</v>
          </cell>
          <cell r="L3313" t="str">
            <v>Calhoun</v>
          </cell>
          <cell r="V3313">
            <v>161000</v>
          </cell>
        </row>
        <row r="3314">
          <cell r="B3314">
            <v>1990</v>
          </cell>
          <cell r="K3314" t="str">
            <v>CARROLL</v>
          </cell>
          <cell r="L3314" t="str">
            <v>Carroll</v>
          </cell>
          <cell r="V3314">
            <v>167000</v>
          </cell>
        </row>
        <row r="3315">
          <cell r="B3315">
            <v>1990</v>
          </cell>
          <cell r="K3315" t="str">
            <v>CRAWFORD</v>
          </cell>
          <cell r="L3315" t="str">
            <v>Crawford</v>
          </cell>
          <cell r="V3315">
            <v>173000</v>
          </cell>
        </row>
        <row r="3316">
          <cell r="B3316">
            <v>1990</v>
          </cell>
          <cell r="K3316" t="str">
            <v>GREENE</v>
          </cell>
          <cell r="L3316" t="str">
            <v>Greene</v>
          </cell>
          <cell r="V3316">
            <v>152000</v>
          </cell>
        </row>
        <row r="3317">
          <cell r="B3317">
            <v>1990</v>
          </cell>
          <cell r="K3317" t="str">
            <v>GUTHRIE</v>
          </cell>
          <cell r="L3317" t="str">
            <v>Guthrie</v>
          </cell>
          <cell r="V3317">
            <v>108000</v>
          </cell>
        </row>
        <row r="3318">
          <cell r="B3318">
            <v>1990</v>
          </cell>
          <cell r="K3318" t="str">
            <v>HARRISON</v>
          </cell>
          <cell r="L3318" t="str">
            <v>Harrison</v>
          </cell>
          <cell r="V3318">
            <v>158000</v>
          </cell>
        </row>
        <row r="3319">
          <cell r="B3319">
            <v>1990</v>
          </cell>
          <cell r="K3319" t="str">
            <v>IDA</v>
          </cell>
          <cell r="L3319" t="str">
            <v>Ida</v>
          </cell>
          <cell r="V3319">
            <v>130000</v>
          </cell>
        </row>
        <row r="3320">
          <cell r="B3320">
            <v>1990</v>
          </cell>
          <cell r="K3320" t="str">
            <v>MONONA</v>
          </cell>
          <cell r="L3320" t="str">
            <v>Monona</v>
          </cell>
          <cell r="V3320">
            <v>168000</v>
          </cell>
        </row>
        <row r="3321">
          <cell r="B3321">
            <v>1990</v>
          </cell>
          <cell r="K3321" t="str">
            <v>SAC</v>
          </cell>
          <cell r="L3321" t="str">
            <v>Sac</v>
          </cell>
          <cell r="V3321">
            <v>156000</v>
          </cell>
        </row>
        <row r="3322">
          <cell r="B3322">
            <v>1990</v>
          </cell>
          <cell r="K3322" t="str">
            <v>SHELBY</v>
          </cell>
          <cell r="L3322" t="str">
            <v>Shelby</v>
          </cell>
          <cell r="V3322">
            <v>177000</v>
          </cell>
        </row>
        <row r="3323">
          <cell r="B3323">
            <v>1990</v>
          </cell>
          <cell r="K3323" t="str">
            <v>WOODBURY</v>
          </cell>
          <cell r="L3323" t="str">
            <v>Woodbury</v>
          </cell>
          <cell r="V3323">
            <v>216000</v>
          </cell>
        </row>
        <row r="3324">
          <cell r="B3324">
            <v>1989</v>
          </cell>
          <cell r="K3324" t="str">
            <v>BOONE</v>
          </cell>
          <cell r="L3324" t="str">
            <v>Boone</v>
          </cell>
          <cell r="V3324">
            <v>137000</v>
          </cell>
        </row>
        <row r="3325">
          <cell r="B3325">
            <v>1989</v>
          </cell>
          <cell r="K3325" t="str">
            <v>DALLAS</v>
          </cell>
          <cell r="L3325" t="str">
            <v>Dallas</v>
          </cell>
          <cell r="V3325">
            <v>136000</v>
          </cell>
        </row>
        <row r="3326">
          <cell r="B3326">
            <v>1989</v>
          </cell>
          <cell r="K3326" t="str">
            <v>GRUNDY</v>
          </cell>
          <cell r="L3326" t="str">
            <v>Grundy</v>
          </cell>
          <cell r="V3326">
            <v>163000</v>
          </cell>
        </row>
        <row r="3327">
          <cell r="B3327">
            <v>1989</v>
          </cell>
          <cell r="K3327" t="str">
            <v>HAMILTON</v>
          </cell>
          <cell r="L3327" t="str">
            <v>Hamilton</v>
          </cell>
          <cell r="V3327">
            <v>160000</v>
          </cell>
        </row>
        <row r="3328">
          <cell r="B3328">
            <v>1989</v>
          </cell>
          <cell r="K3328" t="str">
            <v>HARDIN</v>
          </cell>
          <cell r="L3328" t="str">
            <v>Hardin</v>
          </cell>
          <cell r="V3328">
            <v>162000</v>
          </cell>
        </row>
        <row r="3329">
          <cell r="B3329">
            <v>1989</v>
          </cell>
          <cell r="K3329" t="str">
            <v>JASPER</v>
          </cell>
          <cell r="L3329" t="str">
            <v>Jasper</v>
          </cell>
          <cell r="V3329">
            <v>170000</v>
          </cell>
        </row>
        <row r="3330">
          <cell r="B3330">
            <v>1989</v>
          </cell>
          <cell r="K3330" t="str">
            <v>MARSHALL</v>
          </cell>
          <cell r="L3330" t="str">
            <v>Marshall</v>
          </cell>
          <cell r="V3330">
            <v>153000</v>
          </cell>
        </row>
        <row r="3331">
          <cell r="B3331">
            <v>1989</v>
          </cell>
          <cell r="K3331" t="str">
            <v>POLK</v>
          </cell>
          <cell r="L3331" t="str">
            <v>Polk</v>
          </cell>
          <cell r="V3331">
            <v>100000</v>
          </cell>
        </row>
        <row r="3332">
          <cell r="B3332">
            <v>1989</v>
          </cell>
          <cell r="K3332" t="str">
            <v>POWESHIEK</v>
          </cell>
          <cell r="L3332" t="str">
            <v>Poweshiek</v>
          </cell>
          <cell r="V3332">
            <v>121000</v>
          </cell>
        </row>
        <row r="3333">
          <cell r="B3333">
            <v>1989</v>
          </cell>
          <cell r="K3333" t="str">
            <v>STORY</v>
          </cell>
          <cell r="L3333" t="str">
            <v>Story</v>
          </cell>
          <cell r="V3333">
            <v>163000</v>
          </cell>
        </row>
        <row r="3334">
          <cell r="B3334">
            <v>1989</v>
          </cell>
          <cell r="K3334" t="str">
            <v>TAMA</v>
          </cell>
          <cell r="L3334" t="str">
            <v>Tama</v>
          </cell>
          <cell r="V3334">
            <v>184000</v>
          </cell>
        </row>
        <row r="3335">
          <cell r="B3335">
            <v>1989</v>
          </cell>
          <cell r="K3335" t="str">
            <v>WEBSTER</v>
          </cell>
          <cell r="L3335" t="str">
            <v>Webster</v>
          </cell>
          <cell r="V3335">
            <v>174000</v>
          </cell>
        </row>
        <row r="3336">
          <cell r="B3336">
            <v>1989</v>
          </cell>
          <cell r="K3336" t="str">
            <v>BENTON</v>
          </cell>
          <cell r="L3336" t="str">
            <v>Benton</v>
          </cell>
          <cell r="V3336">
            <v>180000</v>
          </cell>
        </row>
        <row r="3337">
          <cell r="B3337">
            <v>1989</v>
          </cell>
          <cell r="K3337" t="str">
            <v>CEDAR</v>
          </cell>
          <cell r="L3337" t="str">
            <v>Cedar</v>
          </cell>
          <cell r="V3337">
            <v>171000</v>
          </cell>
        </row>
        <row r="3338">
          <cell r="B3338">
            <v>1989</v>
          </cell>
          <cell r="K3338" t="str">
            <v>CLINTON</v>
          </cell>
          <cell r="L3338" t="str">
            <v>Clinton</v>
          </cell>
          <cell r="V3338">
            <v>196000</v>
          </cell>
        </row>
        <row r="3339">
          <cell r="B3339">
            <v>1989</v>
          </cell>
          <cell r="K3339" t="str">
            <v>IOWA</v>
          </cell>
          <cell r="L3339" t="str">
            <v>Iowa</v>
          </cell>
          <cell r="V3339">
            <v>129000</v>
          </cell>
        </row>
        <row r="3340">
          <cell r="B3340">
            <v>1989</v>
          </cell>
          <cell r="K3340" t="str">
            <v>JACKSON</v>
          </cell>
          <cell r="L3340" t="str">
            <v>Jackson</v>
          </cell>
          <cell r="V3340">
            <v>102000</v>
          </cell>
        </row>
        <row r="3341">
          <cell r="B3341">
            <v>1989</v>
          </cell>
          <cell r="K3341" t="str">
            <v>JOHNSON</v>
          </cell>
          <cell r="L3341" t="str">
            <v>Johnson</v>
          </cell>
          <cell r="V3341">
            <v>121000</v>
          </cell>
        </row>
        <row r="3342">
          <cell r="B3342">
            <v>1989</v>
          </cell>
          <cell r="K3342" t="str">
            <v>JONES</v>
          </cell>
          <cell r="L3342" t="str">
            <v>Jones</v>
          </cell>
          <cell r="V3342">
            <v>146000</v>
          </cell>
        </row>
        <row r="3343">
          <cell r="B3343">
            <v>1989</v>
          </cell>
          <cell r="K3343" t="str">
            <v>LINN</v>
          </cell>
          <cell r="L3343" t="str">
            <v>Linn</v>
          </cell>
          <cell r="V3343">
            <v>146000</v>
          </cell>
        </row>
        <row r="3344">
          <cell r="B3344">
            <v>1989</v>
          </cell>
          <cell r="K3344" t="str">
            <v>MUSCATINE</v>
          </cell>
          <cell r="L3344" t="str">
            <v>Muscatine</v>
          </cell>
          <cell r="V3344">
            <v>98000</v>
          </cell>
        </row>
        <row r="3345">
          <cell r="B3345">
            <v>1989</v>
          </cell>
          <cell r="K3345" t="str">
            <v>SCOTT</v>
          </cell>
          <cell r="L3345" t="str">
            <v>Scott</v>
          </cell>
          <cell r="V3345">
            <v>125000</v>
          </cell>
        </row>
        <row r="3346">
          <cell r="B3346">
            <v>1989</v>
          </cell>
          <cell r="K3346" t="str">
            <v>BUTLER</v>
          </cell>
          <cell r="L3346" t="str">
            <v>Butler</v>
          </cell>
          <cell r="V3346">
            <v>152000</v>
          </cell>
        </row>
        <row r="3347">
          <cell r="B3347">
            <v>1989</v>
          </cell>
          <cell r="K3347" t="str">
            <v>CERRO GORDO</v>
          </cell>
          <cell r="L3347" t="str">
            <v>Cerro Gordo</v>
          </cell>
          <cell r="V3347">
            <v>163000</v>
          </cell>
        </row>
        <row r="3348">
          <cell r="B3348">
            <v>1989</v>
          </cell>
          <cell r="K3348" t="str">
            <v>FLOYD</v>
          </cell>
          <cell r="L3348" t="str">
            <v>Floyd</v>
          </cell>
          <cell r="V3348">
            <v>131000</v>
          </cell>
        </row>
        <row r="3349">
          <cell r="B3349">
            <v>1989</v>
          </cell>
          <cell r="K3349" t="str">
            <v>FRANKLIN</v>
          </cell>
          <cell r="L3349" t="str">
            <v>Franklin</v>
          </cell>
          <cell r="V3349">
            <v>171000</v>
          </cell>
        </row>
        <row r="3350">
          <cell r="B3350">
            <v>1989</v>
          </cell>
          <cell r="K3350" t="str">
            <v>HANCOCK</v>
          </cell>
          <cell r="L3350" t="str">
            <v>Hancock</v>
          </cell>
          <cell r="V3350">
            <v>164000</v>
          </cell>
        </row>
        <row r="3351">
          <cell r="B3351">
            <v>1989</v>
          </cell>
          <cell r="K3351" t="str">
            <v>HUMBOLDT</v>
          </cell>
          <cell r="L3351" t="str">
            <v>Humboldt</v>
          </cell>
          <cell r="V3351">
            <v>125000</v>
          </cell>
        </row>
        <row r="3352">
          <cell r="B3352">
            <v>1989</v>
          </cell>
          <cell r="K3352" t="str">
            <v>KOSSUTH</v>
          </cell>
          <cell r="L3352" t="str">
            <v>Kossuth</v>
          </cell>
          <cell r="V3352">
            <v>275000</v>
          </cell>
        </row>
        <row r="3353">
          <cell r="B3353">
            <v>1989</v>
          </cell>
          <cell r="K3353" t="str">
            <v>MITCHELL</v>
          </cell>
          <cell r="L3353" t="str">
            <v>Mitchell</v>
          </cell>
          <cell r="V3353">
            <v>126000</v>
          </cell>
        </row>
        <row r="3354">
          <cell r="B3354">
            <v>1989</v>
          </cell>
          <cell r="K3354" t="str">
            <v>WINNEBAGO</v>
          </cell>
          <cell r="L3354" t="str">
            <v>Winnebago</v>
          </cell>
          <cell r="V3354">
            <v>118000</v>
          </cell>
        </row>
        <row r="3355">
          <cell r="B3355">
            <v>1989</v>
          </cell>
          <cell r="K3355" t="str">
            <v>WORTH</v>
          </cell>
          <cell r="L3355" t="str">
            <v>Worth</v>
          </cell>
          <cell r="V3355">
            <v>105000</v>
          </cell>
        </row>
        <row r="3356">
          <cell r="B3356">
            <v>1989</v>
          </cell>
          <cell r="K3356" t="str">
            <v>WRIGHT</v>
          </cell>
          <cell r="L3356" t="str">
            <v>Wright</v>
          </cell>
          <cell r="V3356">
            <v>158000</v>
          </cell>
        </row>
        <row r="3357">
          <cell r="B3357">
            <v>1989</v>
          </cell>
          <cell r="K3357" t="str">
            <v>ALLAMAKEE</v>
          </cell>
          <cell r="L3357" t="str">
            <v>Allamakee</v>
          </cell>
          <cell r="V3357">
            <v>75000</v>
          </cell>
        </row>
        <row r="3358">
          <cell r="B3358">
            <v>1989</v>
          </cell>
          <cell r="K3358" t="str">
            <v>BLACK HAWK</v>
          </cell>
          <cell r="L3358" t="str">
            <v>Black Hawk</v>
          </cell>
          <cell r="V3358">
            <v>151000</v>
          </cell>
        </row>
        <row r="3359">
          <cell r="B3359">
            <v>1989</v>
          </cell>
          <cell r="K3359" t="str">
            <v>BREMER</v>
          </cell>
          <cell r="L3359" t="str">
            <v>Bremer</v>
          </cell>
          <cell r="V3359">
            <v>121000</v>
          </cell>
        </row>
        <row r="3360">
          <cell r="B3360">
            <v>1989</v>
          </cell>
          <cell r="K3360" t="str">
            <v>BUCHANAN</v>
          </cell>
          <cell r="L3360" t="str">
            <v>Buchanan</v>
          </cell>
          <cell r="V3360">
            <v>177000</v>
          </cell>
        </row>
        <row r="3361">
          <cell r="B3361">
            <v>1989</v>
          </cell>
          <cell r="K3361" t="str">
            <v>CHICKASAW</v>
          </cell>
          <cell r="L3361" t="str">
            <v>Chickasaw</v>
          </cell>
          <cell r="V3361">
            <v>129000</v>
          </cell>
        </row>
        <row r="3362">
          <cell r="B3362">
            <v>1989</v>
          </cell>
          <cell r="K3362" t="str">
            <v>CLAYTON</v>
          </cell>
          <cell r="L3362" t="str">
            <v>Clayton</v>
          </cell>
          <cell r="V3362">
            <v>139000</v>
          </cell>
        </row>
        <row r="3363">
          <cell r="B3363">
            <v>1989</v>
          </cell>
          <cell r="K3363" t="str">
            <v>DELAWARE</v>
          </cell>
          <cell r="L3363" t="str">
            <v>Delaware</v>
          </cell>
          <cell r="V3363">
            <v>179000</v>
          </cell>
        </row>
        <row r="3364">
          <cell r="B3364">
            <v>1989</v>
          </cell>
          <cell r="K3364" t="str">
            <v>DUBUQUE</v>
          </cell>
          <cell r="L3364" t="str">
            <v>Dubuque</v>
          </cell>
          <cell r="V3364">
            <v>121000</v>
          </cell>
        </row>
        <row r="3365">
          <cell r="B3365">
            <v>1989</v>
          </cell>
          <cell r="K3365" t="str">
            <v>FAYETTE</v>
          </cell>
          <cell r="L3365" t="str">
            <v>Fayette</v>
          </cell>
          <cell r="V3365">
            <v>198000</v>
          </cell>
        </row>
        <row r="3366">
          <cell r="B3366">
            <v>1989</v>
          </cell>
          <cell r="K3366" t="str">
            <v>HOWARD</v>
          </cell>
          <cell r="L3366" t="str">
            <v>Howard</v>
          </cell>
          <cell r="V3366">
            <v>105000</v>
          </cell>
        </row>
        <row r="3367">
          <cell r="B3367">
            <v>1989</v>
          </cell>
          <cell r="K3367" t="str">
            <v>WINNESHIEK</v>
          </cell>
          <cell r="L3367" t="str">
            <v>Winneshiek</v>
          </cell>
          <cell r="V3367">
            <v>131000</v>
          </cell>
        </row>
        <row r="3368">
          <cell r="B3368">
            <v>1989</v>
          </cell>
          <cell r="K3368" t="str">
            <v>BUENA VISTA</v>
          </cell>
          <cell r="L3368" t="str">
            <v>Buena Vista</v>
          </cell>
          <cell r="V3368">
            <v>160000</v>
          </cell>
        </row>
        <row r="3369">
          <cell r="B3369">
            <v>1989</v>
          </cell>
          <cell r="K3369" t="str">
            <v>CHEROKEE</v>
          </cell>
          <cell r="L3369" t="str">
            <v>Cherokee</v>
          </cell>
          <cell r="V3369">
            <v>145000</v>
          </cell>
        </row>
        <row r="3370">
          <cell r="B3370">
            <v>1989</v>
          </cell>
          <cell r="K3370" t="str">
            <v>CLAY</v>
          </cell>
          <cell r="L3370" t="str">
            <v>Clay</v>
          </cell>
          <cell r="V3370">
            <v>137000</v>
          </cell>
        </row>
        <row r="3371">
          <cell r="B3371">
            <v>1989</v>
          </cell>
          <cell r="K3371" t="str">
            <v>DICKINSON</v>
          </cell>
          <cell r="L3371" t="str">
            <v>Dickinson</v>
          </cell>
          <cell r="V3371">
            <v>88000</v>
          </cell>
        </row>
        <row r="3372">
          <cell r="B3372">
            <v>1989</v>
          </cell>
          <cell r="K3372" t="str">
            <v>EMMET</v>
          </cell>
          <cell r="L3372" t="str">
            <v>Emmet</v>
          </cell>
          <cell r="V3372">
            <v>103000</v>
          </cell>
        </row>
        <row r="3373">
          <cell r="B3373">
            <v>1989</v>
          </cell>
          <cell r="K3373" t="str">
            <v>LYON</v>
          </cell>
          <cell r="L3373" t="str">
            <v>Lyon</v>
          </cell>
          <cell r="V3373">
            <v>147000</v>
          </cell>
        </row>
        <row r="3374">
          <cell r="B3374">
            <v>1989</v>
          </cell>
          <cell r="K3374" t="str">
            <v>O BRIEN</v>
          </cell>
          <cell r="L3374" t="str">
            <v>O Brien</v>
          </cell>
          <cell r="V3374">
            <v>159000</v>
          </cell>
        </row>
        <row r="3375">
          <cell r="B3375">
            <v>1989</v>
          </cell>
          <cell r="K3375" t="str">
            <v>OSCEOLA</v>
          </cell>
          <cell r="L3375" t="str">
            <v>Osceola</v>
          </cell>
          <cell r="V3375">
            <v>107000</v>
          </cell>
        </row>
        <row r="3376">
          <cell r="B3376">
            <v>1989</v>
          </cell>
          <cell r="K3376" t="str">
            <v>PALO ALTO</v>
          </cell>
          <cell r="L3376" t="str">
            <v>Palo Alto</v>
          </cell>
          <cell r="V3376">
            <v>151000</v>
          </cell>
        </row>
        <row r="3377">
          <cell r="B3377">
            <v>1989</v>
          </cell>
          <cell r="K3377" t="str">
            <v>PLYMOUTH</v>
          </cell>
          <cell r="L3377" t="str">
            <v>Plymouth</v>
          </cell>
          <cell r="V3377">
            <v>217000</v>
          </cell>
        </row>
        <row r="3378">
          <cell r="B3378">
            <v>1989</v>
          </cell>
          <cell r="K3378" t="str">
            <v>POCAHONTAS</v>
          </cell>
          <cell r="L3378" t="str">
            <v>Pocahontas</v>
          </cell>
          <cell r="V3378">
            <v>159000</v>
          </cell>
        </row>
        <row r="3379">
          <cell r="B3379">
            <v>1989</v>
          </cell>
          <cell r="K3379" t="str">
            <v>SIOUX</v>
          </cell>
          <cell r="L3379" t="str">
            <v>Sioux</v>
          </cell>
          <cell r="V3379">
            <v>234000</v>
          </cell>
        </row>
        <row r="3380">
          <cell r="B3380">
            <v>1989</v>
          </cell>
          <cell r="K3380" t="str">
            <v>APPANOOSE</v>
          </cell>
          <cell r="L3380" t="str">
            <v>Appanoose</v>
          </cell>
          <cell r="V3380">
            <v>34000</v>
          </cell>
        </row>
        <row r="3381">
          <cell r="B3381">
            <v>1989</v>
          </cell>
          <cell r="K3381" t="str">
            <v>CLARKE</v>
          </cell>
          <cell r="L3381" t="str">
            <v>Clarke</v>
          </cell>
          <cell r="V3381">
            <v>42000</v>
          </cell>
        </row>
        <row r="3382">
          <cell r="B3382">
            <v>1989</v>
          </cell>
          <cell r="K3382" t="str">
            <v>DECATUR</v>
          </cell>
          <cell r="L3382" t="str">
            <v>Decatur</v>
          </cell>
          <cell r="V3382">
            <v>36000</v>
          </cell>
        </row>
        <row r="3383">
          <cell r="B3383">
            <v>1989</v>
          </cell>
          <cell r="K3383" t="str">
            <v>LUCAS</v>
          </cell>
          <cell r="L3383" t="str">
            <v>Lucas</v>
          </cell>
          <cell r="V3383">
            <v>34000</v>
          </cell>
        </row>
        <row r="3384">
          <cell r="B3384">
            <v>1989</v>
          </cell>
          <cell r="K3384" t="str">
            <v>MADISON</v>
          </cell>
          <cell r="L3384" t="str">
            <v>Madison</v>
          </cell>
          <cell r="V3384">
            <v>73000</v>
          </cell>
        </row>
        <row r="3385">
          <cell r="B3385">
            <v>1989</v>
          </cell>
          <cell r="K3385" t="str">
            <v>MARION</v>
          </cell>
          <cell r="L3385" t="str">
            <v>Marion</v>
          </cell>
          <cell r="V3385">
            <v>79000</v>
          </cell>
        </row>
        <row r="3386">
          <cell r="B3386">
            <v>1989</v>
          </cell>
          <cell r="K3386" t="str">
            <v>MONROE</v>
          </cell>
          <cell r="L3386" t="str">
            <v>Monroe</v>
          </cell>
          <cell r="V3386">
            <v>32000</v>
          </cell>
        </row>
        <row r="3387">
          <cell r="B3387">
            <v>1989</v>
          </cell>
          <cell r="K3387" t="str">
            <v>RINGGOLD</v>
          </cell>
          <cell r="L3387" t="str">
            <v>Ringgold</v>
          </cell>
          <cell r="V3387">
            <v>50000</v>
          </cell>
        </row>
        <row r="3388">
          <cell r="B3388">
            <v>1989</v>
          </cell>
          <cell r="K3388" t="str">
            <v>UNION</v>
          </cell>
          <cell r="L3388" t="str">
            <v>Union</v>
          </cell>
          <cell r="V3388">
            <v>50000</v>
          </cell>
        </row>
        <row r="3389">
          <cell r="B3389">
            <v>1989</v>
          </cell>
          <cell r="K3389" t="str">
            <v>WARREN</v>
          </cell>
          <cell r="L3389" t="str">
            <v>Warren</v>
          </cell>
          <cell r="V3389">
            <v>84000</v>
          </cell>
        </row>
        <row r="3390">
          <cell r="B3390">
            <v>1989</v>
          </cell>
          <cell r="K3390" t="str">
            <v>WAYNE</v>
          </cell>
          <cell r="L3390" t="str">
            <v>Wayne</v>
          </cell>
          <cell r="V3390">
            <v>51000</v>
          </cell>
        </row>
        <row r="3391">
          <cell r="B3391">
            <v>1989</v>
          </cell>
          <cell r="K3391" t="str">
            <v>DAVIS</v>
          </cell>
          <cell r="L3391" t="str">
            <v>Davis</v>
          </cell>
          <cell r="V3391">
            <v>44000</v>
          </cell>
        </row>
        <row r="3392">
          <cell r="B3392">
            <v>1989</v>
          </cell>
          <cell r="K3392" t="str">
            <v>DES MOINES</v>
          </cell>
          <cell r="L3392" t="str">
            <v>Des Moines</v>
          </cell>
          <cell r="V3392">
            <v>74000</v>
          </cell>
        </row>
        <row r="3393">
          <cell r="B3393">
            <v>1989</v>
          </cell>
          <cell r="K3393" t="str">
            <v>HENRY</v>
          </cell>
          <cell r="L3393" t="str">
            <v>Henry</v>
          </cell>
          <cell r="V3393">
            <v>91000</v>
          </cell>
        </row>
        <row r="3394">
          <cell r="B3394">
            <v>1989</v>
          </cell>
          <cell r="K3394" t="str">
            <v>JEFFERSON</v>
          </cell>
          <cell r="L3394" t="str">
            <v>Jefferson</v>
          </cell>
          <cell r="V3394">
            <v>75000</v>
          </cell>
        </row>
        <row r="3395">
          <cell r="B3395">
            <v>1989</v>
          </cell>
          <cell r="K3395" t="str">
            <v>KEOKUK</v>
          </cell>
          <cell r="L3395" t="str">
            <v>Keokuk</v>
          </cell>
          <cell r="V3395">
            <v>121000</v>
          </cell>
        </row>
        <row r="3396">
          <cell r="B3396">
            <v>1989</v>
          </cell>
          <cell r="K3396" t="str">
            <v>LEE</v>
          </cell>
          <cell r="L3396" t="str">
            <v>Lee</v>
          </cell>
          <cell r="V3396">
            <v>77000</v>
          </cell>
        </row>
        <row r="3397">
          <cell r="B3397">
            <v>1989</v>
          </cell>
          <cell r="K3397" t="str">
            <v>LOUISA</v>
          </cell>
          <cell r="L3397" t="str">
            <v>Louisa</v>
          </cell>
          <cell r="V3397">
            <v>86000</v>
          </cell>
        </row>
        <row r="3398">
          <cell r="B3398">
            <v>1989</v>
          </cell>
          <cell r="K3398" t="str">
            <v>MAHASKA</v>
          </cell>
          <cell r="L3398" t="str">
            <v>Mahaska</v>
          </cell>
          <cell r="V3398">
            <v>123000</v>
          </cell>
        </row>
        <row r="3399">
          <cell r="B3399">
            <v>1989</v>
          </cell>
          <cell r="K3399" t="str">
            <v>VAN BUREN</v>
          </cell>
          <cell r="L3399" t="str">
            <v>Van Buren</v>
          </cell>
          <cell r="V3399">
            <v>47000</v>
          </cell>
        </row>
        <row r="3400">
          <cell r="B3400">
            <v>1989</v>
          </cell>
          <cell r="K3400" t="str">
            <v>WAPELLO</v>
          </cell>
          <cell r="L3400" t="str">
            <v>Wapello</v>
          </cell>
          <cell r="V3400">
            <v>56000</v>
          </cell>
        </row>
        <row r="3401">
          <cell r="B3401">
            <v>1989</v>
          </cell>
          <cell r="K3401" t="str">
            <v>WASHINGTON</v>
          </cell>
          <cell r="L3401" t="str">
            <v>Washington</v>
          </cell>
          <cell r="V3401">
            <v>133000</v>
          </cell>
        </row>
        <row r="3402">
          <cell r="B3402">
            <v>1989</v>
          </cell>
          <cell r="K3402" t="str">
            <v>ADAIR</v>
          </cell>
          <cell r="L3402" t="str">
            <v>Adair</v>
          </cell>
          <cell r="V3402">
            <v>108000</v>
          </cell>
        </row>
        <row r="3403">
          <cell r="B3403">
            <v>1989</v>
          </cell>
          <cell r="K3403" t="str">
            <v>ADAMS</v>
          </cell>
          <cell r="L3403" t="str">
            <v>Adams</v>
          </cell>
          <cell r="V3403">
            <v>63000</v>
          </cell>
        </row>
        <row r="3404">
          <cell r="B3404">
            <v>1989</v>
          </cell>
          <cell r="K3404" t="str">
            <v>CASS</v>
          </cell>
          <cell r="L3404" t="str">
            <v>Cass</v>
          </cell>
          <cell r="V3404">
            <v>127000</v>
          </cell>
        </row>
        <row r="3405">
          <cell r="B3405">
            <v>1989</v>
          </cell>
          <cell r="K3405" t="str">
            <v>FREMONT</v>
          </cell>
          <cell r="L3405" t="str">
            <v>Fremont</v>
          </cell>
          <cell r="V3405">
            <v>115000</v>
          </cell>
        </row>
        <row r="3406">
          <cell r="B3406">
            <v>1989</v>
          </cell>
          <cell r="K3406" t="str">
            <v>MILLS</v>
          </cell>
          <cell r="L3406" t="str">
            <v>Mills</v>
          </cell>
          <cell r="V3406">
            <v>97000</v>
          </cell>
        </row>
        <row r="3407">
          <cell r="B3407">
            <v>1989</v>
          </cell>
          <cell r="K3407" t="str">
            <v>MONTGOMERY</v>
          </cell>
          <cell r="L3407" t="str">
            <v>Montgomery</v>
          </cell>
          <cell r="V3407">
            <v>88000</v>
          </cell>
        </row>
        <row r="3408">
          <cell r="B3408">
            <v>1989</v>
          </cell>
          <cell r="K3408" t="str">
            <v>PAGE</v>
          </cell>
          <cell r="L3408" t="str">
            <v>Page</v>
          </cell>
          <cell r="V3408">
            <v>100000</v>
          </cell>
        </row>
        <row r="3409">
          <cell r="B3409">
            <v>1989</v>
          </cell>
          <cell r="K3409" t="str">
            <v>POTTAWATTAMIE</v>
          </cell>
          <cell r="L3409" t="str">
            <v>Pottawattamie</v>
          </cell>
          <cell r="V3409">
            <v>231000</v>
          </cell>
        </row>
        <row r="3410">
          <cell r="B3410">
            <v>1989</v>
          </cell>
          <cell r="K3410" t="str">
            <v>TAYLOR</v>
          </cell>
          <cell r="L3410" t="str">
            <v>Taylor</v>
          </cell>
          <cell r="V3410">
            <v>69000</v>
          </cell>
        </row>
        <row r="3411">
          <cell r="B3411">
            <v>1989</v>
          </cell>
          <cell r="K3411" t="str">
            <v>AUDUBON</v>
          </cell>
          <cell r="L3411" t="str">
            <v>Audubon</v>
          </cell>
          <cell r="V3411">
            <v>109000</v>
          </cell>
        </row>
        <row r="3412">
          <cell r="B3412">
            <v>1989</v>
          </cell>
          <cell r="K3412" t="str">
            <v>CALHOUN</v>
          </cell>
          <cell r="L3412" t="str">
            <v>Calhoun</v>
          </cell>
          <cell r="V3412">
            <v>155000</v>
          </cell>
        </row>
        <row r="3413">
          <cell r="B3413">
            <v>1989</v>
          </cell>
          <cell r="K3413" t="str">
            <v>CARROLL</v>
          </cell>
          <cell r="L3413" t="str">
            <v>Carroll</v>
          </cell>
          <cell r="V3413">
            <v>167000</v>
          </cell>
        </row>
        <row r="3414">
          <cell r="B3414">
            <v>1989</v>
          </cell>
          <cell r="K3414" t="str">
            <v>CRAWFORD</v>
          </cell>
          <cell r="L3414" t="str">
            <v>Crawford</v>
          </cell>
          <cell r="V3414">
            <v>174000</v>
          </cell>
        </row>
        <row r="3415">
          <cell r="B3415">
            <v>1989</v>
          </cell>
          <cell r="K3415" t="str">
            <v>GREENE</v>
          </cell>
          <cell r="L3415" t="str">
            <v>Greene</v>
          </cell>
          <cell r="V3415">
            <v>147000</v>
          </cell>
        </row>
        <row r="3416">
          <cell r="B3416">
            <v>1989</v>
          </cell>
          <cell r="K3416" t="str">
            <v>GUTHRIE</v>
          </cell>
          <cell r="L3416" t="str">
            <v>Guthrie</v>
          </cell>
          <cell r="V3416">
            <v>108000</v>
          </cell>
        </row>
        <row r="3417">
          <cell r="B3417">
            <v>1989</v>
          </cell>
          <cell r="K3417" t="str">
            <v>HARRISON</v>
          </cell>
          <cell r="L3417" t="str">
            <v>Harrison</v>
          </cell>
          <cell r="V3417">
            <v>155000</v>
          </cell>
        </row>
        <row r="3418">
          <cell r="B3418">
            <v>1989</v>
          </cell>
          <cell r="K3418" t="str">
            <v>IDA</v>
          </cell>
          <cell r="L3418" t="str">
            <v>Ida</v>
          </cell>
          <cell r="V3418">
            <v>127000</v>
          </cell>
        </row>
        <row r="3419">
          <cell r="B3419">
            <v>1989</v>
          </cell>
          <cell r="K3419" t="str">
            <v>MONONA</v>
          </cell>
          <cell r="L3419" t="str">
            <v>Monona</v>
          </cell>
          <cell r="V3419">
            <v>169000</v>
          </cell>
        </row>
        <row r="3420">
          <cell r="B3420">
            <v>1989</v>
          </cell>
          <cell r="K3420" t="str">
            <v>SAC</v>
          </cell>
          <cell r="L3420" t="str">
            <v>Sac</v>
          </cell>
          <cell r="V3420">
            <v>153000</v>
          </cell>
        </row>
        <row r="3421">
          <cell r="B3421">
            <v>1989</v>
          </cell>
          <cell r="K3421" t="str">
            <v>SHELBY</v>
          </cell>
          <cell r="L3421" t="str">
            <v>Shelby</v>
          </cell>
          <cell r="V3421">
            <v>176000</v>
          </cell>
        </row>
        <row r="3422">
          <cell r="B3422">
            <v>1989</v>
          </cell>
          <cell r="K3422" t="str">
            <v>WOODBURY</v>
          </cell>
          <cell r="L3422" t="str">
            <v>Woodbury</v>
          </cell>
          <cell r="V3422">
            <v>212000</v>
          </cell>
        </row>
        <row r="3423">
          <cell r="B3423">
            <v>1988</v>
          </cell>
          <cell r="K3423" t="str">
            <v>BOONE</v>
          </cell>
          <cell r="L3423" t="str">
            <v>Boone</v>
          </cell>
          <cell r="V3423">
            <v>121000</v>
          </cell>
        </row>
        <row r="3424">
          <cell r="B3424">
            <v>1988</v>
          </cell>
          <cell r="K3424" t="str">
            <v>DALLAS</v>
          </cell>
          <cell r="L3424" t="str">
            <v>Dallas</v>
          </cell>
          <cell r="V3424">
            <v>124000</v>
          </cell>
        </row>
        <row r="3425">
          <cell r="B3425">
            <v>1988</v>
          </cell>
          <cell r="K3425" t="str">
            <v>GRUNDY</v>
          </cell>
          <cell r="L3425" t="str">
            <v>Grundy</v>
          </cell>
          <cell r="V3425">
            <v>143000</v>
          </cell>
        </row>
        <row r="3426">
          <cell r="B3426">
            <v>1988</v>
          </cell>
          <cell r="K3426" t="str">
            <v>HAMILTON</v>
          </cell>
          <cell r="L3426" t="str">
            <v>Hamilton</v>
          </cell>
          <cell r="V3426">
            <v>137000</v>
          </cell>
        </row>
        <row r="3427">
          <cell r="B3427">
            <v>1988</v>
          </cell>
          <cell r="K3427" t="str">
            <v>HARDIN</v>
          </cell>
          <cell r="L3427" t="str">
            <v>Hardin</v>
          </cell>
          <cell r="V3427">
            <v>141000</v>
          </cell>
        </row>
        <row r="3428">
          <cell r="B3428">
            <v>1988</v>
          </cell>
          <cell r="K3428" t="str">
            <v>JASPER</v>
          </cell>
          <cell r="L3428" t="str">
            <v>Jasper</v>
          </cell>
          <cell r="V3428">
            <v>151000</v>
          </cell>
        </row>
        <row r="3429">
          <cell r="B3429">
            <v>1988</v>
          </cell>
          <cell r="K3429" t="str">
            <v>MARSHALL</v>
          </cell>
          <cell r="L3429" t="str">
            <v>Marshall</v>
          </cell>
          <cell r="V3429">
            <v>138000</v>
          </cell>
        </row>
        <row r="3430">
          <cell r="B3430">
            <v>1988</v>
          </cell>
          <cell r="K3430" t="str">
            <v>POLK</v>
          </cell>
          <cell r="L3430" t="str">
            <v>Polk</v>
          </cell>
          <cell r="V3430">
            <v>86000</v>
          </cell>
        </row>
        <row r="3431">
          <cell r="B3431">
            <v>1988</v>
          </cell>
          <cell r="K3431" t="str">
            <v>POWESHIEK</v>
          </cell>
          <cell r="L3431" t="str">
            <v>Poweshiek</v>
          </cell>
          <cell r="V3431">
            <v>111000</v>
          </cell>
        </row>
        <row r="3432">
          <cell r="B3432">
            <v>1988</v>
          </cell>
          <cell r="K3432" t="str">
            <v>STORY</v>
          </cell>
          <cell r="L3432" t="str">
            <v>Story</v>
          </cell>
          <cell r="V3432">
            <v>144000</v>
          </cell>
        </row>
        <row r="3433">
          <cell r="B3433">
            <v>1988</v>
          </cell>
          <cell r="K3433" t="str">
            <v>TAMA</v>
          </cell>
          <cell r="L3433" t="str">
            <v>Tama</v>
          </cell>
          <cell r="V3433">
            <v>165000</v>
          </cell>
        </row>
        <row r="3434">
          <cell r="B3434">
            <v>1988</v>
          </cell>
          <cell r="K3434" t="str">
            <v>WEBSTER</v>
          </cell>
          <cell r="L3434" t="str">
            <v>Webster</v>
          </cell>
          <cell r="V3434">
            <v>153000</v>
          </cell>
        </row>
        <row r="3435">
          <cell r="B3435">
            <v>1988</v>
          </cell>
          <cell r="K3435" t="str">
            <v>BENTON</v>
          </cell>
          <cell r="L3435" t="str">
            <v>Benton</v>
          </cell>
          <cell r="V3435">
            <v>165000</v>
          </cell>
        </row>
        <row r="3436">
          <cell r="B3436">
            <v>1988</v>
          </cell>
          <cell r="K3436" t="str">
            <v>CEDAR</v>
          </cell>
          <cell r="L3436" t="str">
            <v>Cedar</v>
          </cell>
          <cell r="V3436">
            <v>154000</v>
          </cell>
        </row>
        <row r="3437">
          <cell r="B3437">
            <v>1988</v>
          </cell>
          <cell r="K3437" t="str">
            <v>CLINTON</v>
          </cell>
          <cell r="L3437" t="str">
            <v>Clinton</v>
          </cell>
          <cell r="V3437">
            <v>182000</v>
          </cell>
        </row>
        <row r="3438">
          <cell r="B3438">
            <v>1988</v>
          </cell>
          <cell r="K3438" t="str">
            <v>IOWA</v>
          </cell>
          <cell r="L3438" t="str">
            <v>Iowa</v>
          </cell>
          <cell r="V3438">
            <v>124000</v>
          </cell>
        </row>
        <row r="3439">
          <cell r="B3439">
            <v>1988</v>
          </cell>
          <cell r="K3439" t="str">
            <v>JACKSON</v>
          </cell>
          <cell r="L3439" t="str">
            <v>Jackson</v>
          </cell>
          <cell r="V3439">
            <v>96000</v>
          </cell>
        </row>
        <row r="3440">
          <cell r="B3440">
            <v>1988</v>
          </cell>
          <cell r="K3440" t="str">
            <v>JOHNSON</v>
          </cell>
          <cell r="L3440" t="str">
            <v>Johnson</v>
          </cell>
          <cell r="V3440">
            <v>116000</v>
          </cell>
        </row>
        <row r="3441">
          <cell r="B3441">
            <v>1988</v>
          </cell>
          <cell r="K3441" t="str">
            <v>JONES</v>
          </cell>
          <cell r="L3441" t="str">
            <v>Jones</v>
          </cell>
          <cell r="V3441">
            <v>131000</v>
          </cell>
        </row>
        <row r="3442">
          <cell r="B3442">
            <v>1988</v>
          </cell>
          <cell r="K3442" t="str">
            <v>LINN</v>
          </cell>
          <cell r="L3442" t="str">
            <v>Linn</v>
          </cell>
          <cell r="V3442">
            <v>135000</v>
          </cell>
        </row>
        <row r="3443">
          <cell r="B3443">
            <v>1988</v>
          </cell>
          <cell r="K3443" t="str">
            <v>MUSCATINE</v>
          </cell>
          <cell r="L3443" t="str">
            <v>Muscatine</v>
          </cell>
          <cell r="V3443">
            <v>90000</v>
          </cell>
        </row>
        <row r="3444">
          <cell r="B3444">
            <v>1988</v>
          </cell>
          <cell r="K3444" t="str">
            <v>SCOTT</v>
          </cell>
          <cell r="L3444" t="str">
            <v>Scott</v>
          </cell>
          <cell r="V3444">
            <v>117000</v>
          </cell>
        </row>
        <row r="3445">
          <cell r="B3445">
            <v>1988</v>
          </cell>
          <cell r="K3445" t="str">
            <v>BUTLER</v>
          </cell>
          <cell r="L3445" t="str">
            <v>Butler</v>
          </cell>
          <cell r="V3445">
            <v>138000</v>
          </cell>
        </row>
        <row r="3446">
          <cell r="B3446">
            <v>1988</v>
          </cell>
          <cell r="K3446" t="str">
            <v>CERRO GORDO</v>
          </cell>
          <cell r="L3446" t="str">
            <v>Cerro Gordo</v>
          </cell>
          <cell r="V3446">
            <v>141000</v>
          </cell>
        </row>
        <row r="3447">
          <cell r="B3447">
            <v>1988</v>
          </cell>
          <cell r="K3447" t="str">
            <v>FLOYD</v>
          </cell>
          <cell r="L3447" t="str">
            <v>Floyd</v>
          </cell>
          <cell r="V3447">
            <v>114000</v>
          </cell>
        </row>
        <row r="3448">
          <cell r="B3448">
            <v>1988</v>
          </cell>
          <cell r="K3448" t="str">
            <v>FRANKLIN</v>
          </cell>
          <cell r="L3448" t="str">
            <v>Franklin</v>
          </cell>
          <cell r="V3448">
            <v>148000</v>
          </cell>
        </row>
        <row r="3449">
          <cell r="B3449">
            <v>1988</v>
          </cell>
          <cell r="K3449" t="str">
            <v>HANCOCK</v>
          </cell>
          <cell r="L3449" t="str">
            <v>Hancock</v>
          </cell>
          <cell r="V3449">
            <v>148000</v>
          </cell>
        </row>
        <row r="3450">
          <cell r="B3450">
            <v>1988</v>
          </cell>
          <cell r="K3450" t="str">
            <v>HUMBOLDT</v>
          </cell>
          <cell r="L3450" t="str">
            <v>Humboldt</v>
          </cell>
          <cell r="V3450">
            <v>113000</v>
          </cell>
        </row>
        <row r="3451">
          <cell r="B3451">
            <v>1988</v>
          </cell>
          <cell r="K3451" t="str">
            <v>KOSSUTH</v>
          </cell>
          <cell r="L3451" t="str">
            <v>Kossuth</v>
          </cell>
          <cell r="V3451">
            <v>237000</v>
          </cell>
        </row>
        <row r="3452">
          <cell r="B3452">
            <v>1988</v>
          </cell>
          <cell r="K3452" t="str">
            <v>MITCHELL</v>
          </cell>
          <cell r="L3452" t="str">
            <v>Mitchell</v>
          </cell>
          <cell r="V3452">
            <v>109000</v>
          </cell>
        </row>
        <row r="3453">
          <cell r="B3453">
            <v>1988</v>
          </cell>
          <cell r="K3453" t="str">
            <v>WINNEBAGO</v>
          </cell>
          <cell r="L3453" t="str">
            <v>Winnebago</v>
          </cell>
          <cell r="V3453">
            <v>100000</v>
          </cell>
        </row>
        <row r="3454">
          <cell r="B3454">
            <v>1988</v>
          </cell>
          <cell r="K3454" t="str">
            <v>WORTH</v>
          </cell>
          <cell r="L3454" t="str">
            <v>Worth</v>
          </cell>
          <cell r="V3454">
            <v>92000</v>
          </cell>
        </row>
        <row r="3455">
          <cell r="B3455">
            <v>1988</v>
          </cell>
          <cell r="K3455" t="str">
            <v>WRIGHT</v>
          </cell>
          <cell r="L3455" t="str">
            <v>Wright</v>
          </cell>
          <cell r="V3455">
            <v>141000</v>
          </cell>
        </row>
        <row r="3456">
          <cell r="B3456">
            <v>1988</v>
          </cell>
          <cell r="K3456" t="str">
            <v>ALLAMAKEE</v>
          </cell>
          <cell r="L3456" t="str">
            <v>Allamakee</v>
          </cell>
          <cell r="V3456">
            <v>66000</v>
          </cell>
        </row>
        <row r="3457">
          <cell r="B3457">
            <v>1988</v>
          </cell>
          <cell r="K3457" t="str">
            <v>BLACK HAWK</v>
          </cell>
          <cell r="L3457" t="str">
            <v>Black Hawk</v>
          </cell>
          <cell r="V3457">
            <v>131000</v>
          </cell>
        </row>
        <row r="3458">
          <cell r="B3458">
            <v>1988</v>
          </cell>
          <cell r="K3458" t="str">
            <v>BREMER</v>
          </cell>
          <cell r="L3458" t="str">
            <v>Bremer</v>
          </cell>
          <cell r="V3458">
            <v>101000</v>
          </cell>
        </row>
        <row r="3459">
          <cell r="B3459">
            <v>1988</v>
          </cell>
          <cell r="K3459" t="str">
            <v>BUCHANAN</v>
          </cell>
          <cell r="L3459" t="str">
            <v>Buchanan</v>
          </cell>
          <cell r="V3459">
            <v>154000</v>
          </cell>
        </row>
        <row r="3460">
          <cell r="B3460">
            <v>1988</v>
          </cell>
          <cell r="K3460" t="str">
            <v>CHICKASAW</v>
          </cell>
          <cell r="L3460" t="str">
            <v>Chickasaw</v>
          </cell>
          <cell r="V3460">
            <v>112000</v>
          </cell>
        </row>
        <row r="3461">
          <cell r="B3461">
            <v>1988</v>
          </cell>
          <cell r="K3461" t="str">
            <v>CLAYTON</v>
          </cell>
          <cell r="L3461" t="str">
            <v>Clayton</v>
          </cell>
          <cell r="V3461">
            <v>135000</v>
          </cell>
        </row>
        <row r="3462">
          <cell r="B3462">
            <v>1988</v>
          </cell>
          <cell r="K3462" t="str">
            <v>DELAWARE</v>
          </cell>
          <cell r="L3462" t="str">
            <v>Delaware</v>
          </cell>
          <cell r="V3462">
            <v>158000</v>
          </cell>
        </row>
        <row r="3463">
          <cell r="B3463">
            <v>1988</v>
          </cell>
          <cell r="K3463" t="str">
            <v>DUBUQUE</v>
          </cell>
          <cell r="L3463" t="str">
            <v>Dubuque</v>
          </cell>
          <cell r="V3463">
            <v>116000</v>
          </cell>
        </row>
        <row r="3464">
          <cell r="B3464">
            <v>1988</v>
          </cell>
          <cell r="K3464" t="str">
            <v>FAYETTE</v>
          </cell>
          <cell r="L3464" t="str">
            <v>Fayette</v>
          </cell>
          <cell r="V3464">
            <v>169000</v>
          </cell>
        </row>
        <row r="3465">
          <cell r="B3465">
            <v>1988</v>
          </cell>
          <cell r="K3465" t="str">
            <v>HOWARD</v>
          </cell>
          <cell r="L3465" t="str">
            <v>Howard</v>
          </cell>
          <cell r="V3465">
            <v>95000</v>
          </cell>
        </row>
        <row r="3466">
          <cell r="B3466">
            <v>1988</v>
          </cell>
          <cell r="K3466" t="str">
            <v>WINNESHIEK</v>
          </cell>
          <cell r="L3466" t="str">
            <v>Winneshiek</v>
          </cell>
          <cell r="V3466">
            <v>115000</v>
          </cell>
        </row>
        <row r="3467">
          <cell r="B3467">
            <v>1988</v>
          </cell>
          <cell r="K3467" t="str">
            <v>BUENA VISTA</v>
          </cell>
          <cell r="L3467" t="str">
            <v>Buena Vista</v>
          </cell>
          <cell r="V3467">
            <v>140000</v>
          </cell>
        </row>
        <row r="3468">
          <cell r="B3468">
            <v>1988</v>
          </cell>
          <cell r="K3468" t="str">
            <v>CHEROKEE</v>
          </cell>
          <cell r="L3468" t="str">
            <v>Cherokee</v>
          </cell>
          <cell r="V3468">
            <v>127000</v>
          </cell>
        </row>
        <row r="3469">
          <cell r="B3469">
            <v>1988</v>
          </cell>
          <cell r="K3469" t="str">
            <v>CLAY</v>
          </cell>
          <cell r="L3469" t="str">
            <v>Clay</v>
          </cell>
          <cell r="V3469">
            <v>120000</v>
          </cell>
        </row>
        <row r="3470">
          <cell r="B3470">
            <v>1988</v>
          </cell>
          <cell r="K3470" t="str">
            <v>DICKINSON</v>
          </cell>
          <cell r="L3470" t="str">
            <v>Dickinson</v>
          </cell>
          <cell r="V3470">
            <v>80000</v>
          </cell>
        </row>
        <row r="3471">
          <cell r="B3471">
            <v>1988</v>
          </cell>
          <cell r="K3471" t="str">
            <v>EMMET</v>
          </cell>
          <cell r="L3471" t="str">
            <v>Emmet</v>
          </cell>
          <cell r="V3471">
            <v>94000</v>
          </cell>
        </row>
        <row r="3472">
          <cell r="B3472">
            <v>1988</v>
          </cell>
          <cell r="K3472" t="str">
            <v>LYON</v>
          </cell>
          <cell r="L3472" t="str">
            <v>Lyon</v>
          </cell>
          <cell r="V3472">
            <v>133000</v>
          </cell>
        </row>
        <row r="3473">
          <cell r="B3473">
            <v>1988</v>
          </cell>
          <cell r="K3473" t="str">
            <v>O BRIEN</v>
          </cell>
          <cell r="L3473" t="str">
            <v>O Brien</v>
          </cell>
          <cell r="V3473">
            <v>142000</v>
          </cell>
        </row>
        <row r="3474">
          <cell r="B3474">
            <v>1988</v>
          </cell>
          <cell r="K3474" t="str">
            <v>OSCEOLA</v>
          </cell>
          <cell r="L3474" t="str">
            <v>Osceola</v>
          </cell>
          <cell r="V3474">
            <v>96000</v>
          </cell>
        </row>
        <row r="3475">
          <cell r="B3475">
            <v>1988</v>
          </cell>
          <cell r="K3475" t="str">
            <v>PALO ALTO</v>
          </cell>
          <cell r="L3475" t="str">
            <v>Palo Alto</v>
          </cell>
          <cell r="V3475">
            <v>135000</v>
          </cell>
        </row>
        <row r="3476">
          <cell r="B3476">
            <v>1988</v>
          </cell>
          <cell r="K3476" t="str">
            <v>PLYMOUTH</v>
          </cell>
          <cell r="L3476" t="str">
            <v>Plymouth</v>
          </cell>
          <cell r="V3476">
            <v>195000</v>
          </cell>
        </row>
        <row r="3477">
          <cell r="B3477">
            <v>1988</v>
          </cell>
          <cell r="K3477" t="str">
            <v>POCAHONTAS</v>
          </cell>
          <cell r="L3477" t="str">
            <v>Pocahontas</v>
          </cell>
          <cell r="V3477">
            <v>140000</v>
          </cell>
        </row>
        <row r="3478">
          <cell r="B3478">
            <v>1988</v>
          </cell>
          <cell r="K3478" t="str">
            <v>SIOUX</v>
          </cell>
          <cell r="L3478" t="str">
            <v>Sioux</v>
          </cell>
          <cell r="V3478">
            <v>218000</v>
          </cell>
        </row>
        <row r="3479">
          <cell r="B3479">
            <v>1988</v>
          </cell>
          <cell r="K3479" t="str">
            <v>APPANOOSE</v>
          </cell>
          <cell r="L3479" t="str">
            <v>Appanoose</v>
          </cell>
          <cell r="V3479">
            <v>32000</v>
          </cell>
        </row>
        <row r="3480">
          <cell r="B3480">
            <v>1988</v>
          </cell>
          <cell r="K3480" t="str">
            <v>CLARKE</v>
          </cell>
          <cell r="L3480" t="str">
            <v>Clarke</v>
          </cell>
          <cell r="V3480">
            <v>40000</v>
          </cell>
        </row>
        <row r="3481">
          <cell r="B3481">
            <v>1988</v>
          </cell>
          <cell r="K3481" t="str">
            <v>DECATUR</v>
          </cell>
          <cell r="L3481" t="str">
            <v>Decatur</v>
          </cell>
          <cell r="V3481">
            <v>37000</v>
          </cell>
        </row>
        <row r="3482">
          <cell r="B3482">
            <v>1988</v>
          </cell>
          <cell r="K3482" t="str">
            <v>LUCAS</v>
          </cell>
          <cell r="L3482" t="str">
            <v>Lucas</v>
          </cell>
          <cell r="V3482">
            <v>33000</v>
          </cell>
        </row>
        <row r="3483">
          <cell r="B3483">
            <v>1988</v>
          </cell>
          <cell r="K3483" t="str">
            <v>MADISON</v>
          </cell>
          <cell r="L3483" t="str">
            <v>Madison</v>
          </cell>
          <cell r="V3483">
            <v>69000</v>
          </cell>
        </row>
        <row r="3484">
          <cell r="B3484">
            <v>1988</v>
          </cell>
          <cell r="K3484" t="str">
            <v>MARION</v>
          </cell>
          <cell r="L3484" t="str">
            <v>Marion</v>
          </cell>
          <cell r="V3484">
            <v>74000</v>
          </cell>
        </row>
        <row r="3485">
          <cell r="B3485">
            <v>1988</v>
          </cell>
          <cell r="K3485" t="str">
            <v>MONROE</v>
          </cell>
          <cell r="L3485" t="str">
            <v>Monroe</v>
          </cell>
          <cell r="V3485">
            <v>31000</v>
          </cell>
        </row>
        <row r="3486">
          <cell r="B3486">
            <v>1988</v>
          </cell>
          <cell r="K3486" t="str">
            <v>RINGGOLD</v>
          </cell>
          <cell r="L3486" t="str">
            <v>Ringgold</v>
          </cell>
          <cell r="V3486">
            <v>46000</v>
          </cell>
        </row>
        <row r="3487">
          <cell r="B3487">
            <v>1988</v>
          </cell>
          <cell r="K3487" t="str">
            <v>UNION</v>
          </cell>
          <cell r="L3487" t="str">
            <v>Union</v>
          </cell>
          <cell r="V3487">
            <v>46000</v>
          </cell>
        </row>
        <row r="3488">
          <cell r="B3488">
            <v>1988</v>
          </cell>
          <cell r="K3488" t="str">
            <v>WARREN</v>
          </cell>
          <cell r="L3488" t="str">
            <v>Warren</v>
          </cell>
          <cell r="V3488">
            <v>72000</v>
          </cell>
        </row>
        <row r="3489">
          <cell r="B3489">
            <v>1988</v>
          </cell>
          <cell r="K3489" t="str">
            <v>WAYNE</v>
          </cell>
          <cell r="L3489" t="str">
            <v>Wayne</v>
          </cell>
          <cell r="V3489">
            <v>48000</v>
          </cell>
        </row>
        <row r="3490">
          <cell r="B3490">
            <v>1988</v>
          </cell>
          <cell r="K3490" t="str">
            <v>DAVIS</v>
          </cell>
          <cell r="L3490" t="str">
            <v>Davis</v>
          </cell>
          <cell r="V3490">
            <v>43000</v>
          </cell>
        </row>
        <row r="3491">
          <cell r="B3491">
            <v>1988</v>
          </cell>
          <cell r="K3491" t="str">
            <v>DES MOINES</v>
          </cell>
          <cell r="L3491" t="str">
            <v>Des Moines</v>
          </cell>
          <cell r="V3491">
            <v>73000</v>
          </cell>
        </row>
        <row r="3492">
          <cell r="B3492">
            <v>1988</v>
          </cell>
          <cell r="K3492" t="str">
            <v>HENRY</v>
          </cell>
          <cell r="L3492" t="str">
            <v>Henry</v>
          </cell>
          <cell r="V3492">
            <v>84000</v>
          </cell>
        </row>
        <row r="3493">
          <cell r="B3493">
            <v>1988</v>
          </cell>
          <cell r="K3493" t="str">
            <v>JEFFERSON</v>
          </cell>
          <cell r="L3493" t="str">
            <v>Jefferson</v>
          </cell>
          <cell r="V3493">
            <v>68000</v>
          </cell>
        </row>
        <row r="3494">
          <cell r="B3494">
            <v>1988</v>
          </cell>
          <cell r="K3494" t="str">
            <v>KEOKUK</v>
          </cell>
          <cell r="L3494" t="str">
            <v>Keokuk</v>
          </cell>
          <cell r="V3494">
            <v>113000</v>
          </cell>
        </row>
        <row r="3495">
          <cell r="B3495">
            <v>1988</v>
          </cell>
          <cell r="K3495" t="str">
            <v>LEE</v>
          </cell>
          <cell r="L3495" t="str">
            <v>Lee</v>
          </cell>
          <cell r="V3495">
            <v>72000</v>
          </cell>
        </row>
        <row r="3496">
          <cell r="B3496">
            <v>1988</v>
          </cell>
          <cell r="K3496" t="str">
            <v>LOUISA</v>
          </cell>
          <cell r="L3496" t="str">
            <v>Louisa</v>
          </cell>
          <cell r="V3496">
            <v>84000</v>
          </cell>
        </row>
        <row r="3497">
          <cell r="B3497">
            <v>1988</v>
          </cell>
          <cell r="K3497" t="str">
            <v>MAHASKA</v>
          </cell>
          <cell r="L3497" t="str">
            <v>Mahaska</v>
          </cell>
          <cell r="V3497">
            <v>115000</v>
          </cell>
        </row>
        <row r="3498">
          <cell r="B3498">
            <v>1988</v>
          </cell>
          <cell r="K3498" t="str">
            <v>VAN BUREN</v>
          </cell>
          <cell r="L3498" t="str">
            <v>Van Buren</v>
          </cell>
          <cell r="V3498">
            <v>46000</v>
          </cell>
        </row>
        <row r="3499">
          <cell r="B3499">
            <v>1988</v>
          </cell>
          <cell r="K3499" t="str">
            <v>WAPELLO</v>
          </cell>
          <cell r="L3499" t="str">
            <v>Wapello</v>
          </cell>
          <cell r="V3499">
            <v>51000</v>
          </cell>
        </row>
        <row r="3500">
          <cell r="B3500">
            <v>1988</v>
          </cell>
          <cell r="K3500" t="str">
            <v>WASHINGTON</v>
          </cell>
          <cell r="L3500" t="str">
            <v>Washington</v>
          </cell>
          <cell r="V3500">
            <v>127000</v>
          </cell>
        </row>
        <row r="3501">
          <cell r="B3501">
            <v>1988</v>
          </cell>
          <cell r="K3501" t="str">
            <v>ADAIR</v>
          </cell>
          <cell r="L3501" t="str">
            <v>Adair</v>
          </cell>
          <cell r="V3501">
            <v>99000</v>
          </cell>
        </row>
        <row r="3502">
          <cell r="B3502">
            <v>1988</v>
          </cell>
          <cell r="K3502" t="str">
            <v>ADAMS</v>
          </cell>
          <cell r="L3502" t="str">
            <v>Adams</v>
          </cell>
          <cell r="V3502">
            <v>56000</v>
          </cell>
        </row>
        <row r="3503">
          <cell r="B3503">
            <v>1988</v>
          </cell>
          <cell r="K3503" t="str">
            <v>CASS</v>
          </cell>
          <cell r="L3503" t="str">
            <v>Cass</v>
          </cell>
          <cell r="V3503">
            <v>116000</v>
          </cell>
        </row>
        <row r="3504">
          <cell r="B3504">
            <v>1988</v>
          </cell>
          <cell r="K3504" t="str">
            <v>FREMONT</v>
          </cell>
          <cell r="L3504" t="str">
            <v>Fremont</v>
          </cell>
          <cell r="V3504">
            <v>100000</v>
          </cell>
        </row>
        <row r="3505">
          <cell r="B3505">
            <v>1988</v>
          </cell>
          <cell r="K3505" t="str">
            <v>MILLS</v>
          </cell>
          <cell r="L3505" t="str">
            <v>Mills</v>
          </cell>
          <cell r="V3505">
            <v>84000</v>
          </cell>
        </row>
        <row r="3506">
          <cell r="B3506">
            <v>1988</v>
          </cell>
          <cell r="K3506" t="str">
            <v>MONTGOMERY</v>
          </cell>
          <cell r="L3506" t="str">
            <v>Montgomery</v>
          </cell>
          <cell r="V3506">
            <v>79000</v>
          </cell>
        </row>
        <row r="3507">
          <cell r="B3507">
            <v>1988</v>
          </cell>
          <cell r="K3507" t="str">
            <v>PAGE</v>
          </cell>
          <cell r="L3507" t="str">
            <v>Page</v>
          </cell>
          <cell r="V3507">
            <v>88000</v>
          </cell>
        </row>
        <row r="3508">
          <cell r="B3508">
            <v>1988</v>
          </cell>
          <cell r="K3508" t="str">
            <v>POTTAWATTAMIE</v>
          </cell>
          <cell r="L3508" t="str">
            <v>Pottawattamie</v>
          </cell>
          <cell r="V3508">
            <v>206000</v>
          </cell>
        </row>
        <row r="3509">
          <cell r="B3509">
            <v>1988</v>
          </cell>
          <cell r="K3509" t="str">
            <v>TAYLOR</v>
          </cell>
          <cell r="L3509" t="str">
            <v>Taylor</v>
          </cell>
          <cell r="V3509">
            <v>63000</v>
          </cell>
        </row>
        <row r="3510">
          <cell r="B3510">
            <v>1988</v>
          </cell>
          <cell r="K3510" t="str">
            <v>AUDUBON</v>
          </cell>
          <cell r="L3510" t="str">
            <v>Audubon</v>
          </cell>
          <cell r="V3510">
            <v>100000</v>
          </cell>
        </row>
        <row r="3511">
          <cell r="B3511">
            <v>1988</v>
          </cell>
          <cell r="K3511" t="str">
            <v>CALHOUN</v>
          </cell>
          <cell r="L3511" t="str">
            <v>Calhoun</v>
          </cell>
          <cell r="V3511">
            <v>133000</v>
          </cell>
        </row>
        <row r="3512">
          <cell r="B3512">
            <v>1988</v>
          </cell>
          <cell r="K3512" t="str">
            <v>CARROLL</v>
          </cell>
          <cell r="L3512" t="str">
            <v>Carroll</v>
          </cell>
          <cell r="V3512">
            <v>141000</v>
          </cell>
        </row>
        <row r="3513">
          <cell r="B3513">
            <v>1988</v>
          </cell>
          <cell r="K3513" t="str">
            <v>CRAWFORD</v>
          </cell>
          <cell r="L3513" t="str">
            <v>Crawford</v>
          </cell>
          <cell r="V3513">
            <v>147000</v>
          </cell>
        </row>
        <row r="3514">
          <cell r="B3514">
            <v>1988</v>
          </cell>
          <cell r="K3514" t="str">
            <v>GREENE</v>
          </cell>
          <cell r="L3514" t="str">
            <v>Greene</v>
          </cell>
          <cell r="V3514">
            <v>125000</v>
          </cell>
        </row>
        <row r="3515">
          <cell r="B3515">
            <v>1988</v>
          </cell>
          <cell r="K3515" t="str">
            <v>GUTHRIE</v>
          </cell>
          <cell r="L3515" t="str">
            <v>Guthrie</v>
          </cell>
          <cell r="V3515">
            <v>98000</v>
          </cell>
        </row>
        <row r="3516">
          <cell r="B3516">
            <v>1988</v>
          </cell>
          <cell r="K3516" t="str">
            <v>HARRISON</v>
          </cell>
          <cell r="L3516" t="str">
            <v>Harrison</v>
          </cell>
          <cell r="V3516">
            <v>144000</v>
          </cell>
        </row>
        <row r="3517">
          <cell r="B3517">
            <v>1988</v>
          </cell>
          <cell r="K3517" t="str">
            <v>IDA</v>
          </cell>
          <cell r="L3517" t="str">
            <v>Ida</v>
          </cell>
          <cell r="V3517">
            <v>112000</v>
          </cell>
        </row>
        <row r="3518">
          <cell r="B3518">
            <v>1988</v>
          </cell>
          <cell r="K3518" t="str">
            <v>MONONA</v>
          </cell>
          <cell r="L3518" t="str">
            <v>Monona</v>
          </cell>
          <cell r="V3518">
            <v>146000</v>
          </cell>
        </row>
        <row r="3519">
          <cell r="B3519">
            <v>1988</v>
          </cell>
          <cell r="K3519" t="str">
            <v>SAC</v>
          </cell>
          <cell r="L3519" t="str">
            <v>Sac</v>
          </cell>
          <cell r="V3519">
            <v>136000</v>
          </cell>
        </row>
        <row r="3520">
          <cell r="B3520">
            <v>1988</v>
          </cell>
          <cell r="K3520" t="str">
            <v>SHELBY</v>
          </cell>
          <cell r="L3520" t="str">
            <v>Shelby</v>
          </cell>
          <cell r="V3520">
            <v>155000</v>
          </cell>
        </row>
        <row r="3521">
          <cell r="B3521">
            <v>1988</v>
          </cell>
          <cell r="K3521" t="str">
            <v>WOODBURY</v>
          </cell>
          <cell r="L3521" t="str">
            <v>Woodbury</v>
          </cell>
          <cell r="V3521">
            <v>191000</v>
          </cell>
        </row>
        <row r="3522">
          <cell r="B3522">
            <v>1987</v>
          </cell>
          <cell r="K3522" t="str">
            <v>BOONE</v>
          </cell>
          <cell r="L3522" t="str">
            <v>Boone</v>
          </cell>
          <cell r="V3522">
            <v>110000</v>
          </cell>
        </row>
        <row r="3523">
          <cell r="B3523">
            <v>1987</v>
          </cell>
          <cell r="K3523" t="str">
            <v>DALLAS</v>
          </cell>
          <cell r="L3523" t="str">
            <v>Dallas</v>
          </cell>
          <cell r="V3523">
            <v>110000</v>
          </cell>
        </row>
        <row r="3524">
          <cell r="B3524">
            <v>1987</v>
          </cell>
          <cell r="K3524" t="str">
            <v>GRUNDY</v>
          </cell>
          <cell r="L3524" t="str">
            <v>Grundy</v>
          </cell>
          <cell r="V3524">
            <v>131000</v>
          </cell>
        </row>
        <row r="3525">
          <cell r="B3525">
            <v>1987</v>
          </cell>
          <cell r="K3525" t="str">
            <v>HAMILTON</v>
          </cell>
          <cell r="L3525" t="str">
            <v>Hamilton</v>
          </cell>
          <cell r="V3525">
            <v>123000</v>
          </cell>
        </row>
        <row r="3526">
          <cell r="B3526">
            <v>1987</v>
          </cell>
          <cell r="K3526" t="str">
            <v>HARDIN</v>
          </cell>
          <cell r="L3526" t="str">
            <v>Hardin</v>
          </cell>
          <cell r="V3526">
            <v>137000</v>
          </cell>
        </row>
        <row r="3527">
          <cell r="B3527">
            <v>1987</v>
          </cell>
          <cell r="K3527" t="str">
            <v>JASPER</v>
          </cell>
          <cell r="L3527" t="str">
            <v>Jasper</v>
          </cell>
          <cell r="V3527">
            <v>141000</v>
          </cell>
        </row>
        <row r="3528">
          <cell r="B3528">
            <v>1987</v>
          </cell>
          <cell r="K3528" t="str">
            <v>MARSHALL</v>
          </cell>
          <cell r="L3528" t="str">
            <v>Marshall</v>
          </cell>
          <cell r="V3528">
            <v>129000</v>
          </cell>
        </row>
        <row r="3529">
          <cell r="B3529">
            <v>1987</v>
          </cell>
          <cell r="K3529" t="str">
            <v>POLK</v>
          </cell>
          <cell r="L3529" t="str">
            <v>Polk</v>
          </cell>
          <cell r="V3529">
            <v>79000</v>
          </cell>
        </row>
        <row r="3530">
          <cell r="B3530">
            <v>1987</v>
          </cell>
          <cell r="K3530" t="str">
            <v>POWESHIEK</v>
          </cell>
          <cell r="L3530" t="str">
            <v>Poweshiek</v>
          </cell>
          <cell r="V3530">
            <v>103000</v>
          </cell>
        </row>
        <row r="3531">
          <cell r="B3531">
            <v>1987</v>
          </cell>
          <cell r="K3531" t="str">
            <v>STORY</v>
          </cell>
          <cell r="L3531" t="str">
            <v>Story</v>
          </cell>
          <cell r="V3531">
            <v>125000</v>
          </cell>
        </row>
        <row r="3532">
          <cell r="B3532">
            <v>1987</v>
          </cell>
          <cell r="K3532" t="str">
            <v>TAMA</v>
          </cell>
          <cell r="L3532" t="str">
            <v>Tama</v>
          </cell>
          <cell r="V3532">
            <v>149000</v>
          </cell>
        </row>
        <row r="3533">
          <cell r="B3533">
            <v>1987</v>
          </cell>
          <cell r="K3533" t="str">
            <v>WEBSTER</v>
          </cell>
          <cell r="L3533" t="str">
            <v>Webster</v>
          </cell>
          <cell r="V3533">
            <v>134000</v>
          </cell>
        </row>
        <row r="3534">
          <cell r="B3534">
            <v>1987</v>
          </cell>
          <cell r="K3534" t="str">
            <v>BENTON</v>
          </cell>
          <cell r="L3534" t="str">
            <v>Benton</v>
          </cell>
          <cell r="V3534">
            <v>156000</v>
          </cell>
        </row>
        <row r="3535">
          <cell r="B3535">
            <v>1987</v>
          </cell>
          <cell r="K3535" t="str">
            <v>CEDAR</v>
          </cell>
          <cell r="L3535" t="str">
            <v>Cedar</v>
          </cell>
          <cell r="V3535">
            <v>136000</v>
          </cell>
        </row>
        <row r="3536">
          <cell r="B3536">
            <v>1987</v>
          </cell>
          <cell r="K3536" t="str">
            <v>CLINTON</v>
          </cell>
          <cell r="L3536" t="str">
            <v>Clinton</v>
          </cell>
          <cell r="V3536">
            <v>172000</v>
          </cell>
        </row>
        <row r="3537">
          <cell r="B3537">
            <v>1987</v>
          </cell>
          <cell r="K3537" t="str">
            <v>IOWA</v>
          </cell>
          <cell r="L3537" t="str">
            <v>Iowa</v>
          </cell>
          <cell r="V3537">
            <v>122000</v>
          </cell>
        </row>
        <row r="3538">
          <cell r="B3538">
            <v>1987</v>
          </cell>
          <cell r="K3538" t="str">
            <v>JACKSON</v>
          </cell>
          <cell r="L3538" t="str">
            <v>Jackson</v>
          </cell>
          <cell r="V3538">
            <v>90000</v>
          </cell>
        </row>
        <row r="3539">
          <cell r="B3539">
            <v>1987</v>
          </cell>
          <cell r="K3539" t="str">
            <v>JOHNSON</v>
          </cell>
          <cell r="L3539" t="str">
            <v>Johnson</v>
          </cell>
          <cell r="V3539">
            <v>108000</v>
          </cell>
        </row>
        <row r="3540">
          <cell r="B3540">
            <v>1987</v>
          </cell>
          <cell r="K3540" t="str">
            <v>JONES</v>
          </cell>
          <cell r="L3540" t="str">
            <v>Jones</v>
          </cell>
          <cell r="V3540">
            <v>126000</v>
          </cell>
        </row>
        <row r="3541">
          <cell r="B3541">
            <v>1987</v>
          </cell>
          <cell r="K3541" t="str">
            <v>LINN</v>
          </cell>
          <cell r="L3541" t="str">
            <v>Linn</v>
          </cell>
          <cell r="V3541">
            <v>123000</v>
          </cell>
        </row>
        <row r="3542">
          <cell r="B3542">
            <v>1987</v>
          </cell>
          <cell r="K3542" t="str">
            <v>MUSCATINE</v>
          </cell>
          <cell r="L3542" t="str">
            <v>Muscatine</v>
          </cell>
          <cell r="V3542">
            <v>88000</v>
          </cell>
        </row>
        <row r="3543">
          <cell r="B3543">
            <v>1987</v>
          </cell>
          <cell r="K3543" t="str">
            <v>SCOTT</v>
          </cell>
          <cell r="L3543" t="str">
            <v>Scott</v>
          </cell>
          <cell r="V3543">
            <v>109000</v>
          </cell>
        </row>
        <row r="3544">
          <cell r="B3544">
            <v>1987</v>
          </cell>
          <cell r="K3544" t="str">
            <v>BUTLER</v>
          </cell>
          <cell r="L3544" t="str">
            <v>Butler</v>
          </cell>
          <cell r="V3544">
            <v>129000</v>
          </cell>
        </row>
        <row r="3545">
          <cell r="B3545">
            <v>1987</v>
          </cell>
          <cell r="K3545" t="str">
            <v>CERRO GORDO</v>
          </cell>
          <cell r="L3545" t="str">
            <v>Cerro Gordo</v>
          </cell>
          <cell r="V3545">
            <v>123000</v>
          </cell>
        </row>
        <row r="3546">
          <cell r="B3546">
            <v>1987</v>
          </cell>
          <cell r="K3546" t="str">
            <v>FLOYD</v>
          </cell>
          <cell r="L3546" t="str">
            <v>Floyd</v>
          </cell>
          <cell r="V3546">
            <v>111000</v>
          </cell>
        </row>
        <row r="3547">
          <cell r="B3547">
            <v>1987</v>
          </cell>
          <cell r="K3547" t="str">
            <v>FRANKLIN</v>
          </cell>
          <cell r="L3547" t="str">
            <v>Franklin</v>
          </cell>
          <cell r="V3547">
            <v>133000</v>
          </cell>
        </row>
        <row r="3548">
          <cell r="B3548">
            <v>1987</v>
          </cell>
          <cell r="K3548" t="str">
            <v>HANCOCK</v>
          </cell>
          <cell r="L3548" t="str">
            <v>Hancock</v>
          </cell>
          <cell r="V3548">
            <v>129000</v>
          </cell>
        </row>
        <row r="3549">
          <cell r="B3549">
            <v>1987</v>
          </cell>
          <cell r="K3549" t="str">
            <v>HUMBOLDT</v>
          </cell>
          <cell r="L3549" t="str">
            <v>Humboldt</v>
          </cell>
          <cell r="V3549">
            <v>98000</v>
          </cell>
        </row>
        <row r="3550">
          <cell r="B3550">
            <v>1987</v>
          </cell>
          <cell r="K3550" t="str">
            <v>KOSSUTH</v>
          </cell>
          <cell r="L3550" t="str">
            <v>Kossuth</v>
          </cell>
          <cell r="V3550">
            <v>209000</v>
          </cell>
        </row>
        <row r="3551">
          <cell r="B3551">
            <v>1987</v>
          </cell>
          <cell r="K3551" t="str">
            <v>MITCHELL</v>
          </cell>
          <cell r="L3551" t="str">
            <v>Mitchell</v>
          </cell>
          <cell r="V3551">
            <v>103000</v>
          </cell>
        </row>
        <row r="3552">
          <cell r="B3552">
            <v>1987</v>
          </cell>
          <cell r="K3552" t="str">
            <v>WINNEBAGO</v>
          </cell>
          <cell r="L3552" t="str">
            <v>Winnebago</v>
          </cell>
          <cell r="V3552">
            <v>90000</v>
          </cell>
        </row>
        <row r="3553">
          <cell r="B3553">
            <v>1987</v>
          </cell>
          <cell r="K3553" t="str">
            <v>WORTH</v>
          </cell>
          <cell r="L3553" t="str">
            <v>Worth</v>
          </cell>
          <cell r="V3553">
            <v>82000</v>
          </cell>
        </row>
        <row r="3554">
          <cell r="B3554">
            <v>1987</v>
          </cell>
          <cell r="K3554" t="str">
            <v>WRIGHT</v>
          </cell>
          <cell r="L3554" t="str">
            <v>Wright</v>
          </cell>
          <cell r="V3554">
            <v>121000</v>
          </cell>
        </row>
        <row r="3555">
          <cell r="B3555">
            <v>1987</v>
          </cell>
          <cell r="K3555" t="str">
            <v>ALLAMAKEE</v>
          </cell>
          <cell r="L3555" t="str">
            <v>Allamakee</v>
          </cell>
          <cell r="V3555">
            <v>67000</v>
          </cell>
        </row>
        <row r="3556">
          <cell r="B3556">
            <v>1987</v>
          </cell>
          <cell r="K3556" t="str">
            <v>BLACK HAWK</v>
          </cell>
          <cell r="L3556" t="str">
            <v>Black Hawk</v>
          </cell>
          <cell r="V3556">
            <v>122000</v>
          </cell>
        </row>
        <row r="3557">
          <cell r="B3557">
            <v>1987</v>
          </cell>
          <cell r="K3557" t="str">
            <v>BREMER</v>
          </cell>
          <cell r="L3557" t="str">
            <v>Bremer</v>
          </cell>
          <cell r="V3557">
            <v>92000</v>
          </cell>
        </row>
        <row r="3558">
          <cell r="B3558">
            <v>1987</v>
          </cell>
          <cell r="K3558" t="str">
            <v>BUCHANAN</v>
          </cell>
          <cell r="L3558" t="str">
            <v>Buchanan</v>
          </cell>
          <cell r="V3558">
            <v>145000</v>
          </cell>
        </row>
        <row r="3559">
          <cell r="B3559">
            <v>1987</v>
          </cell>
          <cell r="K3559" t="str">
            <v>CHICKASAW</v>
          </cell>
          <cell r="L3559" t="str">
            <v>Chickasaw</v>
          </cell>
          <cell r="V3559">
            <v>109000</v>
          </cell>
        </row>
        <row r="3560">
          <cell r="B3560">
            <v>1987</v>
          </cell>
          <cell r="K3560" t="str">
            <v>CLAYTON</v>
          </cell>
          <cell r="L3560" t="str">
            <v>Clayton</v>
          </cell>
          <cell r="V3560">
            <v>141000</v>
          </cell>
        </row>
        <row r="3561">
          <cell r="B3561">
            <v>1987</v>
          </cell>
          <cell r="K3561" t="str">
            <v>DELAWARE</v>
          </cell>
          <cell r="L3561" t="str">
            <v>Delaware</v>
          </cell>
          <cell r="V3561">
            <v>152000</v>
          </cell>
        </row>
        <row r="3562">
          <cell r="B3562">
            <v>1987</v>
          </cell>
          <cell r="K3562" t="str">
            <v>DUBUQUE</v>
          </cell>
          <cell r="L3562" t="str">
            <v>Dubuque</v>
          </cell>
          <cell r="V3562">
            <v>111000</v>
          </cell>
        </row>
        <row r="3563">
          <cell r="B3563">
            <v>1987</v>
          </cell>
          <cell r="K3563" t="str">
            <v>FAYETTE</v>
          </cell>
          <cell r="L3563" t="str">
            <v>Fayette</v>
          </cell>
          <cell r="V3563">
            <v>151000</v>
          </cell>
        </row>
        <row r="3564">
          <cell r="B3564">
            <v>1987</v>
          </cell>
          <cell r="K3564" t="str">
            <v>HOWARD</v>
          </cell>
          <cell r="L3564" t="str">
            <v>Howard</v>
          </cell>
          <cell r="V3564">
            <v>87000</v>
          </cell>
        </row>
        <row r="3565">
          <cell r="B3565">
            <v>1987</v>
          </cell>
          <cell r="K3565" t="str">
            <v>WINNESHIEK</v>
          </cell>
          <cell r="L3565" t="str">
            <v>Winneshiek</v>
          </cell>
          <cell r="V3565">
            <v>118000</v>
          </cell>
        </row>
        <row r="3566">
          <cell r="B3566">
            <v>1987</v>
          </cell>
          <cell r="K3566" t="str">
            <v>BUENA VISTA</v>
          </cell>
          <cell r="L3566" t="str">
            <v>Buena Vista</v>
          </cell>
          <cell r="V3566">
            <v>124000</v>
          </cell>
        </row>
        <row r="3567">
          <cell r="B3567">
            <v>1987</v>
          </cell>
          <cell r="K3567" t="str">
            <v>CHEROKEE</v>
          </cell>
          <cell r="L3567" t="str">
            <v>Cherokee</v>
          </cell>
          <cell r="V3567">
            <v>110000</v>
          </cell>
        </row>
        <row r="3568">
          <cell r="B3568">
            <v>1987</v>
          </cell>
          <cell r="K3568" t="str">
            <v>CLAY</v>
          </cell>
          <cell r="L3568" t="str">
            <v>Clay</v>
          </cell>
          <cell r="V3568">
            <v>105000</v>
          </cell>
        </row>
        <row r="3569">
          <cell r="B3569">
            <v>1987</v>
          </cell>
          <cell r="K3569" t="str">
            <v>DICKINSON</v>
          </cell>
          <cell r="L3569" t="str">
            <v>Dickinson</v>
          </cell>
          <cell r="V3569">
            <v>70000</v>
          </cell>
        </row>
        <row r="3570">
          <cell r="B3570">
            <v>1987</v>
          </cell>
          <cell r="K3570" t="str">
            <v>EMMET</v>
          </cell>
          <cell r="L3570" t="str">
            <v>Emmet</v>
          </cell>
          <cell r="V3570">
            <v>81000</v>
          </cell>
        </row>
        <row r="3571">
          <cell r="B3571">
            <v>1987</v>
          </cell>
          <cell r="K3571" t="str">
            <v>LYON</v>
          </cell>
          <cell r="L3571" t="str">
            <v>Lyon</v>
          </cell>
          <cell r="V3571">
            <v>126000</v>
          </cell>
        </row>
        <row r="3572">
          <cell r="B3572">
            <v>1987</v>
          </cell>
          <cell r="K3572" t="str">
            <v>O BRIEN</v>
          </cell>
          <cell r="L3572" t="str">
            <v>O Brien</v>
          </cell>
          <cell r="V3572">
            <v>128000</v>
          </cell>
        </row>
        <row r="3573">
          <cell r="B3573">
            <v>1987</v>
          </cell>
          <cell r="K3573" t="str">
            <v>OSCEOLA</v>
          </cell>
          <cell r="L3573" t="str">
            <v>Osceola</v>
          </cell>
          <cell r="V3573">
            <v>82000</v>
          </cell>
        </row>
        <row r="3574">
          <cell r="B3574">
            <v>1987</v>
          </cell>
          <cell r="K3574" t="str">
            <v>PALO ALTO</v>
          </cell>
          <cell r="L3574" t="str">
            <v>Palo Alto</v>
          </cell>
          <cell r="V3574">
            <v>126000</v>
          </cell>
        </row>
        <row r="3575">
          <cell r="B3575">
            <v>1987</v>
          </cell>
          <cell r="K3575" t="str">
            <v>PLYMOUTH</v>
          </cell>
          <cell r="L3575" t="str">
            <v>Plymouth</v>
          </cell>
          <cell r="V3575">
            <v>192000</v>
          </cell>
        </row>
        <row r="3576">
          <cell r="B3576">
            <v>1987</v>
          </cell>
          <cell r="K3576" t="str">
            <v>POCAHONTAS</v>
          </cell>
          <cell r="L3576" t="str">
            <v>Pocahontas</v>
          </cell>
          <cell r="V3576">
            <v>124000</v>
          </cell>
        </row>
        <row r="3577">
          <cell r="B3577">
            <v>1987</v>
          </cell>
          <cell r="K3577" t="str">
            <v>SIOUX</v>
          </cell>
          <cell r="L3577" t="str">
            <v>Sioux</v>
          </cell>
          <cell r="V3577">
            <v>198000</v>
          </cell>
        </row>
        <row r="3578">
          <cell r="B3578">
            <v>1987</v>
          </cell>
          <cell r="K3578" t="str">
            <v>APPANOOSE</v>
          </cell>
          <cell r="L3578" t="str">
            <v>Appanoose</v>
          </cell>
          <cell r="V3578">
            <v>27000</v>
          </cell>
        </row>
        <row r="3579">
          <cell r="B3579">
            <v>1987</v>
          </cell>
          <cell r="K3579" t="str">
            <v>CLARKE</v>
          </cell>
          <cell r="L3579" t="str">
            <v>Clarke</v>
          </cell>
          <cell r="V3579">
            <v>38000</v>
          </cell>
        </row>
        <row r="3580">
          <cell r="B3580">
            <v>1987</v>
          </cell>
          <cell r="K3580" t="str">
            <v>DECATUR</v>
          </cell>
          <cell r="L3580" t="str">
            <v>Decatur</v>
          </cell>
          <cell r="V3580">
            <v>38000</v>
          </cell>
        </row>
        <row r="3581">
          <cell r="B3581">
            <v>1987</v>
          </cell>
          <cell r="K3581" t="str">
            <v>LUCAS</v>
          </cell>
          <cell r="L3581" t="str">
            <v>Lucas</v>
          </cell>
          <cell r="V3581">
            <v>31000</v>
          </cell>
        </row>
        <row r="3582">
          <cell r="B3582">
            <v>1987</v>
          </cell>
          <cell r="K3582" t="str">
            <v>MADISON</v>
          </cell>
          <cell r="L3582" t="str">
            <v>Madison</v>
          </cell>
          <cell r="V3582">
            <v>63000</v>
          </cell>
        </row>
        <row r="3583">
          <cell r="B3583">
            <v>1987</v>
          </cell>
          <cell r="K3583" t="str">
            <v>MARION</v>
          </cell>
          <cell r="L3583" t="str">
            <v>Marion</v>
          </cell>
          <cell r="V3583">
            <v>70000</v>
          </cell>
        </row>
        <row r="3584">
          <cell r="B3584">
            <v>1987</v>
          </cell>
          <cell r="K3584" t="str">
            <v>MONROE</v>
          </cell>
          <cell r="L3584" t="str">
            <v>Monroe</v>
          </cell>
          <cell r="V3584">
            <v>27000</v>
          </cell>
        </row>
        <row r="3585">
          <cell r="B3585">
            <v>1987</v>
          </cell>
          <cell r="K3585" t="str">
            <v>RINGGOLD</v>
          </cell>
          <cell r="L3585" t="str">
            <v>Ringgold</v>
          </cell>
          <cell r="V3585">
            <v>41000</v>
          </cell>
        </row>
        <row r="3586">
          <cell r="B3586">
            <v>1987</v>
          </cell>
          <cell r="K3586" t="str">
            <v>UNION</v>
          </cell>
          <cell r="L3586" t="str">
            <v>Union</v>
          </cell>
          <cell r="V3586">
            <v>40000</v>
          </cell>
        </row>
        <row r="3587">
          <cell r="B3587">
            <v>1987</v>
          </cell>
          <cell r="K3587" t="str">
            <v>WARREN</v>
          </cell>
          <cell r="L3587" t="str">
            <v>Warren</v>
          </cell>
          <cell r="V3587">
            <v>69000</v>
          </cell>
        </row>
        <row r="3588">
          <cell r="B3588">
            <v>1987</v>
          </cell>
          <cell r="K3588" t="str">
            <v>WAYNE</v>
          </cell>
          <cell r="L3588" t="str">
            <v>Wayne</v>
          </cell>
          <cell r="V3588">
            <v>46000</v>
          </cell>
        </row>
        <row r="3589">
          <cell r="B3589">
            <v>1987</v>
          </cell>
          <cell r="K3589" t="str">
            <v>DAVIS</v>
          </cell>
          <cell r="L3589" t="str">
            <v>Davis</v>
          </cell>
          <cell r="V3589">
            <v>43000</v>
          </cell>
        </row>
        <row r="3590">
          <cell r="B3590">
            <v>1987</v>
          </cell>
          <cell r="K3590" t="str">
            <v>DES MOINES</v>
          </cell>
          <cell r="L3590" t="str">
            <v>Des Moines</v>
          </cell>
          <cell r="V3590">
            <v>70000</v>
          </cell>
        </row>
        <row r="3591">
          <cell r="B3591">
            <v>1987</v>
          </cell>
          <cell r="K3591" t="str">
            <v>HENRY</v>
          </cell>
          <cell r="L3591" t="str">
            <v>Henry</v>
          </cell>
          <cell r="V3591">
            <v>76000</v>
          </cell>
        </row>
        <row r="3592">
          <cell r="B3592">
            <v>1987</v>
          </cell>
          <cell r="K3592" t="str">
            <v>JEFFERSON</v>
          </cell>
          <cell r="L3592" t="str">
            <v>Jefferson</v>
          </cell>
          <cell r="V3592">
            <v>69000</v>
          </cell>
        </row>
        <row r="3593">
          <cell r="B3593">
            <v>1987</v>
          </cell>
          <cell r="K3593" t="str">
            <v>KEOKUK</v>
          </cell>
          <cell r="L3593" t="str">
            <v>Keokuk</v>
          </cell>
          <cell r="V3593">
            <v>106000</v>
          </cell>
        </row>
        <row r="3594">
          <cell r="B3594">
            <v>1987</v>
          </cell>
          <cell r="K3594" t="str">
            <v>LEE</v>
          </cell>
          <cell r="L3594" t="str">
            <v>Lee</v>
          </cell>
          <cell r="V3594">
            <v>74000</v>
          </cell>
        </row>
        <row r="3595">
          <cell r="B3595">
            <v>1987</v>
          </cell>
          <cell r="K3595" t="str">
            <v>LOUISA</v>
          </cell>
          <cell r="L3595" t="str">
            <v>Louisa</v>
          </cell>
          <cell r="V3595">
            <v>77000</v>
          </cell>
        </row>
        <row r="3596">
          <cell r="B3596">
            <v>1987</v>
          </cell>
          <cell r="K3596" t="str">
            <v>MAHASKA</v>
          </cell>
          <cell r="L3596" t="str">
            <v>Mahaska</v>
          </cell>
          <cell r="V3596">
            <v>106000</v>
          </cell>
        </row>
        <row r="3597">
          <cell r="B3597">
            <v>1987</v>
          </cell>
          <cell r="K3597" t="str">
            <v>VAN BUREN</v>
          </cell>
          <cell r="L3597" t="str">
            <v>Van Buren</v>
          </cell>
          <cell r="V3597">
            <v>45000</v>
          </cell>
        </row>
        <row r="3598">
          <cell r="B3598">
            <v>1987</v>
          </cell>
          <cell r="K3598" t="str">
            <v>WAPELLO</v>
          </cell>
          <cell r="L3598" t="str">
            <v>Wapello</v>
          </cell>
          <cell r="V3598">
            <v>49000</v>
          </cell>
        </row>
        <row r="3599">
          <cell r="B3599">
            <v>1987</v>
          </cell>
          <cell r="K3599" t="str">
            <v>WASHINGTON</v>
          </cell>
          <cell r="L3599" t="str">
            <v>Washington</v>
          </cell>
          <cell r="V3599">
            <v>121000</v>
          </cell>
        </row>
        <row r="3600">
          <cell r="B3600">
            <v>1987</v>
          </cell>
          <cell r="K3600" t="str">
            <v>ADAIR</v>
          </cell>
          <cell r="L3600" t="str">
            <v>Adair</v>
          </cell>
          <cell r="V3600">
            <v>91000</v>
          </cell>
        </row>
        <row r="3601">
          <cell r="B3601">
            <v>1987</v>
          </cell>
          <cell r="K3601" t="str">
            <v>ADAMS</v>
          </cell>
          <cell r="L3601" t="str">
            <v>Adams</v>
          </cell>
          <cell r="V3601">
            <v>51000</v>
          </cell>
        </row>
        <row r="3602">
          <cell r="B3602">
            <v>1987</v>
          </cell>
          <cell r="K3602" t="str">
            <v>CASS</v>
          </cell>
          <cell r="L3602" t="str">
            <v>Cass</v>
          </cell>
          <cell r="V3602">
            <v>104000</v>
          </cell>
        </row>
        <row r="3603">
          <cell r="B3603">
            <v>1987</v>
          </cell>
          <cell r="K3603" t="str">
            <v>FREMONT</v>
          </cell>
          <cell r="L3603" t="str">
            <v>Fremont</v>
          </cell>
          <cell r="V3603">
            <v>92000</v>
          </cell>
        </row>
        <row r="3604">
          <cell r="B3604">
            <v>1987</v>
          </cell>
          <cell r="K3604" t="str">
            <v>MILLS</v>
          </cell>
          <cell r="L3604" t="str">
            <v>Mills</v>
          </cell>
          <cell r="V3604">
            <v>82000</v>
          </cell>
        </row>
        <row r="3605">
          <cell r="B3605">
            <v>1987</v>
          </cell>
          <cell r="K3605" t="str">
            <v>MONTGOMERY</v>
          </cell>
          <cell r="L3605" t="str">
            <v>Montgomery</v>
          </cell>
          <cell r="V3605">
            <v>72000</v>
          </cell>
        </row>
        <row r="3606">
          <cell r="B3606">
            <v>1987</v>
          </cell>
          <cell r="K3606" t="str">
            <v>PAGE</v>
          </cell>
          <cell r="L3606" t="str">
            <v>Page</v>
          </cell>
          <cell r="V3606">
            <v>84000</v>
          </cell>
        </row>
        <row r="3607">
          <cell r="B3607">
            <v>1987</v>
          </cell>
          <cell r="K3607" t="str">
            <v>POTTAWATTAMIE</v>
          </cell>
          <cell r="L3607" t="str">
            <v>Pottawattamie</v>
          </cell>
          <cell r="V3607">
            <v>202000</v>
          </cell>
        </row>
        <row r="3608">
          <cell r="B3608">
            <v>1987</v>
          </cell>
          <cell r="K3608" t="str">
            <v>TAYLOR</v>
          </cell>
          <cell r="L3608" t="str">
            <v>Taylor</v>
          </cell>
          <cell r="V3608">
            <v>58000</v>
          </cell>
        </row>
        <row r="3609">
          <cell r="B3609">
            <v>1987</v>
          </cell>
          <cell r="K3609" t="str">
            <v>AUDUBON</v>
          </cell>
          <cell r="L3609" t="str">
            <v>Audubon</v>
          </cell>
          <cell r="V3609">
            <v>95000</v>
          </cell>
        </row>
        <row r="3610">
          <cell r="B3610">
            <v>1987</v>
          </cell>
          <cell r="K3610" t="str">
            <v>CALHOUN</v>
          </cell>
          <cell r="L3610" t="str">
            <v>Calhoun</v>
          </cell>
          <cell r="V3610">
            <v>119000</v>
          </cell>
        </row>
        <row r="3611">
          <cell r="B3611">
            <v>1987</v>
          </cell>
          <cell r="K3611" t="str">
            <v>CARROLL</v>
          </cell>
          <cell r="L3611" t="str">
            <v>Carroll</v>
          </cell>
          <cell r="V3611">
            <v>131000</v>
          </cell>
        </row>
        <row r="3612">
          <cell r="B3612">
            <v>1987</v>
          </cell>
          <cell r="K3612" t="str">
            <v>CRAWFORD</v>
          </cell>
          <cell r="L3612" t="str">
            <v>Crawford</v>
          </cell>
          <cell r="V3612">
            <v>129000</v>
          </cell>
        </row>
        <row r="3613">
          <cell r="B3613">
            <v>1987</v>
          </cell>
          <cell r="K3613" t="str">
            <v>GREENE</v>
          </cell>
          <cell r="L3613" t="str">
            <v>Greene</v>
          </cell>
          <cell r="V3613">
            <v>110000</v>
          </cell>
        </row>
        <row r="3614">
          <cell r="B3614">
            <v>1987</v>
          </cell>
          <cell r="K3614" t="str">
            <v>GUTHRIE</v>
          </cell>
          <cell r="L3614" t="str">
            <v>Guthrie</v>
          </cell>
          <cell r="V3614">
            <v>88000</v>
          </cell>
        </row>
        <row r="3615">
          <cell r="B3615">
            <v>1987</v>
          </cell>
          <cell r="K3615" t="str">
            <v>HARRISON</v>
          </cell>
          <cell r="L3615" t="str">
            <v>Harrison</v>
          </cell>
          <cell r="V3615">
            <v>129000</v>
          </cell>
        </row>
        <row r="3616">
          <cell r="B3616">
            <v>1987</v>
          </cell>
          <cell r="K3616" t="str">
            <v>IDA</v>
          </cell>
          <cell r="L3616" t="str">
            <v>Ida</v>
          </cell>
          <cell r="V3616">
            <v>98000</v>
          </cell>
        </row>
        <row r="3617">
          <cell r="B3617">
            <v>1987</v>
          </cell>
          <cell r="K3617" t="str">
            <v>MONONA</v>
          </cell>
          <cell r="L3617" t="str">
            <v>Monona</v>
          </cell>
          <cell r="V3617">
            <v>130000</v>
          </cell>
        </row>
        <row r="3618">
          <cell r="B3618">
            <v>1987</v>
          </cell>
          <cell r="K3618" t="str">
            <v>SAC</v>
          </cell>
          <cell r="L3618" t="str">
            <v>Sac</v>
          </cell>
          <cell r="V3618">
            <v>118000</v>
          </cell>
        </row>
        <row r="3619">
          <cell r="B3619">
            <v>1987</v>
          </cell>
          <cell r="K3619" t="str">
            <v>SHELBY</v>
          </cell>
          <cell r="L3619" t="str">
            <v>Shelby</v>
          </cell>
          <cell r="V3619">
            <v>136000</v>
          </cell>
        </row>
        <row r="3620">
          <cell r="B3620">
            <v>1987</v>
          </cell>
          <cell r="K3620" t="str">
            <v>WOODBURY</v>
          </cell>
          <cell r="L3620" t="str">
            <v>Woodbury</v>
          </cell>
          <cell r="V3620">
            <v>165000</v>
          </cell>
        </row>
        <row r="3621">
          <cell r="B3621">
            <v>1986</v>
          </cell>
          <cell r="K3621" t="str">
            <v>BOONE</v>
          </cell>
          <cell r="L3621" t="str">
            <v>Boone</v>
          </cell>
          <cell r="V3621">
            <v>122000</v>
          </cell>
        </row>
        <row r="3622">
          <cell r="B3622">
            <v>1986</v>
          </cell>
          <cell r="K3622" t="str">
            <v>DALLAS</v>
          </cell>
          <cell r="L3622" t="str">
            <v>Dallas</v>
          </cell>
          <cell r="V3622">
            <v>127000</v>
          </cell>
        </row>
        <row r="3623">
          <cell r="B3623">
            <v>1986</v>
          </cell>
          <cell r="K3623" t="str">
            <v>GRUNDY</v>
          </cell>
          <cell r="L3623" t="str">
            <v>Grundy</v>
          </cell>
          <cell r="V3623">
            <v>145000</v>
          </cell>
        </row>
        <row r="3624">
          <cell r="B3624">
            <v>1986</v>
          </cell>
          <cell r="K3624" t="str">
            <v>HAMILTON</v>
          </cell>
          <cell r="L3624" t="str">
            <v>Hamilton</v>
          </cell>
          <cell r="V3624">
            <v>135000</v>
          </cell>
        </row>
        <row r="3625">
          <cell r="B3625">
            <v>1986</v>
          </cell>
          <cell r="K3625" t="str">
            <v>HARDIN</v>
          </cell>
          <cell r="L3625" t="str">
            <v>Hardin</v>
          </cell>
          <cell r="V3625">
            <v>159000</v>
          </cell>
        </row>
        <row r="3626">
          <cell r="B3626">
            <v>1986</v>
          </cell>
          <cell r="K3626" t="str">
            <v>JASPER</v>
          </cell>
          <cell r="L3626" t="str">
            <v>Jasper</v>
          </cell>
          <cell r="V3626">
            <v>158000</v>
          </cell>
        </row>
        <row r="3627">
          <cell r="B3627">
            <v>1986</v>
          </cell>
          <cell r="K3627" t="str">
            <v>MARSHALL</v>
          </cell>
          <cell r="L3627" t="str">
            <v>Marshall</v>
          </cell>
          <cell r="V3627">
            <v>144000</v>
          </cell>
        </row>
        <row r="3628">
          <cell r="B3628">
            <v>1986</v>
          </cell>
          <cell r="K3628" t="str">
            <v>POLK</v>
          </cell>
          <cell r="L3628" t="str">
            <v>Polk</v>
          </cell>
          <cell r="V3628">
            <v>88000</v>
          </cell>
        </row>
        <row r="3629">
          <cell r="B3629">
            <v>1986</v>
          </cell>
          <cell r="K3629" t="str">
            <v>POWESHIEK</v>
          </cell>
          <cell r="L3629" t="str">
            <v>Poweshiek</v>
          </cell>
          <cell r="V3629">
            <v>114000</v>
          </cell>
        </row>
        <row r="3630">
          <cell r="B3630">
            <v>1986</v>
          </cell>
          <cell r="K3630" t="str">
            <v>STORY</v>
          </cell>
          <cell r="L3630" t="str">
            <v>Story</v>
          </cell>
          <cell r="V3630">
            <v>151000</v>
          </cell>
        </row>
        <row r="3631">
          <cell r="B3631">
            <v>1986</v>
          </cell>
          <cell r="K3631" t="str">
            <v>TAMA</v>
          </cell>
          <cell r="L3631" t="str">
            <v>Tama</v>
          </cell>
          <cell r="V3631">
            <v>172000</v>
          </cell>
        </row>
        <row r="3632">
          <cell r="B3632">
            <v>1986</v>
          </cell>
          <cell r="K3632" t="str">
            <v>WEBSTER</v>
          </cell>
          <cell r="L3632" t="str">
            <v>Webster</v>
          </cell>
          <cell r="V3632">
            <v>151000</v>
          </cell>
        </row>
        <row r="3633">
          <cell r="B3633">
            <v>1986</v>
          </cell>
          <cell r="K3633" t="str">
            <v>BENTON</v>
          </cell>
          <cell r="L3633" t="str">
            <v>Benton</v>
          </cell>
          <cell r="V3633">
            <v>180000</v>
          </cell>
        </row>
        <row r="3634">
          <cell r="B3634">
            <v>1986</v>
          </cell>
          <cell r="K3634" t="str">
            <v>CEDAR</v>
          </cell>
          <cell r="L3634" t="str">
            <v>Cedar</v>
          </cell>
          <cell r="V3634">
            <v>147000</v>
          </cell>
        </row>
        <row r="3635">
          <cell r="B3635">
            <v>1986</v>
          </cell>
          <cell r="K3635" t="str">
            <v>CLINTON</v>
          </cell>
          <cell r="L3635" t="str">
            <v>Clinton</v>
          </cell>
          <cell r="V3635">
            <v>196000</v>
          </cell>
        </row>
        <row r="3636">
          <cell r="B3636">
            <v>1986</v>
          </cell>
          <cell r="K3636" t="str">
            <v>IOWA</v>
          </cell>
          <cell r="L3636" t="str">
            <v>Iowa</v>
          </cell>
          <cell r="V3636">
            <v>140000</v>
          </cell>
        </row>
        <row r="3637">
          <cell r="B3637">
            <v>1986</v>
          </cell>
          <cell r="K3637" t="str">
            <v>JACKSON</v>
          </cell>
          <cell r="L3637" t="str">
            <v>Jackson</v>
          </cell>
          <cell r="V3637">
            <v>107000</v>
          </cell>
        </row>
        <row r="3638">
          <cell r="B3638">
            <v>1986</v>
          </cell>
          <cell r="K3638" t="str">
            <v>JOHNSON</v>
          </cell>
          <cell r="L3638" t="str">
            <v>Johnson</v>
          </cell>
          <cell r="V3638">
            <v>127000</v>
          </cell>
        </row>
        <row r="3639">
          <cell r="B3639">
            <v>1986</v>
          </cell>
          <cell r="K3639" t="str">
            <v>JONES</v>
          </cell>
          <cell r="L3639" t="str">
            <v>Jones</v>
          </cell>
          <cell r="V3639">
            <v>150000</v>
          </cell>
        </row>
        <row r="3640">
          <cell r="B3640">
            <v>1986</v>
          </cell>
          <cell r="K3640" t="str">
            <v>LINN</v>
          </cell>
          <cell r="L3640" t="str">
            <v>Linn</v>
          </cell>
          <cell r="V3640">
            <v>137000</v>
          </cell>
        </row>
        <row r="3641">
          <cell r="B3641">
            <v>1986</v>
          </cell>
          <cell r="K3641" t="str">
            <v>MUSCATINE</v>
          </cell>
          <cell r="L3641" t="str">
            <v>Muscatine</v>
          </cell>
          <cell r="V3641">
            <v>114000</v>
          </cell>
        </row>
        <row r="3642">
          <cell r="B3642">
            <v>1986</v>
          </cell>
          <cell r="K3642" t="str">
            <v>SCOTT</v>
          </cell>
          <cell r="L3642" t="str">
            <v>Scott</v>
          </cell>
          <cell r="V3642">
            <v>117000</v>
          </cell>
        </row>
        <row r="3643">
          <cell r="B3643">
            <v>1986</v>
          </cell>
          <cell r="K3643" t="str">
            <v>BUTLER</v>
          </cell>
          <cell r="L3643" t="str">
            <v>Butler</v>
          </cell>
          <cell r="V3643">
            <v>158000</v>
          </cell>
        </row>
        <row r="3644">
          <cell r="B3644">
            <v>1986</v>
          </cell>
          <cell r="K3644" t="str">
            <v>CERRO GORDO</v>
          </cell>
          <cell r="L3644" t="str">
            <v>Cerro Gordo</v>
          </cell>
          <cell r="V3644">
            <v>148000</v>
          </cell>
        </row>
        <row r="3645">
          <cell r="B3645">
            <v>1986</v>
          </cell>
          <cell r="K3645" t="str">
            <v>FLOYD</v>
          </cell>
          <cell r="L3645" t="str">
            <v>Floyd</v>
          </cell>
          <cell r="V3645">
            <v>128000</v>
          </cell>
        </row>
        <row r="3646">
          <cell r="B3646">
            <v>1986</v>
          </cell>
          <cell r="K3646" t="str">
            <v>FRANKLIN</v>
          </cell>
          <cell r="L3646" t="str">
            <v>Franklin</v>
          </cell>
          <cell r="V3646">
            <v>149000</v>
          </cell>
        </row>
        <row r="3647">
          <cell r="B3647">
            <v>1986</v>
          </cell>
          <cell r="K3647" t="str">
            <v>HANCOCK</v>
          </cell>
          <cell r="L3647" t="str">
            <v>Hancock</v>
          </cell>
          <cell r="V3647">
            <v>152000</v>
          </cell>
        </row>
        <row r="3648">
          <cell r="B3648">
            <v>1986</v>
          </cell>
          <cell r="K3648" t="str">
            <v>HUMBOLDT</v>
          </cell>
          <cell r="L3648" t="str">
            <v>Humboldt</v>
          </cell>
          <cell r="V3648">
            <v>111000</v>
          </cell>
        </row>
        <row r="3649">
          <cell r="B3649">
            <v>1986</v>
          </cell>
          <cell r="K3649" t="str">
            <v>KOSSUTH</v>
          </cell>
          <cell r="L3649" t="str">
            <v>Kossuth</v>
          </cell>
          <cell r="V3649">
            <v>239000</v>
          </cell>
        </row>
        <row r="3650">
          <cell r="B3650">
            <v>1986</v>
          </cell>
          <cell r="K3650" t="str">
            <v>MITCHELL</v>
          </cell>
          <cell r="L3650" t="str">
            <v>Mitchell</v>
          </cell>
          <cell r="V3650">
            <v>115000</v>
          </cell>
        </row>
        <row r="3651">
          <cell r="B3651">
            <v>1986</v>
          </cell>
          <cell r="K3651" t="str">
            <v>WINNEBAGO</v>
          </cell>
          <cell r="L3651" t="str">
            <v>Winnebago</v>
          </cell>
          <cell r="V3651">
            <v>112000</v>
          </cell>
        </row>
        <row r="3652">
          <cell r="B3652">
            <v>1986</v>
          </cell>
          <cell r="K3652" t="str">
            <v>WORTH</v>
          </cell>
          <cell r="L3652" t="str">
            <v>Worth</v>
          </cell>
          <cell r="V3652">
            <v>104000</v>
          </cell>
        </row>
        <row r="3653">
          <cell r="B3653">
            <v>1986</v>
          </cell>
          <cell r="K3653" t="str">
            <v>WRIGHT</v>
          </cell>
          <cell r="L3653" t="str">
            <v>Wright</v>
          </cell>
          <cell r="V3653">
            <v>140000</v>
          </cell>
        </row>
        <row r="3654">
          <cell r="B3654">
            <v>1986</v>
          </cell>
          <cell r="K3654" t="str">
            <v>ALLAMAKEE</v>
          </cell>
          <cell r="L3654" t="str">
            <v>Allamakee</v>
          </cell>
          <cell r="V3654">
            <v>80000</v>
          </cell>
        </row>
        <row r="3655">
          <cell r="B3655">
            <v>1986</v>
          </cell>
          <cell r="K3655" t="str">
            <v>BLACK HAWK</v>
          </cell>
          <cell r="L3655" t="str">
            <v>Black Hawk</v>
          </cell>
          <cell r="V3655">
            <v>147000</v>
          </cell>
        </row>
        <row r="3656">
          <cell r="B3656">
            <v>1986</v>
          </cell>
          <cell r="K3656" t="str">
            <v>BREMER</v>
          </cell>
          <cell r="L3656" t="str">
            <v>Bremer</v>
          </cell>
          <cell r="V3656">
            <v>111000</v>
          </cell>
        </row>
        <row r="3657">
          <cell r="B3657">
            <v>1986</v>
          </cell>
          <cell r="K3657" t="str">
            <v>BUCHANAN</v>
          </cell>
          <cell r="L3657" t="str">
            <v>Buchanan</v>
          </cell>
          <cell r="V3657">
            <v>167000</v>
          </cell>
        </row>
        <row r="3658">
          <cell r="B3658">
            <v>1986</v>
          </cell>
          <cell r="K3658" t="str">
            <v>CHICKASAW</v>
          </cell>
          <cell r="L3658" t="str">
            <v>Chickasaw</v>
          </cell>
          <cell r="V3658">
            <v>132000</v>
          </cell>
        </row>
        <row r="3659">
          <cell r="B3659">
            <v>1986</v>
          </cell>
          <cell r="K3659" t="str">
            <v>CLAYTON</v>
          </cell>
          <cell r="L3659" t="str">
            <v>Clayton</v>
          </cell>
          <cell r="V3659">
            <v>164000</v>
          </cell>
        </row>
        <row r="3660">
          <cell r="B3660">
            <v>1986</v>
          </cell>
          <cell r="K3660" t="str">
            <v>DELAWARE</v>
          </cell>
          <cell r="L3660" t="str">
            <v>Delaware</v>
          </cell>
          <cell r="V3660">
            <v>166000</v>
          </cell>
        </row>
        <row r="3661">
          <cell r="B3661">
            <v>1986</v>
          </cell>
          <cell r="K3661" t="str">
            <v>DUBUQUE</v>
          </cell>
          <cell r="L3661" t="str">
            <v>Dubuque</v>
          </cell>
          <cell r="V3661">
            <v>122000</v>
          </cell>
        </row>
        <row r="3662">
          <cell r="B3662">
            <v>1986</v>
          </cell>
          <cell r="K3662" t="str">
            <v>FAYETTE</v>
          </cell>
          <cell r="L3662" t="str">
            <v>Fayette</v>
          </cell>
          <cell r="V3662">
            <v>175000</v>
          </cell>
        </row>
        <row r="3663">
          <cell r="B3663">
            <v>1986</v>
          </cell>
          <cell r="K3663" t="str">
            <v>HOWARD</v>
          </cell>
          <cell r="L3663" t="str">
            <v>Howard</v>
          </cell>
          <cell r="V3663">
            <v>107000</v>
          </cell>
        </row>
        <row r="3664">
          <cell r="B3664">
            <v>1986</v>
          </cell>
          <cell r="K3664" t="str">
            <v>WINNESHIEK</v>
          </cell>
          <cell r="L3664" t="str">
            <v>Winneshiek</v>
          </cell>
          <cell r="V3664">
            <v>139000</v>
          </cell>
        </row>
        <row r="3665">
          <cell r="B3665">
            <v>1986</v>
          </cell>
          <cell r="K3665" t="str">
            <v>BUENA VISTA</v>
          </cell>
          <cell r="L3665" t="str">
            <v>Buena Vista</v>
          </cell>
          <cell r="V3665">
            <v>147000</v>
          </cell>
        </row>
        <row r="3666">
          <cell r="B3666">
            <v>1986</v>
          </cell>
          <cell r="K3666" t="str">
            <v>CHEROKEE</v>
          </cell>
          <cell r="L3666" t="str">
            <v>Cherokee</v>
          </cell>
          <cell r="V3666">
            <v>126000</v>
          </cell>
        </row>
        <row r="3667">
          <cell r="B3667">
            <v>1986</v>
          </cell>
          <cell r="K3667" t="str">
            <v>CLAY</v>
          </cell>
          <cell r="L3667" t="str">
            <v>Clay</v>
          </cell>
          <cell r="V3667">
            <v>122000</v>
          </cell>
        </row>
        <row r="3668">
          <cell r="B3668">
            <v>1986</v>
          </cell>
          <cell r="K3668" t="str">
            <v>DICKINSON</v>
          </cell>
          <cell r="L3668" t="str">
            <v>Dickinson</v>
          </cell>
          <cell r="V3668">
            <v>84000</v>
          </cell>
        </row>
        <row r="3669">
          <cell r="B3669">
            <v>1986</v>
          </cell>
          <cell r="K3669" t="str">
            <v>EMMET</v>
          </cell>
          <cell r="L3669" t="str">
            <v>Emmet</v>
          </cell>
          <cell r="V3669">
            <v>111000</v>
          </cell>
        </row>
        <row r="3670">
          <cell r="B3670">
            <v>1986</v>
          </cell>
          <cell r="K3670" t="str">
            <v>LYON</v>
          </cell>
          <cell r="L3670" t="str">
            <v>Lyon</v>
          </cell>
          <cell r="V3670">
            <v>146000</v>
          </cell>
        </row>
        <row r="3671">
          <cell r="B3671">
            <v>1986</v>
          </cell>
          <cell r="K3671" t="str">
            <v>O BRIEN</v>
          </cell>
          <cell r="L3671" t="str">
            <v>O Brien</v>
          </cell>
          <cell r="V3671">
            <v>148000</v>
          </cell>
        </row>
        <row r="3672">
          <cell r="B3672">
            <v>1986</v>
          </cell>
          <cell r="K3672" t="str">
            <v>OSCEOLA</v>
          </cell>
          <cell r="L3672" t="str">
            <v>Osceola</v>
          </cell>
          <cell r="V3672">
            <v>96000</v>
          </cell>
        </row>
        <row r="3673">
          <cell r="B3673">
            <v>1986</v>
          </cell>
          <cell r="K3673" t="str">
            <v>PALO ALTO</v>
          </cell>
          <cell r="L3673" t="str">
            <v>Palo Alto</v>
          </cell>
          <cell r="V3673">
            <v>157000</v>
          </cell>
        </row>
        <row r="3674">
          <cell r="B3674">
            <v>1986</v>
          </cell>
          <cell r="K3674" t="str">
            <v>PLYMOUTH</v>
          </cell>
          <cell r="L3674" t="str">
            <v>Plymouth</v>
          </cell>
          <cell r="V3674">
            <v>218000</v>
          </cell>
        </row>
        <row r="3675">
          <cell r="B3675">
            <v>1986</v>
          </cell>
          <cell r="K3675" t="str">
            <v>POCAHONTAS</v>
          </cell>
          <cell r="L3675" t="str">
            <v>Pocahontas</v>
          </cell>
          <cell r="V3675">
            <v>152000</v>
          </cell>
        </row>
        <row r="3676">
          <cell r="B3676">
            <v>1986</v>
          </cell>
          <cell r="K3676" t="str">
            <v>SIOUX</v>
          </cell>
          <cell r="L3676" t="str">
            <v>Sioux</v>
          </cell>
          <cell r="V3676">
            <v>214000</v>
          </cell>
        </row>
        <row r="3677">
          <cell r="B3677">
            <v>1986</v>
          </cell>
          <cell r="K3677" t="str">
            <v>APPANOOSE</v>
          </cell>
          <cell r="L3677" t="str">
            <v>Appanoose</v>
          </cell>
          <cell r="V3677">
            <v>36000</v>
          </cell>
        </row>
        <row r="3678">
          <cell r="B3678">
            <v>1986</v>
          </cell>
          <cell r="K3678" t="str">
            <v>CLARKE</v>
          </cell>
          <cell r="L3678" t="str">
            <v>Clarke</v>
          </cell>
          <cell r="V3678">
            <v>47000</v>
          </cell>
        </row>
        <row r="3679">
          <cell r="B3679">
            <v>1986</v>
          </cell>
          <cell r="K3679" t="str">
            <v>DECATUR</v>
          </cell>
          <cell r="L3679" t="str">
            <v>Decatur</v>
          </cell>
          <cell r="V3679">
            <v>60000</v>
          </cell>
        </row>
        <row r="3680">
          <cell r="B3680">
            <v>1986</v>
          </cell>
          <cell r="K3680" t="str">
            <v>LUCAS</v>
          </cell>
          <cell r="L3680" t="str">
            <v>Lucas</v>
          </cell>
          <cell r="V3680">
            <v>45000</v>
          </cell>
        </row>
        <row r="3681">
          <cell r="B3681">
            <v>1986</v>
          </cell>
          <cell r="K3681" t="str">
            <v>MADISON</v>
          </cell>
          <cell r="L3681" t="str">
            <v>Madison</v>
          </cell>
          <cell r="V3681">
            <v>96000</v>
          </cell>
        </row>
        <row r="3682">
          <cell r="B3682">
            <v>1986</v>
          </cell>
          <cell r="K3682" t="str">
            <v>MARION</v>
          </cell>
          <cell r="L3682" t="str">
            <v>Marion</v>
          </cell>
          <cell r="V3682">
            <v>86000</v>
          </cell>
        </row>
        <row r="3683">
          <cell r="B3683">
            <v>1986</v>
          </cell>
          <cell r="K3683" t="str">
            <v>MONROE</v>
          </cell>
          <cell r="L3683" t="str">
            <v>Monroe</v>
          </cell>
          <cell r="V3683">
            <v>42000</v>
          </cell>
        </row>
        <row r="3684">
          <cell r="B3684">
            <v>1986</v>
          </cell>
          <cell r="K3684" t="str">
            <v>RINGGOLD</v>
          </cell>
          <cell r="L3684" t="str">
            <v>Ringgold</v>
          </cell>
          <cell r="V3684">
            <v>65000</v>
          </cell>
        </row>
        <row r="3685">
          <cell r="B3685">
            <v>1986</v>
          </cell>
          <cell r="K3685" t="str">
            <v>UNION</v>
          </cell>
          <cell r="L3685" t="str">
            <v>Union</v>
          </cell>
          <cell r="V3685">
            <v>61000</v>
          </cell>
        </row>
        <row r="3686">
          <cell r="B3686">
            <v>1986</v>
          </cell>
          <cell r="K3686" t="str">
            <v>WARREN</v>
          </cell>
          <cell r="L3686" t="str">
            <v>Warren</v>
          </cell>
          <cell r="V3686">
            <v>98000</v>
          </cell>
        </row>
        <row r="3687">
          <cell r="B3687">
            <v>1986</v>
          </cell>
          <cell r="K3687" t="str">
            <v>WAYNE</v>
          </cell>
          <cell r="L3687" t="str">
            <v>Wayne</v>
          </cell>
          <cell r="V3687">
            <v>74000</v>
          </cell>
        </row>
        <row r="3688">
          <cell r="B3688">
            <v>1986</v>
          </cell>
          <cell r="K3688" t="str">
            <v>DAVIS</v>
          </cell>
          <cell r="L3688" t="str">
            <v>Davis</v>
          </cell>
          <cell r="V3688">
            <v>55000</v>
          </cell>
        </row>
        <row r="3689">
          <cell r="B3689">
            <v>1986</v>
          </cell>
          <cell r="K3689" t="str">
            <v>DES MOINES</v>
          </cell>
          <cell r="L3689" t="str">
            <v>Des Moines</v>
          </cell>
          <cell r="V3689">
            <v>93000</v>
          </cell>
        </row>
        <row r="3690">
          <cell r="B3690">
            <v>1986</v>
          </cell>
          <cell r="K3690" t="str">
            <v>HENRY</v>
          </cell>
          <cell r="L3690" t="str">
            <v>Henry</v>
          </cell>
          <cell r="V3690">
            <v>87000</v>
          </cell>
        </row>
        <row r="3691">
          <cell r="B3691">
            <v>1986</v>
          </cell>
          <cell r="K3691" t="str">
            <v>JEFFERSON</v>
          </cell>
          <cell r="L3691" t="str">
            <v>Jefferson</v>
          </cell>
          <cell r="V3691">
            <v>84000</v>
          </cell>
        </row>
        <row r="3692">
          <cell r="B3692">
            <v>1986</v>
          </cell>
          <cell r="K3692" t="str">
            <v>KEOKUK</v>
          </cell>
          <cell r="L3692" t="str">
            <v>Keokuk</v>
          </cell>
          <cell r="V3692">
            <v>126000</v>
          </cell>
        </row>
        <row r="3693">
          <cell r="B3693">
            <v>1986</v>
          </cell>
          <cell r="K3693" t="str">
            <v>LEE</v>
          </cell>
          <cell r="L3693" t="str">
            <v>Lee</v>
          </cell>
          <cell r="V3693">
            <v>94000</v>
          </cell>
        </row>
        <row r="3694">
          <cell r="B3694">
            <v>1986</v>
          </cell>
          <cell r="K3694" t="str">
            <v>LOUISA</v>
          </cell>
          <cell r="L3694" t="str">
            <v>Louisa</v>
          </cell>
          <cell r="V3694">
            <v>91000</v>
          </cell>
        </row>
        <row r="3695">
          <cell r="B3695">
            <v>1986</v>
          </cell>
          <cell r="K3695" t="str">
            <v>MAHASKA</v>
          </cell>
          <cell r="L3695" t="str">
            <v>Mahaska</v>
          </cell>
          <cell r="V3695">
            <v>115000</v>
          </cell>
        </row>
        <row r="3696">
          <cell r="B3696">
            <v>1986</v>
          </cell>
          <cell r="K3696" t="str">
            <v>VAN BUREN</v>
          </cell>
          <cell r="L3696" t="str">
            <v>Van Buren</v>
          </cell>
          <cell r="V3696">
            <v>60000</v>
          </cell>
        </row>
        <row r="3697">
          <cell r="B3697">
            <v>1986</v>
          </cell>
          <cell r="K3697" t="str">
            <v>WAPELLO</v>
          </cell>
          <cell r="L3697" t="str">
            <v>Wapello</v>
          </cell>
          <cell r="V3697">
            <v>52000</v>
          </cell>
        </row>
        <row r="3698">
          <cell r="B3698">
            <v>1986</v>
          </cell>
          <cell r="K3698" t="str">
            <v>WASHINGTON</v>
          </cell>
          <cell r="L3698" t="str">
            <v>Washington</v>
          </cell>
          <cell r="V3698">
            <v>143000</v>
          </cell>
        </row>
        <row r="3699">
          <cell r="B3699">
            <v>1986</v>
          </cell>
          <cell r="K3699" t="str">
            <v>ADAIR</v>
          </cell>
          <cell r="L3699" t="str">
            <v>Adair</v>
          </cell>
          <cell r="V3699">
            <v>105000</v>
          </cell>
        </row>
        <row r="3700">
          <cell r="B3700">
            <v>1986</v>
          </cell>
          <cell r="K3700" t="str">
            <v>ADAMS</v>
          </cell>
          <cell r="L3700" t="str">
            <v>Adams</v>
          </cell>
          <cell r="V3700">
            <v>59000</v>
          </cell>
        </row>
        <row r="3701">
          <cell r="B3701">
            <v>1986</v>
          </cell>
          <cell r="K3701" t="str">
            <v>CASS</v>
          </cell>
          <cell r="L3701" t="str">
            <v>Cass</v>
          </cell>
          <cell r="V3701">
            <v>116000</v>
          </cell>
        </row>
        <row r="3702">
          <cell r="B3702">
            <v>1986</v>
          </cell>
          <cell r="K3702" t="str">
            <v>FREMONT</v>
          </cell>
          <cell r="L3702" t="str">
            <v>Fremont</v>
          </cell>
          <cell r="V3702">
            <v>104000</v>
          </cell>
        </row>
        <row r="3703">
          <cell r="B3703">
            <v>1986</v>
          </cell>
          <cell r="K3703" t="str">
            <v>MILLS</v>
          </cell>
          <cell r="L3703" t="str">
            <v>Mills</v>
          </cell>
          <cell r="V3703">
            <v>94000</v>
          </cell>
        </row>
        <row r="3704">
          <cell r="B3704">
            <v>1986</v>
          </cell>
          <cell r="K3704" t="str">
            <v>MONTGOMERY</v>
          </cell>
          <cell r="L3704" t="str">
            <v>Montgomery</v>
          </cell>
          <cell r="V3704">
            <v>80000</v>
          </cell>
        </row>
        <row r="3705">
          <cell r="B3705">
            <v>1986</v>
          </cell>
          <cell r="K3705" t="str">
            <v>PAGE</v>
          </cell>
          <cell r="L3705" t="str">
            <v>Page</v>
          </cell>
          <cell r="V3705">
            <v>95000</v>
          </cell>
        </row>
        <row r="3706">
          <cell r="B3706">
            <v>1986</v>
          </cell>
          <cell r="K3706" t="str">
            <v>POTTAWATTAMIE</v>
          </cell>
          <cell r="L3706" t="str">
            <v>Pottawattamie</v>
          </cell>
          <cell r="V3706">
            <v>231000</v>
          </cell>
        </row>
        <row r="3707">
          <cell r="B3707">
            <v>1986</v>
          </cell>
          <cell r="K3707" t="str">
            <v>TAYLOR</v>
          </cell>
          <cell r="L3707" t="str">
            <v>Taylor</v>
          </cell>
          <cell r="V3707">
            <v>76000</v>
          </cell>
        </row>
        <row r="3708">
          <cell r="B3708">
            <v>1986</v>
          </cell>
          <cell r="K3708" t="str">
            <v>AUDUBON</v>
          </cell>
          <cell r="L3708" t="str">
            <v>Audubon</v>
          </cell>
          <cell r="V3708">
            <v>113000</v>
          </cell>
        </row>
        <row r="3709">
          <cell r="B3709">
            <v>1986</v>
          </cell>
          <cell r="K3709" t="str">
            <v>CALHOUN</v>
          </cell>
          <cell r="L3709" t="str">
            <v>Calhoun</v>
          </cell>
          <cell r="V3709">
            <v>156000</v>
          </cell>
        </row>
        <row r="3710">
          <cell r="B3710">
            <v>1986</v>
          </cell>
          <cell r="K3710" t="str">
            <v>CARROLL</v>
          </cell>
          <cell r="L3710" t="str">
            <v>Carroll</v>
          </cell>
          <cell r="V3710">
            <v>147000</v>
          </cell>
        </row>
        <row r="3711">
          <cell r="B3711">
            <v>1986</v>
          </cell>
          <cell r="K3711" t="str">
            <v>CRAWFORD</v>
          </cell>
          <cell r="L3711" t="str">
            <v>Crawford</v>
          </cell>
          <cell r="V3711">
            <v>151000</v>
          </cell>
        </row>
        <row r="3712">
          <cell r="B3712">
            <v>1986</v>
          </cell>
          <cell r="K3712" t="str">
            <v>GREENE</v>
          </cell>
          <cell r="L3712" t="str">
            <v>Greene</v>
          </cell>
          <cell r="V3712">
            <v>127000</v>
          </cell>
        </row>
        <row r="3713">
          <cell r="B3713">
            <v>1986</v>
          </cell>
          <cell r="K3713" t="str">
            <v>GUTHRIE</v>
          </cell>
          <cell r="L3713" t="str">
            <v>Guthrie</v>
          </cell>
          <cell r="V3713">
            <v>119000</v>
          </cell>
        </row>
        <row r="3714">
          <cell r="B3714">
            <v>1986</v>
          </cell>
          <cell r="K3714" t="str">
            <v>HARRISON</v>
          </cell>
          <cell r="L3714" t="str">
            <v>Harrison</v>
          </cell>
          <cell r="V3714">
            <v>150000</v>
          </cell>
        </row>
        <row r="3715">
          <cell r="B3715">
            <v>1986</v>
          </cell>
          <cell r="K3715" t="str">
            <v>IDA</v>
          </cell>
          <cell r="L3715" t="str">
            <v>Ida</v>
          </cell>
          <cell r="V3715">
            <v>119000</v>
          </cell>
        </row>
        <row r="3716">
          <cell r="B3716">
            <v>1986</v>
          </cell>
          <cell r="K3716" t="str">
            <v>MONONA</v>
          </cell>
          <cell r="L3716" t="str">
            <v>Monona</v>
          </cell>
          <cell r="V3716">
            <v>164000</v>
          </cell>
        </row>
        <row r="3717">
          <cell r="B3717">
            <v>1986</v>
          </cell>
          <cell r="K3717" t="str">
            <v>SAC</v>
          </cell>
          <cell r="L3717" t="str">
            <v>Sac</v>
          </cell>
          <cell r="V3717">
            <v>140000</v>
          </cell>
        </row>
        <row r="3718">
          <cell r="B3718">
            <v>1986</v>
          </cell>
          <cell r="K3718" t="str">
            <v>SHELBY</v>
          </cell>
          <cell r="L3718" t="str">
            <v>Shelby</v>
          </cell>
          <cell r="V3718">
            <v>174000</v>
          </cell>
        </row>
        <row r="3719">
          <cell r="B3719">
            <v>1986</v>
          </cell>
          <cell r="K3719" t="str">
            <v>WOODBURY</v>
          </cell>
          <cell r="L3719" t="str">
            <v>Woodbury</v>
          </cell>
          <cell r="V3719">
            <v>202000</v>
          </cell>
        </row>
        <row r="3720">
          <cell r="B3720">
            <v>1985</v>
          </cell>
          <cell r="K3720" t="str">
            <v>BOONE</v>
          </cell>
          <cell r="L3720" t="str">
            <v>Boone</v>
          </cell>
          <cell r="V3720">
            <v>136000</v>
          </cell>
        </row>
        <row r="3721">
          <cell r="B3721">
            <v>1985</v>
          </cell>
          <cell r="K3721" t="str">
            <v>DALLAS</v>
          </cell>
          <cell r="L3721" t="str">
            <v>Dallas</v>
          </cell>
          <cell r="V3721">
            <v>147000</v>
          </cell>
        </row>
        <row r="3722">
          <cell r="B3722">
            <v>1985</v>
          </cell>
          <cell r="K3722" t="str">
            <v>GRUNDY</v>
          </cell>
          <cell r="L3722" t="str">
            <v>Grundy</v>
          </cell>
          <cell r="V3722">
            <v>158000</v>
          </cell>
        </row>
        <row r="3723">
          <cell r="B3723">
            <v>1985</v>
          </cell>
          <cell r="K3723" t="str">
            <v>HAMILTON</v>
          </cell>
          <cell r="L3723" t="str">
            <v>Hamilton</v>
          </cell>
          <cell r="V3723">
            <v>147000</v>
          </cell>
        </row>
        <row r="3724">
          <cell r="B3724">
            <v>1985</v>
          </cell>
          <cell r="K3724" t="str">
            <v>HARDIN</v>
          </cell>
          <cell r="L3724" t="str">
            <v>Hardin</v>
          </cell>
          <cell r="V3724">
            <v>178000</v>
          </cell>
        </row>
        <row r="3725">
          <cell r="B3725">
            <v>1985</v>
          </cell>
          <cell r="K3725" t="str">
            <v>JASPER</v>
          </cell>
          <cell r="L3725" t="str">
            <v>Jasper</v>
          </cell>
          <cell r="V3725">
            <v>182000</v>
          </cell>
        </row>
        <row r="3726">
          <cell r="B3726">
            <v>1985</v>
          </cell>
          <cell r="K3726" t="str">
            <v>MARSHALL</v>
          </cell>
          <cell r="L3726" t="str">
            <v>Marshall</v>
          </cell>
          <cell r="V3726">
            <v>151000</v>
          </cell>
        </row>
        <row r="3727">
          <cell r="B3727">
            <v>1985</v>
          </cell>
          <cell r="K3727" t="str">
            <v>POLK</v>
          </cell>
          <cell r="L3727" t="str">
            <v>Polk</v>
          </cell>
          <cell r="V3727">
            <v>100000</v>
          </cell>
        </row>
        <row r="3728">
          <cell r="B3728">
            <v>1985</v>
          </cell>
          <cell r="K3728" t="str">
            <v>POWESHIEK</v>
          </cell>
          <cell r="L3728" t="str">
            <v>Poweshiek</v>
          </cell>
          <cell r="V3728">
            <v>126000</v>
          </cell>
        </row>
        <row r="3729">
          <cell r="B3729">
            <v>1985</v>
          </cell>
          <cell r="K3729" t="str">
            <v>STORY</v>
          </cell>
          <cell r="L3729" t="str">
            <v>Story</v>
          </cell>
          <cell r="V3729">
            <v>171000</v>
          </cell>
        </row>
        <row r="3730">
          <cell r="B3730">
            <v>1985</v>
          </cell>
          <cell r="K3730" t="str">
            <v>TAMA</v>
          </cell>
          <cell r="L3730" t="str">
            <v>Tama</v>
          </cell>
          <cell r="V3730">
            <v>199000</v>
          </cell>
        </row>
        <row r="3731">
          <cell r="B3731">
            <v>1985</v>
          </cell>
          <cell r="K3731" t="str">
            <v>WEBSTER</v>
          </cell>
          <cell r="L3731" t="str">
            <v>Webster</v>
          </cell>
          <cell r="V3731">
            <v>163000</v>
          </cell>
        </row>
        <row r="3732">
          <cell r="B3732">
            <v>1985</v>
          </cell>
          <cell r="K3732" t="str">
            <v>BENTON</v>
          </cell>
          <cell r="L3732" t="str">
            <v>Benton</v>
          </cell>
          <cell r="V3732">
            <v>202000</v>
          </cell>
        </row>
        <row r="3733">
          <cell r="B3733">
            <v>1985</v>
          </cell>
          <cell r="K3733" t="str">
            <v>CEDAR</v>
          </cell>
          <cell r="L3733" t="str">
            <v>Cedar</v>
          </cell>
          <cell r="V3733">
            <v>167000</v>
          </cell>
        </row>
        <row r="3734">
          <cell r="B3734">
            <v>1985</v>
          </cell>
          <cell r="K3734" t="str">
            <v>CLINTON</v>
          </cell>
          <cell r="L3734" t="str">
            <v>Clinton</v>
          </cell>
          <cell r="V3734">
            <v>230000</v>
          </cell>
        </row>
        <row r="3735">
          <cell r="B3735">
            <v>1985</v>
          </cell>
          <cell r="K3735" t="str">
            <v>IOWA</v>
          </cell>
          <cell r="L3735" t="str">
            <v>Iowa</v>
          </cell>
          <cell r="V3735">
            <v>151000</v>
          </cell>
        </row>
        <row r="3736">
          <cell r="B3736">
            <v>1985</v>
          </cell>
          <cell r="K3736" t="str">
            <v>JACKSON</v>
          </cell>
          <cell r="L3736" t="str">
            <v>Jackson</v>
          </cell>
          <cell r="V3736">
            <v>119000</v>
          </cell>
        </row>
        <row r="3737">
          <cell r="B3737">
            <v>1985</v>
          </cell>
          <cell r="K3737" t="str">
            <v>JOHNSON</v>
          </cell>
          <cell r="L3737" t="str">
            <v>Johnson</v>
          </cell>
          <cell r="V3737">
            <v>148000</v>
          </cell>
        </row>
        <row r="3738">
          <cell r="B3738">
            <v>1985</v>
          </cell>
          <cell r="K3738" t="str">
            <v>JONES</v>
          </cell>
          <cell r="L3738" t="str">
            <v>Jones</v>
          </cell>
          <cell r="V3738">
            <v>171000</v>
          </cell>
        </row>
        <row r="3739">
          <cell r="B3739">
            <v>1985</v>
          </cell>
          <cell r="K3739" t="str">
            <v>LINN</v>
          </cell>
          <cell r="L3739" t="str">
            <v>Linn</v>
          </cell>
          <cell r="V3739">
            <v>154000</v>
          </cell>
        </row>
        <row r="3740">
          <cell r="B3740">
            <v>1985</v>
          </cell>
          <cell r="K3740" t="str">
            <v>MUSCATINE</v>
          </cell>
          <cell r="L3740" t="str">
            <v>Muscatine</v>
          </cell>
          <cell r="V3740">
            <v>131000</v>
          </cell>
        </row>
        <row r="3741">
          <cell r="B3741">
            <v>1985</v>
          </cell>
          <cell r="K3741" t="str">
            <v>SCOTT</v>
          </cell>
          <cell r="L3741" t="str">
            <v>Scott</v>
          </cell>
          <cell r="V3741">
            <v>139000</v>
          </cell>
        </row>
        <row r="3742">
          <cell r="B3742">
            <v>1985</v>
          </cell>
          <cell r="K3742" t="str">
            <v>BUTLER</v>
          </cell>
          <cell r="L3742" t="str">
            <v>Butler</v>
          </cell>
          <cell r="V3742">
            <v>182000</v>
          </cell>
        </row>
        <row r="3743">
          <cell r="B3743">
            <v>1985</v>
          </cell>
          <cell r="K3743" t="str">
            <v>CERRO GORDO</v>
          </cell>
          <cell r="L3743" t="str">
            <v>Cerro Gordo</v>
          </cell>
          <cell r="V3743">
            <v>174000</v>
          </cell>
        </row>
        <row r="3744">
          <cell r="B3744">
            <v>1985</v>
          </cell>
          <cell r="K3744" t="str">
            <v>FLOYD</v>
          </cell>
          <cell r="L3744" t="str">
            <v>Floyd</v>
          </cell>
          <cell r="V3744">
            <v>143000</v>
          </cell>
        </row>
        <row r="3745">
          <cell r="B3745">
            <v>1985</v>
          </cell>
          <cell r="K3745" t="str">
            <v>FRANKLIN</v>
          </cell>
          <cell r="L3745" t="str">
            <v>Franklin</v>
          </cell>
          <cell r="V3745">
            <v>175000</v>
          </cell>
        </row>
        <row r="3746">
          <cell r="B3746">
            <v>1985</v>
          </cell>
          <cell r="K3746" t="str">
            <v>HANCOCK</v>
          </cell>
          <cell r="L3746" t="str">
            <v>Hancock</v>
          </cell>
          <cell r="V3746">
            <v>175000</v>
          </cell>
        </row>
        <row r="3747">
          <cell r="B3747">
            <v>1985</v>
          </cell>
          <cell r="K3747" t="str">
            <v>HUMBOLDT</v>
          </cell>
          <cell r="L3747" t="str">
            <v>Humboldt</v>
          </cell>
          <cell r="V3747">
            <v>126000</v>
          </cell>
        </row>
        <row r="3748">
          <cell r="B3748">
            <v>1985</v>
          </cell>
          <cell r="K3748" t="str">
            <v>KOSSUTH</v>
          </cell>
          <cell r="L3748" t="str">
            <v>Kossuth</v>
          </cell>
          <cell r="V3748">
            <v>265000</v>
          </cell>
        </row>
        <row r="3749">
          <cell r="B3749">
            <v>1985</v>
          </cell>
          <cell r="K3749" t="str">
            <v>MITCHELL</v>
          </cell>
          <cell r="L3749" t="str">
            <v>Mitchell</v>
          </cell>
          <cell r="V3749">
            <v>129000</v>
          </cell>
        </row>
        <row r="3750">
          <cell r="B3750">
            <v>1985</v>
          </cell>
          <cell r="K3750" t="str">
            <v>WINNEBAGO</v>
          </cell>
          <cell r="L3750" t="str">
            <v>Winnebago</v>
          </cell>
          <cell r="V3750">
            <v>119000</v>
          </cell>
        </row>
        <row r="3751">
          <cell r="B3751">
            <v>1985</v>
          </cell>
          <cell r="K3751" t="str">
            <v>WORTH</v>
          </cell>
          <cell r="L3751" t="str">
            <v>Worth</v>
          </cell>
          <cell r="V3751">
            <v>118000</v>
          </cell>
        </row>
        <row r="3752">
          <cell r="B3752">
            <v>1985</v>
          </cell>
          <cell r="K3752" t="str">
            <v>WRIGHT</v>
          </cell>
          <cell r="L3752" t="str">
            <v>Wright</v>
          </cell>
          <cell r="V3752">
            <v>164000</v>
          </cell>
        </row>
        <row r="3753">
          <cell r="B3753">
            <v>1985</v>
          </cell>
          <cell r="K3753" t="str">
            <v>ALLAMAKEE</v>
          </cell>
          <cell r="L3753" t="str">
            <v>Allamakee</v>
          </cell>
          <cell r="V3753">
            <v>88000</v>
          </cell>
        </row>
        <row r="3754">
          <cell r="B3754">
            <v>1985</v>
          </cell>
          <cell r="K3754" t="str">
            <v>BLACK HAWK</v>
          </cell>
          <cell r="L3754" t="str">
            <v>Black Hawk</v>
          </cell>
          <cell r="V3754">
            <v>166000</v>
          </cell>
        </row>
        <row r="3755">
          <cell r="B3755">
            <v>1985</v>
          </cell>
          <cell r="K3755" t="str">
            <v>BREMER</v>
          </cell>
          <cell r="L3755" t="str">
            <v>Bremer</v>
          </cell>
          <cell r="V3755">
            <v>123000</v>
          </cell>
        </row>
        <row r="3756">
          <cell r="B3756">
            <v>1985</v>
          </cell>
          <cell r="K3756" t="str">
            <v>BUCHANAN</v>
          </cell>
          <cell r="L3756" t="str">
            <v>Buchanan</v>
          </cell>
          <cell r="V3756">
            <v>192000</v>
          </cell>
        </row>
        <row r="3757">
          <cell r="B3757">
            <v>1985</v>
          </cell>
          <cell r="K3757" t="str">
            <v>CHICKASAW</v>
          </cell>
          <cell r="L3757" t="str">
            <v>Chickasaw</v>
          </cell>
          <cell r="V3757">
            <v>144000</v>
          </cell>
        </row>
        <row r="3758">
          <cell r="B3758">
            <v>1985</v>
          </cell>
          <cell r="K3758" t="str">
            <v>CLAYTON</v>
          </cell>
          <cell r="L3758" t="str">
            <v>Clayton</v>
          </cell>
          <cell r="V3758">
            <v>179000</v>
          </cell>
        </row>
        <row r="3759">
          <cell r="B3759">
            <v>1985</v>
          </cell>
          <cell r="K3759" t="str">
            <v>DELAWARE</v>
          </cell>
          <cell r="L3759" t="str">
            <v>Delaware</v>
          </cell>
          <cell r="V3759">
            <v>193000</v>
          </cell>
        </row>
        <row r="3760">
          <cell r="B3760">
            <v>1985</v>
          </cell>
          <cell r="K3760" t="str">
            <v>DUBUQUE</v>
          </cell>
          <cell r="L3760" t="str">
            <v>Dubuque</v>
          </cell>
          <cell r="V3760">
            <v>134000</v>
          </cell>
        </row>
        <row r="3761">
          <cell r="B3761">
            <v>1985</v>
          </cell>
          <cell r="K3761" t="str">
            <v>FAYETTE</v>
          </cell>
          <cell r="L3761" t="str">
            <v>Fayette</v>
          </cell>
          <cell r="V3761">
            <v>196000</v>
          </cell>
        </row>
        <row r="3762">
          <cell r="B3762">
            <v>1985</v>
          </cell>
          <cell r="K3762" t="str">
            <v>HOWARD</v>
          </cell>
          <cell r="L3762" t="str">
            <v>Howard</v>
          </cell>
          <cell r="V3762">
            <v>120000</v>
          </cell>
        </row>
        <row r="3763">
          <cell r="B3763">
            <v>1985</v>
          </cell>
          <cell r="K3763" t="str">
            <v>WINNESHIEK</v>
          </cell>
          <cell r="L3763" t="str">
            <v>Winneshiek</v>
          </cell>
          <cell r="V3763">
            <v>155000</v>
          </cell>
        </row>
        <row r="3764">
          <cell r="B3764">
            <v>1985</v>
          </cell>
          <cell r="K3764" t="str">
            <v>BUENA VISTA</v>
          </cell>
          <cell r="L3764" t="str">
            <v>Buena Vista</v>
          </cell>
          <cell r="V3764">
            <v>164000</v>
          </cell>
        </row>
        <row r="3765">
          <cell r="B3765">
            <v>1985</v>
          </cell>
          <cell r="K3765" t="str">
            <v>CHEROKEE</v>
          </cell>
          <cell r="L3765" t="str">
            <v>Cherokee</v>
          </cell>
          <cell r="V3765">
            <v>150000</v>
          </cell>
        </row>
        <row r="3766">
          <cell r="B3766">
            <v>1985</v>
          </cell>
          <cell r="K3766" t="str">
            <v>CLAY</v>
          </cell>
          <cell r="L3766" t="str">
            <v>Clay</v>
          </cell>
          <cell r="V3766">
            <v>140000</v>
          </cell>
        </row>
        <row r="3767">
          <cell r="B3767">
            <v>1985</v>
          </cell>
          <cell r="K3767" t="str">
            <v>DICKINSON</v>
          </cell>
          <cell r="L3767" t="str">
            <v>Dickinson</v>
          </cell>
          <cell r="V3767">
            <v>100000</v>
          </cell>
        </row>
        <row r="3768">
          <cell r="B3768">
            <v>1985</v>
          </cell>
          <cell r="K3768" t="str">
            <v>EMMET</v>
          </cell>
          <cell r="L3768" t="str">
            <v>Emmet</v>
          </cell>
          <cell r="V3768">
            <v>131000</v>
          </cell>
        </row>
        <row r="3769">
          <cell r="B3769">
            <v>1985</v>
          </cell>
          <cell r="K3769" t="str">
            <v>LYON</v>
          </cell>
          <cell r="L3769" t="str">
            <v>Lyon</v>
          </cell>
          <cell r="V3769">
            <v>163000</v>
          </cell>
        </row>
        <row r="3770">
          <cell r="B3770">
            <v>1985</v>
          </cell>
          <cell r="K3770" t="str">
            <v>O BRIEN</v>
          </cell>
          <cell r="L3770" t="str">
            <v>O Brien</v>
          </cell>
          <cell r="V3770">
            <v>166000</v>
          </cell>
        </row>
        <row r="3771">
          <cell r="B3771">
            <v>1985</v>
          </cell>
          <cell r="K3771" t="str">
            <v>OSCEOLA</v>
          </cell>
          <cell r="L3771" t="str">
            <v>Osceola</v>
          </cell>
          <cell r="V3771">
            <v>112000</v>
          </cell>
        </row>
        <row r="3772">
          <cell r="B3772">
            <v>1985</v>
          </cell>
          <cell r="K3772" t="str">
            <v>PALO ALTO</v>
          </cell>
          <cell r="L3772" t="str">
            <v>Palo Alto</v>
          </cell>
          <cell r="V3772">
            <v>185000</v>
          </cell>
        </row>
        <row r="3773">
          <cell r="B3773">
            <v>1985</v>
          </cell>
          <cell r="K3773" t="str">
            <v>PLYMOUTH</v>
          </cell>
          <cell r="L3773" t="str">
            <v>Plymouth</v>
          </cell>
          <cell r="V3773">
            <v>248000</v>
          </cell>
        </row>
        <row r="3774">
          <cell r="B3774">
            <v>1985</v>
          </cell>
          <cell r="K3774" t="str">
            <v>POCAHONTAS</v>
          </cell>
          <cell r="L3774" t="str">
            <v>Pocahontas</v>
          </cell>
          <cell r="V3774">
            <v>172000</v>
          </cell>
        </row>
        <row r="3775">
          <cell r="B3775">
            <v>1985</v>
          </cell>
          <cell r="K3775" t="str">
            <v>SIOUX</v>
          </cell>
          <cell r="L3775" t="str">
            <v>Sioux</v>
          </cell>
          <cell r="V3775">
            <v>245000</v>
          </cell>
        </row>
        <row r="3776">
          <cell r="B3776">
            <v>1985</v>
          </cell>
          <cell r="K3776" t="str">
            <v>APPANOOSE</v>
          </cell>
          <cell r="L3776" t="str">
            <v>Appanoose</v>
          </cell>
          <cell r="V3776">
            <v>43000</v>
          </cell>
        </row>
        <row r="3777">
          <cell r="B3777">
            <v>1985</v>
          </cell>
          <cell r="K3777" t="str">
            <v>CLARKE</v>
          </cell>
          <cell r="L3777" t="str">
            <v>Clarke</v>
          </cell>
          <cell r="V3777">
            <v>50000</v>
          </cell>
        </row>
        <row r="3778">
          <cell r="B3778">
            <v>1985</v>
          </cell>
          <cell r="K3778" t="str">
            <v>DECATUR</v>
          </cell>
          <cell r="L3778" t="str">
            <v>Decatur</v>
          </cell>
          <cell r="V3778">
            <v>67000</v>
          </cell>
        </row>
        <row r="3779">
          <cell r="B3779">
            <v>1985</v>
          </cell>
          <cell r="K3779" t="str">
            <v>LUCAS</v>
          </cell>
          <cell r="L3779" t="str">
            <v>Lucas</v>
          </cell>
          <cell r="V3779">
            <v>48000</v>
          </cell>
        </row>
        <row r="3780">
          <cell r="B3780">
            <v>1985</v>
          </cell>
          <cell r="K3780" t="str">
            <v>MADISON</v>
          </cell>
          <cell r="L3780" t="str">
            <v>Madison</v>
          </cell>
          <cell r="V3780">
            <v>106000</v>
          </cell>
        </row>
        <row r="3781">
          <cell r="B3781">
            <v>1985</v>
          </cell>
          <cell r="K3781" t="str">
            <v>MARION</v>
          </cell>
          <cell r="L3781" t="str">
            <v>Marion</v>
          </cell>
          <cell r="V3781">
            <v>94000</v>
          </cell>
        </row>
        <row r="3782">
          <cell r="B3782">
            <v>1985</v>
          </cell>
          <cell r="K3782" t="str">
            <v>MONROE</v>
          </cell>
          <cell r="L3782" t="str">
            <v>Monroe</v>
          </cell>
          <cell r="V3782">
            <v>45000</v>
          </cell>
        </row>
        <row r="3783">
          <cell r="B3783">
            <v>1985</v>
          </cell>
          <cell r="K3783" t="str">
            <v>RINGGOLD</v>
          </cell>
          <cell r="L3783" t="str">
            <v>Ringgold</v>
          </cell>
          <cell r="V3783">
            <v>73000</v>
          </cell>
        </row>
        <row r="3784">
          <cell r="B3784">
            <v>1985</v>
          </cell>
          <cell r="K3784" t="str">
            <v>UNION</v>
          </cell>
          <cell r="L3784" t="str">
            <v>Union</v>
          </cell>
          <cell r="V3784">
            <v>69000</v>
          </cell>
        </row>
        <row r="3785">
          <cell r="B3785">
            <v>1985</v>
          </cell>
          <cell r="K3785" t="str">
            <v>WARREN</v>
          </cell>
          <cell r="L3785" t="str">
            <v>Warren</v>
          </cell>
          <cell r="V3785">
            <v>107000</v>
          </cell>
        </row>
        <row r="3786">
          <cell r="B3786">
            <v>1985</v>
          </cell>
          <cell r="K3786" t="str">
            <v>WAYNE</v>
          </cell>
          <cell r="L3786" t="str">
            <v>Wayne</v>
          </cell>
          <cell r="V3786">
            <v>88000</v>
          </cell>
        </row>
        <row r="3787">
          <cell r="B3787">
            <v>1985</v>
          </cell>
          <cell r="K3787" t="str">
            <v>DAVIS</v>
          </cell>
          <cell r="L3787" t="str">
            <v>Davis</v>
          </cell>
          <cell r="V3787">
            <v>61000</v>
          </cell>
        </row>
        <row r="3788">
          <cell r="B3788">
            <v>1985</v>
          </cell>
          <cell r="K3788" t="str">
            <v>DES MOINES</v>
          </cell>
          <cell r="L3788" t="str">
            <v>Des Moines</v>
          </cell>
          <cell r="V3788">
            <v>104000</v>
          </cell>
        </row>
        <row r="3789">
          <cell r="B3789">
            <v>1985</v>
          </cell>
          <cell r="K3789" t="str">
            <v>HENRY</v>
          </cell>
          <cell r="L3789" t="str">
            <v>Henry</v>
          </cell>
          <cell r="V3789">
            <v>98000</v>
          </cell>
        </row>
        <row r="3790">
          <cell r="B3790">
            <v>1985</v>
          </cell>
          <cell r="K3790" t="str">
            <v>JEFFERSON</v>
          </cell>
          <cell r="L3790" t="str">
            <v>Jefferson</v>
          </cell>
          <cell r="V3790">
            <v>98000</v>
          </cell>
        </row>
        <row r="3791">
          <cell r="B3791">
            <v>1985</v>
          </cell>
          <cell r="K3791" t="str">
            <v>KEOKUK</v>
          </cell>
          <cell r="L3791" t="str">
            <v>Keokuk</v>
          </cell>
          <cell r="V3791">
            <v>135000</v>
          </cell>
        </row>
        <row r="3792">
          <cell r="B3792">
            <v>1985</v>
          </cell>
          <cell r="K3792" t="str">
            <v>LEE</v>
          </cell>
          <cell r="L3792" t="str">
            <v>Lee</v>
          </cell>
          <cell r="V3792">
            <v>108000</v>
          </cell>
        </row>
        <row r="3793">
          <cell r="B3793">
            <v>1985</v>
          </cell>
          <cell r="K3793" t="str">
            <v>LOUISA</v>
          </cell>
          <cell r="L3793" t="str">
            <v>Louisa</v>
          </cell>
          <cell r="V3793">
            <v>103000</v>
          </cell>
        </row>
        <row r="3794">
          <cell r="B3794">
            <v>1985</v>
          </cell>
          <cell r="K3794" t="str">
            <v>MAHASKA</v>
          </cell>
          <cell r="L3794" t="str">
            <v>Mahaska</v>
          </cell>
          <cell r="V3794">
            <v>134000</v>
          </cell>
        </row>
        <row r="3795">
          <cell r="B3795">
            <v>1985</v>
          </cell>
          <cell r="K3795" t="str">
            <v>VAN BUREN</v>
          </cell>
          <cell r="L3795" t="str">
            <v>Van Buren</v>
          </cell>
          <cell r="V3795">
            <v>72000</v>
          </cell>
        </row>
        <row r="3796">
          <cell r="B3796">
            <v>1985</v>
          </cell>
          <cell r="K3796" t="str">
            <v>WAPELLO</v>
          </cell>
          <cell r="L3796" t="str">
            <v>Wapello</v>
          </cell>
          <cell r="V3796">
            <v>58000</v>
          </cell>
        </row>
        <row r="3797">
          <cell r="B3797">
            <v>1985</v>
          </cell>
          <cell r="K3797" t="str">
            <v>WASHINGTON</v>
          </cell>
          <cell r="L3797" t="str">
            <v>Washington</v>
          </cell>
          <cell r="V3797">
            <v>168000</v>
          </cell>
        </row>
        <row r="3798">
          <cell r="B3798">
            <v>1985</v>
          </cell>
          <cell r="K3798" t="str">
            <v>ADAIR</v>
          </cell>
          <cell r="L3798" t="str">
            <v>Adair</v>
          </cell>
          <cell r="V3798">
            <v>116000</v>
          </cell>
        </row>
        <row r="3799">
          <cell r="B3799">
            <v>1985</v>
          </cell>
          <cell r="K3799" t="str">
            <v>ADAMS</v>
          </cell>
          <cell r="L3799" t="str">
            <v>Adams</v>
          </cell>
          <cell r="V3799">
            <v>66000</v>
          </cell>
        </row>
        <row r="3800">
          <cell r="B3800">
            <v>1985</v>
          </cell>
          <cell r="K3800" t="str">
            <v>CASS</v>
          </cell>
          <cell r="L3800" t="str">
            <v>Cass</v>
          </cell>
          <cell r="V3800">
            <v>125000</v>
          </cell>
        </row>
        <row r="3801">
          <cell r="B3801">
            <v>1985</v>
          </cell>
          <cell r="K3801" t="str">
            <v>FREMONT</v>
          </cell>
          <cell r="L3801" t="str">
            <v>Fremont</v>
          </cell>
          <cell r="V3801">
            <v>120000</v>
          </cell>
        </row>
        <row r="3802">
          <cell r="B3802">
            <v>1985</v>
          </cell>
          <cell r="K3802" t="str">
            <v>MILLS</v>
          </cell>
          <cell r="L3802" t="str">
            <v>Mills</v>
          </cell>
          <cell r="V3802">
            <v>103000</v>
          </cell>
        </row>
        <row r="3803">
          <cell r="B3803">
            <v>1985</v>
          </cell>
          <cell r="K3803" t="str">
            <v>MONTGOMERY</v>
          </cell>
          <cell r="L3803" t="str">
            <v>Montgomery</v>
          </cell>
          <cell r="V3803">
            <v>84000</v>
          </cell>
        </row>
        <row r="3804">
          <cell r="B3804">
            <v>1985</v>
          </cell>
          <cell r="K3804" t="str">
            <v>PAGE</v>
          </cell>
          <cell r="L3804" t="str">
            <v>Page</v>
          </cell>
          <cell r="V3804">
            <v>103000</v>
          </cell>
        </row>
        <row r="3805">
          <cell r="B3805">
            <v>1985</v>
          </cell>
          <cell r="K3805" t="str">
            <v>POTTAWATTAMIE</v>
          </cell>
          <cell r="L3805" t="str">
            <v>Pottawattamie</v>
          </cell>
          <cell r="V3805">
            <v>260000</v>
          </cell>
        </row>
        <row r="3806">
          <cell r="B3806">
            <v>1985</v>
          </cell>
          <cell r="K3806" t="str">
            <v>TAYLOR</v>
          </cell>
          <cell r="L3806" t="str">
            <v>Taylor</v>
          </cell>
          <cell r="V3806">
            <v>91000</v>
          </cell>
        </row>
        <row r="3807">
          <cell r="B3807">
            <v>1985</v>
          </cell>
          <cell r="K3807" t="str">
            <v>AUDUBON</v>
          </cell>
          <cell r="L3807" t="str">
            <v>Audubon</v>
          </cell>
          <cell r="V3807">
            <v>128000</v>
          </cell>
        </row>
        <row r="3808">
          <cell r="B3808">
            <v>1985</v>
          </cell>
          <cell r="K3808" t="str">
            <v>CALHOUN</v>
          </cell>
          <cell r="L3808" t="str">
            <v>Calhoun</v>
          </cell>
          <cell r="V3808">
            <v>178000</v>
          </cell>
        </row>
        <row r="3809">
          <cell r="B3809">
            <v>1985</v>
          </cell>
          <cell r="K3809" t="str">
            <v>CARROLL</v>
          </cell>
          <cell r="L3809" t="str">
            <v>Carroll</v>
          </cell>
          <cell r="V3809">
            <v>166000</v>
          </cell>
        </row>
        <row r="3810">
          <cell r="B3810">
            <v>1985</v>
          </cell>
          <cell r="K3810" t="str">
            <v>CRAWFORD</v>
          </cell>
          <cell r="L3810" t="str">
            <v>Crawford</v>
          </cell>
          <cell r="V3810">
            <v>176000</v>
          </cell>
        </row>
        <row r="3811">
          <cell r="B3811">
            <v>1985</v>
          </cell>
          <cell r="K3811" t="str">
            <v>GREENE</v>
          </cell>
          <cell r="L3811" t="str">
            <v>Greene</v>
          </cell>
          <cell r="V3811">
            <v>138000</v>
          </cell>
        </row>
        <row r="3812">
          <cell r="B3812">
            <v>1985</v>
          </cell>
          <cell r="K3812" t="str">
            <v>GUTHRIE</v>
          </cell>
          <cell r="L3812" t="str">
            <v>Guthrie</v>
          </cell>
          <cell r="V3812">
            <v>136000</v>
          </cell>
        </row>
        <row r="3813">
          <cell r="B3813">
            <v>1985</v>
          </cell>
          <cell r="K3813" t="str">
            <v>HARRISON</v>
          </cell>
          <cell r="L3813" t="str">
            <v>Harrison</v>
          </cell>
          <cell r="V3813">
            <v>176000</v>
          </cell>
        </row>
        <row r="3814">
          <cell r="B3814">
            <v>1985</v>
          </cell>
          <cell r="K3814" t="str">
            <v>IDA</v>
          </cell>
          <cell r="L3814" t="str">
            <v>Ida</v>
          </cell>
          <cell r="V3814">
            <v>139000</v>
          </cell>
        </row>
        <row r="3815">
          <cell r="B3815">
            <v>1985</v>
          </cell>
          <cell r="K3815" t="str">
            <v>MONONA</v>
          </cell>
          <cell r="L3815" t="str">
            <v>Monona</v>
          </cell>
          <cell r="V3815">
            <v>184000</v>
          </cell>
        </row>
        <row r="3816">
          <cell r="B3816">
            <v>1985</v>
          </cell>
          <cell r="K3816" t="str">
            <v>SAC</v>
          </cell>
          <cell r="L3816" t="str">
            <v>Sac</v>
          </cell>
          <cell r="V3816">
            <v>156000</v>
          </cell>
        </row>
        <row r="3817">
          <cell r="B3817">
            <v>1985</v>
          </cell>
          <cell r="K3817" t="str">
            <v>SHELBY</v>
          </cell>
          <cell r="L3817" t="str">
            <v>Shelby</v>
          </cell>
          <cell r="V3817">
            <v>197000</v>
          </cell>
        </row>
        <row r="3818">
          <cell r="B3818">
            <v>1985</v>
          </cell>
          <cell r="K3818" t="str">
            <v>WOODBURY</v>
          </cell>
          <cell r="L3818" t="str">
            <v>Woodbury</v>
          </cell>
          <cell r="V3818">
            <v>223000</v>
          </cell>
        </row>
        <row r="3819">
          <cell r="B3819">
            <v>1984</v>
          </cell>
          <cell r="K3819" t="str">
            <v>BOONE</v>
          </cell>
          <cell r="L3819" t="str">
            <v>Boone</v>
          </cell>
          <cell r="V3819">
            <v>130000</v>
          </cell>
        </row>
        <row r="3820">
          <cell r="B3820">
            <v>1984</v>
          </cell>
          <cell r="K3820" t="str">
            <v>DALLAS</v>
          </cell>
          <cell r="L3820" t="str">
            <v>Dallas</v>
          </cell>
          <cell r="V3820">
            <v>149000</v>
          </cell>
        </row>
        <row r="3821">
          <cell r="B3821">
            <v>1984</v>
          </cell>
          <cell r="K3821" t="str">
            <v>GRUNDY</v>
          </cell>
          <cell r="L3821" t="str">
            <v>Grundy</v>
          </cell>
          <cell r="V3821">
            <v>158000</v>
          </cell>
        </row>
        <row r="3822">
          <cell r="B3822">
            <v>1984</v>
          </cell>
          <cell r="K3822" t="str">
            <v>HAMILTON</v>
          </cell>
          <cell r="L3822" t="str">
            <v>Hamilton</v>
          </cell>
          <cell r="V3822">
            <v>141000</v>
          </cell>
        </row>
        <row r="3823">
          <cell r="B3823">
            <v>1984</v>
          </cell>
          <cell r="K3823" t="str">
            <v>HARDIN</v>
          </cell>
          <cell r="L3823" t="str">
            <v>Hardin</v>
          </cell>
          <cell r="V3823">
            <v>174000</v>
          </cell>
        </row>
        <row r="3824">
          <cell r="B3824">
            <v>1984</v>
          </cell>
          <cell r="K3824" t="str">
            <v>JASPER</v>
          </cell>
          <cell r="L3824" t="str">
            <v>Jasper</v>
          </cell>
          <cell r="V3824">
            <v>178000</v>
          </cell>
        </row>
        <row r="3825">
          <cell r="B3825">
            <v>1984</v>
          </cell>
          <cell r="K3825" t="str">
            <v>MARSHALL</v>
          </cell>
          <cell r="L3825" t="str">
            <v>Marshall</v>
          </cell>
          <cell r="V3825">
            <v>148000</v>
          </cell>
        </row>
        <row r="3826">
          <cell r="B3826">
            <v>1984</v>
          </cell>
          <cell r="K3826" t="str">
            <v>POLK</v>
          </cell>
          <cell r="L3826" t="str">
            <v>Polk</v>
          </cell>
          <cell r="V3826">
            <v>97000</v>
          </cell>
        </row>
        <row r="3827">
          <cell r="B3827">
            <v>1984</v>
          </cell>
          <cell r="K3827" t="str">
            <v>POWESHIEK</v>
          </cell>
          <cell r="L3827" t="str">
            <v>Poweshiek</v>
          </cell>
          <cell r="V3827">
            <v>126000</v>
          </cell>
        </row>
        <row r="3828">
          <cell r="B3828">
            <v>1984</v>
          </cell>
          <cell r="K3828" t="str">
            <v>STORY</v>
          </cell>
          <cell r="L3828" t="str">
            <v>Story</v>
          </cell>
          <cell r="V3828">
            <v>164000</v>
          </cell>
        </row>
        <row r="3829">
          <cell r="B3829">
            <v>1984</v>
          </cell>
          <cell r="K3829" t="str">
            <v>TAMA</v>
          </cell>
          <cell r="L3829" t="str">
            <v>Tama</v>
          </cell>
          <cell r="V3829">
            <v>184000</v>
          </cell>
        </row>
        <row r="3830">
          <cell r="B3830">
            <v>1984</v>
          </cell>
          <cell r="K3830" t="str">
            <v>WEBSTER</v>
          </cell>
          <cell r="L3830" t="str">
            <v>Webster</v>
          </cell>
          <cell r="V3830">
            <v>161000</v>
          </cell>
        </row>
        <row r="3831">
          <cell r="B3831">
            <v>1984</v>
          </cell>
          <cell r="K3831" t="str">
            <v>BENTON</v>
          </cell>
          <cell r="L3831" t="str">
            <v>Benton</v>
          </cell>
          <cell r="V3831">
            <v>196000</v>
          </cell>
        </row>
        <row r="3832">
          <cell r="B3832">
            <v>1984</v>
          </cell>
          <cell r="K3832" t="str">
            <v>CEDAR</v>
          </cell>
          <cell r="L3832" t="str">
            <v>Cedar</v>
          </cell>
          <cell r="V3832">
            <v>162000</v>
          </cell>
        </row>
        <row r="3833">
          <cell r="B3833">
            <v>1984</v>
          </cell>
          <cell r="K3833" t="str">
            <v>CLINTON</v>
          </cell>
          <cell r="L3833" t="str">
            <v>Clinton</v>
          </cell>
          <cell r="V3833">
            <v>233000</v>
          </cell>
        </row>
        <row r="3834">
          <cell r="B3834">
            <v>1984</v>
          </cell>
          <cell r="K3834" t="str">
            <v>IOWA</v>
          </cell>
          <cell r="L3834" t="str">
            <v>Iowa</v>
          </cell>
          <cell r="V3834">
            <v>149000</v>
          </cell>
        </row>
        <row r="3835">
          <cell r="B3835">
            <v>1984</v>
          </cell>
          <cell r="K3835" t="str">
            <v>JACKSON</v>
          </cell>
          <cell r="L3835" t="str">
            <v>Jackson</v>
          </cell>
          <cell r="V3835">
            <v>115000</v>
          </cell>
        </row>
        <row r="3836">
          <cell r="B3836">
            <v>1984</v>
          </cell>
          <cell r="K3836" t="str">
            <v>JOHNSON</v>
          </cell>
          <cell r="L3836" t="str">
            <v>Johnson</v>
          </cell>
          <cell r="V3836">
            <v>146000</v>
          </cell>
        </row>
        <row r="3837">
          <cell r="B3837">
            <v>1984</v>
          </cell>
          <cell r="K3837" t="str">
            <v>JONES</v>
          </cell>
          <cell r="L3837" t="str">
            <v>Jones</v>
          </cell>
          <cell r="V3837">
            <v>165000</v>
          </cell>
        </row>
        <row r="3838">
          <cell r="B3838">
            <v>1984</v>
          </cell>
          <cell r="K3838" t="str">
            <v>LINN</v>
          </cell>
          <cell r="L3838" t="str">
            <v>Linn</v>
          </cell>
          <cell r="V3838">
            <v>156000</v>
          </cell>
        </row>
        <row r="3839">
          <cell r="B3839">
            <v>1984</v>
          </cell>
          <cell r="K3839" t="str">
            <v>MUSCATINE</v>
          </cell>
          <cell r="L3839" t="str">
            <v>Muscatine</v>
          </cell>
          <cell r="V3839">
            <v>130000</v>
          </cell>
        </row>
        <row r="3840">
          <cell r="B3840">
            <v>1984</v>
          </cell>
          <cell r="K3840" t="str">
            <v>SCOTT</v>
          </cell>
          <cell r="L3840" t="str">
            <v>Scott</v>
          </cell>
          <cell r="V3840">
            <v>144000</v>
          </cell>
        </row>
        <row r="3841">
          <cell r="B3841">
            <v>1984</v>
          </cell>
          <cell r="K3841" t="str">
            <v>BUTLER</v>
          </cell>
          <cell r="L3841" t="str">
            <v>Butler</v>
          </cell>
          <cell r="V3841">
            <v>174000</v>
          </cell>
        </row>
        <row r="3842">
          <cell r="B3842">
            <v>1984</v>
          </cell>
          <cell r="K3842" t="str">
            <v>CERRO GORDO</v>
          </cell>
          <cell r="L3842" t="str">
            <v>Cerro Gordo</v>
          </cell>
          <cell r="V3842">
            <v>166000</v>
          </cell>
        </row>
        <row r="3843">
          <cell r="B3843">
            <v>1984</v>
          </cell>
          <cell r="K3843" t="str">
            <v>FLOYD</v>
          </cell>
          <cell r="L3843" t="str">
            <v>Floyd</v>
          </cell>
          <cell r="V3843">
            <v>142000</v>
          </cell>
        </row>
        <row r="3844">
          <cell r="B3844">
            <v>1984</v>
          </cell>
          <cell r="K3844" t="str">
            <v>FRANKLIN</v>
          </cell>
          <cell r="L3844" t="str">
            <v>Franklin</v>
          </cell>
          <cell r="V3844">
            <v>170000</v>
          </cell>
        </row>
        <row r="3845">
          <cell r="B3845">
            <v>1984</v>
          </cell>
          <cell r="K3845" t="str">
            <v>HANCOCK</v>
          </cell>
          <cell r="L3845" t="str">
            <v>Hancock</v>
          </cell>
          <cell r="V3845">
            <v>175000</v>
          </cell>
        </row>
        <row r="3846">
          <cell r="B3846">
            <v>1984</v>
          </cell>
          <cell r="K3846" t="str">
            <v>HUMBOLDT</v>
          </cell>
          <cell r="L3846" t="str">
            <v>Humboldt</v>
          </cell>
          <cell r="V3846">
            <v>125000</v>
          </cell>
        </row>
        <row r="3847">
          <cell r="B3847">
            <v>1984</v>
          </cell>
          <cell r="K3847" t="str">
            <v>KOSSUTH</v>
          </cell>
          <cell r="L3847" t="str">
            <v>Kossuth</v>
          </cell>
          <cell r="V3847">
            <v>271000</v>
          </cell>
        </row>
        <row r="3848">
          <cell r="B3848">
            <v>1984</v>
          </cell>
          <cell r="K3848" t="str">
            <v>MITCHELL</v>
          </cell>
          <cell r="L3848" t="str">
            <v>Mitchell</v>
          </cell>
          <cell r="V3848">
            <v>124000</v>
          </cell>
        </row>
        <row r="3849">
          <cell r="B3849">
            <v>1984</v>
          </cell>
          <cell r="K3849" t="str">
            <v>WINNEBAGO</v>
          </cell>
          <cell r="L3849" t="str">
            <v>Winnebago</v>
          </cell>
          <cell r="V3849">
            <v>121000</v>
          </cell>
        </row>
        <row r="3850">
          <cell r="B3850">
            <v>1984</v>
          </cell>
          <cell r="K3850" t="str">
            <v>WORTH</v>
          </cell>
          <cell r="L3850" t="str">
            <v>Worth</v>
          </cell>
          <cell r="V3850">
            <v>115000</v>
          </cell>
        </row>
        <row r="3851">
          <cell r="B3851">
            <v>1984</v>
          </cell>
          <cell r="K3851" t="str">
            <v>WRIGHT</v>
          </cell>
          <cell r="L3851" t="str">
            <v>Wright</v>
          </cell>
          <cell r="V3851">
            <v>167000</v>
          </cell>
        </row>
        <row r="3852">
          <cell r="B3852">
            <v>1984</v>
          </cell>
          <cell r="K3852" t="str">
            <v>ALLAMAKEE</v>
          </cell>
          <cell r="L3852" t="str">
            <v>Allamakee</v>
          </cell>
          <cell r="V3852">
            <v>85000</v>
          </cell>
        </row>
        <row r="3853">
          <cell r="B3853">
            <v>1984</v>
          </cell>
          <cell r="K3853" t="str">
            <v>BLACK HAWK</v>
          </cell>
          <cell r="L3853" t="str">
            <v>Black Hawk</v>
          </cell>
          <cell r="V3853">
            <v>164000</v>
          </cell>
        </row>
        <row r="3854">
          <cell r="B3854">
            <v>1984</v>
          </cell>
          <cell r="K3854" t="str">
            <v>BREMER</v>
          </cell>
          <cell r="L3854" t="str">
            <v>Bremer</v>
          </cell>
          <cell r="V3854">
            <v>118000</v>
          </cell>
        </row>
        <row r="3855">
          <cell r="B3855">
            <v>1984</v>
          </cell>
          <cell r="K3855" t="str">
            <v>BUCHANAN</v>
          </cell>
          <cell r="L3855" t="str">
            <v>Buchanan</v>
          </cell>
          <cell r="V3855">
            <v>184000</v>
          </cell>
        </row>
        <row r="3856">
          <cell r="B3856">
            <v>1984</v>
          </cell>
          <cell r="K3856" t="str">
            <v>CHICKASAW</v>
          </cell>
          <cell r="L3856" t="str">
            <v>Chickasaw</v>
          </cell>
          <cell r="V3856">
            <v>142000</v>
          </cell>
        </row>
        <row r="3857">
          <cell r="B3857">
            <v>1984</v>
          </cell>
          <cell r="K3857" t="str">
            <v>CLAYTON</v>
          </cell>
          <cell r="L3857" t="str">
            <v>Clayton</v>
          </cell>
          <cell r="V3857">
            <v>177000</v>
          </cell>
        </row>
        <row r="3858">
          <cell r="B3858">
            <v>1984</v>
          </cell>
          <cell r="K3858" t="str">
            <v>DELAWARE</v>
          </cell>
          <cell r="L3858" t="str">
            <v>Delaware</v>
          </cell>
          <cell r="V3858">
            <v>184000</v>
          </cell>
        </row>
        <row r="3859">
          <cell r="B3859">
            <v>1984</v>
          </cell>
          <cell r="K3859" t="str">
            <v>DUBUQUE</v>
          </cell>
          <cell r="L3859" t="str">
            <v>Dubuque</v>
          </cell>
          <cell r="V3859">
            <v>130000</v>
          </cell>
        </row>
        <row r="3860">
          <cell r="B3860">
            <v>1984</v>
          </cell>
          <cell r="K3860" t="str">
            <v>FAYETTE</v>
          </cell>
          <cell r="L3860" t="str">
            <v>Fayette</v>
          </cell>
          <cell r="V3860">
            <v>191000</v>
          </cell>
        </row>
        <row r="3861">
          <cell r="B3861">
            <v>1984</v>
          </cell>
          <cell r="K3861" t="str">
            <v>HOWARD</v>
          </cell>
          <cell r="L3861" t="str">
            <v>Howard</v>
          </cell>
          <cell r="V3861">
            <v>118000</v>
          </cell>
        </row>
        <row r="3862">
          <cell r="B3862">
            <v>1984</v>
          </cell>
          <cell r="K3862" t="str">
            <v>WINNESHIEK</v>
          </cell>
          <cell r="L3862" t="str">
            <v>Winneshiek</v>
          </cell>
          <cell r="V3862">
            <v>151000</v>
          </cell>
        </row>
        <row r="3863">
          <cell r="B3863">
            <v>1984</v>
          </cell>
          <cell r="K3863" t="str">
            <v>BUENA VISTA</v>
          </cell>
          <cell r="L3863" t="str">
            <v>Buena Vista</v>
          </cell>
          <cell r="V3863">
            <v>165000</v>
          </cell>
        </row>
        <row r="3864">
          <cell r="B3864">
            <v>1984</v>
          </cell>
          <cell r="K3864" t="str">
            <v>CHEROKEE</v>
          </cell>
          <cell r="L3864" t="str">
            <v>Cherokee</v>
          </cell>
          <cell r="V3864">
            <v>147000</v>
          </cell>
        </row>
        <row r="3865">
          <cell r="B3865">
            <v>1984</v>
          </cell>
          <cell r="K3865" t="str">
            <v>CLAY</v>
          </cell>
          <cell r="L3865" t="str">
            <v>Clay</v>
          </cell>
          <cell r="V3865">
            <v>139000</v>
          </cell>
        </row>
        <row r="3866">
          <cell r="B3866">
            <v>1984</v>
          </cell>
          <cell r="K3866" t="str">
            <v>DICKINSON</v>
          </cell>
          <cell r="L3866" t="str">
            <v>Dickinson</v>
          </cell>
          <cell r="V3866">
            <v>94000</v>
          </cell>
        </row>
        <row r="3867">
          <cell r="B3867">
            <v>1984</v>
          </cell>
          <cell r="K3867" t="str">
            <v>EMMET</v>
          </cell>
          <cell r="L3867" t="str">
            <v>Emmet</v>
          </cell>
          <cell r="V3867">
            <v>125000</v>
          </cell>
        </row>
        <row r="3868">
          <cell r="B3868">
            <v>1984</v>
          </cell>
          <cell r="K3868" t="str">
            <v>LYON</v>
          </cell>
          <cell r="L3868" t="str">
            <v>Lyon</v>
          </cell>
          <cell r="V3868">
            <v>164000</v>
          </cell>
        </row>
        <row r="3869">
          <cell r="B3869">
            <v>1984</v>
          </cell>
          <cell r="K3869" t="str">
            <v>O BRIEN</v>
          </cell>
          <cell r="L3869" t="str">
            <v>O Brien</v>
          </cell>
          <cell r="V3869">
            <v>162000</v>
          </cell>
        </row>
        <row r="3870">
          <cell r="B3870">
            <v>1984</v>
          </cell>
          <cell r="K3870" t="str">
            <v>OSCEOLA</v>
          </cell>
          <cell r="L3870" t="str">
            <v>Osceola</v>
          </cell>
          <cell r="V3870">
            <v>105000</v>
          </cell>
        </row>
        <row r="3871">
          <cell r="B3871">
            <v>1984</v>
          </cell>
          <cell r="K3871" t="str">
            <v>PALO ALTO</v>
          </cell>
          <cell r="L3871" t="str">
            <v>Palo Alto</v>
          </cell>
          <cell r="V3871">
            <v>173000</v>
          </cell>
        </row>
        <row r="3872">
          <cell r="B3872">
            <v>1984</v>
          </cell>
          <cell r="K3872" t="str">
            <v>PLYMOUTH</v>
          </cell>
          <cell r="L3872" t="str">
            <v>Plymouth</v>
          </cell>
          <cell r="V3872">
            <v>243000</v>
          </cell>
        </row>
        <row r="3873">
          <cell r="B3873">
            <v>1984</v>
          </cell>
          <cell r="K3873" t="str">
            <v>POCAHONTAS</v>
          </cell>
          <cell r="L3873" t="str">
            <v>Pocahontas</v>
          </cell>
          <cell r="V3873">
            <v>161000</v>
          </cell>
        </row>
        <row r="3874">
          <cell r="B3874">
            <v>1984</v>
          </cell>
          <cell r="K3874" t="str">
            <v>SIOUX</v>
          </cell>
          <cell r="L3874" t="str">
            <v>Sioux</v>
          </cell>
          <cell r="V3874">
            <v>232000</v>
          </cell>
        </row>
        <row r="3875">
          <cell r="B3875">
            <v>1984</v>
          </cell>
          <cell r="K3875" t="str">
            <v>APPANOOSE</v>
          </cell>
          <cell r="L3875" t="str">
            <v>Appanoose</v>
          </cell>
          <cell r="V3875">
            <v>36000</v>
          </cell>
        </row>
        <row r="3876">
          <cell r="B3876">
            <v>1984</v>
          </cell>
          <cell r="K3876" t="str">
            <v>CLARKE</v>
          </cell>
          <cell r="L3876" t="str">
            <v>Clarke</v>
          </cell>
          <cell r="V3876">
            <v>47000</v>
          </cell>
        </row>
        <row r="3877">
          <cell r="B3877">
            <v>1984</v>
          </cell>
          <cell r="K3877" t="str">
            <v>DECATUR</v>
          </cell>
          <cell r="L3877" t="str">
            <v>Decatur</v>
          </cell>
          <cell r="V3877">
            <v>58000</v>
          </cell>
        </row>
        <row r="3878">
          <cell r="B3878">
            <v>1984</v>
          </cell>
          <cell r="K3878" t="str">
            <v>LUCAS</v>
          </cell>
          <cell r="L3878" t="str">
            <v>Lucas</v>
          </cell>
          <cell r="V3878">
            <v>44000</v>
          </cell>
        </row>
        <row r="3879">
          <cell r="B3879">
            <v>1984</v>
          </cell>
          <cell r="K3879" t="str">
            <v>MADISON</v>
          </cell>
          <cell r="L3879" t="str">
            <v>Madison</v>
          </cell>
          <cell r="V3879">
            <v>96000</v>
          </cell>
        </row>
        <row r="3880">
          <cell r="B3880">
            <v>1984</v>
          </cell>
          <cell r="K3880" t="str">
            <v>MARION</v>
          </cell>
          <cell r="L3880" t="str">
            <v>Marion</v>
          </cell>
          <cell r="V3880">
            <v>79000</v>
          </cell>
        </row>
        <row r="3881">
          <cell r="B3881">
            <v>1984</v>
          </cell>
          <cell r="K3881" t="str">
            <v>MONROE</v>
          </cell>
          <cell r="L3881" t="str">
            <v>Monroe</v>
          </cell>
          <cell r="V3881">
            <v>40000</v>
          </cell>
        </row>
        <row r="3882">
          <cell r="B3882">
            <v>1984</v>
          </cell>
          <cell r="K3882" t="str">
            <v>RINGGOLD</v>
          </cell>
          <cell r="L3882" t="str">
            <v>Ringgold</v>
          </cell>
          <cell r="V3882">
            <v>68000</v>
          </cell>
        </row>
        <row r="3883">
          <cell r="B3883">
            <v>1984</v>
          </cell>
          <cell r="K3883" t="str">
            <v>UNION</v>
          </cell>
          <cell r="L3883" t="str">
            <v>Union</v>
          </cell>
          <cell r="V3883">
            <v>60000</v>
          </cell>
        </row>
        <row r="3884">
          <cell r="B3884">
            <v>1984</v>
          </cell>
          <cell r="K3884" t="str">
            <v>WARREN</v>
          </cell>
          <cell r="L3884" t="str">
            <v>Warren</v>
          </cell>
          <cell r="V3884">
            <v>97000</v>
          </cell>
        </row>
        <row r="3885">
          <cell r="B3885">
            <v>1984</v>
          </cell>
          <cell r="K3885" t="str">
            <v>WAYNE</v>
          </cell>
          <cell r="L3885" t="str">
            <v>Wayne</v>
          </cell>
          <cell r="V3885">
            <v>74000</v>
          </cell>
        </row>
        <row r="3886">
          <cell r="B3886">
            <v>1984</v>
          </cell>
          <cell r="K3886" t="str">
            <v>DAVIS</v>
          </cell>
          <cell r="L3886" t="str">
            <v>Davis</v>
          </cell>
          <cell r="V3886">
            <v>52000</v>
          </cell>
        </row>
        <row r="3887">
          <cell r="B3887">
            <v>1984</v>
          </cell>
          <cell r="K3887" t="str">
            <v>DES MOINES</v>
          </cell>
          <cell r="L3887" t="str">
            <v>Des Moines</v>
          </cell>
          <cell r="V3887">
            <v>104000</v>
          </cell>
        </row>
        <row r="3888">
          <cell r="B3888">
            <v>1984</v>
          </cell>
          <cell r="K3888" t="str">
            <v>HENRY</v>
          </cell>
          <cell r="L3888" t="str">
            <v>Henry</v>
          </cell>
          <cell r="V3888">
            <v>97000</v>
          </cell>
        </row>
        <row r="3889">
          <cell r="B3889">
            <v>1984</v>
          </cell>
          <cell r="K3889" t="str">
            <v>JEFFERSON</v>
          </cell>
          <cell r="L3889" t="str">
            <v>Jefferson</v>
          </cell>
          <cell r="V3889">
            <v>89000</v>
          </cell>
        </row>
        <row r="3890">
          <cell r="B3890">
            <v>1984</v>
          </cell>
          <cell r="K3890" t="str">
            <v>KEOKUK</v>
          </cell>
          <cell r="L3890" t="str">
            <v>Keokuk</v>
          </cell>
          <cell r="V3890">
            <v>120000</v>
          </cell>
        </row>
        <row r="3891">
          <cell r="B3891">
            <v>1984</v>
          </cell>
          <cell r="K3891" t="str">
            <v>LEE</v>
          </cell>
          <cell r="L3891" t="str">
            <v>Lee</v>
          </cell>
          <cell r="V3891">
            <v>100000</v>
          </cell>
        </row>
        <row r="3892">
          <cell r="B3892">
            <v>1984</v>
          </cell>
          <cell r="K3892" t="str">
            <v>LOUISA</v>
          </cell>
          <cell r="L3892" t="str">
            <v>Louisa</v>
          </cell>
          <cell r="V3892">
            <v>99000</v>
          </cell>
        </row>
        <row r="3893">
          <cell r="B3893">
            <v>1984</v>
          </cell>
          <cell r="K3893" t="str">
            <v>MAHASKA</v>
          </cell>
          <cell r="L3893" t="str">
            <v>Mahaska</v>
          </cell>
          <cell r="V3893">
            <v>128000</v>
          </cell>
        </row>
        <row r="3894">
          <cell r="B3894">
            <v>1984</v>
          </cell>
          <cell r="K3894" t="str">
            <v>VAN BUREN</v>
          </cell>
          <cell r="L3894" t="str">
            <v>Van Buren</v>
          </cell>
          <cell r="V3894">
            <v>60000</v>
          </cell>
        </row>
        <row r="3895">
          <cell r="B3895">
            <v>1984</v>
          </cell>
          <cell r="K3895" t="str">
            <v>WAPELLO</v>
          </cell>
          <cell r="L3895" t="str">
            <v>Wapello</v>
          </cell>
          <cell r="V3895">
            <v>53000</v>
          </cell>
        </row>
        <row r="3896">
          <cell r="B3896">
            <v>1984</v>
          </cell>
          <cell r="K3896" t="str">
            <v>WASHINGTON</v>
          </cell>
          <cell r="L3896" t="str">
            <v>Washington</v>
          </cell>
          <cell r="V3896">
            <v>153000</v>
          </cell>
        </row>
        <row r="3897">
          <cell r="B3897">
            <v>1984</v>
          </cell>
          <cell r="K3897" t="str">
            <v>ADAIR</v>
          </cell>
          <cell r="L3897" t="str">
            <v>Adair</v>
          </cell>
          <cell r="V3897">
            <v>117000</v>
          </cell>
        </row>
        <row r="3898">
          <cell r="B3898">
            <v>1984</v>
          </cell>
          <cell r="K3898" t="str">
            <v>ADAMS</v>
          </cell>
          <cell r="L3898" t="str">
            <v>Adams</v>
          </cell>
          <cell r="V3898">
            <v>63000</v>
          </cell>
        </row>
        <row r="3899">
          <cell r="B3899">
            <v>1984</v>
          </cell>
          <cell r="K3899" t="str">
            <v>CASS</v>
          </cell>
          <cell r="L3899" t="str">
            <v>Cass</v>
          </cell>
          <cell r="V3899">
            <v>125000</v>
          </cell>
        </row>
        <row r="3900">
          <cell r="B3900">
            <v>1984</v>
          </cell>
          <cell r="K3900" t="str">
            <v>FREMONT</v>
          </cell>
          <cell r="L3900" t="str">
            <v>Fremont</v>
          </cell>
          <cell r="V3900">
            <v>109000</v>
          </cell>
        </row>
        <row r="3901">
          <cell r="B3901">
            <v>1984</v>
          </cell>
          <cell r="K3901" t="str">
            <v>MILLS</v>
          </cell>
          <cell r="L3901" t="str">
            <v>Mills</v>
          </cell>
          <cell r="V3901">
            <v>100000</v>
          </cell>
        </row>
        <row r="3902">
          <cell r="B3902">
            <v>1984</v>
          </cell>
          <cell r="K3902" t="str">
            <v>MONTGOMERY</v>
          </cell>
          <cell r="L3902" t="str">
            <v>Montgomery</v>
          </cell>
          <cell r="V3902">
            <v>86000</v>
          </cell>
        </row>
        <row r="3903">
          <cell r="B3903">
            <v>1984</v>
          </cell>
          <cell r="K3903" t="str">
            <v>PAGE</v>
          </cell>
          <cell r="L3903" t="str">
            <v>Page</v>
          </cell>
          <cell r="V3903">
            <v>96000</v>
          </cell>
        </row>
        <row r="3904">
          <cell r="B3904">
            <v>1984</v>
          </cell>
          <cell r="K3904" t="str">
            <v>POTTAWATTAMIE</v>
          </cell>
          <cell r="L3904" t="str">
            <v>Pottawattamie</v>
          </cell>
          <cell r="V3904">
            <v>256000</v>
          </cell>
        </row>
        <row r="3905">
          <cell r="B3905">
            <v>1984</v>
          </cell>
          <cell r="K3905" t="str">
            <v>TAYLOR</v>
          </cell>
          <cell r="L3905" t="str">
            <v>Taylor</v>
          </cell>
          <cell r="V3905">
            <v>78000</v>
          </cell>
        </row>
        <row r="3906">
          <cell r="B3906">
            <v>1984</v>
          </cell>
          <cell r="K3906" t="str">
            <v>AUDUBON</v>
          </cell>
          <cell r="L3906" t="str">
            <v>Audubon</v>
          </cell>
          <cell r="V3906">
            <v>122000</v>
          </cell>
        </row>
        <row r="3907">
          <cell r="B3907">
            <v>1984</v>
          </cell>
          <cell r="K3907" t="str">
            <v>CALHOUN</v>
          </cell>
          <cell r="L3907" t="str">
            <v>Calhoun</v>
          </cell>
          <cell r="V3907">
            <v>176000</v>
          </cell>
        </row>
        <row r="3908">
          <cell r="B3908">
            <v>1984</v>
          </cell>
          <cell r="K3908" t="str">
            <v>CARROLL</v>
          </cell>
          <cell r="L3908" t="str">
            <v>Carroll</v>
          </cell>
          <cell r="V3908">
            <v>164000</v>
          </cell>
        </row>
        <row r="3909">
          <cell r="B3909">
            <v>1984</v>
          </cell>
          <cell r="K3909" t="str">
            <v>CRAWFORD</v>
          </cell>
          <cell r="L3909" t="str">
            <v>Crawford</v>
          </cell>
          <cell r="V3909">
            <v>165000</v>
          </cell>
        </row>
        <row r="3910">
          <cell r="B3910">
            <v>1984</v>
          </cell>
          <cell r="K3910" t="str">
            <v>GREENE</v>
          </cell>
          <cell r="L3910" t="str">
            <v>Greene</v>
          </cell>
          <cell r="V3910">
            <v>135000</v>
          </cell>
        </row>
        <row r="3911">
          <cell r="B3911">
            <v>1984</v>
          </cell>
          <cell r="K3911" t="str">
            <v>GUTHRIE</v>
          </cell>
          <cell r="L3911" t="str">
            <v>Guthrie</v>
          </cell>
          <cell r="V3911">
            <v>129000</v>
          </cell>
        </row>
        <row r="3912">
          <cell r="B3912">
            <v>1984</v>
          </cell>
          <cell r="K3912" t="str">
            <v>HARRISON</v>
          </cell>
          <cell r="L3912" t="str">
            <v>Harrison</v>
          </cell>
          <cell r="V3912">
            <v>160000</v>
          </cell>
        </row>
        <row r="3913">
          <cell r="B3913">
            <v>1984</v>
          </cell>
          <cell r="K3913" t="str">
            <v>IDA</v>
          </cell>
          <cell r="L3913" t="str">
            <v>Ida</v>
          </cell>
          <cell r="V3913">
            <v>138000</v>
          </cell>
        </row>
        <row r="3914">
          <cell r="B3914">
            <v>1984</v>
          </cell>
          <cell r="K3914" t="str">
            <v>MONONA</v>
          </cell>
          <cell r="L3914" t="str">
            <v>Monona</v>
          </cell>
          <cell r="V3914">
            <v>167000</v>
          </cell>
        </row>
        <row r="3915">
          <cell r="B3915">
            <v>1984</v>
          </cell>
          <cell r="K3915" t="str">
            <v>SAC</v>
          </cell>
          <cell r="L3915" t="str">
            <v>Sac</v>
          </cell>
          <cell r="V3915">
            <v>155000</v>
          </cell>
        </row>
        <row r="3916">
          <cell r="B3916">
            <v>1984</v>
          </cell>
          <cell r="K3916" t="str">
            <v>SHELBY</v>
          </cell>
          <cell r="L3916" t="str">
            <v>Shelby</v>
          </cell>
          <cell r="V3916">
            <v>187000</v>
          </cell>
        </row>
        <row r="3917">
          <cell r="B3917">
            <v>1984</v>
          </cell>
          <cell r="K3917" t="str">
            <v>WOODBURY</v>
          </cell>
          <cell r="L3917" t="str">
            <v>Woodbury</v>
          </cell>
          <cell r="V3917">
            <v>208000</v>
          </cell>
        </row>
        <row r="3918">
          <cell r="B3918">
            <v>1983</v>
          </cell>
          <cell r="K3918" t="str">
            <v>BOONE</v>
          </cell>
          <cell r="L3918" t="str">
            <v>Boone</v>
          </cell>
          <cell r="V3918">
            <v>89000</v>
          </cell>
        </row>
        <row r="3919">
          <cell r="B3919">
            <v>1983</v>
          </cell>
          <cell r="K3919" t="str">
            <v>DALLAS</v>
          </cell>
          <cell r="L3919" t="str">
            <v>Dallas</v>
          </cell>
          <cell r="V3919">
            <v>95000</v>
          </cell>
        </row>
        <row r="3920">
          <cell r="B3920">
            <v>1983</v>
          </cell>
          <cell r="K3920" t="str">
            <v>GRUNDY</v>
          </cell>
          <cell r="L3920" t="str">
            <v>Grundy</v>
          </cell>
          <cell r="V3920">
            <v>104000</v>
          </cell>
        </row>
        <row r="3921">
          <cell r="B3921">
            <v>1983</v>
          </cell>
          <cell r="K3921" t="str">
            <v>HAMILTON</v>
          </cell>
          <cell r="L3921" t="str">
            <v>Hamilton</v>
          </cell>
          <cell r="V3921">
            <v>100000</v>
          </cell>
        </row>
        <row r="3922">
          <cell r="B3922">
            <v>1983</v>
          </cell>
          <cell r="K3922" t="str">
            <v>HARDIN</v>
          </cell>
          <cell r="L3922" t="str">
            <v>Hardin</v>
          </cell>
          <cell r="V3922">
            <v>123000</v>
          </cell>
        </row>
        <row r="3923">
          <cell r="B3923">
            <v>1983</v>
          </cell>
          <cell r="K3923" t="str">
            <v>JASPER</v>
          </cell>
          <cell r="L3923" t="str">
            <v>Jasper</v>
          </cell>
          <cell r="V3923">
            <v>121000</v>
          </cell>
        </row>
        <row r="3924">
          <cell r="B3924">
            <v>1983</v>
          </cell>
          <cell r="K3924" t="str">
            <v>MARSHALL</v>
          </cell>
          <cell r="L3924" t="str">
            <v>Marshall</v>
          </cell>
          <cell r="V3924">
            <v>98000</v>
          </cell>
        </row>
        <row r="3925">
          <cell r="B3925">
            <v>1983</v>
          </cell>
          <cell r="K3925" t="str">
            <v>POLK</v>
          </cell>
          <cell r="L3925" t="str">
            <v>Polk</v>
          </cell>
          <cell r="V3925">
            <v>68000</v>
          </cell>
        </row>
        <row r="3926">
          <cell r="B3926">
            <v>1983</v>
          </cell>
          <cell r="K3926" t="str">
            <v>POWESHIEK</v>
          </cell>
          <cell r="L3926" t="str">
            <v>Poweshiek</v>
          </cell>
          <cell r="V3926">
            <v>90000</v>
          </cell>
        </row>
        <row r="3927">
          <cell r="B3927">
            <v>1983</v>
          </cell>
          <cell r="K3927" t="str">
            <v>STORY</v>
          </cell>
          <cell r="L3927" t="str">
            <v>Story</v>
          </cell>
          <cell r="V3927">
            <v>99000</v>
          </cell>
        </row>
        <row r="3928">
          <cell r="B3928">
            <v>1983</v>
          </cell>
          <cell r="K3928" t="str">
            <v>TAMA</v>
          </cell>
          <cell r="L3928" t="str">
            <v>Tama</v>
          </cell>
          <cell r="V3928">
            <v>110000</v>
          </cell>
        </row>
        <row r="3929">
          <cell r="B3929">
            <v>1983</v>
          </cell>
          <cell r="K3929" t="str">
            <v>WEBSTER</v>
          </cell>
          <cell r="L3929" t="str">
            <v>Webster</v>
          </cell>
          <cell r="V3929">
            <v>121000</v>
          </cell>
        </row>
        <row r="3930">
          <cell r="B3930">
            <v>1983</v>
          </cell>
          <cell r="K3930" t="str">
            <v>BENTON</v>
          </cell>
          <cell r="L3930" t="str">
            <v>Benton</v>
          </cell>
          <cell r="V3930">
            <v>129000</v>
          </cell>
        </row>
        <row r="3931">
          <cell r="B3931">
            <v>1983</v>
          </cell>
          <cell r="K3931" t="str">
            <v>CEDAR</v>
          </cell>
          <cell r="L3931" t="str">
            <v>Cedar</v>
          </cell>
          <cell r="V3931">
            <v>115000</v>
          </cell>
        </row>
        <row r="3932">
          <cell r="B3932">
            <v>1983</v>
          </cell>
          <cell r="K3932" t="str">
            <v>CLINTON</v>
          </cell>
          <cell r="L3932" t="str">
            <v>Clinton</v>
          </cell>
          <cell r="V3932">
            <v>159000</v>
          </cell>
        </row>
        <row r="3933">
          <cell r="B3933">
            <v>1983</v>
          </cell>
          <cell r="K3933" t="str">
            <v>IOWA</v>
          </cell>
          <cell r="L3933" t="str">
            <v>Iowa</v>
          </cell>
          <cell r="V3933">
            <v>99000</v>
          </cell>
        </row>
        <row r="3934">
          <cell r="B3934">
            <v>1983</v>
          </cell>
          <cell r="K3934" t="str">
            <v>JACKSON</v>
          </cell>
          <cell r="L3934" t="str">
            <v>Jackson</v>
          </cell>
          <cell r="V3934">
            <v>81000</v>
          </cell>
        </row>
        <row r="3935">
          <cell r="B3935">
            <v>1983</v>
          </cell>
          <cell r="K3935" t="str">
            <v>JOHNSON</v>
          </cell>
          <cell r="L3935" t="str">
            <v>Johnson</v>
          </cell>
          <cell r="V3935">
            <v>111000</v>
          </cell>
        </row>
        <row r="3936">
          <cell r="B3936">
            <v>1983</v>
          </cell>
          <cell r="K3936" t="str">
            <v>JONES</v>
          </cell>
          <cell r="L3936" t="str">
            <v>Jones</v>
          </cell>
          <cell r="V3936">
            <v>114000</v>
          </cell>
        </row>
        <row r="3937">
          <cell r="B3937">
            <v>1983</v>
          </cell>
          <cell r="K3937" t="str">
            <v>LINN</v>
          </cell>
          <cell r="L3937" t="str">
            <v>Linn</v>
          </cell>
          <cell r="V3937">
            <v>108000</v>
          </cell>
        </row>
        <row r="3938">
          <cell r="B3938">
            <v>1983</v>
          </cell>
          <cell r="K3938" t="str">
            <v>MUSCATINE</v>
          </cell>
          <cell r="L3938" t="str">
            <v>Muscatine</v>
          </cell>
          <cell r="V3938">
            <v>79000</v>
          </cell>
        </row>
        <row r="3939">
          <cell r="B3939">
            <v>1983</v>
          </cell>
          <cell r="K3939" t="str">
            <v>SCOTT</v>
          </cell>
          <cell r="L3939" t="str">
            <v>Scott</v>
          </cell>
          <cell r="V3939">
            <v>116000</v>
          </cell>
        </row>
        <row r="3940">
          <cell r="B3940">
            <v>1983</v>
          </cell>
          <cell r="K3940" t="str">
            <v>BUTLER</v>
          </cell>
          <cell r="L3940" t="str">
            <v>Butler</v>
          </cell>
          <cell r="V3940">
            <v>107000</v>
          </cell>
        </row>
        <row r="3941">
          <cell r="B3941">
            <v>1983</v>
          </cell>
          <cell r="K3941" t="str">
            <v>CERRO GORDO</v>
          </cell>
          <cell r="L3941" t="str">
            <v>Cerro Gordo</v>
          </cell>
          <cell r="V3941">
            <v>117000</v>
          </cell>
        </row>
        <row r="3942">
          <cell r="B3942">
            <v>1983</v>
          </cell>
          <cell r="K3942" t="str">
            <v>FLOYD</v>
          </cell>
          <cell r="L3942" t="str">
            <v>Floyd</v>
          </cell>
          <cell r="V3942">
            <v>83000</v>
          </cell>
        </row>
        <row r="3943">
          <cell r="B3943">
            <v>1983</v>
          </cell>
          <cell r="K3943" t="str">
            <v>FRANKLIN</v>
          </cell>
          <cell r="L3943" t="str">
            <v>Franklin</v>
          </cell>
          <cell r="V3943">
            <v>110000</v>
          </cell>
        </row>
        <row r="3944">
          <cell r="B3944">
            <v>1983</v>
          </cell>
          <cell r="K3944" t="str">
            <v>HANCOCK</v>
          </cell>
          <cell r="L3944" t="str">
            <v>Hancock</v>
          </cell>
          <cell r="V3944">
            <v>102000</v>
          </cell>
        </row>
        <row r="3945">
          <cell r="B3945">
            <v>1983</v>
          </cell>
          <cell r="K3945" t="str">
            <v>HUMBOLDT</v>
          </cell>
          <cell r="L3945" t="str">
            <v>Humboldt</v>
          </cell>
          <cell r="V3945">
            <v>79000</v>
          </cell>
        </row>
        <row r="3946">
          <cell r="B3946">
            <v>1983</v>
          </cell>
          <cell r="K3946" t="str">
            <v>KOSSUTH</v>
          </cell>
          <cell r="L3946" t="str">
            <v>Kossuth</v>
          </cell>
          <cell r="V3946">
            <v>184000</v>
          </cell>
        </row>
        <row r="3947">
          <cell r="B3947">
            <v>1983</v>
          </cell>
          <cell r="K3947" t="str">
            <v>MITCHELL</v>
          </cell>
          <cell r="L3947" t="str">
            <v>Mitchell</v>
          </cell>
          <cell r="V3947">
            <v>89000</v>
          </cell>
        </row>
        <row r="3948">
          <cell r="B3948">
            <v>1983</v>
          </cell>
          <cell r="K3948" t="str">
            <v>WINNEBAGO</v>
          </cell>
          <cell r="L3948" t="str">
            <v>Winnebago</v>
          </cell>
          <cell r="V3948">
            <v>81000</v>
          </cell>
        </row>
        <row r="3949">
          <cell r="B3949">
            <v>1983</v>
          </cell>
          <cell r="K3949" t="str">
            <v>WORTH</v>
          </cell>
          <cell r="L3949" t="str">
            <v>Worth</v>
          </cell>
          <cell r="V3949">
            <v>73000</v>
          </cell>
        </row>
        <row r="3950">
          <cell r="B3950">
            <v>1983</v>
          </cell>
          <cell r="K3950" t="str">
            <v>WRIGHT</v>
          </cell>
          <cell r="L3950" t="str">
            <v>Wright</v>
          </cell>
          <cell r="V3950">
            <v>104000</v>
          </cell>
        </row>
        <row r="3951">
          <cell r="B3951">
            <v>1983</v>
          </cell>
          <cell r="K3951" t="str">
            <v>ALLAMAKEE</v>
          </cell>
          <cell r="L3951" t="str">
            <v>Allamakee</v>
          </cell>
          <cell r="V3951">
            <v>60000</v>
          </cell>
        </row>
        <row r="3952">
          <cell r="B3952">
            <v>1983</v>
          </cell>
          <cell r="K3952" t="str">
            <v>BLACK HAWK</v>
          </cell>
          <cell r="L3952" t="str">
            <v>Black Hawk</v>
          </cell>
          <cell r="V3952">
            <v>110000</v>
          </cell>
        </row>
        <row r="3953">
          <cell r="B3953">
            <v>1983</v>
          </cell>
          <cell r="K3953" t="str">
            <v>BREMER</v>
          </cell>
          <cell r="L3953" t="str">
            <v>Bremer</v>
          </cell>
          <cell r="V3953">
            <v>73000</v>
          </cell>
        </row>
        <row r="3954">
          <cell r="B3954">
            <v>1983</v>
          </cell>
          <cell r="K3954" t="str">
            <v>BUCHANAN</v>
          </cell>
          <cell r="L3954" t="str">
            <v>Buchanan</v>
          </cell>
          <cell r="V3954">
            <v>133000</v>
          </cell>
        </row>
        <row r="3955">
          <cell r="B3955">
            <v>1983</v>
          </cell>
          <cell r="K3955" t="str">
            <v>CHICKASAW</v>
          </cell>
          <cell r="L3955" t="str">
            <v>Chickasaw</v>
          </cell>
          <cell r="V3955">
            <v>90000</v>
          </cell>
        </row>
        <row r="3956">
          <cell r="B3956">
            <v>1983</v>
          </cell>
          <cell r="K3956" t="str">
            <v>CLAYTON</v>
          </cell>
          <cell r="L3956" t="str">
            <v>Clayton</v>
          </cell>
          <cell r="V3956">
            <v>119000</v>
          </cell>
        </row>
        <row r="3957">
          <cell r="B3957">
            <v>1983</v>
          </cell>
          <cell r="K3957" t="str">
            <v>DELAWARE</v>
          </cell>
          <cell r="L3957" t="str">
            <v>Delaware</v>
          </cell>
          <cell r="V3957">
            <v>137000</v>
          </cell>
        </row>
        <row r="3958">
          <cell r="B3958">
            <v>1983</v>
          </cell>
          <cell r="K3958" t="str">
            <v>DUBUQUE</v>
          </cell>
          <cell r="L3958" t="str">
            <v>Dubuque</v>
          </cell>
          <cell r="V3958">
            <v>105000</v>
          </cell>
        </row>
        <row r="3959">
          <cell r="B3959">
            <v>1983</v>
          </cell>
          <cell r="K3959" t="str">
            <v>FAYETTE</v>
          </cell>
          <cell r="L3959" t="str">
            <v>Fayette</v>
          </cell>
          <cell r="V3959">
            <v>129000</v>
          </cell>
        </row>
        <row r="3960">
          <cell r="B3960">
            <v>1983</v>
          </cell>
          <cell r="K3960" t="str">
            <v>HOWARD</v>
          </cell>
          <cell r="L3960" t="str">
            <v>Howard</v>
          </cell>
          <cell r="V3960">
            <v>79000</v>
          </cell>
        </row>
        <row r="3961">
          <cell r="B3961">
            <v>1983</v>
          </cell>
          <cell r="K3961" t="str">
            <v>WINNESHIEK</v>
          </cell>
          <cell r="L3961" t="str">
            <v>Winneshiek</v>
          </cell>
          <cell r="V3961">
            <v>97000</v>
          </cell>
        </row>
        <row r="3962">
          <cell r="B3962">
            <v>1983</v>
          </cell>
          <cell r="K3962" t="str">
            <v>BUENA VISTA</v>
          </cell>
          <cell r="L3962" t="str">
            <v>Buena Vista</v>
          </cell>
          <cell r="V3962">
            <v>111000</v>
          </cell>
        </row>
        <row r="3963">
          <cell r="B3963">
            <v>1983</v>
          </cell>
          <cell r="K3963" t="str">
            <v>CHEROKEE</v>
          </cell>
          <cell r="L3963" t="str">
            <v>Cherokee</v>
          </cell>
          <cell r="V3963">
            <v>95000</v>
          </cell>
        </row>
        <row r="3964">
          <cell r="B3964">
            <v>1983</v>
          </cell>
          <cell r="K3964" t="str">
            <v>CLAY</v>
          </cell>
          <cell r="L3964" t="str">
            <v>Clay</v>
          </cell>
          <cell r="V3964">
            <v>92000</v>
          </cell>
        </row>
        <row r="3965">
          <cell r="B3965">
            <v>1983</v>
          </cell>
          <cell r="K3965" t="str">
            <v>DICKINSON</v>
          </cell>
          <cell r="L3965" t="str">
            <v>Dickinson</v>
          </cell>
          <cell r="V3965">
            <v>59000</v>
          </cell>
        </row>
        <row r="3966">
          <cell r="B3966">
            <v>1983</v>
          </cell>
          <cell r="K3966" t="str">
            <v>EMMET</v>
          </cell>
          <cell r="L3966" t="str">
            <v>Emmet</v>
          </cell>
          <cell r="V3966">
            <v>79000</v>
          </cell>
        </row>
        <row r="3967">
          <cell r="B3967">
            <v>1983</v>
          </cell>
          <cell r="K3967" t="str">
            <v>LYON</v>
          </cell>
          <cell r="L3967" t="str">
            <v>Lyon</v>
          </cell>
          <cell r="V3967">
            <v>123000</v>
          </cell>
        </row>
        <row r="3968">
          <cell r="B3968">
            <v>1983</v>
          </cell>
          <cell r="K3968" t="str">
            <v>O BRIEN</v>
          </cell>
          <cell r="L3968" t="str">
            <v>O Brien</v>
          </cell>
          <cell r="V3968">
            <v>118000</v>
          </cell>
        </row>
        <row r="3969">
          <cell r="B3969">
            <v>1983</v>
          </cell>
          <cell r="K3969" t="str">
            <v>OSCEOLA</v>
          </cell>
          <cell r="L3969" t="str">
            <v>Osceola</v>
          </cell>
          <cell r="V3969">
            <v>67000</v>
          </cell>
        </row>
        <row r="3970">
          <cell r="B3970">
            <v>1983</v>
          </cell>
          <cell r="K3970" t="str">
            <v>PALO ALTO</v>
          </cell>
          <cell r="L3970" t="str">
            <v>Palo Alto</v>
          </cell>
          <cell r="V3970">
            <v>104000</v>
          </cell>
        </row>
        <row r="3971">
          <cell r="B3971">
            <v>1983</v>
          </cell>
          <cell r="K3971" t="str">
            <v>PLYMOUTH</v>
          </cell>
          <cell r="L3971" t="str">
            <v>Plymouth</v>
          </cell>
          <cell r="V3971">
            <v>165000</v>
          </cell>
        </row>
        <row r="3972">
          <cell r="B3972">
            <v>1983</v>
          </cell>
          <cell r="K3972" t="str">
            <v>POCAHONTAS</v>
          </cell>
          <cell r="L3972" t="str">
            <v>Pocahontas</v>
          </cell>
          <cell r="V3972">
            <v>100000</v>
          </cell>
        </row>
        <row r="3973">
          <cell r="B3973">
            <v>1983</v>
          </cell>
          <cell r="K3973" t="str">
            <v>SIOUX</v>
          </cell>
          <cell r="L3973" t="str">
            <v>Sioux</v>
          </cell>
          <cell r="V3973">
            <v>162000</v>
          </cell>
        </row>
        <row r="3974">
          <cell r="B3974">
            <v>1983</v>
          </cell>
          <cell r="K3974" t="str">
            <v>APPANOOSE</v>
          </cell>
          <cell r="L3974" t="str">
            <v>Appanoose</v>
          </cell>
          <cell r="V3974">
            <v>28000</v>
          </cell>
        </row>
        <row r="3975">
          <cell r="B3975">
            <v>1983</v>
          </cell>
          <cell r="K3975" t="str">
            <v>CLARKE</v>
          </cell>
          <cell r="L3975" t="str">
            <v>Clarke</v>
          </cell>
          <cell r="V3975">
            <v>35000</v>
          </cell>
        </row>
        <row r="3976">
          <cell r="B3976">
            <v>1983</v>
          </cell>
          <cell r="K3976" t="str">
            <v>DECATUR</v>
          </cell>
          <cell r="L3976" t="str">
            <v>Decatur</v>
          </cell>
          <cell r="V3976">
            <v>43000</v>
          </cell>
        </row>
        <row r="3977">
          <cell r="B3977">
            <v>1983</v>
          </cell>
          <cell r="K3977" t="str">
            <v>LUCAS</v>
          </cell>
          <cell r="L3977" t="str">
            <v>Lucas</v>
          </cell>
          <cell r="V3977">
            <v>33000</v>
          </cell>
        </row>
        <row r="3978">
          <cell r="B3978">
            <v>1983</v>
          </cell>
          <cell r="K3978" t="str">
            <v>MADISON</v>
          </cell>
          <cell r="L3978" t="str">
            <v>Madison</v>
          </cell>
          <cell r="V3978">
            <v>60000</v>
          </cell>
        </row>
        <row r="3979">
          <cell r="B3979">
            <v>1983</v>
          </cell>
          <cell r="K3979" t="str">
            <v>MARION</v>
          </cell>
          <cell r="L3979" t="str">
            <v>Marion</v>
          </cell>
          <cell r="V3979">
            <v>52000</v>
          </cell>
        </row>
        <row r="3980">
          <cell r="B3980">
            <v>1983</v>
          </cell>
          <cell r="K3980" t="str">
            <v>MONROE</v>
          </cell>
          <cell r="L3980" t="str">
            <v>Monroe</v>
          </cell>
          <cell r="V3980">
            <v>28000</v>
          </cell>
        </row>
        <row r="3981">
          <cell r="B3981">
            <v>1983</v>
          </cell>
          <cell r="K3981" t="str">
            <v>RINGGOLD</v>
          </cell>
          <cell r="L3981" t="str">
            <v>Ringgold</v>
          </cell>
          <cell r="V3981">
            <v>44000</v>
          </cell>
        </row>
        <row r="3982">
          <cell r="B3982">
            <v>1983</v>
          </cell>
          <cell r="K3982" t="str">
            <v>UNION</v>
          </cell>
          <cell r="L3982" t="str">
            <v>Union</v>
          </cell>
          <cell r="V3982">
            <v>40000</v>
          </cell>
        </row>
        <row r="3983">
          <cell r="B3983">
            <v>1983</v>
          </cell>
          <cell r="K3983" t="str">
            <v>WARREN</v>
          </cell>
          <cell r="L3983" t="str">
            <v>Warren</v>
          </cell>
          <cell r="V3983">
            <v>64000</v>
          </cell>
        </row>
        <row r="3984">
          <cell r="B3984">
            <v>1983</v>
          </cell>
          <cell r="K3984" t="str">
            <v>WAYNE</v>
          </cell>
          <cell r="L3984" t="str">
            <v>Wayne</v>
          </cell>
          <cell r="V3984">
            <v>53000</v>
          </cell>
        </row>
        <row r="3985">
          <cell r="B3985">
            <v>1983</v>
          </cell>
          <cell r="K3985" t="str">
            <v>DAVIS</v>
          </cell>
          <cell r="L3985" t="str">
            <v>Davis</v>
          </cell>
          <cell r="V3985">
            <v>42000</v>
          </cell>
        </row>
        <row r="3986">
          <cell r="B3986">
            <v>1983</v>
          </cell>
          <cell r="K3986" t="str">
            <v>DES MOINES</v>
          </cell>
          <cell r="L3986" t="str">
            <v>Des Moines</v>
          </cell>
          <cell r="V3986">
            <v>69000</v>
          </cell>
        </row>
        <row r="3987">
          <cell r="B3987">
            <v>1983</v>
          </cell>
          <cell r="K3987" t="str">
            <v>HENRY</v>
          </cell>
          <cell r="L3987" t="str">
            <v>Henry</v>
          </cell>
          <cell r="V3987">
            <v>79000</v>
          </cell>
        </row>
        <row r="3988">
          <cell r="B3988">
            <v>1983</v>
          </cell>
          <cell r="K3988" t="str">
            <v>JEFFERSON</v>
          </cell>
          <cell r="L3988" t="str">
            <v>Jefferson</v>
          </cell>
          <cell r="V3988">
            <v>54000</v>
          </cell>
        </row>
        <row r="3989">
          <cell r="B3989">
            <v>1983</v>
          </cell>
          <cell r="K3989" t="str">
            <v>KEOKUK</v>
          </cell>
          <cell r="L3989" t="str">
            <v>Keokuk</v>
          </cell>
          <cell r="V3989">
            <v>92000</v>
          </cell>
        </row>
        <row r="3990">
          <cell r="B3990">
            <v>1983</v>
          </cell>
          <cell r="K3990" t="str">
            <v>LEE</v>
          </cell>
          <cell r="L3990" t="str">
            <v>Lee</v>
          </cell>
          <cell r="V3990">
            <v>64000</v>
          </cell>
        </row>
        <row r="3991">
          <cell r="B3991">
            <v>1983</v>
          </cell>
          <cell r="K3991" t="str">
            <v>LOUISA</v>
          </cell>
          <cell r="L3991" t="str">
            <v>Louisa</v>
          </cell>
          <cell r="V3991">
            <v>68000</v>
          </cell>
        </row>
        <row r="3992">
          <cell r="B3992">
            <v>1983</v>
          </cell>
          <cell r="K3992" t="str">
            <v>MAHASKA</v>
          </cell>
          <cell r="L3992" t="str">
            <v>Mahaska</v>
          </cell>
          <cell r="V3992">
            <v>100000</v>
          </cell>
        </row>
        <row r="3993">
          <cell r="B3993">
            <v>1983</v>
          </cell>
          <cell r="K3993" t="str">
            <v>VAN BUREN</v>
          </cell>
          <cell r="L3993" t="str">
            <v>Van Buren</v>
          </cell>
          <cell r="V3993">
            <v>40000</v>
          </cell>
        </row>
        <row r="3994">
          <cell r="B3994">
            <v>1983</v>
          </cell>
          <cell r="K3994" t="str">
            <v>WAPELLO</v>
          </cell>
          <cell r="L3994" t="str">
            <v>Wapello</v>
          </cell>
          <cell r="V3994">
            <v>39000</v>
          </cell>
        </row>
        <row r="3995">
          <cell r="B3995">
            <v>1983</v>
          </cell>
          <cell r="K3995" t="str">
            <v>WASHINGTON</v>
          </cell>
          <cell r="L3995" t="str">
            <v>Washington</v>
          </cell>
          <cell r="V3995">
            <v>118000</v>
          </cell>
        </row>
        <row r="3996">
          <cell r="B3996">
            <v>1983</v>
          </cell>
          <cell r="K3996" t="str">
            <v>ADAIR</v>
          </cell>
          <cell r="L3996" t="str">
            <v>Adair</v>
          </cell>
          <cell r="V3996">
            <v>76000</v>
          </cell>
        </row>
        <row r="3997">
          <cell r="B3997">
            <v>1983</v>
          </cell>
          <cell r="K3997" t="str">
            <v>ADAMS</v>
          </cell>
          <cell r="L3997" t="str">
            <v>Adams</v>
          </cell>
          <cell r="V3997">
            <v>49000</v>
          </cell>
        </row>
        <row r="3998">
          <cell r="B3998">
            <v>1983</v>
          </cell>
          <cell r="K3998" t="str">
            <v>CASS</v>
          </cell>
          <cell r="L3998" t="str">
            <v>Cass</v>
          </cell>
          <cell r="V3998">
            <v>92000</v>
          </cell>
        </row>
        <row r="3999">
          <cell r="B3999">
            <v>1983</v>
          </cell>
          <cell r="K3999" t="str">
            <v>FREMONT</v>
          </cell>
          <cell r="L3999" t="str">
            <v>Fremont</v>
          </cell>
          <cell r="V3999">
            <v>71000</v>
          </cell>
        </row>
        <row r="4000">
          <cell r="B4000">
            <v>1983</v>
          </cell>
          <cell r="K4000" t="str">
            <v>MILLS</v>
          </cell>
          <cell r="L4000" t="str">
            <v>Mills</v>
          </cell>
          <cell r="V4000">
            <v>64000</v>
          </cell>
        </row>
        <row r="4001">
          <cell r="B4001">
            <v>1983</v>
          </cell>
          <cell r="K4001" t="str">
            <v>MONTGOMERY</v>
          </cell>
          <cell r="L4001" t="str">
            <v>Montgomery</v>
          </cell>
          <cell r="V4001">
            <v>64000</v>
          </cell>
        </row>
        <row r="4002">
          <cell r="B4002">
            <v>1983</v>
          </cell>
          <cell r="K4002" t="str">
            <v>PAGE</v>
          </cell>
          <cell r="L4002" t="str">
            <v>Page</v>
          </cell>
          <cell r="V4002">
            <v>71000</v>
          </cell>
        </row>
        <row r="4003">
          <cell r="B4003">
            <v>1983</v>
          </cell>
          <cell r="K4003" t="str">
            <v>POTTAWATTAMIE</v>
          </cell>
          <cell r="L4003" t="str">
            <v>Pottawattamie</v>
          </cell>
          <cell r="V4003">
            <v>156000</v>
          </cell>
        </row>
        <row r="4004">
          <cell r="B4004">
            <v>1983</v>
          </cell>
          <cell r="K4004" t="str">
            <v>TAYLOR</v>
          </cell>
          <cell r="L4004" t="str">
            <v>Taylor</v>
          </cell>
          <cell r="V4004">
            <v>57000</v>
          </cell>
        </row>
        <row r="4005">
          <cell r="B4005">
            <v>1983</v>
          </cell>
          <cell r="K4005" t="str">
            <v>AUDUBON</v>
          </cell>
          <cell r="L4005" t="str">
            <v>Audubon</v>
          </cell>
          <cell r="V4005">
            <v>90000</v>
          </cell>
        </row>
        <row r="4006">
          <cell r="B4006">
            <v>1983</v>
          </cell>
          <cell r="K4006" t="str">
            <v>CALHOUN</v>
          </cell>
          <cell r="L4006" t="str">
            <v>Calhoun</v>
          </cell>
          <cell r="V4006">
            <v>107000</v>
          </cell>
        </row>
        <row r="4007">
          <cell r="B4007">
            <v>1983</v>
          </cell>
          <cell r="K4007" t="str">
            <v>CARROLL</v>
          </cell>
          <cell r="L4007" t="str">
            <v>Carroll</v>
          </cell>
          <cell r="V4007">
            <v>116000</v>
          </cell>
        </row>
        <row r="4008">
          <cell r="B4008">
            <v>1983</v>
          </cell>
          <cell r="K4008" t="str">
            <v>CRAWFORD</v>
          </cell>
          <cell r="L4008" t="str">
            <v>Crawford</v>
          </cell>
          <cell r="V4008">
            <v>120000</v>
          </cell>
        </row>
        <row r="4009">
          <cell r="B4009">
            <v>1983</v>
          </cell>
          <cell r="K4009" t="str">
            <v>GREENE</v>
          </cell>
          <cell r="L4009" t="str">
            <v>Greene</v>
          </cell>
          <cell r="V4009">
            <v>93000</v>
          </cell>
        </row>
        <row r="4010">
          <cell r="B4010">
            <v>1983</v>
          </cell>
          <cell r="K4010" t="str">
            <v>GUTHRIE</v>
          </cell>
          <cell r="L4010" t="str">
            <v>Guthrie</v>
          </cell>
          <cell r="V4010">
            <v>77000</v>
          </cell>
        </row>
        <row r="4011">
          <cell r="B4011">
            <v>1983</v>
          </cell>
          <cell r="K4011" t="str">
            <v>HARRISON</v>
          </cell>
          <cell r="L4011" t="str">
            <v>Harrison</v>
          </cell>
          <cell r="V4011">
            <v>100000</v>
          </cell>
        </row>
        <row r="4012">
          <cell r="B4012">
            <v>1983</v>
          </cell>
          <cell r="K4012" t="str">
            <v>IDA</v>
          </cell>
          <cell r="L4012" t="str">
            <v>Ida</v>
          </cell>
          <cell r="V4012">
            <v>86000</v>
          </cell>
        </row>
        <row r="4013">
          <cell r="B4013">
            <v>1983</v>
          </cell>
          <cell r="K4013" t="str">
            <v>MONONA</v>
          </cell>
          <cell r="L4013" t="str">
            <v>Monona</v>
          </cell>
          <cell r="V4013">
            <v>126000</v>
          </cell>
        </row>
        <row r="4014">
          <cell r="B4014">
            <v>1983</v>
          </cell>
          <cell r="K4014" t="str">
            <v>SAC</v>
          </cell>
          <cell r="L4014" t="str">
            <v>Sac</v>
          </cell>
          <cell r="V4014">
            <v>119000</v>
          </cell>
        </row>
        <row r="4015">
          <cell r="B4015">
            <v>1983</v>
          </cell>
          <cell r="K4015" t="str">
            <v>SHELBY</v>
          </cell>
          <cell r="L4015" t="str">
            <v>Shelby</v>
          </cell>
          <cell r="V4015">
            <v>117000</v>
          </cell>
        </row>
        <row r="4016">
          <cell r="B4016">
            <v>1983</v>
          </cell>
          <cell r="K4016" t="str">
            <v>WOODBURY</v>
          </cell>
          <cell r="L4016" t="str">
            <v>Woodbury</v>
          </cell>
          <cell r="V4016">
            <v>139000</v>
          </cell>
        </row>
        <row r="4017">
          <cell r="B4017">
            <v>1982</v>
          </cell>
          <cell r="K4017" t="str">
            <v>BOONE</v>
          </cell>
          <cell r="L4017" t="str">
            <v>Boone</v>
          </cell>
          <cell r="V4017">
            <v>151000</v>
          </cell>
        </row>
        <row r="4018">
          <cell r="B4018">
            <v>1982</v>
          </cell>
          <cell r="K4018" t="str">
            <v>DALLAS</v>
          </cell>
          <cell r="L4018" t="str">
            <v>Dallas</v>
          </cell>
          <cell r="V4018">
            <v>149000</v>
          </cell>
        </row>
        <row r="4019">
          <cell r="B4019">
            <v>1982</v>
          </cell>
          <cell r="K4019" t="str">
            <v>GRUNDY</v>
          </cell>
          <cell r="L4019" t="str">
            <v>Grundy</v>
          </cell>
          <cell r="V4019">
            <v>163000</v>
          </cell>
        </row>
        <row r="4020">
          <cell r="B4020">
            <v>1982</v>
          </cell>
          <cell r="K4020" t="str">
            <v>HAMILTON</v>
          </cell>
          <cell r="L4020" t="str">
            <v>Hamilton</v>
          </cell>
          <cell r="V4020">
            <v>162000</v>
          </cell>
        </row>
        <row r="4021">
          <cell r="B4021">
            <v>1982</v>
          </cell>
          <cell r="K4021" t="str">
            <v>HARDIN</v>
          </cell>
          <cell r="L4021" t="str">
            <v>Hardin</v>
          </cell>
          <cell r="V4021">
            <v>176000</v>
          </cell>
        </row>
        <row r="4022">
          <cell r="B4022">
            <v>1982</v>
          </cell>
          <cell r="K4022" t="str">
            <v>JASPER</v>
          </cell>
          <cell r="L4022" t="str">
            <v>Jasper</v>
          </cell>
          <cell r="V4022">
            <v>176000</v>
          </cell>
        </row>
        <row r="4023">
          <cell r="B4023">
            <v>1982</v>
          </cell>
          <cell r="K4023" t="str">
            <v>MARSHALL</v>
          </cell>
          <cell r="L4023" t="str">
            <v>Marshall</v>
          </cell>
          <cell r="V4023">
            <v>161000</v>
          </cell>
        </row>
        <row r="4024">
          <cell r="B4024">
            <v>1982</v>
          </cell>
          <cell r="K4024" t="str">
            <v>POLK</v>
          </cell>
          <cell r="L4024" t="str">
            <v>Polk</v>
          </cell>
          <cell r="V4024">
            <v>103000</v>
          </cell>
        </row>
        <row r="4025">
          <cell r="B4025">
            <v>1982</v>
          </cell>
          <cell r="K4025" t="str">
            <v>POWESHIEK</v>
          </cell>
          <cell r="L4025" t="str">
            <v>Poweshiek</v>
          </cell>
          <cell r="V4025">
            <v>148000</v>
          </cell>
        </row>
        <row r="4026">
          <cell r="B4026">
            <v>1982</v>
          </cell>
          <cell r="K4026" t="str">
            <v>STORY</v>
          </cell>
          <cell r="L4026" t="str">
            <v>Story</v>
          </cell>
          <cell r="V4026">
            <v>151000</v>
          </cell>
        </row>
        <row r="4027">
          <cell r="B4027">
            <v>1982</v>
          </cell>
          <cell r="K4027" t="str">
            <v>TAMA</v>
          </cell>
          <cell r="L4027" t="str">
            <v>Tama</v>
          </cell>
          <cell r="V4027">
            <v>185000</v>
          </cell>
        </row>
        <row r="4028">
          <cell r="B4028">
            <v>1982</v>
          </cell>
          <cell r="K4028" t="str">
            <v>WEBSTER</v>
          </cell>
          <cell r="L4028" t="str">
            <v>Webster</v>
          </cell>
          <cell r="V4028">
            <v>179000</v>
          </cell>
        </row>
        <row r="4029">
          <cell r="B4029">
            <v>1982</v>
          </cell>
          <cell r="K4029" t="str">
            <v>BENTON</v>
          </cell>
          <cell r="L4029" t="str">
            <v>Benton</v>
          </cell>
          <cell r="V4029">
            <v>187000</v>
          </cell>
        </row>
        <row r="4030">
          <cell r="B4030">
            <v>1982</v>
          </cell>
          <cell r="K4030" t="str">
            <v>CEDAR</v>
          </cell>
          <cell r="L4030" t="str">
            <v>Cedar</v>
          </cell>
          <cell r="V4030">
            <v>189000</v>
          </cell>
        </row>
        <row r="4031">
          <cell r="B4031">
            <v>1982</v>
          </cell>
          <cell r="K4031" t="str">
            <v>CLINTON</v>
          </cell>
          <cell r="L4031" t="str">
            <v>Clinton</v>
          </cell>
          <cell r="V4031">
            <v>225000</v>
          </cell>
        </row>
        <row r="4032">
          <cell r="B4032">
            <v>1982</v>
          </cell>
          <cell r="K4032" t="str">
            <v>IOWA</v>
          </cell>
          <cell r="L4032" t="str">
            <v>Iowa</v>
          </cell>
          <cell r="V4032">
            <v>160000</v>
          </cell>
        </row>
        <row r="4033">
          <cell r="B4033">
            <v>1982</v>
          </cell>
          <cell r="K4033" t="str">
            <v>JACKSON</v>
          </cell>
          <cell r="L4033" t="str">
            <v>Jackson</v>
          </cell>
          <cell r="V4033">
            <v>129000</v>
          </cell>
        </row>
        <row r="4034">
          <cell r="B4034">
            <v>1982</v>
          </cell>
          <cell r="K4034" t="str">
            <v>JOHNSON</v>
          </cell>
          <cell r="L4034" t="str">
            <v>Johnson</v>
          </cell>
          <cell r="V4034">
            <v>154000</v>
          </cell>
        </row>
        <row r="4035">
          <cell r="B4035">
            <v>1982</v>
          </cell>
          <cell r="K4035" t="str">
            <v>JONES</v>
          </cell>
          <cell r="L4035" t="str">
            <v>Jones</v>
          </cell>
          <cell r="V4035">
            <v>159000</v>
          </cell>
        </row>
        <row r="4036">
          <cell r="B4036">
            <v>1982</v>
          </cell>
          <cell r="K4036" t="str">
            <v>LINN</v>
          </cell>
          <cell r="L4036" t="str">
            <v>Linn</v>
          </cell>
          <cell r="V4036">
            <v>157000</v>
          </cell>
        </row>
        <row r="4037">
          <cell r="B4037">
            <v>1982</v>
          </cell>
          <cell r="K4037" t="str">
            <v>MUSCATINE</v>
          </cell>
          <cell r="L4037" t="str">
            <v>Muscatine</v>
          </cell>
          <cell r="V4037">
            <v>107000</v>
          </cell>
        </row>
        <row r="4038">
          <cell r="B4038">
            <v>1982</v>
          </cell>
          <cell r="K4038" t="str">
            <v>SCOTT</v>
          </cell>
          <cell r="L4038" t="str">
            <v>Scott</v>
          </cell>
          <cell r="V4038">
            <v>153000</v>
          </cell>
        </row>
        <row r="4039">
          <cell r="B4039">
            <v>1982</v>
          </cell>
          <cell r="K4039" t="str">
            <v>BUTLER</v>
          </cell>
          <cell r="L4039" t="str">
            <v>Butler</v>
          </cell>
          <cell r="V4039">
            <v>168000</v>
          </cell>
        </row>
        <row r="4040">
          <cell r="B4040">
            <v>1982</v>
          </cell>
          <cell r="K4040" t="str">
            <v>CERRO GORDO</v>
          </cell>
          <cell r="L4040" t="str">
            <v>Cerro Gordo</v>
          </cell>
          <cell r="V4040">
            <v>171000</v>
          </cell>
        </row>
        <row r="4041">
          <cell r="B4041">
            <v>1982</v>
          </cell>
          <cell r="K4041" t="str">
            <v>FLOYD</v>
          </cell>
          <cell r="L4041" t="str">
            <v>Floyd</v>
          </cell>
          <cell r="V4041">
            <v>138000</v>
          </cell>
        </row>
        <row r="4042">
          <cell r="B4042">
            <v>1982</v>
          </cell>
          <cell r="K4042" t="str">
            <v>FRANKLIN</v>
          </cell>
          <cell r="L4042" t="str">
            <v>Franklin</v>
          </cell>
          <cell r="V4042">
            <v>185000</v>
          </cell>
        </row>
        <row r="4043">
          <cell r="B4043">
            <v>1982</v>
          </cell>
          <cell r="K4043" t="str">
            <v>HANCOCK</v>
          </cell>
          <cell r="L4043" t="str">
            <v>Hancock</v>
          </cell>
          <cell r="V4043">
            <v>176000</v>
          </cell>
        </row>
        <row r="4044">
          <cell r="B4044">
            <v>1982</v>
          </cell>
          <cell r="K4044" t="str">
            <v>HUMBOLDT</v>
          </cell>
          <cell r="L4044" t="str">
            <v>Humboldt</v>
          </cell>
          <cell r="V4044">
            <v>130000</v>
          </cell>
        </row>
        <row r="4045">
          <cell r="B4045">
            <v>1982</v>
          </cell>
          <cell r="K4045" t="str">
            <v>KOSSUTH</v>
          </cell>
          <cell r="L4045" t="str">
            <v>Kossuth</v>
          </cell>
          <cell r="V4045">
            <v>286000</v>
          </cell>
        </row>
        <row r="4046">
          <cell r="B4046">
            <v>1982</v>
          </cell>
          <cell r="K4046" t="str">
            <v>MITCHELL</v>
          </cell>
          <cell r="L4046" t="str">
            <v>Mitchell</v>
          </cell>
          <cell r="V4046">
            <v>137000</v>
          </cell>
        </row>
        <row r="4047">
          <cell r="B4047">
            <v>1982</v>
          </cell>
          <cell r="K4047" t="str">
            <v>WINNEBAGO</v>
          </cell>
          <cell r="L4047" t="str">
            <v>Winnebago</v>
          </cell>
          <cell r="V4047">
            <v>122000</v>
          </cell>
        </row>
        <row r="4048">
          <cell r="B4048">
            <v>1982</v>
          </cell>
          <cell r="K4048" t="str">
            <v>WORTH</v>
          </cell>
          <cell r="L4048" t="str">
            <v>Worth</v>
          </cell>
          <cell r="V4048">
            <v>114000</v>
          </cell>
        </row>
        <row r="4049">
          <cell r="B4049">
            <v>1982</v>
          </cell>
          <cell r="K4049" t="str">
            <v>WRIGHT</v>
          </cell>
          <cell r="L4049" t="str">
            <v>Wright</v>
          </cell>
          <cell r="V4049">
            <v>166000</v>
          </cell>
        </row>
        <row r="4050">
          <cell r="B4050">
            <v>1982</v>
          </cell>
          <cell r="K4050" t="str">
            <v>ALLAMAKEE</v>
          </cell>
          <cell r="L4050" t="str">
            <v>Allamakee</v>
          </cell>
          <cell r="V4050">
            <v>94000</v>
          </cell>
        </row>
        <row r="4051">
          <cell r="B4051">
            <v>1982</v>
          </cell>
          <cell r="K4051" t="str">
            <v>BLACK HAWK</v>
          </cell>
          <cell r="L4051" t="str">
            <v>Black Hawk</v>
          </cell>
          <cell r="V4051">
            <v>146000</v>
          </cell>
        </row>
        <row r="4052">
          <cell r="B4052">
            <v>1982</v>
          </cell>
          <cell r="K4052" t="str">
            <v>BREMER</v>
          </cell>
          <cell r="L4052" t="str">
            <v>Bremer</v>
          </cell>
          <cell r="V4052">
            <v>120000</v>
          </cell>
        </row>
        <row r="4053">
          <cell r="B4053">
            <v>1982</v>
          </cell>
          <cell r="K4053" t="str">
            <v>BUCHANAN</v>
          </cell>
          <cell r="L4053" t="str">
            <v>Buchanan</v>
          </cell>
          <cell r="V4053">
            <v>175000</v>
          </cell>
        </row>
        <row r="4054">
          <cell r="B4054">
            <v>1982</v>
          </cell>
          <cell r="K4054" t="str">
            <v>CHICKASAW</v>
          </cell>
          <cell r="L4054" t="str">
            <v>Chickasaw</v>
          </cell>
          <cell r="V4054">
            <v>144000</v>
          </cell>
        </row>
        <row r="4055">
          <cell r="B4055">
            <v>1982</v>
          </cell>
          <cell r="K4055" t="str">
            <v>CLAYTON</v>
          </cell>
          <cell r="L4055" t="str">
            <v>Clayton</v>
          </cell>
          <cell r="V4055">
            <v>166000</v>
          </cell>
        </row>
        <row r="4056">
          <cell r="B4056">
            <v>1982</v>
          </cell>
          <cell r="K4056" t="str">
            <v>DELAWARE</v>
          </cell>
          <cell r="L4056" t="str">
            <v>Delaware</v>
          </cell>
          <cell r="V4056">
            <v>188000</v>
          </cell>
        </row>
        <row r="4057">
          <cell r="B4057">
            <v>1982</v>
          </cell>
          <cell r="K4057" t="str">
            <v>DUBUQUE</v>
          </cell>
          <cell r="L4057" t="str">
            <v>Dubuque</v>
          </cell>
          <cell r="V4057">
            <v>139000</v>
          </cell>
        </row>
        <row r="4058">
          <cell r="B4058">
            <v>1982</v>
          </cell>
          <cell r="K4058" t="str">
            <v>FAYETTE</v>
          </cell>
          <cell r="L4058" t="str">
            <v>Fayette</v>
          </cell>
          <cell r="V4058">
            <v>194000</v>
          </cell>
        </row>
        <row r="4059">
          <cell r="B4059">
            <v>1982</v>
          </cell>
          <cell r="K4059" t="str">
            <v>HOWARD</v>
          </cell>
          <cell r="L4059" t="str">
            <v>Howard</v>
          </cell>
          <cell r="V4059">
            <v>112000</v>
          </cell>
        </row>
        <row r="4060">
          <cell r="B4060">
            <v>1982</v>
          </cell>
          <cell r="K4060" t="str">
            <v>WINNESHIEK</v>
          </cell>
          <cell r="L4060" t="str">
            <v>Winneshiek</v>
          </cell>
          <cell r="V4060">
            <v>153000</v>
          </cell>
        </row>
        <row r="4061">
          <cell r="B4061">
            <v>1982</v>
          </cell>
          <cell r="K4061" t="str">
            <v>BUENA VISTA</v>
          </cell>
          <cell r="L4061" t="str">
            <v>Buena Vista</v>
          </cell>
          <cell r="V4061">
            <v>170000</v>
          </cell>
        </row>
        <row r="4062">
          <cell r="B4062">
            <v>1982</v>
          </cell>
          <cell r="K4062" t="str">
            <v>CHEROKEE</v>
          </cell>
          <cell r="L4062" t="str">
            <v>Cherokee</v>
          </cell>
          <cell r="V4062">
            <v>161000</v>
          </cell>
        </row>
        <row r="4063">
          <cell r="B4063">
            <v>1982</v>
          </cell>
          <cell r="K4063" t="str">
            <v>CLAY</v>
          </cell>
          <cell r="L4063" t="str">
            <v>Clay</v>
          </cell>
          <cell r="V4063">
            <v>164000</v>
          </cell>
        </row>
        <row r="4064">
          <cell r="B4064">
            <v>1982</v>
          </cell>
          <cell r="K4064" t="str">
            <v>DICKINSON</v>
          </cell>
          <cell r="L4064" t="str">
            <v>Dickinson</v>
          </cell>
          <cell r="V4064">
            <v>100000</v>
          </cell>
        </row>
        <row r="4065">
          <cell r="B4065">
            <v>1982</v>
          </cell>
          <cell r="K4065" t="str">
            <v>EMMET</v>
          </cell>
          <cell r="L4065" t="str">
            <v>Emmet</v>
          </cell>
          <cell r="V4065">
            <v>122000</v>
          </cell>
        </row>
        <row r="4066">
          <cell r="B4066">
            <v>1982</v>
          </cell>
          <cell r="K4066" t="str">
            <v>LYON</v>
          </cell>
          <cell r="L4066" t="str">
            <v>Lyon</v>
          </cell>
          <cell r="V4066">
            <v>171000</v>
          </cell>
        </row>
        <row r="4067">
          <cell r="B4067">
            <v>1982</v>
          </cell>
          <cell r="K4067" t="str">
            <v>O BRIEN</v>
          </cell>
          <cell r="L4067" t="str">
            <v>O Brien</v>
          </cell>
          <cell r="V4067">
            <v>166000</v>
          </cell>
        </row>
        <row r="4068">
          <cell r="B4068">
            <v>1982</v>
          </cell>
          <cell r="K4068" t="str">
            <v>OSCEOLA</v>
          </cell>
          <cell r="L4068" t="str">
            <v>Osceola</v>
          </cell>
          <cell r="V4068">
            <v>113000</v>
          </cell>
        </row>
        <row r="4069">
          <cell r="B4069">
            <v>1982</v>
          </cell>
          <cell r="K4069" t="str">
            <v>PALO ALTO</v>
          </cell>
          <cell r="L4069" t="str">
            <v>Palo Alto</v>
          </cell>
          <cell r="V4069">
            <v>166000</v>
          </cell>
        </row>
        <row r="4070">
          <cell r="B4070">
            <v>1982</v>
          </cell>
          <cell r="K4070" t="str">
            <v>PLYMOUTH</v>
          </cell>
          <cell r="L4070" t="str">
            <v>Plymouth</v>
          </cell>
          <cell r="V4070">
            <v>247000</v>
          </cell>
        </row>
        <row r="4071">
          <cell r="B4071">
            <v>1982</v>
          </cell>
          <cell r="K4071" t="str">
            <v>POCAHONTAS</v>
          </cell>
          <cell r="L4071" t="str">
            <v>Pocahontas</v>
          </cell>
          <cell r="V4071">
            <v>173000</v>
          </cell>
        </row>
        <row r="4072">
          <cell r="B4072">
            <v>1982</v>
          </cell>
          <cell r="K4072" t="str">
            <v>SIOUX</v>
          </cell>
          <cell r="L4072" t="str">
            <v>Sioux</v>
          </cell>
          <cell r="V4072">
            <v>254000</v>
          </cell>
        </row>
        <row r="4073">
          <cell r="B4073">
            <v>1982</v>
          </cell>
          <cell r="K4073" t="str">
            <v>APPANOOSE</v>
          </cell>
          <cell r="L4073" t="str">
            <v>Appanoose</v>
          </cell>
          <cell r="V4073">
            <v>37000</v>
          </cell>
        </row>
        <row r="4074">
          <cell r="B4074">
            <v>1982</v>
          </cell>
          <cell r="K4074" t="str">
            <v>CLARKE</v>
          </cell>
          <cell r="L4074" t="str">
            <v>Clarke</v>
          </cell>
          <cell r="V4074">
            <v>52000</v>
          </cell>
        </row>
        <row r="4075">
          <cell r="B4075">
            <v>1982</v>
          </cell>
          <cell r="K4075" t="str">
            <v>DECATUR</v>
          </cell>
          <cell r="L4075" t="str">
            <v>Decatur</v>
          </cell>
          <cell r="V4075">
            <v>57000</v>
          </cell>
        </row>
        <row r="4076">
          <cell r="B4076">
            <v>1982</v>
          </cell>
          <cell r="K4076" t="str">
            <v>LUCAS</v>
          </cell>
          <cell r="L4076" t="str">
            <v>Lucas</v>
          </cell>
          <cell r="V4076">
            <v>44000</v>
          </cell>
        </row>
        <row r="4077">
          <cell r="B4077">
            <v>1982</v>
          </cell>
          <cell r="K4077" t="str">
            <v>MADISON</v>
          </cell>
          <cell r="L4077" t="str">
            <v>Madison</v>
          </cell>
          <cell r="V4077">
            <v>81000</v>
          </cell>
        </row>
        <row r="4078">
          <cell r="B4078">
            <v>1982</v>
          </cell>
          <cell r="K4078" t="str">
            <v>MARION</v>
          </cell>
          <cell r="L4078" t="str">
            <v>Marion</v>
          </cell>
          <cell r="V4078">
            <v>83000</v>
          </cell>
        </row>
        <row r="4079">
          <cell r="B4079">
            <v>1982</v>
          </cell>
          <cell r="K4079" t="str">
            <v>MONROE</v>
          </cell>
          <cell r="L4079" t="str">
            <v>Monroe</v>
          </cell>
          <cell r="V4079">
            <v>38000</v>
          </cell>
        </row>
        <row r="4080">
          <cell r="B4080">
            <v>1982</v>
          </cell>
          <cell r="K4080" t="str">
            <v>RINGGOLD</v>
          </cell>
          <cell r="L4080" t="str">
            <v>Ringgold</v>
          </cell>
          <cell r="V4080">
            <v>59000</v>
          </cell>
        </row>
        <row r="4081">
          <cell r="B4081">
            <v>1982</v>
          </cell>
          <cell r="K4081" t="str">
            <v>UNION</v>
          </cell>
          <cell r="L4081" t="str">
            <v>Union</v>
          </cell>
          <cell r="V4081">
            <v>53000</v>
          </cell>
        </row>
        <row r="4082">
          <cell r="B4082">
            <v>1982</v>
          </cell>
          <cell r="K4082" t="str">
            <v>WARREN</v>
          </cell>
          <cell r="L4082" t="str">
            <v>Warren</v>
          </cell>
          <cell r="V4082">
            <v>87000</v>
          </cell>
        </row>
        <row r="4083">
          <cell r="B4083">
            <v>1982</v>
          </cell>
          <cell r="K4083" t="str">
            <v>WAYNE</v>
          </cell>
          <cell r="L4083" t="str">
            <v>Wayne</v>
          </cell>
          <cell r="V4083">
            <v>70000</v>
          </cell>
        </row>
        <row r="4084">
          <cell r="B4084">
            <v>1982</v>
          </cell>
          <cell r="K4084" t="str">
            <v>DAVIS</v>
          </cell>
          <cell r="L4084" t="str">
            <v>Davis</v>
          </cell>
          <cell r="V4084">
            <v>57000</v>
          </cell>
        </row>
        <row r="4085">
          <cell r="B4085">
            <v>1982</v>
          </cell>
          <cell r="K4085" t="str">
            <v>DES MOINES</v>
          </cell>
          <cell r="L4085" t="str">
            <v>Des Moines</v>
          </cell>
          <cell r="V4085">
            <v>95000</v>
          </cell>
        </row>
        <row r="4086">
          <cell r="B4086">
            <v>1982</v>
          </cell>
          <cell r="K4086" t="str">
            <v>HENRY</v>
          </cell>
          <cell r="L4086" t="str">
            <v>Henry</v>
          </cell>
          <cell r="V4086">
            <v>110000</v>
          </cell>
        </row>
        <row r="4087">
          <cell r="B4087">
            <v>1982</v>
          </cell>
          <cell r="K4087" t="str">
            <v>JEFFERSON</v>
          </cell>
          <cell r="L4087" t="str">
            <v>Jefferson</v>
          </cell>
          <cell r="V4087">
            <v>80000</v>
          </cell>
        </row>
        <row r="4088">
          <cell r="B4088">
            <v>1982</v>
          </cell>
          <cell r="K4088" t="str">
            <v>KEOKUK</v>
          </cell>
          <cell r="L4088" t="str">
            <v>Keokuk</v>
          </cell>
          <cell r="V4088">
            <v>135000</v>
          </cell>
        </row>
        <row r="4089">
          <cell r="B4089">
            <v>1982</v>
          </cell>
          <cell r="K4089" t="str">
            <v>LEE</v>
          </cell>
          <cell r="L4089" t="str">
            <v>Lee</v>
          </cell>
          <cell r="V4089">
            <v>91000</v>
          </cell>
        </row>
        <row r="4090">
          <cell r="B4090">
            <v>1982</v>
          </cell>
          <cell r="K4090" t="str">
            <v>LOUISA</v>
          </cell>
          <cell r="L4090" t="str">
            <v>Louisa</v>
          </cell>
          <cell r="V4090">
            <v>99000</v>
          </cell>
        </row>
        <row r="4091">
          <cell r="B4091">
            <v>1982</v>
          </cell>
          <cell r="K4091" t="str">
            <v>MAHASKA</v>
          </cell>
          <cell r="L4091" t="str">
            <v>Mahaska</v>
          </cell>
          <cell r="V4091">
            <v>136000</v>
          </cell>
        </row>
        <row r="4092">
          <cell r="B4092">
            <v>1982</v>
          </cell>
          <cell r="K4092" t="str">
            <v>VAN BUREN</v>
          </cell>
          <cell r="L4092" t="str">
            <v>Van Buren</v>
          </cell>
          <cell r="V4092">
            <v>61000</v>
          </cell>
        </row>
        <row r="4093">
          <cell r="B4093">
            <v>1982</v>
          </cell>
          <cell r="K4093" t="str">
            <v>WAPELLO</v>
          </cell>
          <cell r="L4093" t="str">
            <v>Wapello</v>
          </cell>
          <cell r="V4093">
            <v>61000</v>
          </cell>
        </row>
        <row r="4094">
          <cell r="B4094">
            <v>1982</v>
          </cell>
          <cell r="K4094" t="str">
            <v>WASHINGTON</v>
          </cell>
          <cell r="L4094" t="str">
            <v>Washington</v>
          </cell>
          <cell r="V4094">
            <v>156000</v>
          </cell>
        </row>
        <row r="4095">
          <cell r="B4095">
            <v>1982</v>
          </cell>
          <cell r="K4095" t="str">
            <v>ADAIR</v>
          </cell>
          <cell r="L4095" t="str">
            <v>Adair</v>
          </cell>
          <cell r="V4095">
            <v>119000</v>
          </cell>
        </row>
        <row r="4096">
          <cell r="B4096">
            <v>1982</v>
          </cell>
          <cell r="K4096" t="str">
            <v>ADAMS</v>
          </cell>
          <cell r="L4096" t="str">
            <v>Adams</v>
          </cell>
          <cell r="V4096">
            <v>73000</v>
          </cell>
        </row>
        <row r="4097">
          <cell r="B4097">
            <v>1982</v>
          </cell>
          <cell r="K4097" t="str">
            <v>CASS</v>
          </cell>
          <cell r="L4097" t="str">
            <v>Cass</v>
          </cell>
          <cell r="V4097">
            <v>144000</v>
          </cell>
        </row>
        <row r="4098">
          <cell r="B4098">
            <v>1982</v>
          </cell>
          <cell r="K4098" t="str">
            <v>FREMONT</v>
          </cell>
          <cell r="L4098" t="str">
            <v>Fremont</v>
          </cell>
          <cell r="V4098">
            <v>103000</v>
          </cell>
        </row>
        <row r="4099">
          <cell r="B4099">
            <v>1982</v>
          </cell>
          <cell r="K4099" t="str">
            <v>MILLS</v>
          </cell>
          <cell r="L4099" t="str">
            <v>Mills</v>
          </cell>
          <cell r="V4099">
            <v>106000</v>
          </cell>
        </row>
        <row r="4100">
          <cell r="B4100">
            <v>1982</v>
          </cell>
          <cell r="K4100" t="str">
            <v>MONTGOMERY</v>
          </cell>
          <cell r="L4100" t="str">
            <v>Montgomery</v>
          </cell>
          <cell r="V4100">
            <v>91000</v>
          </cell>
        </row>
        <row r="4101">
          <cell r="B4101">
            <v>1982</v>
          </cell>
          <cell r="K4101" t="str">
            <v>PAGE</v>
          </cell>
          <cell r="L4101" t="str">
            <v>Page</v>
          </cell>
          <cell r="V4101">
            <v>99000</v>
          </cell>
        </row>
        <row r="4102">
          <cell r="B4102">
            <v>1982</v>
          </cell>
          <cell r="K4102" t="str">
            <v>POTTAWATTAMIE</v>
          </cell>
          <cell r="L4102" t="str">
            <v>Pottawattamie</v>
          </cell>
          <cell r="V4102">
            <v>232000</v>
          </cell>
        </row>
        <row r="4103">
          <cell r="B4103">
            <v>1982</v>
          </cell>
          <cell r="K4103" t="str">
            <v>TAYLOR</v>
          </cell>
          <cell r="L4103" t="str">
            <v>Taylor</v>
          </cell>
          <cell r="V4103">
            <v>74000</v>
          </cell>
        </row>
        <row r="4104">
          <cell r="B4104">
            <v>1982</v>
          </cell>
          <cell r="K4104" t="str">
            <v>AUDUBON</v>
          </cell>
          <cell r="L4104" t="str">
            <v>Audubon</v>
          </cell>
          <cell r="V4104">
            <v>130000</v>
          </cell>
        </row>
        <row r="4105">
          <cell r="B4105">
            <v>1982</v>
          </cell>
          <cell r="K4105" t="str">
            <v>CALHOUN</v>
          </cell>
          <cell r="L4105" t="str">
            <v>Calhoun</v>
          </cell>
          <cell r="V4105">
            <v>164000</v>
          </cell>
        </row>
        <row r="4106">
          <cell r="B4106">
            <v>1982</v>
          </cell>
          <cell r="K4106" t="str">
            <v>CARROLL</v>
          </cell>
          <cell r="L4106" t="str">
            <v>Carroll</v>
          </cell>
          <cell r="V4106">
            <v>176000</v>
          </cell>
        </row>
        <row r="4107">
          <cell r="B4107">
            <v>1982</v>
          </cell>
          <cell r="K4107" t="str">
            <v>CRAWFORD</v>
          </cell>
          <cell r="L4107" t="str">
            <v>Crawford</v>
          </cell>
          <cell r="V4107">
            <v>171000</v>
          </cell>
        </row>
        <row r="4108">
          <cell r="B4108">
            <v>1982</v>
          </cell>
          <cell r="K4108" t="str">
            <v>GREENE</v>
          </cell>
          <cell r="L4108" t="str">
            <v>Greene</v>
          </cell>
          <cell r="V4108">
            <v>157000</v>
          </cell>
        </row>
        <row r="4109">
          <cell r="B4109">
            <v>1982</v>
          </cell>
          <cell r="K4109" t="str">
            <v>GUTHRIE</v>
          </cell>
          <cell r="L4109" t="str">
            <v>Guthrie</v>
          </cell>
          <cell r="V4109">
            <v>124000</v>
          </cell>
        </row>
        <row r="4110">
          <cell r="B4110">
            <v>1982</v>
          </cell>
          <cell r="K4110" t="str">
            <v>HARRISON</v>
          </cell>
          <cell r="L4110" t="str">
            <v>Harrison</v>
          </cell>
          <cell r="V4110">
            <v>170000</v>
          </cell>
        </row>
        <row r="4111">
          <cell r="B4111">
            <v>1982</v>
          </cell>
          <cell r="K4111" t="str">
            <v>IDA</v>
          </cell>
          <cell r="L4111" t="str">
            <v>Ida</v>
          </cell>
          <cell r="V4111">
            <v>131000</v>
          </cell>
        </row>
        <row r="4112">
          <cell r="B4112">
            <v>1982</v>
          </cell>
          <cell r="K4112" t="str">
            <v>MONONA</v>
          </cell>
          <cell r="L4112" t="str">
            <v>Monona</v>
          </cell>
          <cell r="V4112">
            <v>182000</v>
          </cell>
        </row>
        <row r="4113">
          <cell r="B4113">
            <v>1982</v>
          </cell>
          <cell r="K4113" t="str">
            <v>SAC</v>
          </cell>
          <cell r="L4113" t="str">
            <v>Sac</v>
          </cell>
          <cell r="V4113">
            <v>170000</v>
          </cell>
        </row>
        <row r="4114">
          <cell r="B4114">
            <v>1982</v>
          </cell>
          <cell r="K4114" t="str">
            <v>SHELBY</v>
          </cell>
          <cell r="L4114" t="str">
            <v>Shelby</v>
          </cell>
          <cell r="V4114">
            <v>186000</v>
          </cell>
        </row>
        <row r="4115">
          <cell r="B4115">
            <v>1982</v>
          </cell>
          <cell r="K4115" t="str">
            <v>WOODBURY</v>
          </cell>
          <cell r="L4115" t="str">
            <v>Woodbury</v>
          </cell>
          <cell r="V4115">
            <v>251000</v>
          </cell>
        </row>
        <row r="4116">
          <cell r="B4116">
            <v>1981</v>
          </cell>
          <cell r="K4116" t="str">
            <v>BOONE</v>
          </cell>
          <cell r="L4116" t="str">
            <v>Boone</v>
          </cell>
          <cell r="V4116">
            <v>154000</v>
          </cell>
        </row>
        <row r="4117">
          <cell r="B4117">
            <v>1981</v>
          </cell>
          <cell r="K4117" t="str">
            <v>DALLAS</v>
          </cell>
          <cell r="L4117" t="str">
            <v>Dallas</v>
          </cell>
          <cell r="V4117">
            <v>153000</v>
          </cell>
        </row>
        <row r="4118">
          <cell r="B4118">
            <v>1981</v>
          </cell>
          <cell r="K4118" t="str">
            <v>GRUNDY</v>
          </cell>
          <cell r="L4118" t="str">
            <v>Grundy</v>
          </cell>
          <cell r="V4118">
            <v>168000</v>
          </cell>
        </row>
        <row r="4119">
          <cell r="B4119">
            <v>1981</v>
          </cell>
          <cell r="K4119" t="str">
            <v>HAMILTON</v>
          </cell>
          <cell r="L4119" t="str">
            <v>Hamilton</v>
          </cell>
          <cell r="V4119">
            <v>172000</v>
          </cell>
        </row>
        <row r="4120">
          <cell r="B4120">
            <v>1981</v>
          </cell>
          <cell r="K4120" t="str">
            <v>HARDIN</v>
          </cell>
          <cell r="L4120" t="str">
            <v>Hardin</v>
          </cell>
          <cell r="V4120">
            <v>178000</v>
          </cell>
        </row>
        <row r="4121">
          <cell r="B4121">
            <v>1981</v>
          </cell>
          <cell r="K4121" t="str">
            <v>JASPER</v>
          </cell>
          <cell r="L4121" t="str">
            <v>Jasper</v>
          </cell>
          <cell r="V4121">
            <v>185000</v>
          </cell>
        </row>
        <row r="4122">
          <cell r="B4122">
            <v>1981</v>
          </cell>
          <cell r="K4122" t="str">
            <v>MARSHALL</v>
          </cell>
          <cell r="L4122" t="str">
            <v>Marshall</v>
          </cell>
          <cell r="V4122">
            <v>166000</v>
          </cell>
        </row>
        <row r="4123">
          <cell r="B4123">
            <v>1981</v>
          </cell>
          <cell r="K4123" t="str">
            <v>POLK</v>
          </cell>
          <cell r="L4123" t="str">
            <v>Polk</v>
          </cell>
          <cell r="V4123">
            <v>118000</v>
          </cell>
        </row>
        <row r="4124">
          <cell r="B4124">
            <v>1981</v>
          </cell>
          <cell r="K4124" t="str">
            <v>POWESHIEK</v>
          </cell>
          <cell r="L4124" t="str">
            <v>Poweshiek</v>
          </cell>
          <cell r="V4124">
            <v>143000</v>
          </cell>
        </row>
        <row r="4125">
          <cell r="B4125">
            <v>1981</v>
          </cell>
          <cell r="K4125" t="str">
            <v>STORY</v>
          </cell>
          <cell r="L4125" t="str">
            <v>Story</v>
          </cell>
          <cell r="V4125">
            <v>164000</v>
          </cell>
        </row>
        <row r="4126">
          <cell r="B4126">
            <v>1981</v>
          </cell>
          <cell r="K4126" t="str">
            <v>TAMA</v>
          </cell>
          <cell r="L4126" t="str">
            <v>Tama</v>
          </cell>
          <cell r="V4126">
            <v>194000</v>
          </cell>
        </row>
        <row r="4127">
          <cell r="B4127">
            <v>1981</v>
          </cell>
          <cell r="K4127" t="str">
            <v>WEBSTER</v>
          </cell>
          <cell r="L4127" t="str">
            <v>Webster</v>
          </cell>
          <cell r="V4127">
            <v>191000</v>
          </cell>
        </row>
        <row r="4128">
          <cell r="B4128">
            <v>1981</v>
          </cell>
          <cell r="K4128" t="str">
            <v>BENTON</v>
          </cell>
          <cell r="L4128" t="str">
            <v>Benton</v>
          </cell>
          <cell r="V4128">
            <v>187000</v>
          </cell>
        </row>
        <row r="4129">
          <cell r="B4129">
            <v>1981</v>
          </cell>
          <cell r="K4129" t="str">
            <v>CEDAR</v>
          </cell>
          <cell r="L4129" t="str">
            <v>Cedar</v>
          </cell>
          <cell r="V4129">
            <v>186000</v>
          </cell>
        </row>
        <row r="4130">
          <cell r="B4130">
            <v>1981</v>
          </cell>
          <cell r="K4130" t="str">
            <v>CLINTON</v>
          </cell>
          <cell r="L4130" t="str">
            <v>Clinton</v>
          </cell>
          <cell r="V4130">
            <v>221000</v>
          </cell>
        </row>
        <row r="4131">
          <cell r="B4131">
            <v>1981</v>
          </cell>
          <cell r="K4131" t="str">
            <v>IOWA</v>
          </cell>
          <cell r="L4131" t="str">
            <v>Iowa</v>
          </cell>
          <cell r="V4131">
            <v>167000</v>
          </cell>
        </row>
        <row r="4132">
          <cell r="B4132">
            <v>1981</v>
          </cell>
          <cell r="K4132" t="str">
            <v>JACKSON</v>
          </cell>
          <cell r="L4132" t="str">
            <v>Jackson</v>
          </cell>
          <cell r="V4132">
            <v>134000</v>
          </cell>
        </row>
        <row r="4133">
          <cell r="B4133">
            <v>1981</v>
          </cell>
          <cell r="K4133" t="str">
            <v>JOHNSON</v>
          </cell>
          <cell r="L4133" t="str">
            <v>Johnson</v>
          </cell>
          <cell r="V4133">
            <v>153000</v>
          </cell>
        </row>
        <row r="4134">
          <cell r="B4134">
            <v>1981</v>
          </cell>
          <cell r="K4134" t="str">
            <v>JONES</v>
          </cell>
          <cell r="L4134" t="str">
            <v>Jones</v>
          </cell>
          <cell r="V4134">
            <v>163000</v>
          </cell>
        </row>
        <row r="4135">
          <cell r="B4135">
            <v>1981</v>
          </cell>
          <cell r="K4135" t="str">
            <v>LINN</v>
          </cell>
          <cell r="L4135" t="str">
            <v>Linn</v>
          </cell>
          <cell r="V4135">
            <v>167000</v>
          </cell>
        </row>
        <row r="4136">
          <cell r="B4136">
            <v>1981</v>
          </cell>
          <cell r="K4136" t="str">
            <v>MUSCATINE</v>
          </cell>
          <cell r="L4136" t="str">
            <v>Muscatine</v>
          </cell>
          <cell r="V4136">
            <v>110000</v>
          </cell>
        </row>
        <row r="4137">
          <cell r="B4137">
            <v>1981</v>
          </cell>
          <cell r="K4137" t="str">
            <v>SCOTT</v>
          </cell>
          <cell r="L4137" t="str">
            <v>Scott</v>
          </cell>
          <cell r="V4137">
            <v>148000</v>
          </cell>
        </row>
        <row r="4138">
          <cell r="B4138">
            <v>1981</v>
          </cell>
          <cell r="K4138" t="str">
            <v>BUTLER</v>
          </cell>
          <cell r="L4138" t="str">
            <v>Butler</v>
          </cell>
          <cell r="V4138">
            <v>180000</v>
          </cell>
        </row>
        <row r="4139">
          <cell r="B4139">
            <v>1981</v>
          </cell>
          <cell r="K4139" t="str">
            <v>CERRO GORDO</v>
          </cell>
          <cell r="L4139" t="str">
            <v>Cerro Gordo</v>
          </cell>
          <cell r="V4139">
            <v>175000</v>
          </cell>
        </row>
        <row r="4140">
          <cell r="B4140">
            <v>1981</v>
          </cell>
          <cell r="K4140" t="str">
            <v>FLOYD</v>
          </cell>
          <cell r="L4140" t="str">
            <v>Floyd</v>
          </cell>
          <cell r="V4140">
            <v>142000</v>
          </cell>
        </row>
        <row r="4141">
          <cell r="B4141">
            <v>1981</v>
          </cell>
          <cell r="K4141" t="str">
            <v>FRANKLIN</v>
          </cell>
          <cell r="L4141" t="str">
            <v>Franklin</v>
          </cell>
          <cell r="V4141">
            <v>187000</v>
          </cell>
        </row>
        <row r="4142">
          <cell r="B4142">
            <v>1981</v>
          </cell>
          <cell r="K4142" t="str">
            <v>HANCOCK</v>
          </cell>
          <cell r="L4142" t="str">
            <v>Hancock</v>
          </cell>
          <cell r="V4142">
            <v>179000</v>
          </cell>
        </row>
        <row r="4143">
          <cell r="B4143">
            <v>1981</v>
          </cell>
          <cell r="K4143" t="str">
            <v>HUMBOLDT</v>
          </cell>
          <cell r="L4143" t="str">
            <v>Humboldt</v>
          </cell>
          <cell r="V4143">
            <v>134000</v>
          </cell>
        </row>
        <row r="4144">
          <cell r="B4144">
            <v>1981</v>
          </cell>
          <cell r="K4144" t="str">
            <v>KOSSUTH</v>
          </cell>
          <cell r="L4144" t="str">
            <v>Kossuth</v>
          </cell>
          <cell r="V4144">
            <v>298000</v>
          </cell>
        </row>
        <row r="4145">
          <cell r="B4145">
            <v>1981</v>
          </cell>
          <cell r="K4145" t="str">
            <v>MITCHELL</v>
          </cell>
          <cell r="L4145" t="str">
            <v>Mitchell</v>
          </cell>
          <cell r="V4145">
            <v>143000</v>
          </cell>
        </row>
        <row r="4146">
          <cell r="B4146">
            <v>1981</v>
          </cell>
          <cell r="K4146" t="str">
            <v>WINNEBAGO</v>
          </cell>
          <cell r="L4146" t="str">
            <v>Winnebago</v>
          </cell>
          <cell r="V4146">
            <v>132000</v>
          </cell>
        </row>
        <row r="4147">
          <cell r="B4147">
            <v>1981</v>
          </cell>
          <cell r="K4147" t="str">
            <v>WORTH</v>
          </cell>
          <cell r="L4147" t="str">
            <v>Worth</v>
          </cell>
          <cell r="V4147">
            <v>122000</v>
          </cell>
        </row>
        <row r="4148">
          <cell r="B4148">
            <v>1981</v>
          </cell>
          <cell r="K4148" t="str">
            <v>WRIGHT</v>
          </cell>
          <cell r="L4148" t="str">
            <v>Wright</v>
          </cell>
          <cell r="V4148">
            <v>174000</v>
          </cell>
        </row>
        <row r="4149">
          <cell r="B4149">
            <v>1981</v>
          </cell>
          <cell r="K4149" t="str">
            <v>ALLAMAKEE</v>
          </cell>
          <cell r="L4149" t="str">
            <v>Allamakee</v>
          </cell>
          <cell r="V4149">
            <v>97000</v>
          </cell>
        </row>
        <row r="4150">
          <cell r="B4150">
            <v>1981</v>
          </cell>
          <cell r="K4150" t="str">
            <v>BLACK HAWK</v>
          </cell>
          <cell r="L4150" t="str">
            <v>Black Hawk</v>
          </cell>
          <cell r="V4150">
            <v>156000</v>
          </cell>
        </row>
        <row r="4151">
          <cell r="B4151">
            <v>1981</v>
          </cell>
          <cell r="K4151" t="str">
            <v>BREMER</v>
          </cell>
          <cell r="L4151" t="str">
            <v>Bremer</v>
          </cell>
          <cell r="V4151">
            <v>132000</v>
          </cell>
        </row>
        <row r="4152">
          <cell r="B4152">
            <v>1981</v>
          </cell>
          <cell r="K4152" t="str">
            <v>BUCHANAN</v>
          </cell>
          <cell r="L4152" t="str">
            <v>Buchanan</v>
          </cell>
          <cell r="V4152">
            <v>182000</v>
          </cell>
        </row>
        <row r="4153">
          <cell r="B4153">
            <v>1981</v>
          </cell>
          <cell r="K4153" t="str">
            <v>CHICKASAW</v>
          </cell>
          <cell r="L4153" t="str">
            <v>Chickasaw</v>
          </cell>
          <cell r="V4153">
            <v>142000</v>
          </cell>
        </row>
        <row r="4154">
          <cell r="B4154">
            <v>1981</v>
          </cell>
          <cell r="K4154" t="str">
            <v>CLAYTON</v>
          </cell>
          <cell r="L4154" t="str">
            <v>Clayton</v>
          </cell>
          <cell r="V4154">
            <v>169000</v>
          </cell>
        </row>
        <row r="4155">
          <cell r="B4155">
            <v>1981</v>
          </cell>
          <cell r="K4155" t="str">
            <v>DELAWARE</v>
          </cell>
          <cell r="L4155" t="str">
            <v>Delaware</v>
          </cell>
          <cell r="V4155">
            <v>187000</v>
          </cell>
        </row>
        <row r="4156">
          <cell r="B4156">
            <v>1981</v>
          </cell>
          <cell r="K4156" t="str">
            <v>DUBUQUE</v>
          </cell>
          <cell r="L4156" t="str">
            <v>Dubuque</v>
          </cell>
          <cell r="V4156">
            <v>140000</v>
          </cell>
        </row>
        <row r="4157">
          <cell r="B4157">
            <v>1981</v>
          </cell>
          <cell r="K4157" t="str">
            <v>FAYETTE</v>
          </cell>
          <cell r="L4157" t="str">
            <v>Fayette</v>
          </cell>
          <cell r="V4157">
            <v>202000</v>
          </cell>
        </row>
        <row r="4158">
          <cell r="B4158">
            <v>1981</v>
          </cell>
          <cell r="K4158" t="str">
            <v>HOWARD</v>
          </cell>
          <cell r="L4158" t="str">
            <v>Howard</v>
          </cell>
          <cell r="V4158">
            <v>123000</v>
          </cell>
        </row>
        <row r="4159">
          <cell r="B4159">
            <v>1981</v>
          </cell>
          <cell r="K4159" t="str">
            <v>WINNESHIEK</v>
          </cell>
          <cell r="L4159" t="str">
            <v>Winneshiek</v>
          </cell>
          <cell r="V4159">
            <v>158000</v>
          </cell>
        </row>
        <row r="4160">
          <cell r="B4160">
            <v>1981</v>
          </cell>
          <cell r="K4160" t="str">
            <v>BUENA VISTA</v>
          </cell>
          <cell r="L4160" t="str">
            <v>Buena Vista</v>
          </cell>
          <cell r="V4160">
            <v>181000</v>
          </cell>
        </row>
        <row r="4161">
          <cell r="B4161">
            <v>1981</v>
          </cell>
          <cell r="K4161" t="str">
            <v>CHEROKEE</v>
          </cell>
          <cell r="L4161" t="str">
            <v>Cherokee</v>
          </cell>
          <cell r="V4161">
            <v>166000</v>
          </cell>
        </row>
        <row r="4162">
          <cell r="B4162">
            <v>1981</v>
          </cell>
          <cell r="K4162" t="str">
            <v>CLAY</v>
          </cell>
          <cell r="L4162" t="str">
            <v>Clay</v>
          </cell>
          <cell r="V4162">
            <v>165000</v>
          </cell>
        </row>
        <row r="4163">
          <cell r="B4163">
            <v>1981</v>
          </cell>
          <cell r="K4163" t="str">
            <v>DICKINSON</v>
          </cell>
          <cell r="L4163" t="str">
            <v>Dickinson</v>
          </cell>
          <cell r="V4163">
            <v>107000</v>
          </cell>
        </row>
        <row r="4164">
          <cell r="B4164">
            <v>1981</v>
          </cell>
          <cell r="K4164" t="str">
            <v>EMMET</v>
          </cell>
          <cell r="L4164" t="str">
            <v>Emmet</v>
          </cell>
          <cell r="V4164">
            <v>117000</v>
          </cell>
        </row>
        <row r="4165">
          <cell r="B4165">
            <v>1981</v>
          </cell>
          <cell r="K4165" t="str">
            <v>LYON</v>
          </cell>
          <cell r="L4165" t="str">
            <v>Lyon</v>
          </cell>
          <cell r="V4165">
            <v>172000</v>
          </cell>
        </row>
        <row r="4166">
          <cell r="B4166">
            <v>1981</v>
          </cell>
          <cell r="K4166" t="str">
            <v>O BRIEN</v>
          </cell>
          <cell r="L4166" t="str">
            <v>O Brien</v>
          </cell>
          <cell r="V4166">
            <v>171000</v>
          </cell>
        </row>
        <row r="4167">
          <cell r="B4167">
            <v>1981</v>
          </cell>
          <cell r="K4167" t="str">
            <v>OSCEOLA</v>
          </cell>
          <cell r="L4167" t="str">
            <v>Osceola</v>
          </cell>
          <cell r="V4167">
            <v>118000</v>
          </cell>
        </row>
        <row r="4168">
          <cell r="B4168">
            <v>1981</v>
          </cell>
          <cell r="K4168" t="str">
            <v>PALO ALTO</v>
          </cell>
          <cell r="L4168" t="str">
            <v>Palo Alto</v>
          </cell>
          <cell r="V4168">
            <v>175000</v>
          </cell>
        </row>
        <row r="4169">
          <cell r="B4169">
            <v>1981</v>
          </cell>
          <cell r="K4169" t="str">
            <v>PLYMOUTH</v>
          </cell>
          <cell r="L4169" t="str">
            <v>Plymouth</v>
          </cell>
          <cell r="V4169">
            <v>249000</v>
          </cell>
        </row>
        <row r="4170">
          <cell r="B4170">
            <v>1981</v>
          </cell>
          <cell r="K4170" t="str">
            <v>POCAHONTAS</v>
          </cell>
          <cell r="L4170" t="str">
            <v>Pocahontas</v>
          </cell>
          <cell r="V4170">
            <v>178000</v>
          </cell>
        </row>
        <row r="4171">
          <cell r="B4171">
            <v>1981</v>
          </cell>
          <cell r="K4171" t="str">
            <v>SIOUX</v>
          </cell>
          <cell r="L4171" t="str">
            <v>Sioux</v>
          </cell>
          <cell r="V4171">
            <v>275000</v>
          </cell>
        </row>
        <row r="4172">
          <cell r="B4172">
            <v>1981</v>
          </cell>
          <cell r="K4172" t="str">
            <v>APPANOOSE</v>
          </cell>
          <cell r="L4172" t="str">
            <v>Appanoose</v>
          </cell>
          <cell r="V4172">
            <v>44000</v>
          </cell>
        </row>
        <row r="4173">
          <cell r="B4173">
            <v>1981</v>
          </cell>
          <cell r="K4173" t="str">
            <v>CLARKE</v>
          </cell>
          <cell r="L4173" t="str">
            <v>Clarke</v>
          </cell>
          <cell r="V4173">
            <v>57000</v>
          </cell>
        </row>
        <row r="4174">
          <cell r="B4174">
            <v>1981</v>
          </cell>
          <cell r="K4174" t="str">
            <v>DECATUR</v>
          </cell>
          <cell r="L4174" t="str">
            <v>Decatur</v>
          </cell>
          <cell r="V4174">
            <v>62000</v>
          </cell>
        </row>
        <row r="4175">
          <cell r="B4175">
            <v>1981</v>
          </cell>
          <cell r="K4175" t="str">
            <v>LUCAS</v>
          </cell>
          <cell r="L4175" t="str">
            <v>Lucas</v>
          </cell>
          <cell r="V4175">
            <v>53000</v>
          </cell>
        </row>
        <row r="4176">
          <cell r="B4176">
            <v>1981</v>
          </cell>
          <cell r="K4176" t="str">
            <v>MADISON</v>
          </cell>
          <cell r="L4176" t="str">
            <v>Madison</v>
          </cell>
          <cell r="V4176">
            <v>91000</v>
          </cell>
        </row>
        <row r="4177">
          <cell r="B4177">
            <v>1981</v>
          </cell>
          <cell r="K4177" t="str">
            <v>MARION</v>
          </cell>
          <cell r="L4177" t="str">
            <v>Marion</v>
          </cell>
          <cell r="V4177">
            <v>95000</v>
          </cell>
        </row>
        <row r="4178">
          <cell r="B4178">
            <v>1981</v>
          </cell>
          <cell r="K4178" t="str">
            <v>MONROE</v>
          </cell>
          <cell r="L4178" t="str">
            <v>Monroe</v>
          </cell>
          <cell r="V4178">
            <v>44000</v>
          </cell>
        </row>
        <row r="4179">
          <cell r="B4179">
            <v>1981</v>
          </cell>
          <cell r="K4179" t="str">
            <v>RINGGOLD</v>
          </cell>
          <cell r="L4179" t="str">
            <v>Ringgold</v>
          </cell>
          <cell r="V4179">
            <v>71000</v>
          </cell>
        </row>
        <row r="4180">
          <cell r="B4180">
            <v>1981</v>
          </cell>
          <cell r="K4180" t="str">
            <v>UNION</v>
          </cell>
          <cell r="L4180" t="str">
            <v>Union</v>
          </cell>
          <cell r="V4180">
            <v>64000</v>
          </cell>
        </row>
        <row r="4181">
          <cell r="B4181">
            <v>1981</v>
          </cell>
          <cell r="K4181" t="str">
            <v>WARREN</v>
          </cell>
          <cell r="L4181" t="str">
            <v>Warren</v>
          </cell>
          <cell r="V4181">
            <v>100000</v>
          </cell>
        </row>
        <row r="4182">
          <cell r="B4182">
            <v>1981</v>
          </cell>
          <cell r="K4182" t="str">
            <v>WAYNE</v>
          </cell>
          <cell r="L4182" t="str">
            <v>Wayne</v>
          </cell>
          <cell r="V4182">
            <v>83000</v>
          </cell>
        </row>
        <row r="4183">
          <cell r="B4183">
            <v>1981</v>
          </cell>
          <cell r="K4183" t="str">
            <v>DAVIS</v>
          </cell>
          <cell r="L4183" t="str">
            <v>Davis</v>
          </cell>
          <cell r="V4183">
            <v>66000</v>
          </cell>
        </row>
        <row r="4184">
          <cell r="B4184">
            <v>1981</v>
          </cell>
          <cell r="K4184" t="str">
            <v>DES MOINES</v>
          </cell>
          <cell r="L4184" t="str">
            <v>Des Moines</v>
          </cell>
          <cell r="V4184">
            <v>98000</v>
          </cell>
        </row>
        <row r="4185">
          <cell r="B4185">
            <v>1981</v>
          </cell>
          <cell r="K4185" t="str">
            <v>HENRY</v>
          </cell>
          <cell r="L4185" t="str">
            <v>Henry</v>
          </cell>
          <cell r="V4185">
            <v>114000</v>
          </cell>
        </row>
        <row r="4186">
          <cell r="B4186">
            <v>1981</v>
          </cell>
          <cell r="K4186" t="str">
            <v>JEFFERSON</v>
          </cell>
          <cell r="L4186" t="str">
            <v>Jefferson</v>
          </cell>
          <cell r="V4186">
            <v>85000</v>
          </cell>
        </row>
        <row r="4187">
          <cell r="B4187">
            <v>1981</v>
          </cell>
          <cell r="K4187" t="str">
            <v>KEOKUK</v>
          </cell>
          <cell r="L4187" t="str">
            <v>Keokuk</v>
          </cell>
          <cell r="V4187">
            <v>144000</v>
          </cell>
        </row>
        <row r="4188">
          <cell r="B4188">
            <v>1981</v>
          </cell>
          <cell r="K4188" t="str">
            <v>LEE</v>
          </cell>
          <cell r="L4188" t="str">
            <v>Lee</v>
          </cell>
          <cell r="V4188">
            <v>91000</v>
          </cell>
        </row>
        <row r="4189">
          <cell r="B4189">
            <v>1981</v>
          </cell>
          <cell r="K4189" t="str">
            <v>LOUISA</v>
          </cell>
          <cell r="L4189" t="str">
            <v>Louisa</v>
          </cell>
          <cell r="V4189">
            <v>107000</v>
          </cell>
        </row>
        <row r="4190">
          <cell r="B4190">
            <v>1981</v>
          </cell>
          <cell r="K4190" t="str">
            <v>MAHASKA</v>
          </cell>
          <cell r="L4190" t="str">
            <v>Mahaska</v>
          </cell>
          <cell r="V4190">
            <v>140000</v>
          </cell>
        </row>
        <row r="4191">
          <cell r="B4191">
            <v>1981</v>
          </cell>
          <cell r="K4191" t="str">
            <v>VAN BUREN</v>
          </cell>
          <cell r="L4191" t="str">
            <v>Van Buren</v>
          </cell>
          <cell r="V4191">
            <v>66000</v>
          </cell>
        </row>
        <row r="4192">
          <cell r="B4192">
            <v>1981</v>
          </cell>
          <cell r="K4192" t="str">
            <v>WAPELLO</v>
          </cell>
          <cell r="L4192" t="str">
            <v>Wapello</v>
          </cell>
          <cell r="V4192">
            <v>68000</v>
          </cell>
        </row>
        <row r="4193">
          <cell r="B4193">
            <v>1981</v>
          </cell>
          <cell r="K4193" t="str">
            <v>WASHINGTON</v>
          </cell>
          <cell r="L4193" t="str">
            <v>Washington</v>
          </cell>
          <cell r="V4193">
            <v>162000</v>
          </cell>
        </row>
        <row r="4194">
          <cell r="B4194">
            <v>1981</v>
          </cell>
          <cell r="K4194" t="str">
            <v>ADAIR</v>
          </cell>
          <cell r="L4194" t="str">
            <v>Adair</v>
          </cell>
          <cell r="V4194">
            <v>123000</v>
          </cell>
        </row>
        <row r="4195">
          <cell r="B4195">
            <v>1981</v>
          </cell>
          <cell r="K4195" t="str">
            <v>ADAMS</v>
          </cell>
          <cell r="L4195" t="str">
            <v>Adams</v>
          </cell>
          <cell r="V4195">
            <v>85000</v>
          </cell>
        </row>
        <row r="4196">
          <cell r="B4196">
            <v>1981</v>
          </cell>
          <cell r="K4196" t="str">
            <v>CASS</v>
          </cell>
          <cell r="L4196" t="str">
            <v>Cass</v>
          </cell>
          <cell r="V4196">
            <v>148000</v>
          </cell>
        </row>
        <row r="4197">
          <cell r="B4197">
            <v>1981</v>
          </cell>
          <cell r="K4197" t="str">
            <v>FREMONT</v>
          </cell>
          <cell r="L4197" t="str">
            <v>Fremont</v>
          </cell>
          <cell r="V4197">
            <v>115000</v>
          </cell>
        </row>
        <row r="4198">
          <cell r="B4198">
            <v>1981</v>
          </cell>
          <cell r="K4198" t="str">
            <v>MILLS</v>
          </cell>
          <cell r="L4198" t="str">
            <v>Mills</v>
          </cell>
          <cell r="V4198">
            <v>120000</v>
          </cell>
        </row>
        <row r="4199">
          <cell r="B4199">
            <v>1981</v>
          </cell>
          <cell r="K4199" t="str">
            <v>MONTGOMERY</v>
          </cell>
          <cell r="L4199" t="str">
            <v>Montgomery</v>
          </cell>
          <cell r="V4199">
            <v>100000</v>
          </cell>
        </row>
        <row r="4200">
          <cell r="B4200">
            <v>1981</v>
          </cell>
          <cell r="K4200" t="str">
            <v>PAGE</v>
          </cell>
          <cell r="L4200" t="str">
            <v>Page</v>
          </cell>
          <cell r="V4200">
            <v>109000</v>
          </cell>
        </row>
        <row r="4201">
          <cell r="B4201">
            <v>1981</v>
          </cell>
          <cell r="K4201" t="str">
            <v>POTTAWATTAMIE</v>
          </cell>
          <cell r="L4201" t="str">
            <v>Pottawattamie</v>
          </cell>
          <cell r="V4201">
            <v>255000</v>
          </cell>
        </row>
        <row r="4202">
          <cell r="B4202">
            <v>1981</v>
          </cell>
          <cell r="K4202" t="str">
            <v>TAYLOR</v>
          </cell>
          <cell r="L4202" t="str">
            <v>Taylor</v>
          </cell>
          <cell r="V4202">
            <v>87000</v>
          </cell>
        </row>
        <row r="4203">
          <cell r="B4203">
            <v>1981</v>
          </cell>
          <cell r="K4203" t="str">
            <v>AUDUBON</v>
          </cell>
          <cell r="L4203" t="str">
            <v>Audubon</v>
          </cell>
          <cell r="V4203">
            <v>134000</v>
          </cell>
        </row>
        <row r="4204">
          <cell r="B4204">
            <v>1981</v>
          </cell>
          <cell r="K4204" t="str">
            <v>CALHOUN</v>
          </cell>
          <cell r="L4204" t="str">
            <v>Calhoun</v>
          </cell>
          <cell r="V4204">
            <v>165000</v>
          </cell>
        </row>
        <row r="4205">
          <cell r="B4205">
            <v>1981</v>
          </cell>
          <cell r="K4205" t="str">
            <v>CARROLL</v>
          </cell>
          <cell r="L4205" t="str">
            <v>Carroll</v>
          </cell>
          <cell r="V4205">
            <v>179000</v>
          </cell>
        </row>
        <row r="4206">
          <cell r="B4206">
            <v>1981</v>
          </cell>
          <cell r="K4206" t="str">
            <v>CRAWFORD</v>
          </cell>
          <cell r="L4206" t="str">
            <v>Crawford</v>
          </cell>
          <cell r="V4206">
            <v>182000</v>
          </cell>
        </row>
        <row r="4207">
          <cell r="B4207">
            <v>1981</v>
          </cell>
          <cell r="K4207" t="str">
            <v>GREENE</v>
          </cell>
          <cell r="L4207" t="str">
            <v>Greene</v>
          </cell>
          <cell r="V4207">
            <v>161000</v>
          </cell>
        </row>
        <row r="4208">
          <cell r="B4208">
            <v>1981</v>
          </cell>
          <cell r="K4208" t="str">
            <v>GUTHRIE</v>
          </cell>
          <cell r="L4208" t="str">
            <v>Guthrie</v>
          </cell>
          <cell r="V4208">
            <v>123000</v>
          </cell>
        </row>
        <row r="4209">
          <cell r="B4209">
            <v>1981</v>
          </cell>
          <cell r="K4209" t="str">
            <v>HARRISON</v>
          </cell>
          <cell r="L4209" t="str">
            <v>Harrison</v>
          </cell>
          <cell r="V4209">
            <v>181000</v>
          </cell>
        </row>
        <row r="4210">
          <cell r="B4210">
            <v>1981</v>
          </cell>
          <cell r="K4210" t="str">
            <v>IDA</v>
          </cell>
          <cell r="L4210" t="str">
            <v>Ida</v>
          </cell>
          <cell r="V4210">
            <v>136000</v>
          </cell>
        </row>
        <row r="4211">
          <cell r="B4211">
            <v>1981</v>
          </cell>
          <cell r="K4211" t="str">
            <v>MONONA</v>
          </cell>
          <cell r="L4211" t="str">
            <v>Monona</v>
          </cell>
          <cell r="V4211">
            <v>191000</v>
          </cell>
        </row>
        <row r="4212">
          <cell r="B4212">
            <v>1981</v>
          </cell>
          <cell r="K4212" t="str">
            <v>SAC</v>
          </cell>
          <cell r="L4212" t="str">
            <v>Sac</v>
          </cell>
          <cell r="V4212">
            <v>175000</v>
          </cell>
        </row>
        <row r="4213">
          <cell r="B4213">
            <v>1981</v>
          </cell>
          <cell r="K4213" t="str">
            <v>SHELBY</v>
          </cell>
          <cell r="L4213" t="str">
            <v>Shelby</v>
          </cell>
          <cell r="V4213">
            <v>194000</v>
          </cell>
        </row>
        <row r="4214">
          <cell r="B4214">
            <v>1981</v>
          </cell>
          <cell r="K4214" t="str">
            <v>WOODBURY</v>
          </cell>
          <cell r="L4214" t="str">
            <v>Woodbury</v>
          </cell>
          <cell r="V4214">
            <v>282000</v>
          </cell>
        </row>
        <row r="4215">
          <cell r="B4215">
            <v>1980</v>
          </cell>
          <cell r="K4215" t="str">
            <v>BOONE</v>
          </cell>
          <cell r="L4215" t="str">
            <v>Boone</v>
          </cell>
          <cell r="V4215">
            <v>156000</v>
          </cell>
        </row>
        <row r="4216">
          <cell r="B4216">
            <v>1980</v>
          </cell>
          <cell r="K4216" t="str">
            <v>DALLAS</v>
          </cell>
          <cell r="L4216" t="str">
            <v>Dallas</v>
          </cell>
          <cell r="V4216">
            <v>165000</v>
          </cell>
        </row>
        <row r="4217">
          <cell r="B4217">
            <v>1980</v>
          </cell>
          <cell r="K4217" t="str">
            <v>GRUNDY</v>
          </cell>
          <cell r="L4217" t="str">
            <v>Grundy</v>
          </cell>
          <cell r="V4217">
            <v>161000</v>
          </cell>
        </row>
        <row r="4218">
          <cell r="B4218">
            <v>1980</v>
          </cell>
          <cell r="K4218" t="str">
            <v>HAMILTON</v>
          </cell>
          <cell r="L4218" t="str">
            <v>Hamilton</v>
          </cell>
          <cell r="V4218">
            <v>172000</v>
          </cell>
        </row>
        <row r="4219">
          <cell r="B4219">
            <v>1980</v>
          </cell>
          <cell r="K4219" t="str">
            <v>HARDIN</v>
          </cell>
          <cell r="L4219" t="str">
            <v>Hardin</v>
          </cell>
          <cell r="V4219">
            <v>176000</v>
          </cell>
        </row>
        <row r="4220">
          <cell r="B4220">
            <v>1980</v>
          </cell>
          <cell r="K4220" t="str">
            <v>JASPER</v>
          </cell>
          <cell r="L4220" t="str">
            <v>Jasper</v>
          </cell>
          <cell r="V4220">
            <v>180000</v>
          </cell>
        </row>
        <row r="4221">
          <cell r="B4221">
            <v>1980</v>
          </cell>
          <cell r="K4221" t="str">
            <v>MARSHALL</v>
          </cell>
          <cell r="L4221" t="str">
            <v>Marshall</v>
          </cell>
          <cell r="V4221">
            <v>165000</v>
          </cell>
        </row>
        <row r="4222">
          <cell r="B4222">
            <v>1980</v>
          </cell>
          <cell r="K4222" t="str">
            <v>POLK</v>
          </cell>
          <cell r="L4222" t="str">
            <v>Polk</v>
          </cell>
          <cell r="V4222">
            <v>113000</v>
          </cell>
        </row>
        <row r="4223">
          <cell r="B4223">
            <v>1980</v>
          </cell>
          <cell r="K4223" t="str">
            <v>POWESHIEK</v>
          </cell>
          <cell r="L4223" t="str">
            <v>Poweshiek</v>
          </cell>
          <cell r="V4223">
            <v>136000</v>
          </cell>
        </row>
        <row r="4224">
          <cell r="B4224">
            <v>1980</v>
          </cell>
          <cell r="K4224" t="str">
            <v>STORY</v>
          </cell>
          <cell r="L4224" t="str">
            <v>Story</v>
          </cell>
          <cell r="V4224">
            <v>173000</v>
          </cell>
        </row>
        <row r="4225">
          <cell r="B4225">
            <v>1980</v>
          </cell>
          <cell r="K4225" t="str">
            <v>TAMA</v>
          </cell>
          <cell r="L4225" t="str">
            <v>Tama</v>
          </cell>
          <cell r="V4225">
            <v>179000</v>
          </cell>
        </row>
        <row r="4226">
          <cell r="B4226">
            <v>1980</v>
          </cell>
          <cell r="K4226" t="str">
            <v>WEBSTER</v>
          </cell>
          <cell r="L4226" t="str">
            <v>Webster</v>
          </cell>
          <cell r="V4226">
            <v>191000</v>
          </cell>
        </row>
        <row r="4227">
          <cell r="B4227">
            <v>1980</v>
          </cell>
          <cell r="K4227" t="str">
            <v>BENTON</v>
          </cell>
          <cell r="L4227" t="str">
            <v>Benton</v>
          </cell>
          <cell r="V4227">
            <v>187000</v>
          </cell>
        </row>
        <row r="4228">
          <cell r="B4228">
            <v>1980</v>
          </cell>
          <cell r="K4228" t="str">
            <v>CEDAR</v>
          </cell>
          <cell r="L4228" t="str">
            <v>Cedar</v>
          </cell>
          <cell r="V4228">
            <v>182000</v>
          </cell>
        </row>
        <row r="4229">
          <cell r="B4229">
            <v>1980</v>
          </cell>
          <cell r="K4229" t="str">
            <v>CLINTON</v>
          </cell>
          <cell r="L4229" t="str">
            <v>Clinton</v>
          </cell>
          <cell r="V4229">
            <v>216000</v>
          </cell>
        </row>
        <row r="4230">
          <cell r="B4230">
            <v>1980</v>
          </cell>
          <cell r="K4230" t="str">
            <v>IOWA</v>
          </cell>
          <cell r="L4230" t="str">
            <v>Iowa</v>
          </cell>
          <cell r="V4230">
            <v>152000</v>
          </cell>
        </row>
        <row r="4231">
          <cell r="B4231">
            <v>1980</v>
          </cell>
          <cell r="K4231" t="str">
            <v>JACKSON</v>
          </cell>
          <cell r="L4231" t="str">
            <v>Jackson</v>
          </cell>
          <cell r="V4231">
            <v>118000</v>
          </cell>
        </row>
        <row r="4232">
          <cell r="B4232">
            <v>1980</v>
          </cell>
          <cell r="K4232" t="str">
            <v>JOHNSON</v>
          </cell>
          <cell r="L4232" t="str">
            <v>Johnson</v>
          </cell>
          <cell r="V4232">
            <v>150000</v>
          </cell>
        </row>
        <row r="4233">
          <cell r="B4233">
            <v>1980</v>
          </cell>
          <cell r="K4233" t="str">
            <v>JONES</v>
          </cell>
          <cell r="L4233" t="str">
            <v>Jones</v>
          </cell>
          <cell r="V4233">
            <v>148000</v>
          </cell>
        </row>
        <row r="4234">
          <cell r="B4234">
            <v>1980</v>
          </cell>
          <cell r="K4234" t="str">
            <v>LINN</v>
          </cell>
          <cell r="L4234" t="str">
            <v>Linn</v>
          </cell>
          <cell r="V4234">
            <v>155000</v>
          </cell>
        </row>
        <row r="4235">
          <cell r="B4235">
            <v>1980</v>
          </cell>
          <cell r="K4235" t="str">
            <v>MUSCATINE</v>
          </cell>
          <cell r="L4235" t="str">
            <v>Muscatine</v>
          </cell>
          <cell r="V4235">
            <v>105000</v>
          </cell>
        </row>
        <row r="4236">
          <cell r="B4236">
            <v>1980</v>
          </cell>
          <cell r="K4236" t="str">
            <v>SCOTT</v>
          </cell>
          <cell r="L4236" t="str">
            <v>Scott</v>
          </cell>
          <cell r="V4236">
            <v>141000</v>
          </cell>
        </row>
        <row r="4237">
          <cell r="B4237">
            <v>1980</v>
          </cell>
          <cell r="K4237" t="str">
            <v>BUTLER</v>
          </cell>
          <cell r="L4237" t="str">
            <v>Butler</v>
          </cell>
          <cell r="V4237">
            <v>174000</v>
          </cell>
        </row>
        <row r="4238">
          <cell r="B4238">
            <v>1980</v>
          </cell>
          <cell r="K4238" t="str">
            <v>CERRO GORDO</v>
          </cell>
          <cell r="L4238" t="str">
            <v>Cerro Gordo</v>
          </cell>
          <cell r="V4238">
            <v>164000</v>
          </cell>
        </row>
        <row r="4239">
          <cell r="B4239">
            <v>1980</v>
          </cell>
          <cell r="K4239" t="str">
            <v>FLOYD</v>
          </cell>
          <cell r="L4239" t="str">
            <v>Floyd</v>
          </cell>
          <cell r="V4239">
            <v>136000</v>
          </cell>
        </row>
        <row r="4240">
          <cell r="B4240">
            <v>1980</v>
          </cell>
          <cell r="K4240" t="str">
            <v>FRANKLIN</v>
          </cell>
          <cell r="L4240" t="str">
            <v>Franklin</v>
          </cell>
          <cell r="V4240">
            <v>183000</v>
          </cell>
        </row>
        <row r="4241">
          <cell r="B4241">
            <v>1980</v>
          </cell>
          <cell r="K4241" t="str">
            <v>HANCOCK</v>
          </cell>
          <cell r="L4241" t="str">
            <v>Hancock</v>
          </cell>
          <cell r="V4241">
            <v>173000</v>
          </cell>
        </row>
        <row r="4242">
          <cell r="B4242">
            <v>1980</v>
          </cell>
          <cell r="K4242" t="str">
            <v>HUMBOLDT</v>
          </cell>
          <cell r="L4242" t="str">
            <v>Humboldt</v>
          </cell>
          <cell r="V4242">
            <v>131000</v>
          </cell>
        </row>
        <row r="4243">
          <cell r="B4243">
            <v>1980</v>
          </cell>
          <cell r="K4243" t="str">
            <v>KOSSUTH</v>
          </cell>
          <cell r="L4243" t="str">
            <v>Kossuth</v>
          </cell>
          <cell r="V4243">
            <v>283000</v>
          </cell>
        </row>
        <row r="4244">
          <cell r="B4244">
            <v>1980</v>
          </cell>
          <cell r="K4244" t="str">
            <v>MITCHELL</v>
          </cell>
          <cell r="L4244" t="str">
            <v>Mitchell</v>
          </cell>
          <cell r="V4244">
            <v>131000</v>
          </cell>
        </row>
        <row r="4245">
          <cell r="B4245">
            <v>1980</v>
          </cell>
          <cell r="K4245" t="str">
            <v>WINNEBAGO</v>
          </cell>
          <cell r="L4245" t="str">
            <v>Winnebago</v>
          </cell>
          <cell r="V4245">
            <v>118000</v>
          </cell>
        </row>
        <row r="4246">
          <cell r="B4246">
            <v>1980</v>
          </cell>
          <cell r="K4246" t="str">
            <v>WORTH</v>
          </cell>
          <cell r="L4246" t="str">
            <v>Worth</v>
          </cell>
          <cell r="V4246">
            <v>118000</v>
          </cell>
        </row>
        <row r="4247">
          <cell r="B4247">
            <v>1980</v>
          </cell>
          <cell r="K4247" t="str">
            <v>WRIGHT</v>
          </cell>
          <cell r="L4247" t="str">
            <v>Wright</v>
          </cell>
          <cell r="V4247">
            <v>182000</v>
          </cell>
        </row>
        <row r="4248">
          <cell r="B4248">
            <v>1980</v>
          </cell>
          <cell r="K4248" t="str">
            <v>ALLAMAKEE</v>
          </cell>
          <cell r="L4248" t="str">
            <v>Allamakee</v>
          </cell>
          <cell r="V4248">
            <v>85000</v>
          </cell>
        </row>
        <row r="4249">
          <cell r="B4249">
            <v>1980</v>
          </cell>
          <cell r="K4249" t="str">
            <v>BLACK HAWK</v>
          </cell>
          <cell r="L4249" t="str">
            <v>Black Hawk</v>
          </cell>
          <cell r="V4249">
            <v>156000</v>
          </cell>
        </row>
        <row r="4250">
          <cell r="B4250">
            <v>1980</v>
          </cell>
          <cell r="K4250" t="str">
            <v>BREMER</v>
          </cell>
          <cell r="L4250" t="str">
            <v>Bremer</v>
          </cell>
          <cell r="V4250">
            <v>122000</v>
          </cell>
        </row>
        <row r="4251">
          <cell r="B4251">
            <v>1980</v>
          </cell>
          <cell r="K4251" t="str">
            <v>BUCHANAN</v>
          </cell>
          <cell r="L4251" t="str">
            <v>Buchanan</v>
          </cell>
          <cell r="V4251">
            <v>169000</v>
          </cell>
        </row>
        <row r="4252">
          <cell r="B4252">
            <v>1980</v>
          </cell>
          <cell r="K4252" t="str">
            <v>CHICKASAW</v>
          </cell>
          <cell r="L4252" t="str">
            <v>Chickasaw</v>
          </cell>
          <cell r="V4252">
            <v>129000</v>
          </cell>
        </row>
        <row r="4253">
          <cell r="B4253">
            <v>1980</v>
          </cell>
          <cell r="K4253" t="str">
            <v>CLAYTON</v>
          </cell>
          <cell r="L4253" t="str">
            <v>Clayton</v>
          </cell>
          <cell r="V4253">
            <v>155000</v>
          </cell>
        </row>
        <row r="4254">
          <cell r="B4254">
            <v>1980</v>
          </cell>
          <cell r="K4254" t="str">
            <v>DELAWARE</v>
          </cell>
          <cell r="L4254" t="str">
            <v>Delaware</v>
          </cell>
          <cell r="V4254">
            <v>177000</v>
          </cell>
        </row>
        <row r="4255">
          <cell r="B4255">
            <v>1980</v>
          </cell>
          <cell r="K4255" t="str">
            <v>DUBUQUE</v>
          </cell>
          <cell r="L4255" t="str">
            <v>Dubuque</v>
          </cell>
          <cell r="V4255">
            <v>135000</v>
          </cell>
        </row>
        <row r="4256">
          <cell r="B4256">
            <v>1980</v>
          </cell>
          <cell r="K4256" t="str">
            <v>FAYETTE</v>
          </cell>
          <cell r="L4256" t="str">
            <v>Fayette</v>
          </cell>
          <cell r="V4256">
            <v>198000</v>
          </cell>
        </row>
        <row r="4257">
          <cell r="B4257">
            <v>1980</v>
          </cell>
          <cell r="K4257" t="str">
            <v>HOWARD</v>
          </cell>
          <cell r="L4257" t="str">
            <v>Howard</v>
          </cell>
          <cell r="V4257">
            <v>115000</v>
          </cell>
        </row>
        <row r="4258">
          <cell r="B4258">
            <v>1980</v>
          </cell>
          <cell r="K4258" t="str">
            <v>WINNESHIEK</v>
          </cell>
          <cell r="L4258" t="str">
            <v>Winneshiek</v>
          </cell>
          <cell r="V4258">
            <v>156000</v>
          </cell>
        </row>
        <row r="4259">
          <cell r="B4259">
            <v>1980</v>
          </cell>
          <cell r="K4259" t="str">
            <v>BUENA VISTA</v>
          </cell>
          <cell r="L4259" t="str">
            <v>Buena Vista</v>
          </cell>
          <cell r="V4259">
            <v>176000</v>
          </cell>
        </row>
        <row r="4260">
          <cell r="B4260">
            <v>1980</v>
          </cell>
          <cell r="K4260" t="str">
            <v>CHEROKEE</v>
          </cell>
          <cell r="L4260" t="str">
            <v>Cherokee</v>
          </cell>
          <cell r="V4260">
            <v>160000</v>
          </cell>
        </row>
        <row r="4261">
          <cell r="B4261">
            <v>1980</v>
          </cell>
          <cell r="K4261" t="str">
            <v>CLAY</v>
          </cell>
          <cell r="L4261" t="str">
            <v>Clay</v>
          </cell>
          <cell r="V4261">
            <v>164000</v>
          </cell>
        </row>
        <row r="4262">
          <cell r="B4262">
            <v>1980</v>
          </cell>
          <cell r="K4262" t="str">
            <v>DICKINSON</v>
          </cell>
          <cell r="L4262" t="str">
            <v>Dickinson</v>
          </cell>
          <cell r="V4262">
            <v>102000</v>
          </cell>
        </row>
        <row r="4263">
          <cell r="B4263">
            <v>1980</v>
          </cell>
          <cell r="K4263" t="str">
            <v>EMMET</v>
          </cell>
          <cell r="L4263" t="str">
            <v>Emmet</v>
          </cell>
          <cell r="V4263">
            <v>115000</v>
          </cell>
        </row>
        <row r="4264">
          <cell r="B4264">
            <v>1980</v>
          </cell>
          <cell r="K4264" t="str">
            <v>LYON</v>
          </cell>
          <cell r="L4264" t="str">
            <v>Lyon</v>
          </cell>
          <cell r="V4264">
            <v>177000</v>
          </cell>
        </row>
        <row r="4265">
          <cell r="B4265">
            <v>1980</v>
          </cell>
          <cell r="K4265" t="str">
            <v>O BRIEN</v>
          </cell>
          <cell r="L4265" t="str">
            <v>O Brien</v>
          </cell>
          <cell r="V4265">
            <v>166000</v>
          </cell>
        </row>
        <row r="4266">
          <cell r="B4266">
            <v>1980</v>
          </cell>
          <cell r="K4266" t="str">
            <v>OSCEOLA</v>
          </cell>
          <cell r="L4266" t="str">
            <v>Osceola</v>
          </cell>
          <cell r="V4266">
            <v>117000</v>
          </cell>
        </row>
        <row r="4267">
          <cell r="B4267">
            <v>1980</v>
          </cell>
          <cell r="K4267" t="str">
            <v>PALO ALTO</v>
          </cell>
          <cell r="L4267" t="str">
            <v>Palo Alto</v>
          </cell>
          <cell r="V4267">
            <v>167000</v>
          </cell>
        </row>
        <row r="4268">
          <cell r="B4268">
            <v>1980</v>
          </cell>
          <cell r="K4268" t="str">
            <v>PLYMOUTH</v>
          </cell>
          <cell r="L4268" t="str">
            <v>Plymouth</v>
          </cell>
          <cell r="V4268">
            <v>251000</v>
          </cell>
        </row>
        <row r="4269">
          <cell r="B4269">
            <v>1980</v>
          </cell>
          <cell r="K4269" t="str">
            <v>POCAHONTAS</v>
          </cell>
          <cell r="L4269" t="str">
            <v>Pocahontas</v>
          </cell>
          <cell r="V4269">
            <v>173000</v>
          </cell>
        </row>
        <row r="4270">
          <cell r="B4270">
            <v>1980</v>
          </cell>
          <cell r="K4270" t="str">
            <v>SIOUX</v>
          </cell>
          <cell r="L4270" t="str">
            <v>Sioux</v>
          </cell>
          <cell r="V4270">
            <v>265000</v>
          </cell>
        </row>
        <row r="4271">
          <cell r="B4271">
            <v>1980</v>
          </cell>
          <cell r="K4271" t="str">
            <v>APPANOOSE</v>
          </cell>
          <cell r="L4271" t="str">
            <v>Appanoose</v>
          </cell>
          <cell r="V4271">
            <v>42000</v>
          </cell>
        </row>
        <row r="4272">
          <cell r="B4272">
            <v>1980</v>
          </cell>
          <cell r="K4272" t="str">
            <v>CLARKE</v>
          </cell>
          <cell r="L4272" t="str">
            <v>Clarke</v>
          </cell>
          <cell r="V4272">
            <v>50000</v>
          </cell>
        </row>
        <row r="4273">
          <cell r="B4273">
            <v>1980</v>
          </cell>
          <cell r="K4273" t="str">
            <v>DECATUR</v>
          </cell>
          <cell r="L4273" t="str">
            <v>Decatur</v>
          </cell>
          <cell r="V4273">
            <v>56000</v>
          </cell>
        </row>
        <row r="4274">
          <cell r="B4274">
            <v>1980</v>
          </cell>
          <cell r="K4274" t="str">
            <v>LUCAS</v>
          </cell>
          <cell r="L4274" t="str">
            <v>Lucas</v>
          </cell>
          <cell r="V4274">
            <v>50000</v>
          </cell>
        </row>
        <row r="4275">
          <cell r="B4275">
            <v>1980</v>
          </cell>
          <cell r="K4275" t="str">
            <v>MADISON</v>
          </cell>
          <cell r="L4275" t="str">
            <v>Madison</v>
          </cell>
          <cell r="V4275">
            <v>92000</v>
          </cell>
        </row>
        <row r="4276">
          <cell r="B4276">
            <v>1980</v>
          </cell>
          <cell r="K4276" t="str">
            <v>MARION</v>
          </cell>
          <cell r="L4276" t="str">
            <v>Marion</v>
          </cell>
          <cell r="V4276">
            <v>93000</v>
          </cell>
        </row>
        <row r="4277">
          <cell r="B4277">
            <v>1980</v>
          </cell>
          <cell r="K4277" t="str">
            <v>MONROE</v>
          </cell>
          <cell r="L4277" t="str">
            <v>Monroe</v>
          </cell>
          <cell r="V4277">
            <v>42000</v>
          </cell>
        </row>
        <row r="4278">
          <cell r="B4278">
            <v>1980</v>
          </cell>
          <cell r="K4278" t="str">
            <v>RINGGOLD</v>
          </cell>
          <cell r="L4278" t="str">
            <v>Ringgold</v>
          </cell>
          <cell r="V4278">
            <v>73000</v>
          </cell>
        </row>
        <row r="4279">
          <cell r="B4279">
            <v>1980</v>
          </cell>
          <cell r="K4279" t="str">
            <v>UNION</v>
          </cell>
          <cell r="L4279" t="str">
            <v>Union</v>
          </cell>
          <cell r="V4279">
            <v>62000</v>
          </cell>
        </row>
        <row r="4280">
          <cell r="B4280">
            <v>1980</v>
          </cell>
          <cell r="K4280" t="str">
            <v>WARREN</v>
          </cell>
          <cell r="L4280" t="str">
            <v>Warren</v>
          </cell>
          <cell r="V4280">
            <v>92000</v>
          </cell>
        </row>
        <row r="4281">
          <cell r="B4281">
            <v>1980</v>
          </cell>
          <cell r="K4281" t="str">
            <v>WAYNE</v>
          </cell>
          <cell r="L4281" t="str">
            <v>Wayne</v>
          </cell>
          <cell r="V4281">
            <v>68000</v>
          </cell>
        </row>
        <row r="4282">
          <cell r="B4282">
            <v>1980</v>
          </cell>
          <cell r="K4282" t="str">
            <v>DAVIS</v>
          </cell>
          <cell r="L4282" t="str">
            <v>Davis</v>
          </cell>
          <cell r="V4282">
            <v>59000</v>
          </cell>
        </row>
        <row r="4283">
          <cell r="B4283">
            <v>1980</v>
          </cell>
          <cell r="K4283" t="str">
            <v>DES MOINES</v>
          </cell>
          <cell r="L4283" t="str">
            <v>Des Moines</v>
          </cell>
          <cell r="V4283">
            <v>95000</v>
          </cell>
        </row>
        <row r="4284">
          <cell r="B4284">
            <v>1980</v>
          </cell>
          <cell r="K4284" t="str">
            <v>HENRY</v>
          </cell>
          <cell r="L4284" t="str">
            <v>Henry</v>
          </cell>
          <cell r="V4284">
            <v>107000</v>
          </cell>
        </row>
        <row r="4285">
          <cell r="B4285">
            <v>1980</v>
          </cell>
          <cell r="K4285" t="str">
            <v>JEFFERSON</v>
          </cell>
          <cell r="L4285" t="str">
            <v>Jefferson</v>
          </cell>
          <cell r="V4285">
            <v>77000</v>
          </cell>
        </row>
        <row r="4286">
          <cell r="B4286">
            <v>1980</v>
          </cell>
          <cell r="K4286" t="str">
            <v>KEOKUK</v>
          </cell>
          <cell r="L4286" t="str">
            <v>Keokuk</v>
          </cell>
          <cell r="V4286">
            <v>135000</v>
          </cell>
        </row>
        <row r="4287">
          <cell r="B4287">
            <v>1980</v>
          </cell>
          <cell r="K4287" t="str">
            <v>LEE</v>
          </cell>
          <cell r="L4287" t="str">
            <v>Lee</v>
          </cell>
          <cell r="V4287">
            <v>88000</v>
          </cell>
        </row>
        <row r="4288">
          <cell r="B4288">
            <v>1980</v>
          </cell>
          <cell r="K4288" t="str">
            <v>LOUISA</v>
          </cell>
          <cell r="L4288" t="str">
            <v>Louisa</v>
          </cell>
          <cell r="V4288">
            <v>98000</v>
          </cell>
        </row>
        <row r="4289">
          <cell r="B4289">
            <v>1980</v>
          </cell>
          <cell r="K4289" t="str">
            <v>MAHASKA</v>
          </cell>
          <cell r="L4289" t="str">
            <v>Mahaska</v>
          </cell>
          <cell r="V4289">
            <v>145000</v>
          </cell>
        </row>
        <row r="4290">
          <cell r="B4290">
            <v>1980</v>
          </cell>
          <cell r="K4290" t="str">
            <v>VAN BUREN</v>
          </cell>
          <cell r="L4290" t="str">
            <v>Van Buren</v>
          </cell>
          <cell r="V4290">
            <v>61000</v>
          </cell>
        </row>
        <row r="4291">
          <cell r="B4291">
            <v>1980</v>
          </cell>
          <cell r="K4291" t="str">
            <v>WAPELLO</v>
          </cell>
          <cell r="L4291" t="str">
            <v>Wapello</v>
          </cell>
          <cell r="V4291">
            <v>67000</v>
          </cell>
        </row>
        <row r="4292">
          <cell r="B4292">
            <v>1980</v>
          </cell>
          <cell r="K4292" t="str">
            <v>WASHINGTON</v>
          </cell>
          <cell r="L4292" t="str">
            <v>Washington</v>
          </cell>
          <cell r="V4292">
            <v>153000</v>
          </cell>
        </row>
        <row r="4293">
          <cell r="B4293">
            <v>1980</v>
          </cell>
          <cell r="K4293" t="str">
            <v>ADAIR</v>
          </cell>
          <cell r="L4293" t="str">
            <v>Adair</v>
          </cell>
          <cell r="V4293">
            <v>120000</v>
          </cell>
        </row>
        <row r="4294">
          <cell r="B4294">
            <v>1980</v>
          </cell>
          <cell r="K4294" t="str">
            <v>ADAMS</v>
          </cell>
          <cell r="L4294" t="str">
            <v>Adams</v>
          </cell>
          <cell r="V4294">
            <v>84000</v>
          </cell>
        </row>
        <row r="4295">
          <cell r="B4295">
            <v>1980</v>
          </cell>
          <cell r="K4295" t="str">
            <v>CASS</v>
          </cell>
          <cell r="L4295" t="str">
            <v>Cass</v>
          </cell>
          <cell r="V4295">
            <v>148000</v>
          </cell>
        </row>
        <row r="4296">
          <cell r="B4296">
            <v>1980</v>
          </cell>
          <cell r="K4296" t="str">
            <v>FREMONT</v>
          </cell>
          <cell r="L4296" t="str">
            <v>Fremont</v>
          </cell>
          <cell r="V4296">
            <v>115000</v>
          </cell>
        </row>
        <row r="4297">
          <cell r="B4297">
            <v>1980</v>
          </cell>
          <cell r="K4297" t="str">
            <v>MILLS</v>
          </cell>
          <cell r="L4297" t="str">
            <v>Mills</v>
          </cell>
          <cell r="V4297">
            <v>109000</v>
          </cell>
        </row>
        <row r="4298">
          <cell r="B4298">
            <v>1980</v>
          </cell>
          <cell r="K4298" t="str">
            <v>MONTGOMERY</v>
          </cell>
          <cell r="L4298" t="str">
            <v>Montgomery</v>
          </cell>
          <cell r="V4298">
            <v>103000</v>
          </cell>
        </row>
        <row r="4299">
          <cell r="B4299">
            <v>1980</v>
          </cell>
          <cell r="K4299" t="str">
            <v>PAGE</v>
          </cell>
          <cell r="L4299" t="str">
            <v>Page</v>
          </cell>
          <cell r="V4299">
            <v>118000</v>
          </cell>
        </row>
        <row r="4300">
          <cell r="B4300">
            <v>1980</v>
          </cell>
          <cell r="K4300" t="str">
            <v>POTTAWATTAMIE</v>
          </cell>
          <cell r="L4300" t="str">
            <v>Pottawattamie</v>
          </cell>
          <cell r="V4300">
            <v>259000</v>
          </cell>
        </row>
        <row r="4301">
          <cell r="B4301">
            <v>1980</v>
          </cell>
          <cell r="K4301" t="str">
            <v>TAYLOR</v>
          </cell>
          <cell r="L4301" t="str">
            <v>Taylor</v>
          </cell>
          <cell r="V4301">
            <v>88000</v>
          </cell>
        </row>
        <row r="4302">
          <cell r="B4302">
            <v>1980</v>
          </cell>
          <cell r="K4302" t="str">
            <v>AUDUBON</v>
          </cell>
          <cell r="L4302" t="str">
            <v>Audubon</v>
          </cell>
          <cell r="V4302">
            <v>135000</v>
          </cell>
        </row>
        <row r="4303">
          <cell r="B4303">
            <v>1980</v>
          </cell>
          <cell r="K4303" t="str">
            <v>CALHOUN</v>
          </cell>
          <cell r="L4303" t="str">
            <v>Calhoun</v>
          </cell>
          <cell r="V4303">
            <v>161000</v>
          </cell>
        </row>
        <row r="4304">
          <cell r="B4304">
            <v>1980</v>
          </cell>
          <cell r="K4304" t="str">
            <v>CARROLL</v>
          </cell>
          <cell r="L4304" t="str">
            <v>Carroll</v>
          </cell>
          <cell r="V4304">
            <v>190000</v>
          </cell>
        </row>
        <row r="4305">
          <cell r="B4305">
            <v>1980</v>
          </cell>
          <cell r="K4305" t="str">
            <v>CRAWFORD</v>
          </cell>
          <cell r="L4305" t="str">
            <v>Crawford</v>
          </cell>
          <cell r="V4305">
            <v>191000</v>
          </cell>
        </row>
        <row r="4306">
          <cell r="B4306">
            <v>1980</v>
          </cell>
          <cell r="K4306" t="str">
            <v>GREENE</v>
          </cell>
          <cell r="L4306" t="str">
            <v>Greene</v>
          </cell>
          <cell r="V4306">
            <v>170000</v>
          </cell>
        </row>
        <row r="4307">
          <cell r="B4307">
            <v>1980</v>
          </cell>
          <cell r="K4307" t="str">
            <v>GUTHRIE</v>
          </cell>
          <cell r="L4307" t="str">
            <v>Guthrie</v>
          </cell>
          <cell r="V4307">
            <v>120000</v>
          </cell>
        </row>
        <row r="4308">
          <cell r="B4308">
            <v>1980</v>
          </cell>
          <cell r="K4308" t="str">
            <v>HARRISON</v>
          </cell>
          <cell r="L4308" t="str">
            <v>Harrison</v>
          </cell>
          <cell r="V4308">
            <v>176000</v>
          </cell>
        </row>
        <row r="4309">
          <cell r="B4309">
            <v>1980</v>
          </cell>
          <cell r="K4309" t="str">
            <v>IDA</v>
          </cell>
          <cell r="L4309" t="str">
            <v>Ida</v>
          </cell>
          <cell r="V4309">
            <v>138000</v>
          </cell>
        </row>
        <row r="4310">
          <cell r="B4310">
            <v>1980</v>
          </cell>
          <cell r="K4310" t="str">
            <v>MONONA</v>
          </cell>
          <cell r="L4310" t="str">
            <v>Monona</v>
          </cell>
          <cell r="V4310">
            <v>184000</v>
          </cell>
        </row>
        <row r="4311">
          <cell r="B4311">
            <v>1980</v>
          </cell>
          <cell r="K4311" t="str">
            <v>SAC</v>
          </cell>
          <cell r="L4311" t="str">
            <v>Sac</v>
          </cell>
          <cell r="V4311">
            <v>179000</v>
          </cell>
        </row>
        <row r="4312">
          <cell r="B4312">
            <v>1980</v>
          </cell>
          <cell r="K4312" t="str">
            <v>SHELBY</v>
          </cell>
          <cell r="L4312" t="str">
            <v>Shelby</v>
          </cell>
          <cell r="V4312">
            <v>194000</v>
          </cell>
        </row>
        <row r="4313">
          <cell r="B4313">
            <v>1980</v>
          </cell>
          <cell r="K4313" t="str">
            <v>WOODBURY</v>
          </cell>
          <cell r="L4313" t="str">
            <v>Woodbury</v>
          </cell>
          <cell r="V4313">
            <v>269000</v>
          </cell>
        </row>
        <row r="4314">
          <cell r="B4314">
            <v>1979</v>
          </cell>
          <cell r="K4314" t="str">
            <v>BOONE</v>
          </cell>
          <cell r="L4314" t="str">
            <v>Boone</v>
          </cell>
          <cell r="V4314">
            <v>156000</v>
          </cell>
        </row>
        <row r="4315">
          <cell r="B4315">
            <v>1979</v>
          </cell>
          <cell r="K4315" t="str">
            <v>DALLAS</v>
          </cell>
          <cell r="L4315" t="str">
            <v>Dallas</v>
          </cell>
          <cell r="V4315">
            <v>158000</v>
          </cell>
        </row>
        <row r="4316">
          <cell r="B4316">
            <v>1979</v>
          </cell>
          <cell r="K4316" t="str">
            <v>GRUNDY</v>
          </cell>
          <cell r="L4316" t="str">
            <v>Grundy</v>
          </cell>
          <cell r="V4316">
            <v>156000</v>
          </cell>
        </row>
        <row r="4317">
          <cell r="B4317">
            <v>1979</v>
          </cell>
          <cell r="K4317" t="str">
            <v>HAMILTON</v>
          </cell>
          <cell r="L4317" t="str">
            <v>Hamilton</v>
          </cell>
          <cell r="V4317">
            <v>168000</v>
          </cell>
        </row>
        <row r="4318">
          <cell r="B4318">
            <v>1979</v>
          </cell>
          <cell r="K4318" t="str">
            <v>HARDIN</v>
          </cell>
          <cell r="L4318" t="str">
            <v>Hardin</v>
          </cell>
          <cell r="V4318">
            <v>169000</v>
          </cell>
        </row>
        <row r="4319">
          <cell r="B4319">
            <v>1979</v>
          </cell>
          <cell r="K4319" t="str">
            <v>JASPER</v>
          </cell>
          <cell r="L4319" t="str">
            <v>Jasper</v>
          </cell>
          <cell r="V4319">
            <v>175000</v>
          </cell>
        </row>
        <row r="4320">
          <cell r="B4320">
            <v>1979</v>
          </cell>
          <cell r="K4320" t="str">
            <v>MARSHALL</v>
          </cell>
          <cell r="L4320" t="str">
            <v>Marshall</v>
          </cell>
          <cell r="V4320">
            <v>162000</v>
          </cell>
        </row>
        <row r="4321">
          <cell r="B4321">
            <v>1979</v>
          </cell>
          <cell r="K4321" t="str">
            <v>POLK</v>
          </cell>
          <cell r="L4321" t="str">
            <v>Polk</v>
          </cell>
          <cell r="V4321">
            <v>117000</v>
          </cell>
        </row>
        <row r="4322">
          <cell r="B4322">
            <v>1979</v>
          </cell>
          <cell r="K4322" t="str">
            <v>POWESHIEK</v>
          </cell>
          <cell r="L4322" t="str">
            <v>Poweshiek</v>
          </cell>
          <cell r="V4322">
            <v>130000</v>
          </cell>
        </row>
        <row r="4323">
          <cell r="B4323">
            <v>1979</v>
          </cell>
          <cell r="K4323" t="str">
            <v>STORY</v>
          </cell>
          <cell r="L4323" t="str">
            <v>Story</v>
          </cell>
          <cell r="V4323">
            <v>168000</v>
          </cell>
        </row>
        <row r="4324">
          <cell r="B4324">
            <v>1979</v>
          </cell>
          <cell r="K4324" t="str">
            <v>TAMA</v>
          </cell>
          <cell r="L4324" t="str">
            <v>Tama</v>
          </cell>
          <cell r="V4324">
            <v>178000</v>
          </cell>
        </row>
        <row r="4325">
          <cell r="B4325">
            <v>1979</v>
          </cell>
          <cell r="K4325" t="str">
            <v>WEBSTER</v>
          </cell>
          <cell r="L4325" t="str">
            <v>Webster</v>
          </cell>
          <cell r="V4325">
            <v>185000</v>
          </cell>
        </row>
        <row r="4326">
          <cell r="B4326">
            <v>1979</v>
          </cell>
          <cell r="K4326" t="str">
            <v>BENTON</v>
          </cell>
          <cell r="L4326" t="str">
            <v>Benton</v>
          </cell>
          <cell r="V4326">
            <v>181000</v>
          </cell>
        </row>
        <row r="4327">
          <cell r="B4327">
            <v>1979</v>
          </cell>
          <cell r="K4327" t="str">
            <v>CEDAR</v>
          </cell>
          <cell r="L4327" t="str">
            <v>Cedar</v>
          </cell>
          <cell r="V4327">
            <v>182000</v>
          </cell>
        </row>
        <row r="4328">
          <cell r="B4328">
            <v>1979</v>
          </cell>
          <cell r="K4328" t="str">
            <v>CLINTON</v>
          </cell>
          <cell r="L4328" t="str">
            <v>Clinton</v>
          </cell>
          <cell r="V4328">
            <v>219000</v>
          </cell>
        </row>
        <row r="4329">
          <cell r="B4329">
            <v>1979</v>
          </cell>
          <cell r="K4329" t="str">
            <v>IOWA</v>
          </cell>
          <cell r="L4329" t="str">
            <v>Iowa</v>
          </cell>
          <cell r="V4329">
            <v>147000</v>
          </cell>
        </row>
        <row r="4330">
          <cell r="B4330">
            <v>1979</v>
          </cell>
          <cell r="K4330" t="str">
            <v>JACKSON</v>
          </cell>
          <cell r="L4330" t="str">
            <v>Jackson</v>
          </cell>
          <cell r="V4330">
            <v>112000</v>
          </cell>
        </row>
        <row r="4331">
          <cell r="B4331">
            <v>1979</v>
          </cell>
          <cell r="K4331" t="str">
            <v>JOHNSON</v>
          </cell>
          <cell r="L4331" t="str">
            <v>Johnson</v>
          </cell>
          <cell r="V4331">
            <v>149000</v>
          </cell>
        </row>
        <row r="4332">
          <cell r="B4332">
            <v>1979</v>
          </cell>
          <cell r="K4332" t="str">
            <v>JONES</v>
          </cell>
          <cell r="L4332" t="str">
            <v>Jones</v>
          </cell>
          <cell r="V4332">
            <v>149000</v>
          </cell>
        </row>
        <row r="4333">
          <cell r="B4333">
            <v>1979</v>
          </cell>
          <cell r="K4333" t="str">
            <v>LINN</v>
          </cell>
          <cell r="L4333" t="str">
            <v>Linn</v>
          </cell>
          <cell r="V4333">
            <v>156000</v>
          </cell>
        </row>
        <row r="4334">
          <cell r="B4334">
            <v>1979</v>
          </cell>
          <cell r="K4334" t="str">
            <v>MUSCATINE</v>
          </cell>
          <cell r="L4334" t="str">
            <v>Muscatine</v>
          </cell>
          <cell r="V4334">
            <v>100000</v>
          </cell>
        </row>
        <row r="4335">
          <cell r="B4335">
            <v>1979</v>
          </cell>
          <cell r="K4335" t="str">
            <v>SCOTT</v>
          </cell>
          <cell r="L4335" t="str">
            <v>Scott</v>
          </cell>
          <cell r="V4335">
            <v>138000</v>
          </cell>
        </row>
        <row r="4336">
          <cell r="B4336">
            <v>1979</v>
          </cell>
          <cell r="K4336" t="str">
            <v>BUTLER</v>
          </cell>
          <cell r="L4336" t="str">
            <v>Butler</v>
          </cell>
          <cell r="V4336">
            <v>174000</v>
          </cell>
        </row>
        <row r="4337">
          <cell r="B4337">
            <v>1979</v>
          </cell>
          <cell r="K4337" t="str">
            <v>CERRO GORDO</v>
          </cell>
          <cell r="L4337" t="str">
            <v>Cerro Gordo</v>
          </cell>
          <cell r="V4337">
            <v>158000</v>
          </cell>
        </row>
        <row r="4338">
          <cell r="B4338">
            <v>1979</v>
          </cell>
          <cell r="K4338" t="str">
            <v>FLOYD</v>
          </cell>
          <cell r="L4338" t="str">
            <v>Floyd</v>
          </cell>
          <cell r="V4338">
            <v>132000</v>
          </cell>
        </row>
        <row r="4339">
          <cell r="B4339">
            <v>1979</v>
          </cell>
          <cell r="K4339" t="str">
            <v>FRANKLIN</v>
          </cell>
          <cell r="L4339" t="str">
            <v>Franklin</v>
          </cell>
          <cell r="V4339">
            <v>176000</v>
          </cell>
        </row>
        <row r="4340">
          <cell r="B4340">
            <v>1979</v>
          </cell>
          <cell r="K4340" t="str">
            <v>HANCOCK</v>
          </cell>
          <cell r="L4340" t="str">
            <v>Hancock</v>
          </cell>
          <cell r="V4340">
            <v>170000</v>
          </cell>
        </row>
        <row r="4341">
          <cell r="B4341">
            <v>1979</v>
          </cell>
          <cell r="K4341" t="str">
            <v>HUMBOLDT</v>
          </cell>
          <cell r="L4341" t="str">
            <v>Humboldt</v>
          </cell>
          <cell r="V4341">
            <v>130000</v>
          </cell>
        </row>
        <row r="4342">
          <cell r="B4342">
            <v>1979</v>
          </cell>
          <cell r="K4342" t="str">
            <v>KOSSUTH</v>
          </cell>
          <cell r="L4342" t="str">
            <v>Kossuth</v>
          </cell>
          <cell r="V4342">
            <v>283000</v>
          </cell>
        </row>
        <row r="4343">
          <cell r="B4343">
            <v>1979</v>
          </cell>
          <cell r="K4343" t="str">
            <v>MITCHELL</v>
          </cell>
          <cell r="L4343" t="str">
            <v>Mitchell</v>
          </cell>
          <cell r="V4343">
            <v>129000</v>
          </cell>
        </row>
        <row r="4344">
          <cell r="B4344">
            <v>1979</v>
          </cell>
          <cell r="K4344" t="str">
            <v>WINNEBAGO</v>
          </cell>
          <cell r="L4344" t="str">
            <v>Winnebago</v>
          </cell>
          <cell r="V4344">
            <v>117000</v>
          </cell>
        </row>
        <row r="4345">
          <cell r="B4345">
            <v>1979</v>
          </cell>
          <cell r="K4345" t="str">
            <v>WORTH</v>
          </cell>
          <cell r="L4345" t="str">
            <v>Worth</v>
          </cell>
          <cell r="V4345">
            <v>113000</v>
          </cell>
        </row>
        <row r="4346">
          <cell r="B4346">
            <v>1979</v>
          </cell>
          <cell r="K4346" t="str">
            <v>WRIGHT</v>
          </cell>
          <cell r="L4346" t="str">
            <v>Wright</v>
          </cell>
          <cell r="V4346">
            <v>180000</v>
          </cell>
        </row>
        <row r="4347">
          <cell r="B4347">
            <v>1979</v>
          </cell>
          <cell r="K4347" t="str">
            <v>ALLAMAKEE</v>
          </cell>
          <cell r="L4347" t="str">
            <v>Allamakee</v>
          </cell>
          <cell r="V4347">
            <v>85000</v>
          </cell>
        </row>
        <row r="4348">
          <cell r="B4348">
            <v>1979</v>
          </cell>
          <cell r="K4348" t="str">
            <v>BLACK HAWK</v>
          </cell>
          <cell r="L4348" t="str">
            <v>Black Hawk</v>
          </cell>
          <cell r="V4348">
            <v>152000</v>
          </cell>
        </row>
        <row r="4349">
          <cell r="B4349">
            <v>1979</v>
          </cell>
          <cell r="K4349" t="str">
            <v>BREMER</v>
          </cell>
          <cell r="L4349" t="str">
            <v>Bremer</v>
          </cell>
          <cell r="V4349">
            <v>115000</v>
          </cell>
        </row>
        <row r="4350">
          <cell r="B4350">
            <v>1979</v>
          </cell>
          <cell r="K4350" t="str">
            <v>BUCHANAN</v>
          </cell>
          <cell r="L4350" t="str">
            <v>Buchanan</v>
          </cell>
          <cell r="V4350">
            <v>169000</v>
          </cell>
        </row>
        <row r="4351">
          <cell r="B4351">
            <v>1979</v>
          </cell>
          <cell r="K4351" t="str">
            <v>CHICKASAW</v>
          </cell>
          <cell r="L4351" t="str">
            <v>Chickasaw</v>
          </cell>
          <cell r="V4351">
            <v>124000</v>
          </cell>
        </row>
        <row r="4352">
          <cell r="B4352">
            <v>1979</v>
          </cell>
          <cell r="K4352" t="str">
            <v>CLAYTON</v>
          </cell>
          <cell r="L4352" t="str">
            <v>Clayton</v>
          </cell>
          <cell r="V4352">
            <v>155000</v>
          </cell>
        </row>
        <row r="4353">
          <cell r="B4353">
            <v>1979</v>
          </cell>
          <cell r="K4353" t="str">
            <v>DELAWARE</v>
          </cell>
          <cell r="L4353" t="str">
            <v>Delaware</v>
          </cell>
          <cell r="V4353">
            <v>175000</v>
          </cell>
        </row>
        <row r="4354">
          <cell r="B4354">
            <v>1979</v>
          </cell>
          <cell r="K4354" t="str">
            <v>DUBUQUE</v>
          </cell>
          <cell r="L4354" t="str">
            <v>Dubuque</v>
          </cell>
          <cell r="V4354">
            <v>133000</v>
          </cell>
        </row>
        <row r="4355">
          <cell r="B4355">
            <v>1979</v>
          </cell>
          <cell r="K4355" t="str">
            <v>FAYETTE</v>
          </cell>
          <cell r="L4355" t="str">
            <v>Fayette</v>
          </cell>
          <cell r="V4355">
            <v>190000</v>
          </cell>
        </row>
        <row r="4356">
          <cell r="B4356">
            <v>1979</v>
          </cell>
          <cell r="K4356" t="str">
            <v>HOWARD</v>
          </cell>
          <cell r="L4356" t="str">
            <v>Howard</v>
          </cell>
          <cell r="V4356">
            <v>107000</v>
          </cell>
        </row>
        <row r="4357">
          <cell r="B4357">
            <v>1979</v>
          </cell>
          <cell r="K4357" t="str">
            <v>WINNESHIEK</v>
          </cell>
          <cell r="L4357" t="str">
            <v>Winneshiek</v>
          </cell>
          <cell r="V4357">
            <v>146000</v>
          </cell>
        </row>
        <row r="4358">
          <cell r="B4358">
            <v>1979</v>
          </cell>
          <cell r="K4358" t="str">
            <v>BUENA VISTA</v>
          </cell>
          <cell r="L4358" t="str">
            <v>Buena Vista</v>
          </cell>
          <cell r="V4358">
            <v>175000</v>
          </cell>
        </row>
        <row r="4359">
          <cell r="B4359">
            <v>1979</v>
          </cell>
          <cell r="K4359" t="str">
            <v>CHEROKEE</v>
          </cell>
          <cell r="L4359" t="str">
            <v>Cherokee</v>
          </cell>
          <cell r="V4359">
            <v>162000</v>
          </cell>
        </row>
        <row r="4360">
          <cell r="B4360">
            <v>1979</v>
          </cell>
          <cell r="K4360" t="str">
            <v>CLAY</v>
          </cell>
          <cell r="L4360" t="str">
            <v>Clay</v>
          </cell>
          <cell r="V4360">
            <v>157000</v>
          </cell>
        </row>
        <row r="4361">
          <cell r="B4361">
            <v>1979</v>
          </cell>
          <cell r="K4361" t="str">
            <v>DICKINSON</v>
          </cell>
          <cell r="L4361" t="str">
            <v>Dickinson</v>
          </cell>
          <cell r="V4361">
            <v>105000</v>
          </cell>
        </row>
        <row r="4362">
          <cell r="B4362">
            <v>1979</v>
          </cell>
          <cell r="K4362" t="str">
            <v>EMMET</v>
          </cell>
          <cell r="L4362" t="str">
            <v>Emmet</v>
          </cell>
          <cell r="V4362">
            <v>113000</v>
          </cell>
        </row>
        <row r="4363">
          <cell r="B4363">
            <v>1979</v>
          </cell>
          <cell r="K4363" t="str">
            <v>LYON</v>
          </cell>
          <cell r="L4363" t="str">
            <v>Lyon</v>
          </cell>
          <cell r="V4363">
            <v>184000</v>
          </cell>
        </row>
        <row r="4364">
          <cell r="B4364">
            <v>1979</v>
          </cell>
          <cell r="K4364" t="str">
            <v>O BRIEN</v>
          </cell>
          <cell r="L4364" t="str">
            <v>O Brien</v>
          </cell>
          <cell r="V4364">
            <v>166000</v>
          </cell>
        </row>
        <row r="4365">
          <cell r="B4365">
            <v>1979</v>
          </cell>
          <cell r="K4365" t="str">
            <v>OSCEOLA</v>
          </cell>
          <cell r="L4365" t="str">
            <v>Osceola</v>
          </cell>
          <cell r="V4365">
            <v>119000</v>
          </cell>
        </row>
        <row r="4366">
          <cell r="B4366">
            <v>1979</v>
          </cell>
          <cell r="K4366" t="str">
            <v>PALO ALTO</v>
          </cell>
          <cell r="L4366" t="str">
            <v>Palo Alto</v>
          </cell>
          <cell r="V4366">
            <v>161000</v>
          </cell>
        </row>
        <row r="4367">
          <cell r="B4367">
            <v>1979</v>
          </cell>
          <cell r="K4367" t="str">
            <v>PLYMOUTH</v>
          </cell>
          <cell r="L4367" t="str">
            <v>Plymouth</v>
          </cell>
          <cell r="V4367">
            <v>259000</v>
          </cell>
        </row>
        <row r="4368">
          <cell r="B4368">
            <v>1979</v>
          </cell>
          <cell r="K4368" t="str">
            <v>POCAHONTAS</v>
          </cell>
          <cell r="L4368" t="str">
            <v>Pocahontas</v>
          </cell>
          <cell r="V4368">
            <v>168000</v>
          </cell>
        </row>
        <row r="4369">
          <cell r="B4369">
            <v>1979</v>
          </cell>
          <cell r="K4369" t="str">
            <v>SIOUX</v>
          </cell>
          <cell r="L4369" t="str">
            <v>Sioux</v>
          </cell>
          <cell r="V4369">
            <v>271000</v>
          </cell>
        </row>
        <row r="4370">
          <cell r="B4370">
            <v>1979</v>
          </cell>
          <cell r="K4370" t="str">
            <v>APPANOOSE</v>
          </cell>
          <cell r="L4370" t="str">
            <v>Appanoose</v>
          </cell>
          <cell r="V4370">
            <v>39000</v>
          </cell>
        </row>
        <row r="4371">
          <cell r="B4371">
            <v>1979</v>
          </cell>
          <cell r="K4371" t="str">
            <v>CLARKE</v>
          </cell>
          <cell r="L4371" t="str">
            <v>Clarke</v>
          </cell>
          <cell r="V4371">
            <v>47000</v>
          </cell>
        </row>
        <row r="4372">
          <cell r="B4372">
            <v>1979</v>
          </cell>
          <cell r="K4372" t="str">
            <v>DECATUR</v>
          </cell>
          <cell r="L4372" t="str">
            <v>Decatur</v>
          </cell>
          <cell r="V4372">
            <v>50000</v>
          </cell>
        </row>
        <row r="4373">
          <cell r="B4373">
            <v>1979</v>
          </cell>
          <cell r="K4373" t="str">
            <v>LUCAS</v>
          </cell>
          <cell r="L4373" t="str">
            <v>Lucas</v>
          </cell>
          <cell r="V4373">
            <v>47000</v>
          </cell>
        </row>
        <row r="4374">
          <cell r="B4374">
            <v>1979</v>
          </cell>
          <cell r="K4374" t="str">
            <v>MADISON</v>
          </cell>
          <cell r="L4374" t="str">
            <v>Madison</v>
          </cell>
          <cell r="V4374">
            <v>94000</v>
          </cell>
        </row>
        <row r="4375">
          <cell r="B4375">
            <v>1979</v>
          </cell>
          <cell r="K4375" t="str">
            <v>MARION</v>
          </cell>
          <cell r="L4375" t="str">
            <v>Marion</v>
          </cell>
          <cell r="V4375">
            <v>85000</v>
          </cell>
        </row>
        <row r="4376">
          <cell r="B4376">
            <v>1979</v>
          </cell>
          <cell r="K4376" t="str">
            <v>MONROE</v>
          </cell>
          <cell r="L4376" t="str">
            <v>Monroe</v>
          </cell>
          <cell r="V4376">
            <v>45000</v>
          </cell>
        </row>
        <row r="4377">
          <cell r="B4377">
            <v>1979</v>
          </cell>
          <cell r="K4377" t="str">
            <v>RINGGOLD</v>
          </cell>
          <cell r="L4377" t="str">
            <v>Ringgold</v>
          </cell>
          <cell r="V4377">
            <v>69000</v>
          </cell>
        </row>
        <row r="4378">
          <cell r="B4378">
            <v>1979</v>
          </cell>
          <cell r="K4378" t="str">
            <v>UNION</v>
          </cell>
          <cell r="L4378" t="str">
            <v>Union</v>
          </cell>
          <cell r="V4378">
            <v>61000</v>
          </cell>
        </row>
        <row r="4379">
          <cell r="B4379">
            <v>1979</v>
          </cell>
          <cell r="K4379" t="str">
            <v>WARREN</v>
          </cell>
          <cell r="L4379" t="str">
            <v>Warren</v>
          </cell>
          <cell r="V4379">
            <v>89000</v>
          </cell>
        </row>
        <row r="4380">
          <cell r="B4380">
            <v>1979</v>
          </cell>
          <cell r="K4380" t="str">
            <v>WAYNE</v>
          </cell>
          <cell r="L4380" t="str">
            <v>Wayne</v>
          </cell>
          <cell r="V4380">
            <v>64000</v>
          </cell>
        </row>
        <row r="4381">
          <cell r="B4381">
            <v>1979</v>
          </cell>
          <cell r="K4381" t="str">
            <v>DAVIS</v>
          </cell>
          <cell r="L4381" t="str">
            <v>Davis</v>
          </cell>
          <cell r="V4381">
            <v>62000</v>
          </cell>
        </row>
        <row r="4382">
          <cell r="B4382">
            <v>1979</v>
          </cell>
          <cell r="K4382" t="str">
            <v>DES MOINES</v>
          </cell>
          <cell r="L4382" t="str">
            <v>Des Moines</v>
          </cell>
          <cell r="V4382">
            <v>95000</v>
          </cell>
        </row>
        <row r="4383">
          <cell r="B4383">
            <v>1979</v>
          </cell>
          <cell r="K4383" t="str">
            <v>HENRY</v>
          </cell>
          <cell r="L4383" t="str">
            <v>Henry</v>
          </cell>
          <cell r="V4383">
            <v>103000</v>
          </cell>
        </row>
        <row r="4384">
          <cell r="B4384">
            <v>1979</v>
          </cell>
          <cell r="K4384" t="str">
            <v>JEFFERSON</v>
          </cell>
          <cell r="L4384" t="str">
            <v>Jefferson</v>
          </cell>
          <cell r="V4384">
            <v>76000</v>
          </cell>
        </row>
        <row r="4385">
          <cell r="B4385">
            <v>1979</v>
          </cell>
          <cell r="K4385" t="str">
            <v>KEOKUK</v>
          </cell>
          <cell r="L4385" t="str">
            <v>Keokuk</v>
          </cell>
          <cell r="V4385">
            <v>129000</v>
          </cell>
        </row>
        <row r="4386">
          <cell r="B4386">
            <v>1979</v>
          </cell>
          <cell r="K4386" t="str">
            <v>LEE</v>
          </cell>
          <cell r="L4386" t="str">
            <v>Lee</v>
          </cell>
          <cell r="V4386">
            <v>87000</v>
          </cell>
        </row>
        <row r="4387">
          <cell r="B4387">
            <v>1979</v>
          </cell>
          <cell r="K4387" t="str">
            <v>LOUISA</v>
          </cell>
          <cell r="L4387" t="str">
            <v>Louisa</v>
          </cell>
          <cell r="V4387">
            <v>87000</v>
          </cell>
        </row>
        <row r="4388">
          <cell r="B4388">
            <v>1979</v>
          </cell>
          <cell r="K4388" t="str">
            <v>MAHASKA</v>
          </cell>
          <cell r="L4388" t="str">
            <v>Mahaska</v>
          </cell>
          <cell r="V4388">
            <v>141000</v>
          </cell>
        </row>
        <row r="4389">
          <cell r="B4389">
            <v>1979</v>
          </cell>
          <cell r="K4389" t="str">
            <v>VAN BUREN</v>
          </cell>
          <cell r="L4389" t="str">
            <v>Van Buren</v>
          </cell>
          <cell r="V4389">
            <v>60000</v>
          </cell>
        </row>
        <row r="4390">
          <cell r="B4390">
            <v>1979</v>
          </cell>
          <cell r="K4390" t="str">
            <v>WAPELLO</v>
          </cell>
          <cell r="L4390" t="str">
            <v>Wapello</v>
          </cell>
          <cell r="V4390">
            <v>65000</v>
          </cell>
        </row>
        <row r="4391">
          <cell r="B4391">
            <v>1979</v>
          </cell>
          <cell r="K4391" t="str">
            <v>WASHINGTON</v>
          </cell>
          <cell r="L4391" t="str">
            <v>Washington</v>
          </cell>
          <cell r="V4391">
            <v>154000</v>
          </cell>
        </row>
        <row r="4392">
          <cell r="B4392">
            <v>1979</v>
          </cell>
          <cell r="K4392" t="str">
            <v>ADAIR</v>
          </cell>
          <cell r="L4392" t="str">
            <v>Adair</v>
          </cell>
          <cell r="V4392">
            <v>120000</v>
          </cell>
        </row>
        <row r="4393">
          <cell r="B4393">
            <v>1979</v>
          </cell>
          <cell r="K4393" t="str">
            <v>ADAMS</v>
          </cell>
          <cell r="L4393" t="str">
            <v>Adams</v>
          </cell>
          <cell r="V4393">
            <v>79000</v>
          </cell>
        </row>
        <row r="4394">
          <cell r="B4394">
            <v>1979</v>
          </cell>
          <cell r="K4394" t="str">
            <v>CASS</v>
          </cell>
          <cell r="L4394" t="str">
            <v>Cass</v>
          </cell>
          <cell r="V4394">
            <v>150000</v>
          </cell>
        </row>
        <row r="4395">
          <cell r="B4395">
            <v>1979</v>
          </cell>
          <cell r="K4395" t="str">
            <v>FREMONT</v>
          </cell>
          <cell r="L4395" t="str">
            <v>Fremont</v>
          </cell>
          <cell r="V4395">
            <v>122000</v>
          </cell>
        </row>
        <row r="4396">
          <cell r="B4396">
            <v>1979</v>
          </cell>
          <cell r="K4396" t="str">
            <v>MILLS</v>
          </cell>
          <cell r="L4396" t="str">
            <v>Mills</v>
          </cell>
          <cell r="V4396">
            <v>107000</v>
          </cell>
        </row>
        <row r="4397">
          <cell r="B4397">
            <v>1979</v>
          </cell>
          <cell r="K4397" t="str">
            <v>MONTGOMERY</v>
          </cell>
          <cell r="L4397" t="str">
            <v>Montgomery</v>
          </cell>
          <cell r="V4397">
            <v>113000</v>
          </cell>
        </row>
        <row r="4398">
          <cell r="B4398">
            <v>1979</v>
          </cell>
          <cell r="K4398" t="str">
            <v>PAGE</v>
          </cell>
          <cell r="L4398" t="str">
            <v>Page</v>
          </cell>
          <cell r="V4398">
            <v>117000</v>
          </cell>
        </row>
        <row r="4399">
          <cell r="B4399">
            <v>1979</v>
          </cell>
          <cell r="K4399" t="str">
            <v>POTTAWATTAMIE</v>
          </cell>
          <cell r="L4399" t="str">
            <v>Pottawattamie</v>
          </cell>
          <cell r="V4399">
            <v>224000</v>
          </cell>
        </row>
        <row r="4400">
          <cell r="B4400">
            <v>1979</v>
          </cell>
          <cell r="K4400" t="str">
            <v>TAYLOR</v>
          </cell>
          <cell r="L4400" t="str">
            <v>Taylor</v>
          </cell>
          <cell r="V4400">
            <v>81000</v>
          </cell>
        </row>
        <row r="4401">
          <cell r="B4401">
            <v>1979</v>
          </cell>
          <cell r="K4401" t="str">
            <v>AUDUBON</v>
          </cell>
          <cell r="L4401" t="str">
            <v>Audubon</v>
          </cell>
          <cell r="V4401">
            <v>132000</v>
          </cell>
        </row>
        <row r="4402">
          <cell r="B4402">
            <v>1979</v>
          </cell>
          <cell r="K4402" t="str">
            <v>CALHOUN</v>
          </cell>
          <cell r="L4402" t="str">
            <v>Calhoun</v>
          </cell>
          <cell r="V4402">
            <v>160000</v>
          </cell>
        </row>
        <row r="4403">
          <cell r="B4403">
            <v>1979</v>
          </cell>
          <cell r="K4403" t="str">
            <v>CARROLL</v>
          </cell>
          <cell r="L4403" t="str">
            <v>Carroll</v>
          </cell>
          <cell r="V4403">
            <v>189000</v>
          </cell>
        </row>
        <row r="4404">
          <cell r="B4404">
            <v>1979</v>
          </cell>
          <cell r="K4404" t="str">
            <v>CRAWFORD</v>
          </cell>
          <cell r="L4404" t="str">
            <v>Crawford</v>
          </cell>
          <cell r="V4404">
            <v>191000</v>
          </cell>
        </row>
        <row r="4405">
          <cell r="B4405">
            <v>1979</v>
          </cell>
          <cell r="K4405" t="str">
            <v>GREENE</v>
          </cell>
          <cell r="L4405" t="str">
            <v>Greene</v>
          </cell>
          <cell r="V4405">
            <v>164000</v>
          </cell>
        </row>
        <row r="4406">
          <cell r="B4406">
            <v>1979</v>
          </cell>
          <cell r="K4406" t="str">
            <v>GUTHRIE</v>
          </cell>
          <cell r="L4406" t="str">
            <v>Guthrie</v>
          </cell>
          <cell r="V4406">
            <v>112000</v>
          </cell>
        </row>
        <row r="4407">
          <cell r="B4407">
            <v>1979</v>
          </cell>
          <cell r="K4407" t="str">
            <v>HARRISON</v>
          </cell>
          <cell r="L4407" t="str">
            <v>Harrison</v>
          </cell>
          <cell r="V4407">
            <v>174000</v>
          </cell>
        </row>
        <row r="4408">
          <cell r="B4408">
            <v>1979</v>
          </cell>
          <cell r="K4408" t="str">
            <v>IDA</v>
          </cell>
          <cell r="L4408" t="str">
            <v>Ida</v>
          </cell>
          <cell r="V4408">
            <v>139000</v>
          </cell>
        </row>
        <row r="4409">
          <cell r="B4409">
            <v>1979</v>
          </cell>
          <cell r="K4409" t="str">
            <v>MONONA</v>
          </cell>
          <cell r="L4409" t="str">
            <v>Monona</v>
          </cell>
          <cell r="V4409">
            <v>169000</v>
          </cell>
        </row>
        <row r="4410">
          <cell r="B4410">
            <v>1979</v>
          </cell>
          <cell r="K4410" t="str">
            <v>SAC</v>
          </cell>
          <cell r="L4410" t="str">
            <v>Sac</v>
          </cell>
          <cell r="V4410">
            <v>184000</v>
          </cell>
        </row>
        <row r="4411">
          <cell r="B4411">
            <v>1979</v>
          </cell>
          <cell r="K4411" t="str">
            <v>SHELBY</v>
          </cell>
          <cell r="L4411" t="str">
            <v>Shelby</v>
          </cell>
          <cell r="V4411">
            <v>190000</v>
          </cell>
        </row>
        <row r="4412">
          <cell r="B4412">
            <v>1979</v>
          </cell>
          <cell r="K4412" t="str">
            <v>WOODBURY</v>
          </cell>
          <cell r="L4412" t="str">
            <v>Woodbury</v>
          </cell>
          <cell r="V4412">
            <v>276000</v>
          </cell>
        </row>
        <row r="4413">
          <cell r="B4413">
            <v>1978</v>
          </cell>
          <cell r="K4413" t="str">
            <v>BOONE</v>
          </cell>
          <cell r="L4413" t="str">
            <v>Boone</v>
          </cell>
          <cell r="V4413">
            <v>155000</v>
          </cell>
        </row>
        <row r="4414">
          <cell r="B4414">
            <v>1978</v>
          </cell>
          <cell r="K4414" t="str">
            <v>DALLAS</v>
          </cell>
          <cell r="L4414" t="str">
            <v>Dallas</v>
          </cell>
          <cell r="V4414">
            <v>153000</v>
          </cell>
        </row>
        <row r="4415">
          <cell r="B4415">
            <v>1978</v>
          </cell>
          <cell r="K4415" t="str">
            <v>GRUNDY</v>
          </cell>
          <cell r="L4415" t="str">
            <v>Grundy</v>
          </cell>
          <cell r="V4415">
            <v>161000</v>
          </cell>
        </row>
        <row r="4416">
          <cell r="B4416">
            <v>1978</v>
          </cell>
          <cell r="K4416" t="str">
            <v>HAMILTON</v>
          </cell>
          <cell r="L4416" t="str">
            <v>Hamilton</v>
          </cell>
          <cell r="V4416">
            <v>171000</v>
          </cell>
        </row>
        <row r="4417">
          <cell r="B4417">
            <v>1978</v>
          </cell>
          <cell r="K4417" t="str">
            <v>HARDIN</v>
          </cell>
          <cell r="L4417" t="str">
            <v>Hardin</v>
          </cell>
          <cell r="V4417">
            <v>174000</v>
          </cell>
        </row>
        <row r="4418">
          <cell r="B4418">
            <v>1978</v>
          </cell>
          <cell r="K4418" t="str">
            <v>JASPER</v>
          </cell>
          <cell r="L4418" t="str">
            <v>Jasper</v>
          </cell>
          <cell r="V4418">
            <v>178000</v>
          </cell>
        </row>
        <row r="4419">
          <cell r="B4419">
            <v>1978</v>
          </cell>
          <cell r="K4419" t="str">
            <v>MARSHALL</v>
          </cell>
          <cell r="L4419" t="str">
            <v>Marshall</v>
          </cell>
          <cell r="V4419">
            <v>156000</v>
          </cell>
        </row>
        <row r="4420">
          <cell r="B4420">
            <v>1978</v>
          </cell>
          <cell r="K4420" t="str">
            <v>POLK</v>
          </cell>
          <cell r="L4420" t="str">
            <v>Polk</v>
          </cell>
          <cell r="V4420">
            <v>113000</v>
          </cell>
        </row>
        <row r="4421">
          <cell r="B4421">
            <v>1978</v>
          </cell>
          <cell r="K4421" t="str">
            <v>POWESHIEK</v>
          </cell>
          <cell r="L4421" t="str">
            <v>Poweshiek</v>
          </cell>
          <cell r="V4421">
            <v>135000</v>
          </cell>
        </row>
        <row r="4422">
          <cell r="B4422">
            <v>1978</v>
          </cell>
          <cell r="K4422" t="str">
            <v>STORY</v>
          </cell>
          <cell r="L4422" t="str">
            <v>Story</v>
          </cell>
          <cell r="V4422">
            <v>163000</v>
          </cell>
        </row>
        <row r="4423">
          <cell r="B4423">
            <v>1978</v>
          </cell>
          <cell r="K4423" t="str">
            <v>TAMA</v>
          </cell>
          <cell r="L4423" t="str">
            <v>Tama</v>
          </cell>
          <cell r="V4423">
            <v>183000</v>
          </cell>
        </row>
        <row r="4424">
          <cell r="B4424">
            <v>1978</v>
          </cell>
          <cell r="K4424" t="str">
            <v>WEBSTER</v>
          </cell>
          <cell r="L4424" t="str">
            <v>Webster</v>
          </cell>
          <cell r="V4424">
            <v>181000</v>
          </cell>
        </row>
        <row r="4425">
          <cell r="B4425">
            <v>1978</v>
          </cell>
          <cell r="K4425" t="str">
            <v>BENTON</v>
          </cell>
          <cell r="L4425" t="str">
            <v>Benton</v>
          </cell>
          <cell r="V4425">
            <v>194000</v>
          </cell>
        </row>
        <row r="4426">
          <cell r="B4426">
            <v>1978</v>
          </cell>
          <cell r="K4426" t="str">
            <v>CEDAR</v>
          </cell>
          <cell r="L4426" t="str">
            <v>Cedar</v>
          </cell>
          <cell r="V4426">
            <v>186000</v>
          </cell>
        </row>
        <row r="4427">
          <cell r="B4427">
            <v>1978</v>
          </cell>
          <cell r="K4427" t="str">
            <v>CLINTON</v>
          </cell>
          <cell r="L4427" t="str">
            <v>Clinton</v>
          </cell>
          <cell r="V4427">
            <v>214000</v>
          </cell>
        </row>
        <row r="4428">
          <cell r="B4428">
            <v>1978</v>
          </cell>
          <cell r="K4428" t="str">
            <v>IOWA</v>
          </cell>
          <cell r="L4428" t="str">
            <v>Iowa</v>
          </cell>
          <cell r="V4428">
            <v>146000</v>
          </cell>
        </row>
        <row r="4429">
          <cell r="B4429">
            <v>1978</v>
          </cell>
          <cell r="K4429" t="str">
            <v>JACKSON</v>
          </cell>
          <cell r="L4429" t="str">
            <v>Jackson</v>
          </cell>
          <cell r="V4429">
            <v>108000</v>
          </cell>
        </row>
        <row r="4430">
          <cell r="B4430">
            <v>1978</v>
          </cell>
          <cell r="K4430" t="str">
            <v>JOHNSON</v>
          </cell>
          <cell r="L4430" t="str">
            <v>Johnson</v>
          </cell>
          <cell r="V4430">
            <v>140000</v>
          </cell>
        </row>
        <row r="4431">
          <cell r="B4431">
            <v>1978</v>
          </cell>
          <cell r="K4431" t="str">
            <v>JONES</v>
          </cell>
          <cell r="L4431" t="str">
            <v>Jones</v>
          </cell>
          <cell r="V4431">
            <v>148000</v>
          </cell>
        </row>
        <row r="4432">
          <cell r="B4432">
            <v>1978</v>
          </cell>
          <cell r="K4432" t="str">
            <v>LINN</v>
          </cell>
          <cell r="L4432" t="str">
            <v>Linn</v>
          </cell>
          <cell r="V4432">
            <v>153000</v>
          </cell>
        </row>
        <row r="4433">
          <cell r="B4433">
            <v>1978</v>
          </cell>
          <cell r="K4433" t="str">
            <v>MUSCATINE</v>
          </cell>
          <cell r="L4433" t="str">
            <v>Muscatine</v>
          </cell>
          <cell r="V4433">
            <v>105000</v>
          </cell>
        </row>
        <row r="4434">
          <cell r="B4434">
            <v>1978</v>
          </cell>
          <cell r="K4434" t="str">
            <v>SCOTT</v>
          </cell>
          <cell r="L4434" t="str">
            <v>Scott</v>
          </cell>
          <cell r="V4434">
            <v>141000</v>
          </cell>
        </row>
        <row r="4435">
          <cell r="B4435">
            <v>1978</v>
          </cell>
          <cell r="K4435" t="str">
            <v>BUTLER</v>
          </cell>
          <cell r="L4435" t="str">
            <v>Butler</v>
          </cell>
          <cell r="V4435">
            <v>174000</v>
          </cell>
        </row>
        <row r="4436">
          <cell r="B4436">
            <v>1978</v>
          </cell>
          <cell r="K4436" t="str">
            <v>CERRO GORDO</v>
          </cell>
          <cell r="L4436" t="str">
            <v>Cerro Gordo</v>
          </cell>
          <cell r="V4436">
            <v>156000</v>
          </cell>
        </row>
        <row r="4437">
          <cell r="B4437">
            <v>1978</v>
          </cell>
          <cell r="K4437" t="str">
            <v>FLOYD</v>
          </cell>
          <cell r="L4437" t="str">
            <v>Floyd</v>
          </cell>
          <cell r="V4437">
            <v>132000</v>
          </cell>
        </row>
        <row r="4438">
          <cell r="B4438">
            <v>1978</v>
          </cell>
          <cell r="K4438" t="str">
            <v>FRANKLIN</v>
          </cell>
          <cell r="L4438" t="str">
            <v>Franklin</v>
          </cell>
          <cell r="V4438">
            <v>176000</v>
          </cell>
        </row>
        <row r="4439">
          <cell r="B4439">
            <v>1978</v>
          </cell>
          <cell r="K4439" t="str">
            <v>HANCOCK</v>
          </cell>
          <cell r="L4439" t="str">
            <v>Hancock</v>
          </cell>
          <cell r="V4439">
            <v>171000</v>
          </cell>
        </row>
        <row r="4440">
          <cell r="B4440">
            <v>1978</v>
          </cell>
          <cell r="K4440" t="str">
            <v>HUMBOLDT</v>
          </cell>
          <cell r="L4440" t="str">
            <v>Humboldt</v>
          </cell>
          <cell r="V4440">
            <v>132000</v>
          </cell>
        </row>
        <row r="4441">
          <cell r="B4441">
            <v>1978</v>
          </cell>
          <cell r="K4441" t="str">
            <v>KOSSUTH</v>
          </cell>
          <cell r="L4441" t="str">
            <v>Kossuth</v>
          </cell>
          <cell r="V4441">
            <v>280000</v>
          </cell>
        </row>
        <row r="4442">
          <cell r="B4442">
            <v>1978</v>
          </cell>
          <cell r="K4442" t="str">
            <v>MITCHELL</v>
          </cell>
          <cell r="L4442" t="str">
            <v>Mitchell</v>
          </cell>
          <cell r="V4442">
            <v>131000</v>
          </cell>
        </row>
        <row r="4443">
          <cell r="B4443">
            <v>1978</v>
          </cell>
          <cell r="K4443" t="str">
            <v>WINNEBAGO</v>
          </cell>
          <cell r="L4443" t="str">
            <v>Winnebago</v>
          </cell>
          <cell r="V4443">
            <v>112000</v>
          </cell>
        </row>
        <row r="4444">
          <cell r="B4444">
            <v>1978</v>
          </cell>
          <cell r="K4444" t="str">
            <v>WORTH</v>
          </cell>
          <cell r="L4444" t="str">
            <v>Worth</v>
          </cell>
          <cell r="V4444">
            <v>114000</v>
          </cell>
        </row>
        <row r="4445">
          <cell r="B4445">
            <v>1978</v>
          </cell>
          <cell r="K4445" t="str">
            <v>WRIGHT</v>
          </cell>
          <cell r="L4445" t="str">
            <v>Wright</v>
          </cell>
          <cell r="V4445">
            <v>177000</v>
          </cell>
        </row>
        <row r="4446">
          <cell r="B4446">
            <v>1978</v>
          </cell>
          <cell r="K4446" t="str">
            <v>ALLAMAKEE</v>
          </cell>
          <cell r="L4446" t="str">
            <v>Allamakee</v>
          </cell>
          <cell r="V4446">
            <v>85000</v>
          </cell>
        </row>
        <row r="4447">
          <cell r="B4447">
            <v>1978</v>
          </cell>
          <cell r="K4447" t="str">
            <v>BLACK HAWK</v>
          </cell>
          <cell r="L4447" t="str">
            <v>Black Hawk</v>
          </cell>
          <cell r="V4447">
            <v>152000</v>
          </cell>
        </row>
        <row r="4448">
          <cell r="B4448">
            <v>1978</v>
          </cell>
          <cell r="K4448" t="str">
            <v>BREMER</v>
          </cell>
          <cell r="L4448" t="str">
            <v>Bremer</v>
          </cell>
          <cell r="V4448">
            <v>115000</v>
          </cell>
        </row>
        <row r="4449">
          <cell r="B4449">
            <v>1978</v>
          </cell>
          <cell r="K4449" t="str">
            <v>BUCHANAN</v>
          </cell>
          <cell r="L4449" t="str">
            <v>Buchanan</v>
          </cell>
          <cell r="V4449">
            <v>161000</v>
          </cell>
        </row>
        <row r="4450">
          <cell r="B4450">
            <v>1978</v>
          </cell>
          <cell r="K4450" t="str">
            <v>CHICKASAW</v>
          </cell>
          <cell r="L4450" t="str">
            <v>Chickasaw</v>
          </cell>
          <cell r="V4450">
            <v>125000</v>
          </cell>
        </row>
        <row r="4451">
          <cell r="B4451">
            <v>1978</v>
          </cell>
          <cell r="K4451" t="str">
            <v>CLAYTON</v>
          </cell>
          <cell r="L4451" t="str">
            <v>Clayton</v>
          </cell>
          <cell r="V4451">
            <v>157000</v>
          </cell>
        </row>
        <row r="4452">
          <cell r="B4452">
            <v>1978</v>
          </cell>
          <cell r="K4452" t="str">
            <v>DELAWARE</v>
          </cell>
          <cell r="L4452" t="str">
            <v>Delaware</v>
          </cell>
          <cell r="V4452">
            <v>172000</v>
          </cell>
        </row>
        <row r="4453">
          <cell r="B4453">
            <v>1978</v>
          </cell>
          <cell r="K4453" t="str">
            <v>DUBUQUE</v>
          </cell>
          <cell r="L4453" t="str">
            <v>Dubuque</v>
          </cell>
          <cell r="V4453">
            <v>126000</v>
          </cell>
        </row>
        <row r="4454">
          <cell r="B4454">
            <v>1978</v>
          </cell>
          <cell r="K4454" t="str">
            <v>FAYETTE</v>
          </cell>
          <cell r="L4454" t="str">
            <v>Fayette</v>
          </cell>
          <cell r="V4454">
            <v>186000</v>
          </cell>
        </row>
        <row r="4455">
          <cell r="B4455">
            <v>1978</v>
          </cell>
          <cell r="K4455" t="str">
            <v>HOWARD</v>
          </cell>
          <cell r="L4455" t="str">
            <v>Howard</v>
          </cell>
          <cell r="V4455">
            <v>107000</v>
          </cell>
        </row>
        <row r="4456">
          <cell r="B4456">
            <v>1978</v>
          </cell>
          <cell r="K4456" t="str">
            <v>WINNESHIEK</v>
          </cell>
          <cell r="L4456" t="str">
            <v>Winneshiek</v>
          </cell>
          <cell r="V4456">
            <v>144000</v>
          </cell>
        </row>
        <row r="4457">
          <cell r="B4457">
            <v>1978</v>
          </cell>
          <cell r="K4457" t="str">
            <v>BUENA VISTA</v>
          </cell>
          <cell r="L4457" t="str">
            <v>Buena Vista</v>
          </cell>
          <cell r="V4457">
            <v>175000</v>
          </cell>
        </row>
        <row r="4458">
          <cell r="B4458">
            <v>1978</v>
          </cell>
          <cell r="K4458" t="str">
            <v>CHEROKEE</v>
          </cell>
          <cell r="L4458" t="str">
            <v>Cherokee</v>
          </cell>
          <cell r="V4458">
            <v>167000</v>
          </cell>
        </row>
        <row r="4459">
          <cell r="B4459">
            <v>1978</v>
          </cell>
          <cell r="K4459" t="str">
            <v>CLAY</v>
          </cell>
          <cell r="L4459" t="str">
            <v>Clay</v>
          </cell>
          <cell r="V4459">
            <v>153000</v>
          </cell>
        </row>
        <row r="4460">
          <cell r="B4460">
            <v>1978</v>
          </cell>
          <cell r="K4460" t="str">
            <v>DICKINSON</v>
          </cell>
          <cell r="L4460" t="str">
            <v>Dickinson</v>
          </cell>
          <cell r="V4460">
            <v>105000</v>
          </cell>
        </row>
        <row r="4461">
          <cell r="B4461">
            <v>1978</v>
          </cell>
          <cell r="K4461" t="str">
            <v>EMMET</v>
          </cell>
          <cell r="L4461" t="str">
            <v>Emmet</v>
          </cell>
          <cell r="V4461">
            <v>110000</v>
          </cell>
        </row>
        <row r="4462">
          <cell r="B4462">
            <v>1978</v>
          </cell>
          <cell r="K4462" t="str">
            <v>LYON</v>
          </cell>
          <cell r="L4462" t="str">
            <v>Lyon</v>
          </cell>
          <cell r="V4462">
            <v>172000</v>
          </cell>
        </row>
        <row r="4463">
          <cell r="B4463">
            <v>1978</v>
          </cell>
          <cell r="K4463" t="str">
            <v>O BRIEN</v>
          </cell>
          <cell r="L4463" t="str">
            <v>O Brien</v>
          </cell>
          <cell r="V4463">
            <v>175000</v>
          </cell>
        </row>
        <row r="4464">
          <cell r="B4464">
            <v>1978</v>
          </cell>
          <cell r="K4464" t="str">
            <v>OSCEOLA</v>
          </cell>
          <cell r="L4464" t="str">
            <v>Osceola</v>
          </cell>
          <cell r="V4464">
            <v>116000</v>
          </cell>
        </row>
        <row r="4465">
          <cell r="B4465">
            <v>1978</v>
          </cell>
          <cell r="K4465" t="str">
            <v>PALO ALTO</v>
          </cell>
          <cell r="L4465" t="str">
            <v>Palo Alto</v>
          </cell>
          <cell r="V4465">
            <v>161000</v>
          </cell>
        </row>
        <row r="4466">
          <cell r="B4466">
            <v>1978</v>
          </cell>
          <cell r="K4466" t="str">
            <v>PLYMOUTH</v>
          </cell>
          <cell r="L4466" t="str">
            <v>Plymouth</v>
          </cell>
          <cell r="V4466">
            <v>254000</v>
          </cell>
        </row>
        <row r="4467">
          <cell r="B4467">
            <v>1978</v>
          </cell>
          <cell r="K4467" t="str">
            <v>POCAHONTAS</v>
          </cell>
          <cell r="L4467" t="str">
            <v>Pocahontas</v>
          </cell>
          <cell r="V4467">
            <v>163000</v>
          </cell>
        </row>
        <row r="4468">
          <cell r="B4468">
            <v>1978</v>
          </cell>
          <cell r="K4468" t="str">
            <v>SIOUX</v>
          </cell>
          <cell r="L4468" t="str">
            <v>Sioux</v>
          </cell>
          <cell r="V4468">
            <v>274000</v>
          </cell>
        </row>
        <row r="4469">
          <cell r="B4469">
            <v>1978</v>
          </cell>
          <cell r="K4469" t="str">
            <v>APPANOOSE</v>
          </cell>
          <cell r="L4469" t="str">
            <v>Appanoose</v>
          </cell>
          <cell r="V4469">
            <v>40000</v>
          </cell>
        </row>
        <row r="4470">
          <cell r="B4470">
            <v>1978</v>
          </cell>
          <cell r="K4470" t="str">
            <v>CLARKE</v>
          </cell>
          <cell r="L4470" t="str">
            <v>Clarke</v>
          </cell>
          <cell r="V4470">
            <v>47000</v>
          </cell>
        </row>
        <row r="4471">
          <cell r="B4471">
            <v>1978</v>
          </cell>
          <cell r="K4471" t="str">
            <v>DECATUR</v>
          </cell>
          <cell r="L4471" t="str">
            <v>Decatur</v>
          </cell>
          <cell r="V4471">
            <v>53000</v>
          </cell>
        </row>
        <row r="4472">
          <cell r="B4472">
            <v>1978</v>
          </cell>
          <cell r="K4472" t="str">
            <v>LUCAS</v>
          </cell>
          <cell r="L4472" t="str">
            <v>Lucas</v>
          </cell>
          <cell r="V4472">
            <v>45000</v>
          </cell>
        </row>
        <row r="4473">
          <cell r="B4473">
            <v>1978</v>
          </cell>
          <cell r="K4473" t="str">
            <v>MADISON</v>
          </cell>
          <cell r="L4473" t="str">
            <v>Madison</v>
          </cell>
          <cell r="V4473">
            <v>90000</v>
          </cell>
        </row>
        <row r="4474">
          <cell r="B4474">
            <v>1978</v>
          </cell>
          <cell r="K4474" t="str">
            <v>MARION</v>
          </cell>
          <cell r="L4474" t="str">
            <v>Marion</v>
          </cell>
          <cell r="V4474">
            <v>83000</v>
          </cell>
        </row>
        <row r="4475">
          <cell r="B4475">
            <v>1978</v>
          </cell>
          <cell r="K4475" t="str">
            <v>MONROE</v>
          </cell>
          <cell r="L4475" t="str">
            <v>Monroe</v>
          </cell>
          <cell r="V4475">
            <v>45000</v>
          </cell>
        </row>
        <row r="4476">
          <cell r="B4476">
            <v>1978</v>
          </cell>
          <cell r="K4476" t="str">
            <v>RINGGOLD</v>
          </cell>
          <cell r="L4476" t="str">
            <v>Ringgold</v>
          </cell>
          <cell r="V4476">
            <v>68000</v>
          </cell>
        </row>
        <row r="4477">
          <cell r="B4477">
            <v>1978</v>
          </cell>
          <cell r="K4477" t="str">
            <v>UNION</v>
          </cell>
          <cell r="L4477" t="str">
            <v>Union</v>
          </cell>
          <cell r="V4477">
            <v>58000</v>
          </cell>
        </row>
        <row r="4478">
          <cell r="B4478">
            <v>1978</v>
          </cell>
          <cell r="K4478" t="str">
            <v>WARREN</v>
          </cell>
          <cell r="L4478" t="str">
            <v>Warren</v>
          </cell>
          <cell r="V4478">
            <v>91000</v>
          </cell>
        </row>
        <row r="4479">
          <cell r="B4479">
            <v>1978</v>
          </cell>
          <cell r="K4479" t="str">
            <v>WAYNE</v>
          </cell>
          <cell r="L4479" t="str">
            <v>Wayne</v>
          </cell>
          <cell r="V4479">
            <v>65000</v>
          </cell>
        </row>
        <row r="4480">
          <cell r="B4480">
            <v>1978</v>
          </cell>
          <cell r="K4480" t="str">
            <v>DAVIS</v>
          </cell>
          <cell r="L4480" t="str">
            <v>Davis</v>
          </cell>
          <cell r="V4480">
            <v>60000</v>
          </cell>
        </row>
        <row r="4481">
          <cell r="B4481">
            <v>1978</v>
          </cell>
          <cell r="K4481" t="str">
            <v>DES MOINES</v>
          </cell>
          <cell r="L4481" t="str">
            <v>Des Moines</v>
          </cell>
          <cell r="V4481">
            <v>96000</v>
          </cell>
        </row>
        <row r="4482">
          <cell r="B4482">
            <v>1978</v>
          </cell>
          <cell r="K4482" t="str">
            <v>HENRY</v>
          </cell>
          <cell r="L4482" t="str">
            <v>Henry</v>
          </cell>
          <cell r="V4482">
            <v>101000</v>
          </cell>
        </row>
        <row r="4483">
          <cell r="B4483">
            <v>1978</v>
          </cell>
          <cell r="K4483" t="str">
            <v>JEFFERSON</v>
          </cell>
          <cell r="L4483" t="str">
            <v>Jefferson</v>
          </cell>
          <cell r="V4483">
            <v>77000</v>
          </cell>
        </row>
        <row r="4484">
          <cell r="B4484">
            <v>1978</v>
          </cell>
          <cell r="K4484" t="str">
            <v>KEOKUK</v>
          </cell>
          <cell r="L4484" t="str">
            <v>Keokuk</v>
          </cell>
          <cell r="V4484">
            <v>136000</v>
          </cell>
        </row>
        <row r="4485">
          <cell r="B4485">
            <v>1978</v>
          </cell>
          <cell r="K4485" t="str">
            <v>LEE</v>
          </cell>
          <cell r="L4485" t="str">
            <v>Lee</v>
          </cell>
          <cell r="V4485">
            <v>86000</v>
          </cell>
        </row>
        <row r="4486">
          <cell r="B4486">
            <v>1978</v>
          </cell>
          <cell r="K4486" t="str">
            <v>LOUISA</v>
          </cell>
          <cell r="L4486" t="str">
            <v>Louisa</v>
          </cell>
          <cell r="V4486">
            <v>85000</v>
          </cell>
        </row>
        <row r="4487">
          <cell r="B4487">
            <v>1978</v>
          </cell>
          <cell r="K4487" t="str">
            <v>MAHASKA</v>
          </cell>
          <cell r="L4487" t="str">
            <v>Mahaska</v>
          </cell>
          <cell r="V4487">
            <v>141000</v>
          </cell>
        </row>
        <row r="4488">
          <cell r="B4488">
            <v>1978</v>
          </cell>
          <cell r="K4488" t="str">
            <v>VAN BUREN</v>
          </cell>
          <cell r="L4488" t="str">
            <v>Van Buren</v>
          </cell>
          <cell r="V4488">
            <v>57000</v>
          </cell>
        </row>
        <row r="4489">
          <cell r="B4489">
            <v>1978</v>
          </cell>
          <cell r="K4489" t="str">
            <v>WAPELLO</v>
          </cell>
          <cell r="L4489" t="str">
            <v>Wapello</v>
          </cell>
          <cell r="V4489">
            <v>64000</v>
          </cell>
        </row>
        <row r="4490">
          <cell r="B4490">
            <v>1978</v>
          </cell>
          <cell r="K4490" t="str">
            <v>WASHINGTON</v>
          </cell>
          <cell r="L4490" t="str">
            <v>Washington</v>
          </cell>
          <cell r="V4490">
            <v>154000</v>
          </cell>
        </row>
        <row r="4491">
          <cell r="B4491">
            <v>1978</v>
          </cell>
          <cell r="K4491" t="str">
            <v>ADAIR</v>
          </cell>
          <cell r="L4491" t="str">
            <v>Adair</v>
          </cell>
          <cell r="V4491">
            <v>115000</v>
          </cell>
        </row>
        <row r="4492">
          <cell r="B4492">
            <v>1978</v>
          </cell>
          <cell r="K4492" t="str">
            <v>ADAMS</v>
          </cell>
          <cell r="L4492" t="str">
            <v>Adams</v>
          </cell>
          <cell r="V4492">
            <v>70000</v>
          </cell>
        </row>
        <row r="4493">
          <cell r="B4493">
            <v>1978</v>
          </cell>
          <cell r="K4493" t="str">
            <v>CASS</v>
          </cell>
          <cell r="L4493" t="str">
            <v>Cass</v>
          </cell>
          <cell r="V4493">
            <v>143000</v>
          </cell>
        </row>
        <row r="4494">
          <cell r="B4494">
            <v>1978</v>
          </cell>
          <cell r="K4494" t="str">
            <v>FREMONT</v>
          </cell>
          <cell r="L4494" t="str">
            <v>Fremont</v>
          </cell>
          <cell r="V4494">
            <v>122000</v>
          </cell>
        </row>
        <row r="4495">
          <cell r="B4495">
            <v>1978</v>
          </cell>
          <cell r="K4495" t="str">
            <v>MILLS</v>
          </cell>
          <cell r="L4495" t="str">
            <v>Mills</v>
          </cell>
          <cell r="V4495">
            <v>106000</v>
          </cell>
        </row>
        <row r="4496">
          <cell r="B4496">
            <v>1978</v>
          </cell>
          <cell r="K4496" t="str">
            <v>MONTGOMERY</v>
          </cell>
          <cell r="L4496" t="str">
            <v>Montgomery</v>
          </cell>
          <cell r="V4496">
            <v>103000</v>
          </cell>
        </row>
        <row r="4497">
          <cell r="B4497">
            <v>1978</v>
          </cell>
          <cell r="K4497" t="str">
            <v>PAGE</v>
          </cell>
          <cell r="L4497" t="str">
            <v>Page</v>
          </cell>
          <cell r="V4497">
            <v>112000</v>
          </cell>
        </row>
        <row r="4498">
          <cell r="B4498">
            <v>1978</v>
          </cell>
          <cell r="K4498" t="str">
            <v>POTTAWATTAMIE</v>
          </cell>
          <cell r="L4498" t="str">
            <v>Pottawattamie</v>
          </cell>
          <cell r="V4498">
            <v>235000</v>
          </cell>
        </row>
        <row r="4499">
          <cell r="B4499">
            <v>1978</v>
          </cell>
          <cell r="K4499" t="str">
            <v>TAYLOR</v>
          </cell>
          <cell r="L4499" t="str">
            <v>Taylor</v>
          </cell>
          <cell r="V4499">
            <v>74000</v>
          </cell>
        </row>
        <row r="4500">
          <cell r="B4500">
            <v>1978</v>
          </cell>
          <cell r="K4500" t="str">
            <v>AUDUBON</v>
          </cell>
          <cell r="L4500" t="str">
            <v>Audubon</v>
          </cell>
          <cell r="V4500">
            <v>132000</v>
          </cell>
        </row>
        <row r="4501">
          <cell r="B4501">
            <v>1978</v>
          </cell>
          <cell r="K4501" t="str">
            <v>CALHOUN</v>
          </cell>
          <cell r="L4501" t="str">
            <v>Calhoun</v>
          </cell>
          <cell r="V4501">
            <v>156000</v>
          </cell>
        </row>
        <row r="4502">
          <cell r="B4502">
            <v>1978</v>
          </cell>
          <cell r="K4502" t="str">
            <v>CARROLL</v>
          </cell>
          <cell r="L4502" t="str">
            <v>Carroll</v>
          </cell>
          <cell r="V4502">
            <v>176000</v>
          </cell>
        </row>
        <row r="4503">
          <cell r="B4503">
            <v>1978</v>
          </cell>
          <cell r="K4503" t="str">
            <v>CRAWFORD</v>
          </cell>
          <cell r="L4503" t="str">
            <v>Crawford</v>
          </cell>
          <cell r="V4503">
            <v>177000</v>
          </cell>
        </row>
        <row r="4504">
          <cell r="B4504">
            <v>1978</v>
          </cell>
          <cell r="K4504" t="str">
            <v>GREENE</v>
          </cell>
          <cell r="L4504" t="str">
            <v>Greene</v>
          </cell>
          <cell r="V4504">
            <v>160000</v>
          </cell>
        </row>
        <row r="4505">
          <cell r="B4505">
            <v>1978</v>
          </cell>
          <cell r="K4505" t="str">
            <v>GUTHRIE</v>
          </cell>
          <cell r="L4505" t="str">
            <v>Guthrie</v>
          </cell>
          <cell r="V4505">
            <v>112000</v>
          </cell>
        </row>
        <row r="4506">
          <cell r="B4506">
            <v>1978</v>
          </cell>
          <cell r="K4506" t="str">
            <v>HARRISON</v>
          </cell>
          <cell r="L4506" t="str">
            <v>Harrison</v>
          </cell>
          <cell r="V4506">
            <v>164000</v>
          </cell>
        </row>
        <row r="4507">
          <cell r="B4507">
            <v>1978</v>
          </cell>
          <cell r="K4507" t="str">
            <v>IDA</v>
          </cell>
          <cell r="L4507" t="str">
            <v>Ida</v>
          </cell>
          <cell r="V4507">
            <v>140000</v>
          </cell>
        </row>
        <row r="4508">
          <cell r="B4508">
            <v>1978</v>
          </cell>
          <cell r="K4508" t="str">
            <v>MONONA</v>
          </cell>
          <cell r="L4508" t="str">
            <v>Monona</v>
          </cell>
          <cell r="V4508">
            <v>180000</v>
          </cell>
        </row>
        <row r="4509">
          <cell r="B4509">
            <v>1978</v>
          </cell>
          <cell r="K4509" t="str">
            <v>SAC</v>
          </cell>
          <cell r="L4509" t="str">
            <v>Sac</v>
          </cell>
          <cell r="V4509">
            <v>176000</v>
          </cell>
        </row>
        <row r="4510">
          <cell r="B4510">
            <v>1978</v>
          </cell>
          <cell r="K4510" t="str">
            <v>SHELBY</v>
          </cell>
          <cell r="L4510" t="str">
            <v>Shelby</v>
          </cell>
          <cell r="V4510">
            <v>180000</v>
          </cell>
        </row>
        <row r="4511">
          <cell r="B4511">
            <v>1978</v>
          </cell>
          <cell r="K4511" t="str">
            <v>WOODBURY</v>
          </cell>
          <cell r="L4511" t="str">
            <v>Woodbury</v>
          </cell>
          <cell r="V4511">
            <v>257000</v>
          </cell>
        </row>
        <row r="4512">
          <cell r="B4512">
            <v>1977</v>
          </cell>
          <cell r="K4512" t="str">
            <v>BOONE</v>
          </cell>
          <cell r="L4512" t="str">
            <v>Boone</v>
          </cell>
          <cell r="V4512">
            <v>167800</v>
          </cell>
        </row>
        <row r="4513">
          <cell r="B4513">
            <v>1977</v>
          </cell>
          <cell r="K4513" t="str">
            <v>DALLAS</v>
          </cell>
          <cell r="L4513" t="str">
            <v>Dallas</v>
          </cell>
          <cell r="V4513">
            <v>164700</v>
          </cell>
        </row>
        <row r="4514">
          <cell r="B4514">
            <v>1977</v>
          </cell>
          <cell r="K4514" t="str">
            <v>GRUNDY</v>
          </cell>
          <cell r="L4514" t="str">
            <v>Grundy</v>
          </cell>
          <cell r="V4514">
            <v>162000</v>
          </cell>
        </row>
        <row r="4515">
          <cell r="B4515">
            <v>1977</v>
          </cell>
          <cell r="K4515" t="str">
            <v>HAMILTON</v>
          </cell>
          <cell r="L4515" t="str">
            <v>Hamilton</v>
          </cell>
          <cell r="V4515">
            <v>177000</v>
          </cell>
        </row>
        <row r="4516">
          <cell r="B4516">
            <v>1977</v>
          </cell>
          <cell r="K4516" t="str">
            <v>HARDIN</v>
          </cell>
          <cell r="L4516" t="str">
            <v>Hardin</v>
          </cell>
          <cell r="V4516">
            <v>187400</v>
          </cell>
        </row>
        <row r="4517">
          <cell r="B4517">
            <v>1977</v>
          </cell>
          <cell r="K4517" t="str">
            <v>JASPER</v>
          </cell>
          <cell r="L4517" t="str">
            <v>Jasper</v>
          </cell>
          <cell r="V4517">
            <v>188600</v>
          </cell>
        </row>
        <row r="4518">
          <cell r="B4518">
            <v>1977</v>
          </cell>
          <cell r="K4518" t="str">
            <v>MARSHALL</v>
          </cell>
          <cell r="L4518" t="str">
            <v>Marshall</v>
          </cell>
          <cell r="V4518">
            <v>174300</v>
          </cell>
        </row>
        <row r="4519">
          <cell r="B4519">
            <v>1977</v>
          </cell>
          <cell r="K4519" t="str">
            <v>POLK</v>
          </cell>
          <cell r="L4519" t="str">
            <v>Polk</v>
          </cell>
          <cell r="V4519">
            <v>127700</v>
          </cell>
        </row>
        <row r="4520">
          <cell r="B4520">
            <v>1977</v>
          </cell>
          <cell r="K4520" t="str">
            <v>POWESHIEK</v>
          </cell>
          <cell r="L4520" t="str">
            <v>Poweshiek</v>
          </cell>
          <cell r="V4520">
            <v>141100</v>
          </cell>
        </row>
        <row r="4521">
          <cell r="B4521">
            <v>1977</v>
          </cell>
          <cell r="K4521" t="str">
            <v>STORY</v>
          </cell>
          <cell r="L4521" t="str">
            <v>Story</v>
          </cell>
          <cell r="V4521">
            <v>172300</v>
          </cell>
        </row>
        <row r="4522">
          <cell r="B4522">
            <v>1977</v>
          </cell>
          <cell r="K4522" t="str">
            <v>TAMA</v>
          </cell>
          <cell r="L4522" t="str">
            <v>Tama</v>
          </cell>
          <cell r="V4522">
            <v>191600</v>
          </cell>
        </row>
        <row r="4523">
          <cell r="B4523">
            <v>1977</v>
          </cell>
          <cell r="K4523" t="str">
            <v>WEBSTER</v>
          </cell>
          <cell r="L4523" t="str">
            <v>Webster</v>
          </cell>
          <cell r="V4523">
            <v>188500</v>
          </cell>
        </row>
        <row r="4524">
          <cell r="B4524">
            <v>1977</v>
          </cell>
          <cell r="K4524" t="str">
            <v>BENTON</v>
          </cell>
          <cell r="L4524" t="str">
            <v>Benton</v>
          </cell>
          <cell r="V4524">
            <v>187300</v>
          </cell>
        </row>
        <row r="4525">
          <cell r="B4525">
            <v>1977</v>
          </cell>
          <cell r="K4525" t="str">
            <v>CEDAR</v>
          </cell>
          <cell r="L4525" t="str">
            <v>Cedar</v>
          </cell>
          <cell r="V4525">
            <v>177700</v>
          </cell>
        </row>
        <row r="4526">
          <cell r="B4526">
            <v>1977</v>
          </cell>
          <cell r="K4526" t="str">
            <v>CLINTON</v>
          </cell>
          <cell r="L4526" t="str">
            <v>Clinton</v>
          </cell>
          <cell r="V4526">
            <v>214400</v>
          </cell>
        </row>
        <row r="4527">
          <cell r="B4527">
            <v>1977</v>
          </cell>
          <cell r="K4527" t="str">
            <v>IOWA</v>
          </cell>
          <cell r="L4527" t="str">
            <v>Iowa</v>
          </cell>
          <cell r="V4527">
            <v>155300</v>
          </cell>
        </row>
        <row r="4528">
          <cell r="B4528">
            <v>1977</v>
          </cell>
          <cell r="K4528" t="str">
            <v>JACKSON</v>
          </cell>
          <cell r="L4528" t="str">
            <v>Jackson</v>
          </cell>
          <cell r="V4528">
            <v>106900</v>
          </cell>
        </row>
        <row r="4529">
          <cell r="B4529">
            <v>1977</v>
          </cell>
          <cell r="K4529" t="str">
            <v>JOHNSON</v>
          </cell>
          <cell r="L4529" t="str">
            <v>Johnson</v>
          </cell>
          <cell r="V4529">
            <v>144800</v>
          </cell>
        </row>
        <row r="4530">
          <cell r="B4530">
            <v>1977</v>
          </cell>
          <cell r="K4530" t="str">
            <v>JONES</v>
          </cell>
          <cell r="L4530" t="str">
            <v>Jones</v>
          </cell>
          <cell r="V4530">
            <v>149500</v>
          </cell>
        </row>
        <row r="4531">
          <cell r="B4531">
            <v>1977</v>
          </cell>
          <cell r="K4531" t="str">
            <v>LINN</v>
          </cell>
          <cell r="L4531" t="str">
            <v>Linn</v>
          </cell>
          <cell r="V4531">
            <v>165600</v>
          </cell>
        </row>
        <row r="4532">
          <cell r="B4532">
            <v>1977</v>
          </cell>
          <cell r="K4532" t="str">
            <v>MUSCATINE</v>
          </cell>
          <cell r="L4532" t="str">
            <v>Muscatine</v>
          </cell>
          <cell r="V4532">
            <v>98400</v>
          </cell>
        </row>
        <row r="4533">
          <cell r="B4533">
            <v>1977</v>
          </cell>
          <cell r="K4533" t="str">
            <v>SCOTT</v>
          </cell>
          <cell r="L4533" t="str">
            <v>Scott</v>
          </cell>
          <cell r="V4533">
            <v>134100</v>
          </cell>
        </row>
        <row r="4534">
          <cell r="B4534">
            <v>1977</v>
          </cell>
          <cell r="K4534" t="str">
            <v>BUTLER</v>
          </cell>
          <cell r="L4534" t="str">
            <v>Butler</v>
          </cell>
          <cell r="V4534">
            <v>171300</v>
          </cell>
        </row>
        <row r="4535">
          <cell r="B4535">
            <v>1977</v>
          </cell>
          <cell r="K4535" t="str">
            <v>CERRO GORDO</v>
          </cell>
          <cell r="L4535" t="str">
            <v>Cerro Gordo</v>
          </cell>
          <cell r="V4535">
            <v>165900</v>
          </cell>
        </row>
        <row r="4536">
          <cell r="B4536">
            <v>1977</v>
          </cell>
          <cell r="K4536" t="str">
            <v>FLOYD</v>
          </cell>
          <cell r="L4536" t="str">
            <v>Floyd</v>
          </cell>
          <cell r="V4536">
            <v>130000</v>
          </cell>
        </row>
        <row r="4537">
          <cell r="B4537">
            <v>1977</v>
          </cell>
          <cell r="K4537" t="str">
            <v>FRANKLIN</v>
          </cell>
          <cell r="L4537" t="str">
            <v>Franklin</v>
          </cell>
          <cell r="V4537">
            <v>171200</v>
          </cell>
        </row>
        <row r="4538">
          <cell r="B4538">
            <v>1977</v>
          </cell>
          <cell r="K4538" t="str">
            <v>HANCOCK</v>
          </cell>
          <cell r="L4538" t="str">
            <v>Hancock</v>
          </cell>
          <cell r="V4538">
            <v>171100</v>
          </cell>
        </row>
        <row r="4539">
          <cell r="B4539">
            <v>1977</v>
          </cell>
          <cell r="K4539" t="str">
            <v>HUMBOLDT</v>
          </cell>
          <cell r="L4539" t="str">
            <v>Humboldt</v>
          </cell>
          <cell r="V4539">
            <v>127300</v>
          </cell>
        </row>
        <row r="4540">
          <cell r="B4540">
            <v>1977</v>
          </cell>
          <cell r="K4540" t="str">
            <v>KOSSUTH</v>
          </cell>
          <cell r="L4540" t="str">
            <v>Kossuth</v>
          </cell>
          <cell r="V4540">
            <v>266200</v>
          </cell>
        </row>
        <row r="4541">
          <cell r="B4541">
            <v>1977</v>
          </cell>
          <cell r="K4541" t="str">
            <v>MITCHELL</v>
          </cell>
          <cell r="L4541" t="str">
            <v>Mitchell</v>
          </cell>
          <cell r="V4541">
            <v>127900</v>
          </cell>
        </row>
        <row r="4542">
          <cell r="B4542">
            <v>1977</v>
          </cell>
          <cell r="K4542" t="str">
            <v>WINNEBAGO</v>
          </cell>
          <cell r="L4542" t="str">
            <v>Winnebago</v>
          </cell>
          <cell r="V4542">
            <v>112400</v>
          </cell>
        </row>
        <row r="4543">
          <cell r="B4543">
            <v>1977</v>
          </cell>
          <cell r="K4543" t="str">
            <v>WORTH</v>
          </cell>
          <cell r="L4543" t="str">
            <v>Worth</v>
          </cell>
          <cell r="V4543">
            <v>118000</v>
          </cell>
        </row>
        <row r="4544">
          <cell r="B4544">
            <v>1977</v>
          </cell>
          <cell r="K4544" t="str">
            <v>WRIGHT</v>
          </cell>
          <cell r="L4544" t="str">
            <v>Wright</v>
          </cell>
          <cell r="V4544">
            <v>168700</v>
          </cell>
        </row>
        <row r="4545">
          <cell r="B4545">
            <v>1977</v>
          </cell>
          <cell r="K4545" t="str">
            <v>ALLAMAKEE</v>
          </cell>
          <cell r="L4545" t="str">
            <v>Allamakee</v>
          </cell>
          <cell r="V4545">
            <v>81300</v>
          </cell>
        </row>
        <row r="4546">
          <cell r="B4546">
            <v>1977</v>
          </cell>
          <cell r="K4546" t="str">
            <v>BLACK HAWK</v>
          </cell>
          <cell r="L4546" t="str">
            <v>Black Hawk</v>
          </cell>
          <cell r="V4546">
            <v>150500</v>
          </cell>
        </row>
        <row r="4547">
          <cell r="B4547">
            <v>1977</v>
          </cell>
          <cell r="K4547" t="str">
            <v>BREMER</v>
          </cell>
          <cell r="L4547" t="str">
            <v>Bremer</v>
          </cell>
          <cell r="V4547">
            <v>114000</v>
          </cell>
        </row>
        <row r="4548">
          <cell r="B4548">
            <v>1977</v>
          </cell>
          <cell r="K4548" t="str">
            <v>BUCHANAN</v>
          </cell>
          <cell r="L4548" t="str">
            <v>Buchanan</v>
          </cell>
          <cell r="V4548">
            <v>171500</v>
          </cell>
        </row>
        <row r="4549">
          <cell r="B4549">
            <v>1977</v>
          </cell>
          <cell r="K4549" t="str">
            <v>CHICKASAW</v>
          </cell>
          <cell r="L4549" t="str">
            <v>Chickasaw</v>
          </cell>
          <cell r="V4549">
            <v>120400</v>
          </cell>
        </row>
        <row r="4550">
          <cell r="B4550">
            <v>1977</v>
          </cell>
          <cell r="K4550" t="str">
            <v>CLAYTON</v>
          </cell>
          <cell r="L4550" t="str">
            <v>Clayton</v>
          </cell>
          <cell r="V4550">
            <v>148300</v>
          </cell>
        </row>
        <row r="4551">
          <cell r="B4551">
            <v>1977</v>
          </cell>
          <cell r="K4551" t="str">
            <v>DELAWARE</v>
          </cell>
          <cell r="L4551" t="str">
            <v>Delaware</v>
          </cell>
          <cell r="V4551">
            <v>169500</v>
          </cell>
        </row>
        <row r="4552">
          <cell r="B4552">
            <v>1977</v>
          </cell>
          <cell r="K4552" t="str">
            <v>DUBUQUE</v>
          </cell>
          <cell r="L4552" t="str">
            <v>Dubuque</v>
          </cell>
          <cell r="V4552">
            <v>124000</v>
          </cell>
        </row>
        <row r="4553">
          <cell r="B4553">
            <v>1977</v>
          </cell>
          <cell r="K4553" t="str">
            <v>FAYETTE</v>
          </cell>
          <cell r="L4553" t="str">
            <v>Fayette</v>
          </cell>
          <cell r="V4553">
            <v>185400</v>
          </cell>
        </row>
        <row r="4554">
          <cell r="B4554">
            <v>1977</v>
          </cell>
          <cell r="K4554" t="str">
            <v>HOWARD</v>
          </cell>
          <cell r="L4554" t="str">
            <v>Howard</v>
          </cell>
          <cell r="V4554">
            <v>101200</v>
          </cell>
        </row>
        <row r="4555">
          <cell r="B4555">
            <v>1977</v>
          </cell>
          <cell r="K4555" t="str">
            <v>WINNESHIEK</v>
          </cell>
          <cell r="L4555" t="str">
            <v>Winneshiek</v>
          </cell>
          <cell r="V4555">
            <v>136900</v>
          </cell>
        </row>
        <row r="4556">
          <cell r="B4556">
            <v>1977</v>
          </cell>
          <cell r="K4556" t="str">
            <v>BUENA VISTA</v>
          </cell>
          <cell r="L4556" t="str">
            <v>Buena Vista</v>
          </cell>
          <cell r="V4556">
            <v>171300</v>
          </cell>
        </row>
        <row r="4557">
          <cell r="B4557">
            <v>1977</v>
          </cell>
          <cell r="K4557" t="str">
            <v>CHEROKEE</v>
          </cell>
          <cell r="L4557" t="str">
            <v>Cherokee</v>
          </cell>
          <cell r="V4557">
            <v>165600</v>
          </cell>
        </row>
        <row r="4558">
          <cell r="B4558">
            <v>1977</v>
          </cell>
          <cell r="K4558" t="str">
            <v>CLAY</v>
          </cell>
          <cell r="L4558" t="str">
            <v>Clay</v>
          </cell>
          <cell r="V4558">
            <v>153600</v>
          </cell>
        </row>
        <row r="4559">
          <cell r="B4559">
            <v>1977</v>
          </cell>
          <cell r="K4559" t="str">
            <v>DICKINSON</v>
          </cell>
          <cell r="L4559" t="str">
            <v>Dickinson</v>
          </cell>
          <cell r="V4559">
            <v>98600</v>
          </cell>
        </row>
        <row r="4560">
          <cell r="B4560">
            <v>1977</v>
          </cell>
          <cell r="K4560" t="str">
            <v>EMMET</v>
          </cell>
          <cell r="L4560" t="str">
            <v>Emmet</v>
          </cell>
          <cell r="V4560">
            <v>110000</v>
          </cell>
        </row>
        <row r="4561">
          <cell r="B4561">
            <v>1977</v>
          </cell>
          <cell r="K4561" t="str">
            <v>LYON</v>
          </cell>
          <cell r="L4561" t="str">
            <v>Lyon</v>
          </cell>
          <cell r="V4561">
            <v>174700</v>
          </cell>
        </row>
        <row r="4562">
          <cell r="B4562">
            <v>1977</v>
          </cell>
          <cell r="K4562" t="str">
            <v>O BRIEN</v>
          </cell>
          <cell r="L4562" t="str">
            <v>O Brien</v>
          </cell>
          <cell r="V4562">
            <v>166900</v>
          </cell>
        </row>
        <row r="4563">
          <cell r="B4563">
            <v>1977</v>
          </cell>
          <cell r="K4563" t="str">
            <v>OSCEOLA</v>
          </cell>
          <cell r="L4563" t="str">
            <v>Osceola</v>
          </cell>
          <cell r="V4563">
            <v>112900</v>
          </cell>
        </row>
        <row r="4564">
          <cell r="B4564">
            <v>1977</v>
          </cell>
          <cell r="K4564" t="str">
            <v>PALO ALTO</v>
          </cell>
          <cell r="L4564" t="str">
            <v>Palo Alto</v>
          </cell>
          <cell r="V4564">
            <v>159900</v>
          </cell>
        </row>
        <row r="4565">
          <cell r="B4565">
            <v>1977</v>
          </cell>
          <cell r="K4565" t="str">
            <v>PLYMOUTH</v>
          </cell>
          <cell r="L4565" t="str">
            <v>Plymouth</v>
          </cell>
          <cell r="V4565">
            <v>250400</v>
          </cell>
        </row>
        <row r="4566">
          <cell r="B4566">
            <v>1977</v>
          </cell>
          <cell r="K4566" t="str">
            <v>POCAHONTAS</v>
          </cell>
          <cell r="L4566" t="str">
            <v>Pocahontas</v>
          </cell>
          <cell r="V4566">
            <v>158500</v>
          </cell>
        </row>
        <row r="4567">
          <cell r="B4567">
            <v>1977</v>
          </cell>
          <cell r="K4567" t="str">
            <v>SIOUX</v>
          </cell>
          <cell r="L4567" t="str">
            <v>Sioux</v>
          </cell>
          <cell r="V4567">
            <v>272600</v>
          </cell>
        </row>
        <row r="4568">
          <cell r="B4568">
            <v>1977</v>
          </cell>
          <cell r="K4568" t="str">
            <v>APPANOOSE</v>
          </cell>
          <cell r="L4568" t="str">
            <v>Appanoose</v>
          </cell>
          <cell r="V4568">
            <v>46000</v>
          </cell>
        </row>
        <row r="4569">
          <cell r="B4569">
            <v>1977</v>
          </cell>
          <cell r="K4569" t="str">
            <v>CLARKE</v>
          </cell>
          <cell r="L4569" t="str">
            <v>Clarke</v>
          </cell>
          <cell r="V4569">
            <v>48900</v>
          </cell>
        </row>
        <row r="4570">
          <cell r="B4570">
            <v>1977</v>
          </cell>
          <cell r="K4570" t="str">
            <v>DECATUR</v>
          </cell>
          <cell r="L4570" t="str">
            <v>Decatur</v>
          </cell>
          <cell r="V4570">
            <v>56600</v>
          </cell>
        </row>
        <row r="4571">
          <cell r="B4571">
            <v>1977</v>
          </cell>
          <cell r="K4571" t="str">
            <v>LUCAS</v>
          </cell>
          <cell r="L4571" t="str">
            <v>Lucas</v>
          </cell>
          <cell r="V4571">
            <v>49200</v>
          </cell>
        </row>
        <row r="4572">
          <cell r="B4572">
            <v>1977</v>
          </cell>
          <cell r="K4572" t="str">
            <v>MADISON</v>
          </cell>
          <cell r="L4572" t="str">
            <v>Madison</v>
          </cell>
          <cell r="V4572">
            <v>100900</v>
          </cell>
        </row>
        <row r="4573">
          <cell r="B4573">
            <v>1977</v>
          </cell>
          <cell r="K4573" t="str">
            <v>MARION</v>
          </cell>
          <cell r="L4573" t="str">
            <v>Marion</v>
          </cell>
          <cell r="V4573">
            <v>80000</v>
          </cell>
        </row>
        <row r="4574">
          <cell r="B4574">
            <v>1977</v>
          </cell>
          <cell r="K4574" t="str">
            <v>MONROE</v>
          </cell>
          <cell r="L4574" t="str">
            <v>Monroe</v>
          </cell>
          <cell r="V4574">
            <v>47900</v>
          </cell>
        </row>
        <row r="4575">
          <cell r="B4575">
            <v>1977</v>
          </cell>
          <cell r="K4575" t="str">
            <v>RINGGOLD</v>
          </cell>
          <cell r="L4575" t="str">
            <v>Ringgold</v>
          </cell>
          <cell r="V4575">
            <v>73700</v>
          </cell>
        </row>
        <row r="4576">
          <cell r="B4576">
            <v>1977</v>
          </cell>
          <cell r="K4576" t="str">
            <v>UNION</v>
          </cell>
          <cell r="L4576" t="str">
            <v>Union</v>
          </cell>
          <cell r="V4576">
            <v>61700</v>
          </cell>
        </row>
        <row r="4577">
          <cell r="B4577">
            <v>1977</v>
          </cell>
          <cell r="K4577" t="str">
            <v>WARREN</v>
          </cell>
          <cell r="L4577" t="str">
            <v>Warren</v>
          </cell>
          <cell r="V4577">
            <v>99200</v>
          </cell>
        </row>
        <row r="4578">
          <cell r="B4578">
            <v>1977</v>
          </cell>
          <cell r="K4578" t="str">
            <v>WAYNE</v>
          </cell>
          <cell r="L4578" t="str">
            <v>Wayne</v>
          </cell>
          <cell r="V4578">
            <v>72900</v>
          </cell>
        </row>
        <row r="4579">
          <cell r="B4579">
            <v>1977</v>
          </cell>
          <cell r="K4579" t="str">
            <v>DAVIS</v>
          </cell>
          <cell r="L4579" t="str">
            <v>Davis</v>
          </cell>
          <cell r="V4579">
            <v>64800</v>
          </cell>
        </row>
        <row r="4580">
          <cell r="B4580">
            <v>1977</v>
          </cell>
          <cell r="K4580" t="str">
            <v>DES MOINES</v>
          </cell>
          <cell r="L4580" t="str">
            <v>Des Moines</v>
          </cell>
          <cell r="V4580">
            <v>94500</v>
          </cell>
        </row>
        <row r="4581">
          <cell r="B4581">
            <v>1977</v>
          </cell>
          <cell r="K4581" t="str">
            <v>HENRY</v>
          </cell>
          <cell r="L4581" t="str">
            <v>Henry</v>
          </cell>
          <cell r="V4581">
            <v>106700</v>
          </cell>
        </row>
        <row r="4582">
          <cell r="B4582">
            <v>1977</v>
          </cell>
          <cell r="K4582" t="str">
            <v>JEFFERSON</v>
          </cell>
          <cell r="L4582" t="str">
            <v>Jefferson</v>
          </cell>
          <cell r="V4582">
            <v>85900</v>
          </cell>
        </row>
        <row r="4583">
          <cell r="B4583">
            <v>1977</v>
          </cell>
          <cell r="K4583" t="str">
            <v>KEOKUK</v>
          </cell>
          <cell r="L4583" t="str">
            <v>Keokuk</v>
          </cell>
          <cell r="V4583">
            <v>140000</v>
          </cell>
        </row>
        <row r="4584">
          <cell r="B4584">
            <v>1977</v>
          </cell>
          <cell r="K4584" t="str">
            <v>LEE</v>
          </cell>
          <cell r="L4584" t="str">
            <v>Lee</v>
          </cell>
          <cell r="V4584">
            <v>94300</v>
          </cell>
        </row>
        <row r="4585">
          <cell r="B4585">
            <v>1977</v>
          </cell>
          <cell r="K4585" t="str">
            <v>LOUISA</v>
          </cell>
          <cell r="L4585" t="str">
            <v>Louisa</v>
          </cell>
          <cell r="V4585">
            <v>86500</v>
          </cell>
        </row>
        <row r="4586">
          <cell r="B4586">
            <v>1977</v>
          </cell>
          <cell r="K4586" t="str">
            <v>MAHASKA</v>
          </cell>
          <cell r="L4586" t="str">
            <v>Mahaska</v>
          </cell>
          <cell r="V4586">
            <v>150100</v>
          </cell>
        </row>
        <row r="4587">
          <cell r="B4587">
            <v>1977</v>
          </cell>
          <cell r="K4587" t="str">
            <v>VAN BUREN</v>
          </cell>
          <cell r="L4587" t="str">
            <v>Van Buren</v>
          </cell>
          <cell r="V4587">
            <v>61800</v>
          </cell>
        </row>
        <row r="4588">
          <cell r="B4588">
            <v>1977</v>
          </cell>
          <cell r="K4588" t="str">
            <v>WAPELLO</v>
          </cell>
          <cell r="L4588" t="str">
            <v>Wapello</v>
          </cell>
          <cell r="V4588">
            <v>67300</v>
          </cell>
        </row>
        <row r="4589">
          <cell r="B4589">
            <v>1977</v>
          </cell>
          <cell r="K4589" t="str">
            <v>WASHINGTON</v>
          </cell>
          <cell r="L4589" t="str">
            <v>Washington</v>
          </cell>
          <cell r="V4589">
            <v>156100</v>
          </cell>
        </row>
        <row r="4590">
          <cell r="B4590">
            <v>1977</v>
          </cell>
          <cell r="K4590" t="str">
            <v>ADAIR</v>
          </cell>
          <cell r="L4590" t="str">
            <v>Adair</v>
          </cell>
          <cell r="V4590">
            <v>117600</v>
          </cell>
        </row>
        <row r="4591">
          <cell r="B4591">
            <v>1977</v>
          </cell>
          <cell r="K4591" t="str">
            <v>ADAMS</v>
          </cell>
          <cell r="L4591" t="str">
            <v>Adams</v>
          </cell>
          <cell r="V4591">
            <v>71900</v>
          </cell>
        </row>
        <row r="4592">
          <cell r="B4592">
            <v>1977</v>
          </cell>
          <cell r="K4592" t="str">
            <v>CASS</v>
          </cell>
          <cell r="L4592" t="str">
            <v>Cass</v>
          </cell>
          <cell r="V4592">
            <v>146200</v>
          </cell>
        </row>
        <row r="4593">
          <cell r="B4593">
            <v>1977</v>
          </cell>
          <cell r="K4593" t="str">
            <v>FREMONT</v>
          </cell>
          <cell r="L4593" t="str">
            <v>Fremont</v>
          </cell>
          <cell r="V4593">
            <v>125200</v>
          </cell>
        </row>
        <row r="4594">
          <cell r="B4594">
            <v>1977</v>
          </cell>
          <cell r="K4594" t="str">
            <v>MILLS</v>
          </cell>
          <cell r="L4594" t="str">
            <v>Mills</v>
          </cell>
          <cell r="V4594">
            <v>102600</v>
          </cell>
        </row>
        <row r="4595">
          <cell r="B4595">
            <v>1977</v>
          </cell>
          <cell r="K4595" t="str">
            <v>MONTGOMERY</v>
          </cell>
          <cell r="L4595" t="str">
            <v>Montgomery</v>
          </cell>
          <cell r="V4595">
            <v>104000</v>
          </cell>
        </row>
        <row r="4596">
          <cell r="B4596">
            <v>1977</v>
          </cell>
          <cell r="K4596" t="str">
            <v>PAGE</v>
          </cell>
          <cell r="L4596" t="str">
            <v>Page</v>
          </cell>
          <cell r="V4596">
            <v>111000</v>
          </cell>
        </row>
        <row r="4597">
          <cell r="B4597">
            <v>1977</v>
          </cell>
          <cell r="K4597" t="str">
            <v>POTTAWATTAMIE</v>
          </cell>
          <cell r="L4597" t="str">
            <v>Pottawattamie</v>
          </cell>
          <cell r="V4597">
            <v>241300</v>
          </cell>
        </row>
        <row r="4598">
          <cell r="B4598">
            <v>1977</v>
          </cell>
          <cell r="K4598" t="str">
            <v>TAYLOR</v>
          </cell>
          <cell r="L4598" t="str">
            <v>Taylor</v>
          </cell>
          <cell r="V4598">
            <v>77200</v>
          </cell>
        </row>
        <row r="4599">
          <cell r="B4599">
            <v>1977</v>
          </cell>
          <cell r="K4599" t="str">
            <v>AUDUBON</v>
          </cell>
          <cell r="L4599" t="str">
            <v>Audubon</v>
          </cell>
          <cell r="V4599">
            <v>126500</v>
          </cell>
        </row>
        <row r="4600">
          <cell r="B4600">
            <v>1977</v>
          </cell>
          <cell r="K4600" t="str">
            <v>CALHOUN</v>
          </cell>
          <cell r="L4600" t="str">
            <v>Calhoun</v>
          </cell>
          <cell r="V4600">
            <v>160000</v>
          </cell>
        </row>
        <row r="4601">
          <cell r="B4601">
            <v>1977</v>
          </cell>
          <cell r="K4601" t="str">
            <v>CARROLL</v>
          </cell>
          <cell r="L4601" t="str">
            <v>Carroll</v>
          </cell>
          <cell r="V4601">
            <v>181000</v>
          </cell>
        </row>
        <row r="4602">
          <cell r="B4602">
            <v>1977</v>
          </cell>
          <cell r="K4602" t="str">
            <v>CRAWFORD</v>
          </cell>
          <cell r="L4602" t="str">
            <v>Crawford</v>
          </cell>
          <cell r="V4602">
            <v>184600</v>
          </cell>
        </row>
        <row r="4603">
          <cell r="B4603">
            <v>1977</v>
          </cell>
          <cell r="K4603" t="str">
            <v>GREENE</v>
          </cell>
          <cell r="L4603" t="str">
            <v>Greene</v>
          </cell>
          <cell r="V4603">
            <v>166700</v>
          </cell>
        </row>
        <row r="4604">
          <cell r="B4604">
            <v>1977</v>
          </cell>
          <cell r="K4604" t="str">
            <v>GUTHRIE</v>
          </cell>
          <cell r="L4604" t="str">
            <v>Guthrie</v>
          </cell>
          <cell r="V4604">
            <v>115400</v>
          </cell>
        </row>
        <row r="4605">
          <cell r="B4605">
            <v>1977</v>
          </cell>
          <cell r="K4605" t="str">
            <v>HARRISON</v>
          </cell>
          <cell r="L4605" t="str">
            <v>Harrison</v>
          </cell>
          <cell r="V4605">
            <v>176100</v>
          </cell>
        </row>
        <row r="4606">
          <cell r="B4606">
            <v>1977</v>
          </cell>
          <cell r="K4606" t="str">
            <v>IDA</v>
          </cell>
          <cell r="L4606" t="str">
            <v>Ida</v>
          </cell>
          <cell r="V4606">
            <v>136300</v>
          </cell>
        </row>
        <row r="4607">
          <cell r="B4607">
            <v>1977</v>
          </cell>
          <cell r="K4607" t="str">
            <v>MONONA</v>
          </cell>
          <cell r="L4607" t="str">
            <v>Monona</v>
          </cell>
          <cell r="V4607">
            <v>172800</v>
          </cell>
        </row>
        <row r="4608">
          <cell r="B4608">
            <v>1977</v>
          </cell>
          <cell r="K4608" t="str">
            <v>SAC</v>
          </cell>
          <cell r="L4608" t="str">
            <v>Sac</v>
          </cell>
          <cell r="V4608">
            <v>186100</v>
          </cell>
        </row>
        <row r="4609">
          <cell r="B4609">
            <v>1977</v>
          </cell>
          <cell r="K4609" t="str">
            <v>SHELBY</v>
          </cell>
          <cell r="L4609" t="str">
            <v>Shelby</v>
          </cell>
          <cell r="V4609">
            <v>189300</v>
          </cell>
        </row>
        <row r="4610">
          <cell r="B4610">
            <v>1977</v>
          </cell>
          <cell r="K4610" t="str">
            <v>WOODBURY</v>
          </cell>
          <cell r="L4610" t="str">
            <v>Woodbury</v>
          </cell>
          <cell r="V4610">
            <v>258200</v>
          </cell>
        </row>
        <row r="4611">
          <cell r="B4611">
            <v>1976</v>
          </cell>
          <cell r="K4611" t="str">
            <v>BOONE</v>
          </cell>
          <cell r="L4611" t="str">
            <v>Boone</v>
          </cell>
          <cell r="V4611">
            <v>161500</v>
          </cell>
        </row>
        <row r="4612">
          <cell r="B4612">
            <v>1976</v>
          </cell>
          <cell r="K4612" t="str">
            <v>DALLAS</v>
          </cell>
          <cell r="L4612" t="str">
            <v>Dallas</v>
          </cell>
          <cell r="V4612">
            <v>163900</v>
          </cell>
        </row>
        <row r="4613">
          <cell r="B4613">
            <v>1976</v>
          </cell>
          <cell r="K4613" t="str">
            <v>GRUNDY</v>
          </cell>
          <cell r="L4613" t="str">
            <v>Grundy</v>
          </cell>
          <cell r="V4613">
            <v>169100</v>
          </cell>
        </row>
        <row r="4614">
          <cell r="B4614">
            <v>1976</v>
          </cell>
          <cell r="K4614" t="str">
            <v>HAMILTON</v>
          </cell>
          <cell r="L4614" t="str">
            <v>Hamilton</v>
          </cell>
          <cell r="V4614">
            <v>182200</v>
          </cell>
        </row>
        <row r="4615">
          <cell r="B4615">
            <v>1976</v>
          </cell>
          <cell r="K4615" t="str">
            <v>HARDIN</v>
          </cell>
          <cell r="L4615" t="str">
            <v>Hardin</v>
          </cell>
          <cell r="V4615">
            <v>183600</v>
          </cell>
        </row>
        <row r="4616">
          <cell r="B4616">
            <v>1976</v>
          </cell>
          <cell r="K4616" t="str">
            <v>JASPER</v>
          </cell>
          <cell r="L4616" t="str">
            <v>Jasper</v>
          </cell>
          <cell r="V4616">
            <v>183300</v>
          </cell>
        </row>
        <row r="4617">
          <cell r="B4617">
            <v>1976</v>
          </cell>
          <cell r="K4617" t="str">
            <v>MARSHALL</v>
          </cell>
          <cell r="L4617" t="str">
            <v>Marshall</v>
          </cell>
          <cell r="V4617">
            <v>174500</v>
          </cell>
        </row>
        <row r="4618">
          <cell r="B4618">
            <v>1976</v>
          </cell>
          <cell r="K4618" t="str">
            <v>POLK</v>
          </cell>
          <cell r="L4618" t="str">
            <v>Polk</v>
          </cell>
          <cell r="V4618">
            <v>120600</v>
          </cell>
        </row>
        <row r="4619">
          <cell r="B4619">
            <v>1976</v>
          </cell>
          <cell r="K4619" t="str">
            <v>POWESHIEK</v>
          </cell>
          <cell r="L4619" t="str">
            <v>Poweshiek</v>
          </cell>
          <cell r="V4619">
            <v>132400</v>
          </cell>
        </row>
        <row r="4620">
          <cell r="B4620">
            <v>1976</v>
          </cell>
          <cell r="K4620" t="str">
            <v>STORY</v>
          </cell>
          <cell r="L4620" t="str">
            <v>Story</v>
          </cell>
          <cell r="V4620">
            <v>161700</v>
          </cell>
        </row>
        <row r="4621">
          <cell r="B4621">
            <v>1976</v>
          </cell>
          <cell r="K4621" t="str">
            <v>TAMA</v>
          </cell>
          <cell r="L4621" t="str">
            <v>Tama</v>
          </cell>
          <cell r="V4621">
            <v>185300</v>
          </cell>
        </row>
        <row r="4622">
          <cell r="B4622">
            <v>1976</v>
          </cell>
          <cell r="K4622" t="str">
            <v>WEBSTER</v>
          </cell>
          <cell r="L4622" t="str">
            <v>Webster</v>
          </cell>
          <cell r="V4622">
            <v>191900</v>
          </cell>
        </row>
        <row r="4623">
          <cell r="B4623">
            <v>1976</v>
          </cell>
          <cell r="K4623" t="str">
            <v>BENTON</v>
          </cell>
          <cell r="L4623" t="str">
            <v>Benton</v>
          </cell>
          <cell r="V4623">
            <v>189000</v>
          </cell>
        </row>
        <row r="4624">
          <cell r="B4624">
            <v>1976</v>
          </cell>
          <cell r="K4624" t="str">
            <v>CEDAR</v>
          </cell>
          <cell r="L4624" t="str">
            <v>Cedar</v>
          </cell>
          <cell r="V4624">
            <v>175000</v>
          </cell>
        </row>
        <row r="4625">
          <cell r="B4625">
            <v>1976</v>
          </cell>
          <cell r="K4625" t="str">
            <v>CLINTON</v>
          </cell>
          <cell r="L4625" t="str">
            <v>Clinton</v>
          </cell>
          <cell r="V4625">
            <v>216600</v>
          </cell>
        </row>
        <row r="4626">
          <cell r="B4626">
            <v>1976</v>
          </cell>
          <cell r="K4626" t="str">
            <v>IOWA</v>
          </cell>
          <cell r="L4626" t="str">
            <v>Iowa</v>
          </cell>
          <cell r="V4626">
            <v>146900</v>
          </cell>
        </row>
        <row r="4627">
          <cell r="B4627">
            <v>1976</v>
          </cell>
          <cell r="K4627" t="str">
            <v>JACKSON</v>
          </cell>
          <cell r="L4627" t="str">
            <v>Jackson</v>
          </cell>
          <cell r="V4627">
            <v>108200</v>
          </cell>
        </row>
        <row r="4628">
          <cell r="B4628">
            <v>1976</v>
          </cell>
          <cell r="K4628" t="str">
            <v>JOHNSON</v>
          </cell>
          <cell r="L4628" t="str">
            <v>Johnson</v>
          </cell>
          <cell r="V4628">
            <v>141900</v>
          </cell>
        </row>
        <row r="4629">
          <cell r="B4629">
            <v>1976</v>
          </cell>
          <cell r="K4629" t="str">
            <v>JONES</v>
          </cell>
          <cell r="L4629" t="str">
            <v>Jones</v>
          </cell>
          <cell r="V4629">
            <v>150200</v>
          </cell>
        </row>
        <row r="4630">
          <cell r="B4630">
            <v>1976</v>
          </cell>
          <cell r="K4630" t="str">
            <v>LINN</v>
          </cell>
          <cell r="L4630" t="str">
            <v>Linn</v>
          </cell>
          <cell r="V4630">
            <v>168000</v>
          </cell>
        </row>
        <row r="4631">
          <cell r="B4631">
            <v>1976</v>
          </cell>
          <cell r="K4631" t="str">
            <v>MUSCATINE</v>
          </cell>
          <cell r="L4631" t="str">
            <v>Muscatine</v>
          </cell>
          <cell r="V4631">
            <v>101200</v>
          </cell>
        </row>
        <row r="4632">
          <cell r="B4632">
            <v>1976</v>
          </cell>
          <cell r="K4632" t="str">
            <v>SCOTT</v>
          </cell>
          <cell r="L4632" t="str">
            <v>Scott</v>
          </cell>
          <cell r="V4632">
            <v>136000</v>
          </cell>
        </row>
        <row r="4633">
          <cell r="B4633">
            <v>1976</v>
          </cell>
          <cell r="K4633" t="str">
            <v>BUTLER</v>
          </cell>
          <cell r="L4633" t="str">
            <v>Butler</v>
          </cell>
          <cell r="V4633">
            <v>177900</v>
          </cell>
        </row>
        <row r="4634">
          <cell r="B4634">
            <v>1976</v>
          </cell>
          <cell r="K4634" t="str">
            <v>CERRO GORDO</v>
          </cell>
          <cell r="L4634" t="str">
            <v>Cerro Gordo</v>
          </cell>
          <cell r="V4634">
            <v>184000</v>
          </cell>
        </row>
        <row r="4635">
          <cell r="B4635">
            <v>1976</v>
          </cell>
          <cell r="K4635" t="str">
            <v>FLOYD</v>
          </cell>
          <cell r="L4635" t="str">
            <v>Floyd</v>
          </cell>
          <cell r="V4635">
            <v>139500</v>
          </cell>
        </row>
        <row r="4636">
          <cell r="B4636">
            <v>1976</v>
          </cell>
          <cell r="K4636" t="str">
            <v>FRANKLIN</v>
          </cell>
          <cell r="L4636" t="str">
            <v>Franklin</v>
          </cell>
          <cell r="V4636">
            <v>179000</v>
          </cell>
        </row>
        <row r="4637">
          <cell r="B4637">
            <v>1976</v>
          </cell>
          <cell r="K4637" t="str">
            <v>HANCOCK</v>
          </cell>
          <cell r="L4637" t="str">
            <v>Hancock</v>
          </cell>
          <cell r="V4637">
            <v>174300</v>
          </cell>
        </row>
        <row r="4638">
          <cell r="B4638">
            <v>1976</v>
          </cell>
          <cell r="K4638" t="str">
            <v>HUMBOLDT</v>
          </cell>
          <cell r="L4638" t="str">
            <v>Humboldt</v>
          </cell>
          <cell r="V4638">
            <v>128100</v>
          </cell>
        </row>
        <row r="4639">
          <cell r="B4639">
            <v>1976</v>
          </cell>
          <cell r="K4639" t="str">
            <v>KOSSUTH</v>
          </cell>
          <cell r="L4639" t="str">
            <v>Kossuth</v>
          </cell>
          <cell r="V4639">
            <v>279600</v>
          </cell>
        </row>
        <row r="4640">
          <cell r="B4640">
            <v>1976</v>
          </cell>
          <cell r="K4640" t="str">
            <v>MITCHELL</v>
          </cell>
          <cell r="L4640" t="str">
            <v>Mitchell</v>
          </cell>
          <cell r="V4640">
            <v>137600</v>
          </cell>
        </row>
        <row r="4641">
          <cell r="B4641">
            <v>1976</v>
          </cell>
          <cell r="K4641" t="str">
            <v>WINNEBAGO</v>
          </cell>
          <cell r="L4641" t="str">
            <v>Winnebago</v>
          </cell>
          <cell r="V4641">
            <v>121200</v>
          </cell>
        </row>
        <row r="4642">
          <cell r="B4642">
            <v>1976</v>
          </cell>
          <cell r="K4642" t="str">
            <v>WORTH</v>
          </cell>
          <cell r="L4642" t="str">
            <v>Worth</v>
          </cell>
          <cell r="V4642">
            <v>122600</v>
          </cell>
        </row>
        <row r="4643">
          <cell r="B4643">
            <v>1976</v>
          </cell>
          <cell r="K4643" t="str">
            <v>WRIGHT</v>
          </cell>
          <cell r="L4643" t="str">
            <v>Wright</v>
          </cell>
          <cell r="V4643">
            <v>173200</v>
          </cell>
        </row>
        <row r="4644">
          <cell r="B4644">
            <v>1976</v>
          </cell>
          <cell r="K4644" t="str">
            <v>ALLAMAKEE</v>
          </cell>
          <cell r="L4644" t="str">
            <v>Allamakee</v>
          </cell>
          <cell r="V4644">
            <v>80100</v>
          </cell>
        </row>
        <row r="4645">
          <cell r="B4645">
            <v>1976</v>
          </cell>
          <cell r="K4645" t="str">
            <v>BLACK HAWK</v>
          </cell>
          <cell r="L4645" t="str">
            <v>Black Hawk</v>
          </cell>
          <cell r="V4645">
            <v>150100</v>
          </cell>
        </row>
        <row r="4646">
          <cell r="B4646">
            <v>1976</v>
          </cell>
          <cell r="K4646" t="str">
            <v>BREMER</v>
          </cell>
          <cell r="L4646" t="str">
            <v>Bremer</v>
          </cell>
          <cell r="V4646">
            <v>123900</v>
          </cell>
        </row>
        <row r="4647">
          <cell r="B4647">
            <v>1976</v>
          </cell>
          <cell r="K4647" t="str">
            <v>BUCHANAN</v>
          </cell>
          <cell r="L4647" t="str">
            <v>Buchanan</v>
          </cell>
          <cell r="V4647">
            <v>177400</v>
          </cell>
        </row>
        <row r="4648">
          <cell r="B4648">
            <v>1976</v>
          </cell>
          <cell r="K4648" t="str">
            <v>CHICKASAW</v>
          </cell>
          <cell r="L4648" t="str">
            <v>Chickasaw</v>
          </cell>
          <cell r="V4648">
            <v>130000</v>
          </cell>
        </row>
        <row r="4649">
          <cell r="B4649">
            <v>1976</v>
          </cell>
          <cell r="K4649" t="str">
            <v>CLAYTON</v>
          </cell>
          <cell r="L4649" t="str">
            <v>Clayton</v>
          </cell>
          <cell r="V4649">
            <v>144400</v>
          </cell>
        </row>
        <row r="4650">
          <cell r="B4650">
            <v>1976</v>
          </cell>
          <cell r="K4650" t="str">
            <v>DELAWARE</v>
          </cell>
          <cell r="L4650" t="str">
            <v>Delaware</v>
          </cell>
          <cell r="V4650">
            <v>167200</v>
          </cell>
        </row>
        <row r="4651">
          <cell r="B4651">
            <v>1976</v>
          </cell>
          <cell r="K4651" t="str">
            <v>DUBUQUE</v>
          </cell>
          <cell r="L4651" t="str">
            <v>Dubuque</v>
          </cell>
          <cell r="V4651">
            <v>124600</v>
          </cell>
        </row>
        <row r="4652">
          <cell r="B4652">
            <v>1976</v>
          </cell>
          <cell r="K4652" t="str">
            <v>FAYETTE</v>
          </cell>
          <cell r="L4652" t="str">
            <v>Fayette</v>
          </cell>
          <cell r="V4652">
            <v>187600</v>
          </cell>
        </row>
        <row r="4653">
          <cell r="B4653">
            <v>1976</v>
          </cell>
          <cell r="K4653" t="str">
            <v>HOWARD</v>
          </cell>
          <cell r="L4653" t="str">
            <v>Howard</v>
          </cell>
          <cell r="V4653">
            <v>108000</v>
          </cell>
        </row>
        <row r="4654">
          <cell r="B4654">
            <v>1976</v>
          </cell>
          <cell r="K4654" t="str">
            <v>WINNESHIEK</v>
          </cell>
          <cell r="L4654" t="str">
            <v>Winneshiek</v>
          </cell>
          <cell r="V4654">
            <v>140700</v>
          </cell>
        </row>
        <row r="4655">
          <cell r="B4655">
            <v>1976</v>
          </cell>
          <cell r="K4655" t="str">
            <v>BUENA VISTA</v>
          </cell>
          <cell r="L4655" t="str">
            <v>Buena Vista</v>
          </cell>
          <cell r="V4655">
            <v>176500</v>
          </cell>
        </row>
        <row r="4656">
          <cell r="B4656">
            <v>1976</v>
          </cell>
          <cell r="K4656" t="str">
            <v>CHEROKEE</v>
          </cell>
          <cell r="L4656" t="str">
            <v>Cherokee</v>
          </cell>
          <cell r="V4656">
            <v>170600</v>
          </cell>
        </row>
        <row r="4657">
          <cell r="B4657">
            <v>1976</v>
          </cell>
          <cell r="K4657" t="str">
            <v>CLAY</v>
          </cell>
          <cell r="L4657" t="str">
            <v>Clay</v>
          </cell>
          <cell r="V4657">
            <v>157700</v>
          </cell>
        </row>
        <row r="4658">
          <cell r="B4658">
            <v>1976</v>
          </cell>
          <cell r="K4658" t="str">
            <v>DICKINSON</v>
          </cell>
          <cell r="L4658" t="str">
            <v>Dickinson</v>
          </cell>
          <cell r="V4658">
            <v>103500</v>
          </cell>
        </row>
        <row r="4659">
          <cell r="B4659">
            <v>1976</v>
          </cell>
          <cell r="K4659" t="str">
            <v>EMMET</v>
          </cell>
          <cell r="L4659" t="str">
            <v>Emmet</v>
          </cell>
          <cell r="V4659">
            <v>114400</v>
          </cell>
        </row>
        <row r="4660">
          <cell r="B4660">
            <v>1976</v>
          </cell>
          <cell r="K4660" t="str">
            <v>LYON</v>
          </cell>
          <cell r="L4660" t="str">
            <v>Lyon</v>
          </cell>
          <cell r="V4660">
            <v>180400</v>
          </cell>
        </row>
        <row r="4661">
          <cell r="B4661">
            <v>1976</v>
          </cell>
          <cell r="K4661" t="str">
            <v>O BRIEN</v>
          </cell>
          <cell r="L4661" t="str">
            <v>O Brien</v>
          </cell>
          <cell r="V4661">
            <v>174700</v>
          </cell>
        </row>
        <row r="4662">
          <cell r="B4662">
            <v>1976</v>
          </cell>
          <cell r="K4662" t="str">
            <v>OSCEOLA</v>
          </cell>
          <cell r="L4662" t="str">
            <v>Osceola</v>
          </cell>
          <cell r="V4662">
            <v>118700</v>
          </cell>
        </row>
        <row r="4663">
          <cell r="B4663">
            <v>1976</v>
          </cell>
          <cell r="K4663" t="str">
            <v>PALO ALTO</v>
          </cell>
          <cell r="L4663" t="str">
            <v>Palo Alto</v>
          </cell>
          <cell r="V4663">
            <v>169900</v>
          </cell>
        </row>
        <row r="4664">
          <cell r="B4664">
            <v>1976</v>
          </cell>
          <cell r="K4664" t="str">
            <v>PLYMOUTH</v>
          </cell>
          <cell r="L4664" t="str">
            <v>Plymouth</v>
          </cell>
          <cell r="V4664">
            <v>266200</v>
          </cell>
        </row>
        <row r="4665">
          <cell r="B4665">
            <v>1976</v>
          </cell>
          <cell r="K4665" t="str">
            <v>POCAHONTAS</v>
          </cell>
          <cell r="L4665" t="str">
            <v>Pocahontas</v>
          </cell>
          <cell r="V4665">
            <v>166600</v>
          </cell>
        </row>
        <row r="4666">
          <cell r="B4666">
            <v>1976</v>
          </cell>
          <cell r="K4666" t="str">
            <v>SIOUX</v>
          </cell>
          <cell r="L4666" t="str">
            <v>Sioux</v>
          </cell>
          <cell r="V4666">
            <v>280800</v>
          </cell>
        </row>
        <row r="4667">
          <cell r="B4667">
            <v>1976</v>
          </cell>
          <cell r="K4667" t="str">
            <v>APPANOOSE</v>
          </cell>
          <cell r="L4667" t="str">
            <v>Appanoose</v>
          </cell>
          <cell r="V4667">
            <v>41800</v>
          </cell>
        </row>
        <row r="4668">
          <cell r="B4668">
            <v>1976</v>
          </cell>
          <cell r="K4668" t="str">
            <v>CLARKE</v>
          </cell>
          <cell r="L4668" t="str">
            <v>Clarke</v>
          </cell>
          <cell r="V4668">
            <v>38800</v>
          </cell>
        </row>
        <row r="4669">
          <cell r="B4669">
            <v>1976</v>
          </cell>
          <cell r="K4669" t="str">
            <v>DECATUR</v>
          </cell>
          <cell r="L4669" t="str">
            <v>Decatur</v>
          </cell>
          <cell r="V4669">
            <v>49200</v>
          </cell>
        </row>
        <row r="4670">
          <cell r="B4670">
            <v>1976</v>
          </cell>
          <cell r="K4670" t="str">
            <v>LUCAS</v>
          </cell>
          <cell r="L4670" t="str">
            <v>Lucas</v>
          </cell>
          <cell r="V4670">
            <v>46300</v>
          </cell>
        </row>
        <row r="4671">
          <cell r="B4671">
            <v>1976</v>
          </cell>
          <cell r="K4671" t="str">
            <v>MADISON</v>
          </cell>
          <cell r="L4671" t="str">
            <v>Madison</v>
          </cell>
          <cell r="V4671">
            <v>91100</v>
          </cell>
        </row>
        <row r="4672">
          <cell r="B4672">
            <v>1976</v>
          </cell>
          <cell r="K4672" t="str">
            <v>MARION</v>
          </cell>
          <cell r="L4672" t="str">
            <v>Marion</v>
          </cell>
          <cell r="V4672">
            <v>94000</v>
          </cell>
        </row>
        <row r="4673">
          <cell r="B4673">
            <v>1976</v>
          </cell>
          <cell r="K4673" t="str">
            <v>MONROE</v>
          </cell>
          <cell r="L4673" t="str">
            <v>Monroe</v>
          </cell>
          <cell r="V4673">
            <v>45800</v>
          </cell>
        </row>
        <row r="4674">
          <cell r="B4674">
            <v>1976</v>
          </cell>
          <cell r="K4674" t="str">
            <v>RINGGOLD</v>
          </cell>
          <cell r="L4674" t="str">
            <v>Ringgold</v>
          </cell>
          <cell r="V4674">
            <v>70500</v>
          </cell>
        </row>
        <row r="4675">
          <cell r="B4675">
            <v>1976</v>
          </cell>
          <cell r="K4675" t="str">
            <v>UNION</v>
          </cell>
          <cell r="L4675" t="str">
            <v>Union</v>
          </cell>
          <cell r="V4675">
            <v>58900</v>
          </cell>
        </row>
        <row r="4676">
          <cell r="B4676">
            <v>1976</v>
          </cell>
          <cell r="K4676" t="str">
            <v>WARREN</v>
          </cell>
          <cell r="L4676" t="str">
            <v>Warren</v>
          </cell>
          <cell r="V4676">
            <v>91800</v>
          </cell>
        </row>
        <row r="4677">
          <cell r="B4677">
            <v>1976</v>
          </cell>
          <cell r="K4677" t="str">
            <v>WAYNE</v>
          </cell>
          <cell r="L4677" t="str">
            <v>Wayne</v>
          </cell>
          <cell r="V4677">
            <v>66800</v>
          </cell>
        </row>
        <row r="4678">
          <cell r="B4678">
            <v>1976</v>
          </cell>
          <cell r="K4678" t="str">
            <v>DAVIS</v>
          </cell>
          <cell r="L4678" t="str">
            <v>Davis</v>
          </cell>
          <cell r="V4678">
            <v>64600</v>
          </cell>
        </row>
        <row r="4679">
          <cell r="B4679">
            <v>1976</v>
          </cell>
          <cell r="K4679" t="str">
            <v>DES MOINES</v>
          </cell>
          <cell r="L4679" t="str">
            <v>Des Moines</v>
          </cell>
          <cell r="V4679">
            <v>96300</v>
          </cell>
        </row>
        <row r="4680">
          <cell r="B4680">
            <v>1976</v>
          </cell>
          <cell r="K4680" t="str">
            <v>HENRY</v>
          </cell>
          <cell r="L4680" t="str">
            <v>Henry</v>
          </cell>
          <cell r="V4680">
            <v>107300</v>
          </cell>
        </row>
        <row r="4681">
          <cell r="B4681">
            <v>1976</v>
          </cell>
          <cell r="K4681" t="str">
            <v>JEFFERSON</v>
          </cell>
          <cell r="L4681" t="str">
            <v>Jefferson</v>
          </cell>
          <cell r="V4681">
            <v>82400</v>
          </cell>
        </row>
        <row r="4682">
          <cell r="B4682">
            <v>1976</v>
          </cell>
          <cell r="K4682" t="str">
            <v>KEOKUK</v>
          </cell>
          <cell r="L4682" t="str">
            <v>Keokuk</v>
          </cell>
          <cell r="V4682">
            <v>137300</v>
          </cell>
        </row>
        <row r="4683">
          <cell r="B4683">
            <v>1976</v>
          </cell>
          <cell r="K4683" t="str">
            <v>LEE</v>
          </cell>
          <cell r="L4683" t="str">
            <v>Lee</v>
          </cell>
          <cell r="V4683">
            <v>100500</v>
          </cell>
        </row>
        <row r="4684">
          <cell r="B4684">
            <v>1976</v>
          </cell>
          <cell r="K4684" t="str">
            <v>LOUISA</v>
          </cell>
          <cell r="L4684" t="str">
            <v>Louisa</v>
          </cell>
          <cell r="V4684">
            <v>84800</v>
          </cell>
        </row>
        <row r="4685">
          <cell r="B4685">
            <v>1976</v>
          </cell>
          <cell r="K4685" t="str">
            <v>MAHASKA</v>
          </cell>
          <cell r="L4685" t="str">
            <v>Mahaska</v>
          </cell>
          <cell r="V4685">
            <v>150800</v>
          </cell>
        </row>
        <row r="4686">
          <cell r="B4686">
            <v>1976</v>
          </cell>
          <cell r="K4686" t="str">
            <v>VAN BUREN</v>
          </cell>
          <cell r="L4686" t="str">
            <v>Van Buren</v>
          </cell>
          <cell r="V4686">
            <v>62000</v>
          </cell>
        </row>
        <row r="4687">
          <cell r="B4687">
            <v>1976</v>
          </cell>
          <cell r="K4687" t="str">
            <v>WAPELLO</v>
          </cell>
          <cell r="L4687" t="str">
            <v>Wapello</v>
          </cell>
          <cell r="V4687">
            <v>66000</v>
          </cell>
        </row>
        <row r="4688">
          <cell r="B4688">
            <v>1976</v>
          </cell>
          <cell r="K4688" t="str">
            <v>WASHINGTON</v>
          </cell>
          <cell r="L4688" t="str">
            <v>Washington</v>
          </cell>
          <cell r="V4688">
            <v>145000</v>
          </cell>
        </row>
        <row r="4689">
          <cell r="B4689">
            <v>1976</v>
          </cell>
          <cell r="K4689" t="str">
            <v>ADAIR</v>
          </cell>
          <cell r="L4689" t="str">
            <v>Adair</v>
          </cell>
          <cell r="V4689">
            <v>113900</v>
          </cell>
        </row>
        <row r="4690">
          <cell r="B4690">
            <v>1976</v>
          </cell>
          <cell r="K4690" t="str">
            <v>ADAMS</v>
          </cell>
          <cell r="L4690" t="str">
            <v>Adams</v>
          </cell>
          <cell r="V4690">
            <v>71700</v>
          </cell>
        </row>
        <row r="4691">
          <cell r="B4691">
            <v>1976</v>
          </cell>
          <cell r="K4691" t="str">
            <v>CASS</v>
          </cell>
          <cell r="L4691" t="str">
            <v>Cass</v>
          </cell>
          <cell r="V4691">
            <v>139300</v>
          </cell>
        </row>
        <row r="4692">
          <cell r="B4692">
            <v>1976</v>
          </cell>
          <cell r="K4692" t="str">
            <v>FREMONT</v>
          </cell>
          <cell r="L4692" t="str">
            <v>Fremont</v>
          </cell>
          <cell r="V4692">
            <v>122700</v>
          </cell>
        </row>
        <row r="4693">
          <cell r="B4693">
            <v>1976</v>
          </cell>
          <cell r="K4693" t="str">
            <v>MILLS</v>
          </cell>
          <cell r="L4693" t="str">
            <v>Mills</v>
          </cell>
          <cell r="V4693">
            <v>105500</v>
          </cell>
        </row>
        <row r="4694">
          <cell r="B4694">
            <v>1976</v>
          </cell>
          <cell r="K4694" t="str">
            <v>MONTGOMERY</v>
          </cell>
          <cell r="L4694" t="str">
            <v>Montgomery</v>
          </cell>
          <cell r="V4694">
            <v>101200</v>
          </cell>
        </row>
        <row r="4695">
          <cell r="B4695">
            <v>1976</v>
          </cell>
          <cell r="K4695" t="str">
            <v>PAGE</v>
          </cell>
          <cell r="L4695" t="str">
            <v>Page</v>
          </cell>
          <cell r="V4695">
            <v>112900</v>
          </cell>
        </row>
        <row r="4696">
          <cell r="B4696">
            <v>1976</v>
          </cell>
          <cell r="K4696" t="str">
            <v>POTTAWATTAMIE</v>
          </cell>
          <cell r="L4696" t="str">
            <v>Pottawattamie</v>
          </cell>
          <cell r="V4696">
            <v>238700</v>
          </cell>
        </row>
        <row r="4697">
          <cell r="B4697">
            <v>1976</v>
          </cell>
          <cell r="K4697" t="str">
            <v>TAYLOR</v>
          </cell>
          <cell r="L4697" t="str">
            <v>Taylor</v>
          </cell>
          <cell r="V4697">
            <v>71100</v>
          </cell>
        </row>
        <row r="4698">
          <cell r="B4698">
            <v>1976</v>
          </cell>
          <cell r="K4698" t="str">
            <v>AUDUBON</v>
          </cell>
          <cell r="L4698" t="str">
            <v>Audubon</v>
          </cell>
          <cell r="V4698">
            <v>128800</v>
          </cell>
        </row>
        <row r="4699">
          <cell r="B4699">
            <v>1976</v>
          </cell>
          <cell r="K4699" t="str">
            <v>CALHOUN</v>
          </cell>
          <cell r="L4699" t="str">
            <v>Calhoun</v>
          </cell>
          <cell r="V4699">
            <v>163500</v>
          </cell>
        </row>
        <row r="4700">
          <cell r="B4700">
            <v>1976</v>
          </cell>
          <cell r="K4700" t="str">
            <v>CARROLL</v>
          </cell>
          <cell r="L4700" t="str">
            <v>Carroll</v>
          </cell>
          <cell r="V4700">
            <v>188400</v>
          </cell>
        </row>
        <row r="4701">
          <cell r="B4701">
            <v>1976</v>
          </cell>
          <cell r="K4701" t="str">
            <v>CRAWFORD</v>
          </cell>
          <cell r="L4701" t="str">
            <v>Crawford</v>
          </cell>
          <cell r="V4701">
            <v>197700</v>
          </cell>
        </row>
        <row r="4702">
          <cell r="B4702">
            <v>1976</v>
          </cell>
          <cell r="K4702" t="str">
            <v>GREENE</v>
          </cell>
          <cell r="L4702" t="str">
            <v>Greene</v>
          </cell>
          <cell r="V4702">
            <v>172700</v>
          </cell>
        </row>
        <row r="4703">
          <cell r="B4703">
            <v>1976</v>
          </cell>
          <cell r="K4703" t="str">
            <v>GUTHRIE</v>
          </cell>
          <cell r="L4703" t="str">
            <v>Guthrie</v>
          </cell>
          <cell r="V4703">
            <v>110300</v>
          </cell>
        </row>
        <row r="4704">
          <cell r="B4704">
            <v>1976</v>
          </cell>
          <cell r="K4704" t="str">
            <v>HARRISON</v>
          </cell>
          <cell r="L4704" t="str">
            <v>Harrison</v>
          </cell>
          <cell r="V4704">
            <v>180700</v>
          </cell>
        </row>
        <row r="4705">
          <cell r="B4705">
            <v>1976</v>
          </cell>
          <cell r="K4705" t="str">
            <v>IDA</v>
          </cell>
          <cell r="L4705" t="str">
            <v>Ida</v>
          </cell>
          <cell r="V4705">
            <v>141200</v>
          </cell>
        </row>
        <row r="4706">
          <cell r="B4706">
            <v>1976</v>
          </cell>
          <cell r="K4706" t="str">
            <v>MONONA</v>
          </cell>
          <cell r="L4706" t="str">
            <v>Monona</v>
          </cell>
          <cell r="V4706">
            <v>181900</v>
          </cell>
        </row>
        <row r="4707">
          <cell r="B4707">
            <v>1976</v>
          </cell>
          <cell r="K4707" t="str">
            <v>SAC</v>
          </cell>
          <cell r="L4707" t="str">
            <v>Sac</v>
          </cell>
          <cell r="V4707">
            <v>187600</v>
          </cell>
        </row>
        <row r="4708">
          <cell r="B4708">
            <v>1976</v>
          </cell>
          <cell r="K4708" t="str">
            <v>SHELBY</v>
          </cell>
          <cell r="L4708" t="str">
            <v>Shelby</v>
          </cell>
          <cell r="V4708">
            <v>195400</v>
          </cell>
        </row>
        <row r="4709">
          <cell r="B4709">
            <v>1976</v>
          </cell>
          <cell r="K4709" t="str">
            <v>WOODBURY</v>
          </cell>
          <cell r="L4709" t="str">
            <v>Woodbury</v>
          </cell>
          <cell r="V4709">
            <v>258800</v>
          </cell>
        </row>
        <row r="4710">
          <cell r="B4710">
            <v>1975</v>
          </cell>
          <cell r="K4710" t="str">
            <v>BOONE</v>
          </cell>
          <cell r="L4710" t="str">
            <v>Boone</v>
          </cell>
          <cell r="V4710">
            <v>157600</v>
          </cell>
        </row>
        <row r="4711">
          <cell r="B4711">
            <v>1975</v>
          </cell>
          <cell r="K4711" t="str">
            <v>DALLAS</v>
          </cell>
          <cell r="L4711" t="str">
            <v>Dallas</v>
          </cell>
          <cell r="V4711">
            <v>156500</v>
          </cell>
        </row>
        <row r="4712">
          <cell r="B4712">
            <v>1975</v>
          </cell>
          <cell r="K4712" t="str">
            <v>GRUNDY</v>
          </cell>
          <cell r="L4712" t="str">
            <v>Grundy</v>
          </cell>
          <cell r="V4712">
            <v>158100</v>
          </cell>
        </row>
        <row r="4713">
          <cell r="B4713">
            <v>1975</v>
          </cell>
          <cell r="K4713" t="str">
            <v>HAMILTON</v>
          </cell>
          <cell r="L4713" t="str">
            <v>Hamilton</v>
          </cell>
          <cell r="V4713">
            <v>173900</v>
          </cell>
        </row>
        <row r="4714">
          <cell r="B4714">
            <v>1975</v>
          </cell>
          <cell r="K4714" t="str">
            <v>HARDIN</v>
          </cell>
          <cell r="L4714" t="str">
            <v>Hardin</v>
          </cell>
          <cell r="V4714">
            <v>177300</v>
          </cell>
        </row>
        <row r="4715">
          <cell r="B4715">
            <v>1975</v>
          </cell>
          <cell r="K4715" t="str">
            <v>JASPER</v>
          </cell>
          <cell r="L4715" t="str">
            <v>Jasper</v>
          </cell>
          <cell r="V4715">
            <v>168800</v>
          </cell>
        </row>
        <row r="4716">
          <cell r="B4716">
            <v>1975</v>
          </cell>
          <cell r="K4716" t="str">
            <v>MARSHALL</v>
          </cell>
          <cell r="L4716" t="str">
            <v>Marshall</v>
          </cell>
          <cell r="V4716">
            <v>162500</v>
          </cell>
        </row>
        <row r="4717">
          <cell r="B4717">
            <v>1975</v>
          </cell>
          <cell r="K4717" t="str">
            <v>POLK</v>
          </cell>
          <cell r="L4717" t="str">
            <v>Polk</v>
          </cell>
          <cell r="V4717">
            <v>119000</v>
          </cell>
        </row>
        <row r="4718">
          <cell r="B4718">
            <v>1975</v>
          </cell>
          <cell r="K4718" t="str">
            <v>POWESHIEK</v>
          </cell>
          <cell r="L4718" t="str">
            <v>Poweshiek</v>
          </cell>
          <cell r="V4718">
            <v>127500</v>
          </cell>
        </row>
        <row r="4719">
          <cell r="B4719">
            <v>1975</v>
          </cell>
          <cell r="K4719" t="str">
            <v>STORY</v>
          </cell>
          <cell r="L4719" t="str">
            <v>Story</v>
          </cell>
          <cell r="V4719">
            <v>159100</v>
          </cell>
        </row>
        <row r="4720">
          <cell r="B4720">
            <v>1975</v>
          </cell>
          <cell r="K4720" t="str">
            <v>TAMA</v>
          </cell>
          <cell r="L4720" t="str">
            <v>Tama</v>
          </cell>
          <cell r="V4720">
            <v>175600</v>
          </cell>
        </row>
        <row r="4721">
          <cell r="B4721">
            <v>1975</v>
          </cell>
          <cell r="K4721" t="str">
            <v>WEBSTER</v>
          </cell>
          <cell r="L4721" t="str">
            <v>Webster</v>
          </cell>
          <cell r="V4721">
            <v>193100</v>
          </cell>
        </row>
        <row r="4722">
          <cell r="B4722">
            <v>1975</v>
          </cell>
          <cell r="K4722" t="str">
            <v>BENTON</v>
          </cell>
          <cell r="L4722" t="str">
            <v>Benton</v>
          </cell>
          <cell r="V4722">
            <v>185600</v>
          </cell>
        </row>
        <row r="4723">
          <cell r="B4723">
            <v>1975</v>
          </cell>
          <cell r="K4723" t="str">
            <v>CEDAR</v>
          </cell>
          <cell r="L4723" t="str">
            <v>Cedar</v>
          </cell>
          <cell r="V4723">
            <v>161500</v>
          </cell>
        </row>
        <row r="4724">
          <cell r="B4724">
            <v>1975</v>
          </cell>
          <cell r="K4724" t="str">
            <v>CLINTON</v>
          </cell>
          <cell r="L4724" t="str">
            <v>Clinton</v>
          </cell>
          <cell r="V4724">
            <v>202000</v>
          </cell>
        </row>
        <row r="4725">
          <cell r="B4725">
            <v>1975</v>
          </cell>
          <cell r="K4725" t="str">
            <v>IOWA</v>
          </cell>
          <cell r="L4725" t="str">
            <v>Iowa</v>
          </cell>
          <cell r="V4725">
            <v>138700</v>
          </cell>
        </row>
        <row r="4726">
          <cell r="B4726">
            <v>1975</v>
          </cell>
          <cell r="K4726" t="str">
            <v>JACKSON</v>
          </cell>
          <cell r="L4726" t="str">
            <v>Jackson</v>
          </cell>
          <cell r="V4726">
            <v>104800</v>
          </cell>
        </row>
        <row r="4727">
          <cell r="B4727">
            <v>1975</v>
          </cell>
          <cell r="K4727" t="str">
            <v>JOHNSON</v>
          </cell>
          <cell r="L4727" t="str">
            <v>Johnson</v>
          </cell>
          <cell r="V4727">
            <v>133800</v>
          </cell>
        </row>
        <row r="4728">
          <cell r="B4728">
            <v>1975</v>
          </cell>
          <cell r="K4728" t="str">
            <v>JONES</v>
          </cell>
          <cell r="L4728" t="str">
            <v>Jones</v>
          </cell>
          <cell r="V4728">
            <v>138700</v>
          </cell>
        </row>
        <row r="4729">
          <cell r="B4729">
            <v>1975</v>
          </cell>
          <cell r="K4729" t="str">
            <v>LINN</v>
          </cell>
          <cell r="L4729" t="str">
            <v>Linn</v>
          </cell>
          <cell r="V4729">
            <v>160400</v>
          </cell>
        </row>
        <row r="4730">
          <cell r="B4730">
            <v>1975</v>
          </cell>
          <cell r="K4730" t="str">
            <v>MUSCATINE</v>
          </cell>
          <cell r="L4730" t="str">
            <v>Muscatine</v>
          </cell>
          <cell r="V4730">
            <v>96600</v>
          </cell>
        </row>
        <row r="4731">
          <cell r="B4731">
            <v>1975</v>
          </cell>
          <cell r="K4731" t="str">
            <v>SCOTT</v>
          </cell>
          <cell r="L4731" t="str">
            <v>Scott</v>
          </cell>
          <cell r="V4731">
            <v>122900</v>
          </cell>
        </row>
        <row r="4732">
          <cell r="B4732">
            <v>1975</v>
          </cell>
          <cell r="K4732" t="str">
            <v>BUTLER</v>
          </cell>
          <cell r="L4732" t="str">
            <v>Butler</v>
          </cell>
          <cell r="V4732">
            <v>164800</v>
          </cell>
        </row>
        <row r="4733">
          <cell r="B4733">
            <v>1975</v>
          </cell>
          <cell r="K4733" t="str">
            <v>CERRO GORDO</v>
          </cell>
          <cell r="L4733" t="str">
            <v>Cerro Gordo</v>
          </cell>
          <cell r="V4733">
            <v>160800</v>
          </cell>
        </row>
        <row r="4734">
          <cell r="B4734">
            <v>1975</v>
          </cell>
          <cell r="K4734" t="str">
            <v>FLOYD</v>
          </cell>
          <cell r="L4734" t="str">
            <v>Floyd</v>
          </cell>
          <cell r="V4734">
            <v>132800</v>
          </cell>
        </row>
        <row r="4735">
          <cell r="B4735">
            <v>1975</v>
          </cell>
          <cell r="K4735" t="str">
            <v>FRANKLIN</v>
          </cell>
          <cell r="L4735" t="str">
            <v>Franklin</v>
          </cell>
          <cell r="V4735">
            <v>177300</v>
          </cell>
        </row>
        <row r="4736">
          <cell r="B4736">
            <v>1975</v>
          </cell>
          <cell r="K4736" t="str">
            <v>HANCOCK</v>
          </cell>
          <cell r="L4736" t="str">
            <v>Hancock</v>
          </cell>
          <cell r="V4736">
            <v>167100</v>
          </cell>
        </row>
        <row r="4737">
          <cell r="B4737">
            <v>1975</v>
          </cell>
          <cell r="K4737" t="str">
            <v>HUMBOLDT</v>
          </cell>
          <cell r="L4737" t="str">
            <v>Humboldt</v>
          </cell>
          <cell r="V4737">
            <v>128400</v>
          </cell>
        </row>
        <row r="4738">
          <cell r="B4738">
            <v>1975</v>
          </cell>
          <cell r="K4738" t="str">
            <v>KOSSUTH</v>
          </cell>
          <cell r="L4738" t="str">
            <v>Kossuth</v>
          </cell>
          <cell r="V4738">
            <v>282000</v>
          </cell>
        </row>
        <row r="4739">
          <cell r="B4739">
            <v>1975</v>
          </cell>
          <cell r="K4739" t="str">
            <v>MITCHELL</v>
          </cell>
          <cell r="L4739" t="str">
            <v>Mitchell</v>
          </cell>
          <cell r="V4739">
            <v>127400</v>
          </cell>
        </row>
        <row r="4740">
          <cell r="B4740">
            <v>1975</v>
          </cell>
          <cell r="K4740" t="str">
            <v>WINNEBAGO</v>
          </cell>
          <cell r="L4740" t="str">
            <v>Winnebago</v>
          </cell>
          <cell r="V4740">
            <v>115200</v>
          </cell>
        </row>
        <row r="4741">
          <cell r="B4741">
            <v>1975</v>
          </cell>
          <cell r="K4741" t="str">
            <v>WORTH</v>
          </cell>
          <cell r="L4741" t="str">
            <v>Worth</v>
          </cell>
          <cell r="V4741">
            <v>117600</v>
          </cell>
        </row>
        <row r="4742">
          <cell r="B4742">
            <v>1975</v>
          </cell>
          <cell r="K4742" t="str">
            <v>WRIGHT</v>
          </cell>
          <cell r="L4742" t="str">
            <v>Wright</v>
          </cell>
          <cell r="V4742">
            <v>170600</v>
          </cell>
        </row>
        <row r="4743">
          <cell r="B4743">
            <v>1975</v>
          </cell>
          <cell r="K4743" t="str">
            <v>ALLAMAKEE</v>
          </cell>
          <cell r="L4743" t="str">
            <v>Allamakee</v>
          </cell>
          <cell r="V4743">
            <v>76500</v>
          </cell>
        </row>
        <row r="4744">
          <cell r="B4744">
            <v>1975</v>
          </cell>
          <cell r="K4744" t="str">
            <v>BLACK HAWK</v>
          </cell>
          <cell r="L4744" t="str">
            <v>Black Hawk</v>
          </cell>
          <cell r="V4744">
            <v>151100</v>
          </cell>
        </row>
        <row r="4745">
          <cell r="B4745">
            <v>1975</v>
          </cell>
          <cell r="K4745" t="str">
            <v>BREMER</v>
          </cell>
          <cell r="L4745" t="str">
            <v>Bremer</v>
          </cell>
          <cell r="V4745">
            <v>116300</v>
          </cell>
        </row>
        <row r="4746">
          <cell r="B4746">
            <v>1975</v>
          </cell>
          <cell r="K4746" t="str">
            <v>BUCHANAN</v>
          </cell>
          <cell r="L4746" t="str">
            <v>Buchanan</v>
          </cell>
          <cell r="V4746">
            <v>161300</v>
          </cell>
        </row>
        <row r="4747">
          <cell r="B4747">
            <v>1975</v>
          </cell>
          <cell r="K4747" t="str">
            <v>CHICKASAW</v>
          </cell>
          <cell r="L4747" t="str">
            <v>Chickasaw</v>
          </cell>
          <cell r="V4747">
            <v>123100</v>
          </cell>
        </row>
        <row r="4748">
          <cell r="B4748">
            <v>1975</v>
          </cell>
          <cell r="K4748" t="str">
            <v>CLAYTON</v>
          </cell>
          <cell r="L4748" t="str">
            <v>Clayton</v>
          </cell>
          <cell r="V4748">
            <v>136000</v>
          </cell>
        </row>
        <row r="4749">
          <cell r="B4749">
            <v>1975</v>
          </cell>
          <cell r="K4749" t="str">
            <v>DELAWARE</v>
          </cell>
          <cell r="L4749" t="str">
            <v>Delaware</v>
          </cell>
          <cell r="V4749">
            <v>160100</v>
          </cell>
        </row>
        <row r="4750">
          <cell r="B4750">
            <v>1975</v>
          </cell>
          <cell r="K4750" t="str">
            <v>DUBUQUE</v>
          </cell>
          <cell r="L4750" t="str">
            <v>Dubuque</v>
          </cell>
          <cell r="V4750">
            <v>117100</v>
          </cell>
        </row>
        <row r="4751">
          <cell r="B4751">
            <v>1975</v>
          </cell>
          <cell r="K4751" t="str">
            <v>FAYETTE</v>
          </cell>
          <cell r="L4751" t="str">
            <v>Fayette</v>
          </cell>
          <cell r="V4751">
            <v>174400</v>
          </cell>
        </row>
        <row r="4752">
          <cell r="B4752">
            <v>1975</v>
          </cell>
          <cell r="K4752" t="str">
            <v>HOWARD</v>
          </cell>
          <cell r="L4752" t="str">
            <v>Howard</v>
          </cell>
          <cell r="V4752">
            <v>102500</v>
          </cell>
        </row>
        <row r="4753">
          <cell r="B4753">
            <v>1975</v>
          </cell>
          <cell r="K4753" t="str">
            <v>WINNESHIEK</v>
          </cell>
          <cell r="L4753" t="str">
            <v>Winneshiek</v>
          </cell>
          <cell r="V4753">
            <v>134600</v>
          </cell>
        </row>
        <row r="4754">
          <cell r="B4754">
            <v>1975</v>
          </cell>
          <cell r="K4754" t="str">
            <v>BUENA VISTA</v>
          </cell>
          <cell r="L4754" t="str">
            <v>Buena Vista</v>
          </cell>
          <cell r="V4754">
            <v>168200</v>
          </cell>
        </row>
        <row r="4755">
          <cell r="B4755">
            <v>1975</v>
          </cell>
          <cell r="K4755" t="str">
            <v>CHEROKEE</v>
          </cell>
          <cell r="L4755" t="str">
            <v>Cherokee</v>
          </cell>
          <cell r="V4755">
            <v>165100</v>
          </cell>
        </row>
        <row r="4756">
          <cell r="B4756">
            <v>1975</v>
          </cell>
          <cell r="K4756" t="str">
            <v>CLAY</v>
          </cell>
          <cell r="L4756" t="str">
            <v>Clay</v>
          </cell>
          <cell r="V4756">
            <v>149900</v>
          </cell>
        </row>
        <row r="4757">
          <cell r="B4757">
            <v>1975</v>
          </cell>
          <cell r="K4757" t="str">
            <v>DICKINSON</v>
          </cell>
          <cell r="L4757" t="str">
            <v>Dickinson</v>
          </cell>
          <cell r="V4757">
            <v>103700</v>
          </cell>
        </row>
        <row r="4758">
          <cell r="B4758">
            <v>1975</v>
          </cell>
          <cell r="K4758" t="str">
            <v>EMMET</v>
          </cell>
          <cell r="L4758" t="str">
            <v>Emmet</v>
          </cell>
          <cell r="V4758">
            <v>110800</v>
          </cell>
        </row>
        <row r="4759">
          <cell r="B4759">
            <v>1975</v>
          </cell>
          <cell r="K4759" t="str">
            <v>LYON</v>
          </cell>
          <cell r="L4759" t="str">
            <v>Lyon</v>
          </cell>
          <cell r="V4759">
            <v>175500</v>
          </cell>
        </row>
        <row r="4760">
          <cell r="B4760">
            <v>1975</v>
          </cell>
          <cell r="K4760" t="str">
            <v>O BRIEN</v>
          </cell>
          <cell r="L4760" t="str">
            <v>O Brien</v>
          </cell>
          <cell r="V4760">
            <v>167600</v>
          </cell>
        </row>
        <row r="4761">
          <cell r="B4761">
            <v>1975</v>
          </cell>
          <cell r="K4761" t="str">
            <v>OSCEOLA</v>
          </cell>
          <cell r="L4761" t="str">
            <v>Osceola</v>
          </cell>
          <cell r="V4761">
            <v>113500</v>
          </cell>
        </row>
        <row r="4762">
          <cell r="B4762">
            <v>1975</v>
          </cell>
          <cell r="K4762" t="str">
            <v>PALO ALTO</v>
          </cell>
          <cell r="L4762" t="str">
            <v>Palo Alto</v>
          </cell>
          <cell r="V4762">
            <v>160900</v>
          </cell>
        </row>
        <row r="4763">
          <cell r="B4763">
            <v>1975</v>
          </cell>
          <cell r="K4763" t="str">
            <v>PLYMOUTH</v>
          </cell>
          <cell r="L4763" t="str">
            <v>Plymouth</v>
          </cell>
          <cell r="V4763">
            <v>260700</v>
          </cell>
        </row>
        <row r="4764">
          <cell r="B4764">
            <v>1975</v>
          </cell>
          <cell r="K4764" t="str">
            <v>POCAHONTAS</v>
          </cell>
          <cell r="L4764" t="str">
            <v>Pocahontas</v>
          </cell>
          <cell r="V4764">
            <v>161500</v>
          </cell>
        </row>
        <row r="4765">
          <cell r="B4765">
            <v>1975</v>
          </cell>
          <cell r="K4765" t="str">
            <v>SIOUX</v>
          </cell>
          <cell r="L4765" t="str">
            <v>Sioux</v>
          </cell>
          <cell r="V4765">
            <v>277600</v>
          </cell>
        </row>
        <row r="4766">
          <cell r="B4766">
            <v>1975</v>
          </cell>
          <cell r="K4766" t="str">
            <v>APPANOOSE</v>
          </cell>
          <cell r="L4766" t="str">
            <v>Appanoose</v>
          </cell>
          <cell r="V4766">
            <v>41900</v>
          </cell>
        </row>
        <row r="4767">
          <cell r="B4767">
            <v>1975</v>
          </cell>
          <cell r="K4767" t="str">
            <v>CLARKE</v>
          </cell>
          <cell r="L4767" t="str">
            <v>Clarke</v>
          </cell>
          <cell r="V4767">
            <v>32600</v>
          </cell>
        </row>
        <row r="4768">
          <cell r="B4768">
            <v>1975</v>
          </cell>
          <cell r="K4768" t="str">
            <v>DECATUR</v>
          </cell>
          <cell r="L4768" t="str">
            <v>Decatur</v>
          </cell>
          <cell r="V4768">
            <v>49100</v>
          </cell>
        </row>
        <row r="4769">
          <cell r="B4769">
            <v>1975</v>
          </cell>
          <cell r="K4769" t="str">
            <v>LUCAS</v>
          </cell>
          <cell r="L4769" t="str">
            <v>Lucas</v>
          </cell>
          <cell r="V4769">
            <v>43300</v>
          </cell>
        </row>
        <row r="4770">
          <cell r="B4770">
            <v>1975</v>
          </cell>
          <cell r="K4770" t="str">
            <v>MADISON</v>
          </cell>
          <cell r="L4770" t="str">
            <v>Madison</v>
          </cell>
          <cell r="V4770">
            <v>85200</v>
          </cell>
        </row>
        <row r="4771">
          <cell r="B4771">
            <v>1975</v>
          </cell>
          <cell r="K4771" t="str">
            <v>MARION</v>
          </cell>
          <cell r="L4771" t="str">
            <v>Marion</v>
          </cell>
          <cell r="V4771">
            <v>90800</v>
          </cell>
        </row>
        <row r="4772">
          <cell r="B4772">
            <v>1975</v>
          </cell>
          <cell r="K4772" t="str">
            <v>MONROE</v>
          </cell>
          <cell r="L4772" t="str">
            <v>Monroe</v>
          </cell>
          <cell r="V4772">
            <v>41700</v>
          </cell>
        </row>
        <row r="4773">
          <cell r="B4773">
            <v>1975</v>
          </cell>
          <cell r="K4773" t="str">
            <v>RINGGOLD</v>
          </cell>
          <cell r="L4773" t="str">
            <v>Ringgold</v>
          </cell>
          <cell r="V4773">
            <v>64500</v>
          </cell>
        </row>
        <row r="4774">
          <cell r="B4774">
            <v>1975</v>
          </cell>
          <cell r="K4774" t="str">
            <v>UNION</v>
          </cell>
          <cell r="L4774" t="str">
            <v>Union</v>
          </cell>
          <cell r="V4774">
            <v>52700</v>
          </cell>
        </row>
        <row r="4775">
          <cell r="B4775">
            <v>1975</v>
          </cell>
          <cell r="K4775" t="str">
            <v>WARREN</v>
          </cell>
          <cell r="L4775" t="str">
            <v>Warren</v>
          </cell>
          <cell r="V4775">
            <v>89100</v>
          </cell>
        </row>
        <row r="4776">
          <cell r="B4776">
            <v>1975</v>
          </cell>
          <cell r="K4776" t="str">
            <v>WAYNE</v>
          </cell>
          <cell r="L4776" t="str">
            <v>Wayne</v>
          </cell>
          <cell r="V4776">
            <v>62100</v>
          </cell>
        </row>
        <row r="4777">
          <cell r="B4777">
            <v>1975</v>
          </cell>
          <cell r="K4777" t="str">
            <v>DAVIS</v>
          </cell>
          <cell r="L4777" t="str">
            <v>Davis</v>
          </cell>
          <cell r="V4777">
            <v>61500</v>
          </cell>
        </row>
        <row r="4778">
          <cell r="B4778">
            <v>1975</v>
          </cell>
          <cell r="K4778" t="str">
            <v>DES MOINES</v>
          </cell>
          <cell r="L4778" t="str">
            <v>Des Moines</v>
          </cell>
          <cell r="V4778">
            <v>100100</v>
          </cell>
        </row>
        <row r="4779">
          <cell r="B4779">
            <v>1975</v>
          </cell>
          <cell r="K4779" t="str">
            <v>HENRY</v>
          </cell>
          <cell r="L4779" t="str">
            <v>Henry</v>
          </cell>
          <cell r="V4779">
            <v>99400</v>
          </cell>
        </row>
        <row r="4780">
          <cell r="B4780">
            <v>1975</v>
          </cell>
          <cell r="K4780" t="str">
            <v>JEFFERSON</v>
          </cell>
          <cell r="L4780" t="str">
            <v>Jefferson</v>
          </cell>
          <cell r="V4780">
            <v>76600</v>
          </cell>
        </row>
        <row r="4781">
          <cell r="B4781">
            <v>1975</v>
          </cell>
          <cell r="K4781" t="str">
            <v>KEOKUK</v>
          </cell>
          <cell r="L4781" t="str">
            <v>Keokuk</v>
          </cell>
          <cell r="V4781">
            <v>127400</v>
          </cell>
        </row>
        <row r="4782">
          <cell r="B4782">
            <v>1975</v>
          </cell>
          <cell r="K4782" t="str">
            <v>LEE</v>
          </cell>
          <cell r="L4782" t="str">
            <v>Lee</v>
          </cell>
          <cell r="V4782">
            <v>102800</v>
          </cell>
        </row>
        <row r="4783">
          <cell r="B4783">
            <v>1975</v>
          </cell>
          <cell r="K4783" t="str">
            <v>LOUISA</v>
          </cell>
          <cell r="L4783" t="str">
            <v>Louisa</v>
          </cell>
          <cell r="V4783">
            <v>86100</v>
          </cell>
        </row>
        <row r="4784">
          <cell r="B4784">
            <v>1975</v>
          </cell>
          <cell r="K4784" t="str">
            <v>MAHASKA</v>
          </cell>
          <cell r="L4784" t="str">
            <v>Mahaska</v>
          </cell>
          <cell r="V4784">
            <v>136600</v>
          </cell>
        </row>
        <row r="4785">
          <cell r="B4785">
            <v>1975</v>
          </cell>
          <cell r="K4785" t="str">
            <v>VAN BUREN</v>
          </cell>
          <cell r="L4785" t="str">
            <v>Van Buren</v>
          </cell>
          <cell r="V4785">
            <v>59600</v>
          </cell>
        </row>
        <row r="4786">
          <cell r="B4786">
            <v>1975</v>
          </cell>
          <cell r="K4786" t="str">
            <v>WAPELLO</v>
          </cell>
          <cell r="L4786" t="str">
            <v>Wapello</v>
          </cell>
          <cell r="V4786">
            <v>64200</v>
          </cell>
        </row>
        <row r="4787">
          <cell r="B4787">
            <v>1975</v>
          </cell>
          <cell r="K4787" t="str">
            <v>WASHINGTON</v>
          </cell>
          <cell r="L4787" t="str">
            <v>Washington</v>
          </cell>
          <cell r="V4787">
            <v>142700</v>
          </cell>
        </row>
        <row r="4788">
          <cell r="B4788">
            <v>1975</v>
          </cell>
          <cell r="K4788" t="str">
            <v>ADAIR</v>
          </cell>
          <cell r="L4788" t="str">
            <v>Adair</v>
          </cell>
          <cell r="V4788">
            <v>109400</v>
          </cell>
        </row>
        <row r="4789">
          <cell r="B4789">
            <v>1975</v>
          </cell>
          <cell r="K4789" t="str">
            <v>ADAMS</v>
          </cell>
          <cell r="L4789" t="str">
            <v>Adams</v>
          </cell>
          <cell r="V4789">
            <v>67100</v>
          </cell>
        </row>
        <row r="4790">
          <cell r="B4790">
            <v>1975</v>
          </cell>
          <cell r="K4790" t="str">
            <v>CASS</v>
          </cell>
          <cell r="L4790" t="str">
            <v>Cass</v>
          </cell>
          <cell r="V4790">
            <v>132100</v>
          </cell>
        </row>
        <row r="4791">
          <cell r="B4791">
            <v>1975</v>
          </cell>
          <cell r="K4791" t="str">
            <v>FREMONT</v>
          </cell>
          <cell r="L4791" t="str">
            <v>Fremont</v>
          </cell>
          <cell r="V4791">
            <v>119100</v>
          </cell>
        </row>
        <row r="4792">
          <cell r="B4792">
            <v>1975</v>
          </cell>
          <cell r="K4792" t="str">
            <v>MILLS</v>
          </cell>
          <cell r="L4792" t="str">
            <v>Mills</v>
          </cell>
          <cell r="V4792">
            <v>103200</v>
          </cell>
        </row>
        <row r="4793">
          <cell r="B4793">
            <v>1975</v>
          </cell>
          <cell r="K4793" t="str">
            <v>MONTGOMERY</v>
          </cell>
          <cell r="L4793" t="str">
            <v>Montgomery</v>
          </cell>
          <cell r="V4793">
            <v>94800</v>
          </cell>
        </row>
        <row r="4794">
          <cell r="B4794">
            <v>1975</v>
          </cell>
          <cell r="K4794" t="str">
            <v>PAGE</v>
          </cell>
          <cell r="L4794" t="str">
            <v>Page</v>
          </cell>
          <cell r="V4794">
            <v>107200</v>
          </cell>
        </row>
        <row r="4795">
          <cell r="B4795">
            <v>1975</v>
          </cell>
          <cell r="K4795" t="str">
            <v>POTTAWATTAMIE</v>
          </cell>
          <cell r="L4795" t="str">
            <v>Pottawattamie</v>
          </cell>
          <cell r="V4795">
            <v>237000</v>
          </cell>
        </row>
        <row r="4796">
          <cell r="B4796">
            <v>1975</v>
          </cell>
          <cell r="K4796" t="str">
            <v>TAYLOR</v>
          </cell>
          <cell r="L4796" t="str">
            <v>Taylor</v>
          </cell>
          <cell r="V4796">
            <v>73100</v>
          </cell>
        </row>
        <row r="4797">
          <cell r="B4797">
            <v>1975</v>
          </cell>
          <cell r="K4797" t="str">
            <v>AUDUBON</v>
          </cell>
          <cell r="L4797" t="str">
            <v>Audubon</v>
          </cell>
          <cell r="V4797">
            <v>119800</v>
          </cell>
        </row>
        <row r="4798">
          <cell r="B4798">
            <v>1975</v>
          </cell>
          <cell r="K4798" t="str">
            <v>CALHOUN</v>
          </cell>
          <cell r="L4798" t="str">
            <v>Calhoun</v>
          </cell>
          <cell r="V4798">
            <v>162600</v>
          </cell>
        </row>
        <row r="4799">
          <cell r="B4799">
            <v>1975</v>
          </cell>
          <cell r="K4799" t="str">
            <v>CARROLL</v>
          </cell>
          <cell r="L4799" t="str">
            <v>Carroll</v>
          </cell>
          <cell r="V4799">
            <v>178800</v>
          </cell>
        </row>
        <row r="4800">
          <cell r="B4800">
            <v>1975</v>
          </cell>
          <cell r="K4800" t="str">
            <v>CRAWFORD</v>
          </cell>
          <cell r="L4800" t="str">
            <v>Crawford</v>
          </cell>
          <cell r="V4800">
            <v>181400</v>
          </cell>
        </row>
        <row r="4801">
          <cell r="B4801">
            <v>1975</v>
          </cell>
          <cell r="K4801" t="str">
            <v>GREENE</v>
          </cell>
          <cell r="L4801" t="str">
            <v>Greene</v>
          </cell>
          <cell r="V4801">
            <v>169800</v>
          </cell>
        </row>
        <row r="4802">
          <cell r="B4802">
            <v>1975</v>
          </cell>
          <cell r="K4802" t="str">
            <v>GUTHRIE</v>
          </cell>
          <cell r="L4802" t="str">
            <v>Guthrie</v>
          </cell>
          <cell r="V4802">
            <v>109300</v>
          </cell>
        </row>
        <row r="4803">
          <cell r="B4803">
            <v>1975</v>
          </cell>
          <cell r="K4803" t="str">
            <v>HARRISON</v>
          </cell>
          <cell r="L4803" t="str">
            <v>Harrison</v>
          </cell>
          <cell r="V4803">
            <v>170500</v>
          </cell>
        </row>
        <row r="4804">
          <cell r="B4804">
            <v>1975</v>
          </cell>
          <cell r="K4804" t="str">
            <v>IDA</v>
          </cell>
          <cell r="L4804" t="str">
            <v>Ida</v>
          </cell>
          <cell r="V4804">
            <v>133200</v>
          </cell>
        </row>
        <row r="4805">
          <cell r="B4805">
            <v>1975</v>
          </cell>
          <cell r="K4805" t="str">
            <v>MONONA</v>
          </cell>
          <cell r="L4805" t="str">
            <v>Monona</v>
          </cell>
          <cell r="V4805">
            <v>174600</v>
          </cell>
        </row>
        <row r="4806">
          <cell r="B4806">
            <v>1975</v>
          </cell>
          <cell r="K4806" t="str">
            <v>SAC</v>
          </cell>
          <cell r="L4806" t="str">
            <v>Sac</v>
          </cell>
          <cell r="V4806">
            <v>178200</v>
          </cell>
        </row>
        <row r="4807">
          <cell r="B4807">
            <v>1975</v>
          </cell>
          <cell r="K4807" t="str">
            <v>SHELBY</v>
          </cell>
          <cell r="L4807" t="str">
            <v>Shelby</v>
          </cell>
          <cell r="V4807">
            <v>181500</v>
          </cell>
        </row>
        <row r="4808">
          <cell r="B4808">
            <v>1975</v>
          </cell>
          <cell r="K4808" t="str">
            <v>WOODBURY</v>
          </cell>
          <cell r="L4808" t="str">
            <v>Woodbury</v>
          </cell>
          <cell r="V4808">
            <v>251300</v>
          </cell>
        </row>
        <row r="4809">
          <cell r="B4809">
            <v>1974</v>
          </cell>
          <cell r="K4809" t="str">
            <v>BOONE</v>
          </cell>
          <cell r="L4809" t="str">
            <v>Boone</v>
          </cell>
          <cell r="V4809">
            <v>152900</v>
          </cell>
        </row>
        <row r="4810">
          <cell r="B4810">
            <v>1974</v>
          </cell>
          <cell r="K4810" t="str">
            <v>DALLAS</v>
          </cell>
          <cell r="L4810" t="str">
            <v>Dallas</v>
          </cell>
          <cell r="V4810">
            <v>151100</v>
          </cell>
        </row>
        <row r="4811">
          <cell r="B4811">
            <v>1974</v>
          </cell>
          <cell r="K4811" t="str">
            <v>GRUNDY</v>
          </cell>
          <cell r="L4811" t="str">
            <v>Grundy</v>
          </cell>
          <cell r="V4811">
            <v>150200</v>
          </cell>
        </row>
        <row r="4812">
          <cell r="B4812">
            <v>1974</v>
          </cell>
          <cell r="K4812" t="str">
            <v>HAMILTON</v>
          </cell>
          <cell r="L4812" t="str">
            <v>Hamilton</v>
          </cell>
          <cell r="V4812">
            <v>167700</v>
          </cell>
        </row>
        <row r="4813">
          <cell r="B4813">
            <v>1974</v>
          </cell>
          <cell r="K4813" t="str">
            <v>HARDIN</v>
          </cell>
          <cell r="L4813" t="str">
            <v>Hardin</v>
          </cell>
          <cell r="V4813">
            <v>165300</v>
          </cell>
        </row>
        <row r="4814">
          <cell r="B4814">
            <v>1974</v>
          </cell>
          <cell r="K4814" t="str">
            <v>JASPER</v>
          </cell>
          <cell r="L4814" t="str">
            <v>Jasper</v>
          </cell>
          <cell r="V4814">
            <v>168000</v>
          </cell>
        </row>
        <row r="4815">
          <cell r="B4815">
            <v>1974</v>
          </cell>
          <cell r="K4815" t="str">
            <v>MARSHALL</v>
          </cell>
          <cell r="L4815" t="str">
            <v>Marshall</v>
          </cell>
          <cell r="V4815">
            <v>160300</v>
          </cell>
        </row>
        <row r="4816">
          <cell r="B4816">
            <v>1974</v>
          </cell>
          <cell r="K4816" t="str">
            <v>POLK</v>
          </cell>
          <cell r="L4816" t="str">
            <v>Polk</v>
          </cell>
          <cell r="V4816">
            <v>115900</v>
          </cell>
        </row>
        <row r="4817">
          <cell r="B4817">
            <v>1974</v>
          </cell>
          <cell r="K4817" t="str">
            <v>POWESHIEK</v>
          </cell>
          <cell r="L4817" t="str">
            <v>Poweshiek</v>
          </cell>
          <cell r="V4817">
            <v>119400</v>
          </cell>
        </row>
        <row r="4818">
          <cell r="B4818">
            <v>1974</v>
          </cell>
          <cell r="K4818" t="str">
            <v>STORY</v>
          </cell>
          <cell r="L4818" t="str">
            <v>Story</v>
          </cell>
          <cell r="V4818">
            <v>162200</v>
          </cell>
        </row>
        <row r="4819">
          <cell r="B4819">
            <v>1974</v>
          </cell>
          <cell r="K4819" t="str">
            <v>TAMA</v>
          </cell>
          <cell r="L4819" t="str">
            <v>Tama</v>
          </cell>
          <cell r="V4819">
            <v>169500</v>
          </cell>
        </row>
        <row r="4820">
          <cell r="B4820">
            <v>1974</v>
          </cell>
          <cell r="K4820" t="str">
            <v>WEBSTER</v>
          </cell>
          <cell r="L4820" t="str">
            <v>Webster</v>
          </cell>
          <cell r="V4820">
            <v>187500</v>
          </cell>
        </row>
        <row r="4821">
          <cell r="B4821">
            <v>1974</v>
          </cell>
          <cell r="K4821" t="str">
            <v>BENTON</v>
          </cell>
          <cell r="L4821" t="str">
            <v>Benton</v>
          </cell>
          <cell r="V4821">
            <v>186200</v>
          </cell>
        </row>
        <row r="4822">
          <cell r="B4822">
            <v>1974</v>
          </cell>
          <cell r="K4822" t="str">
            <v>CEDAR</v>
          </cell>
          <cell r="L4822" t="str">
            <v>Cedar</v>
          </cell>
          <cell r="V4822">
            <v>153300</v>
          </cell>
        </row>
        <row r="4823">
          <cell r="B4823">
            <v>1974</v>
          </cell>
          <cell r="K4823" t="str">
            <v>CLINTON</v>
          </cell>
          <cell r="L4823" t="str">
            <v>Clinton</v>
          </cell>
          <cell r="V4823">
            <v>189900</v>
          </cell>
        </row>
        <row r="4824">
          <cell r="B4824">
            <v>1974</v>
          </cell>
          <cell r="K4824" t="str">
            <v>IOWA</v>
          </cell>
          <cell r="L4824" t="str">
            <v>Iowa</v>
          </cell>
          <cell r="V4824">
            <v>124900</v>
          </cell>
        </row>
        <row r="4825">
          <cell r="B4825">
            <v>1974</v>
          </cell>
          <cell r="K4825" t="str">
            <v>JACKSON</v>
          </cell>
          <cell r="L4825" t="str">
            <v>Jackson</v>
          </cell>
          <cell r="V4825">
            <v>106300</v>
          </cell>
        </row>
        <row r="4826">
          <cell r="B4826">
            <v>1974</v>
          </cell>
          <cell r="K4826" t="str">
            <v>JOHNSON</v>
          </cell>
          <cell r="L4826" t="str">
            <v>Johnson</v>
          </cell>
          <cell r="V4826">
            <v>120900</v>
          </cell>
        </row>
        <row r="4827">
          <cell r="B4827">
            <v>1974</v>
          </cell>
          <cell r="K4827" t="str">
            <v>JONES</v>
          </cell>
          <cell r="L4827" t="str">
            <v>Jones</v>
          </cell>
          <cell r="V4827">
            <v>135300</v>
          </cell>
        </row>
        <row r="4828">
          <cell r="B4828">
            <v>1974</v>
          </cell>
          <cell r="K4828" t="str">
            <v>LINN</v>
          </cell>
          <cell r="L4828" t="str">
            <v>Linn</v>
          </cell>
          <cell r="V4828">
            <v>149900</v>
          </cell>
        </row>
        <row r="4829">
          <cell r="B4829">
            <v>1974</v>
          </cell>
          <cell r="K4829" t="str">
            <v>MUSCATINE</v>
          </cell>
          <cell r="L4829" t="str">
            <v>Muscatine</v>
          </cell>
          <cell r="V4829">
            <v>91800</v>
          </cell>
        </row>
        <row r="4830">
          <cell r="B4830">
            <v>1974</v>
          </cell>
          <cell r="K4830" t="str">
            <v>SCOTT</v>
          </cell>
          <cell r="L4830" t="str">
            <v>Scott</v>
          </cell>
          <cell r="V4830">
            <v>116500</v>
          </cell>
        </row>
        <row r="4831">
          <cell r="B4831">
            <v>1974</v>
          </cell>
          <cell r="K4831" t="str">
            <v>BUTLER</v>
          </cell>
          <cell r="L4831" t="str">
            <v>Butler</v>
          </cell>
          <cell r="V4831">
            <v>153300</v>
          </cell>
        </row>
        <row r="4832">
          <cell r="B4832">
            <v>1974</v>
          </cell>
          <cell r="K4832" t="str">
            <v>CERRO GORDO</v>
          </cell>
          <cell r="L4832" t="str">
            <v>Cerro Gordo</v>
          </cell>
          <cell r="V4832">
            <v>160700</v>
          </cell>
        </row>
        <row r="4833">
          <cell r="B4833">
            <v>1974</v>
          </cell>
          <cell r="K4833" t="str">
            <v>FLOYD</v>
          </cell>
          <cell r="L4833" t="str">
            <v>Floyd</v>
          </cell>
          <cell r="V4833">
            <v>131600</v>
          </cell>
        </row>
        <row r="4834">
          <cell r="B4834">
            <v>1974</v>
          </cell>
          <cell r="K4834" t="str">
            <v>FRANKLIN</v>
          </cell>
          <cell r="L4834" t="str">
            <v>Franklin</v>
          </cell>
          <cell r="V4834">
            <v>164100</v>
          </cell>
        </row>
        <row r="4835">
          <cell r="B4835">
            <v>1974</v>
          </cell>
          <cell r="K4835" t="str">
            <v>HANCOCK</v>
          </cell>
          <cell r="L4835" t="str">
            <v>Hancock</v>
          </cell>
          <cell r="V4835">
            <v>162600</v>
          </cell>
        </row>
        <row r="4836">
          <cell r="B4836">
            <v>1974</v>
          </cell>
          <cell r="K4836" t="str">
            <v>HUMBOLDT</v>
          </cell>
          <cell r="L4836" t="str">
            <v>Humboldt</v>
          </cell>
          <cell r="V4836">
            <v>126200</v>
          </cell>
        </row>
        <row r="4837">
          <cell r="B4837">
            <v>1974</v>
          </cell>
          <cell r="K4837" t="str">
            <v>KOSSUTH</v>
          </cell>
          <cell r="L4837" t="str">
            <v>Kossuth</v>
          </cell>
          <cell r="V4837">
            <v>279500</v>
          </cell>
        </row>
        <row r="4838">
          <cell r="B4838">
            <v>1974</v>
          </cell>
          <cell r="K4838" t="str">
            <v>MITCHELL</v>
          </cell>
          <cell r="L4838" t="str">
            <v>Mitchell</v>
          </cell>
          <cell r="V4838">
            <v>123900</v>
          </cell>
        </row>
        <row r="4839">
          <cell r="B4839">
            <v>1974</v>
          </cell>
          <cell r="K4839" t="str">
            <v>WINNEBAGO</v>
          </cell>
          <cell r="L4839" t="str">
            <v>Winnebago</v>
          </cell>
          <cell r="V4839">
            <v>110000</v>
          </cell>
        </row>
        <row r="4840">
          <cell r="B4840">
            <v>1974</v>
          </cell>
          <cell r="K4840" t="str">
            <v>WORTH</v>
          </cell>
          <cell r="L4840" t="str">
            <v>Worth</v>
          </cell>
          <cell r="V4840">
            <v>115600</v>
          </cell>
        </row>
        <row r="4841">
          <cell r="B4841">
            <v>1974</v>
          </cell>
          <cell r="K4841" t="str">
            <v>WRIGHT</v>
          </cell>
          <cell r="L4841" t="str">
            <v>Wright</v>
          </cell>
          <cell r="V4841">
            <v>169500</v>
          </cell>
        </row>
        <row r="4842">
          <cell r="B4842">
            <v>1974</v>
          </cell>
          <cell r="K4842" t="str">
            <v>ALLAMAKEE</v>
          </cell>
          <cell r="L4842" t="str">
            <v>Allamakee</v>
          </cell>
          <cell r="V4842">
            <v>82500</v>
          </cell>
        </row>
        <row r="4843">
          <cell r="B4843">
            <v>1974</v>
          </cell>
          <cell r="K4843" t="str">
            <v>BLACK HAWK</v>
          </cell>
          <cell r="L4843" t="str">
            <v>Black Hawk</v>
          </cell>
          <cell r="V4843">
            <v>147400</v>
          </cell>
        </row>
        <row r="4844">
          <cell r="B4844">
            <v>1974</v>
          </cell>
          <cell r="K4844" t="str">
            <v>BREMER</v>
          </cell>
          <cell r="L4844" t="str">
            <v>Bremer</v>
          </cell>
          <cell r="V4844">
            <v>111200</v>
          </cell>
        </row>
        <row r="4845">
          <cell r="B4845">
            <v>1974</v>
          </cell>
          <cell r="K4845" t="str">
            <v>BUCHANAN</v>
          </cell>
          <cell r="L4845" t="str">
            <v>Buchanan</v>
          </cell>
          <cell r="V4845">
            <v>150000</v>
          </cell>
        </row>
        <row r="4846">
          <cell r="B4846">
            <v>1974</v>
          </cell>
          <cell r="K4846" t="str">
            <v>CHICKASAW</v>
          </cell>
          <cell r="L4846" t="str">
            <v>Chickasaw</v>
          </cell>
          <cell r="V4846">
            <v>120200</v>
          </cell>
        </row>
        <row r="4847">
          <cell r="B4847">
            <v>1974</v>
          </cell>
          <cell r="K4847" t="str">
            <v>CLAYTON</v>
          </cell>
          <cell r="L4847" t="str">
            <v>Clayton</v>
          </cell>
          <cell r="V4847">
            <v>137200</v>
          </cell>
        </row>
        <row r="4848">
          <cell r="B4848">
            <v>1974</v>
          </cell>
          <cell r="K4848" t="str">
            <v>DELAWARE</v>
          </cell>
          <cell r="L4848" t="str">
            <v>Delaware</v>
          </cell>
          <cell r="V4848">
            <v>155500</v>
          </cell>
        </row>
        <row r="4849">
          <cell r="B4849">
            <v>1974</v>
          </cell>
          <cell r="K4849" t="str">
            <v>DUBUQUE</v>
          </cell>
          <cell r="L4849" t="str">
            <v>Dubuque</v>
          </cell>
          <cell r="V4849">
            <v>118700</v>
          </cell>
        </row>
        <row r="4850">
          <cell r="B4850">
            <v>1974</v>
          </cell>
          <cell r="K4850" t="str">
            <v>FAYETTE</v>
          </cell>
          <cell r="L4850" t="str">
            <v>Fayette</v>
          </cell>
          <cell r="V4850">
            <v>172900</v>
          </cell>
        </row>
        <row r="4851">
          <cell r="B4851">
            <v>1974</v>
          </cell>
          <cell r="K4851" t="str">
            <v>HOWARD</v>
          </cell>
          <cell r="L4851" t="str">
            <v>Howard</v>
          </cell>
          <cell r="V4851">
            <v>97100</v>
          </cell>
        </row>
        <row r="4852">
          <cell r="B4852">
            <v>1974</v>
          </cell>
          <cell r="K4852" t="str">
            <v>WINNESHIEK</v>
          </cell>
          <cell r="L4852" t="str">
            <v>Winneshiek</v>
          </cell>
          <cell r="V4852">
            <v>133300</v>
          </cell>
        </row>
        <row r="4853">
          <cell r="B4853">
            <v>1974</v>
          </cell>
          <cell r="K4853" t="str">
            <v>BUENA VISTA</v>
          </cell>
          <cell r="L4853" t="str">
            <v>Buena Vista</v>
          </cell>
          <cell r="V4853">
            <v>171200</v>
          </cell>
        </row>
        <row r="4854">
          <cell r="B4854">
            <v>1974</v>
          </cell>
          <cell r="K4854" t="str">
            <v>CHEROKEE</v>
          </cell>
          <cell r="L4854" t="str">
            <v>Cherokee</v>
          </cell>
          <cell r="V4854">
            <v>167800</v>
          </cell>
        </row>
        <row r="4855">
          <cell r="B4855">
            <v>1974</v>
          </cell>
          <cell r="K4855" t="str">
            <v>CLAY</v>
          </cell>
          <cell r="L4855" t="str">
            <v>Clay</v>
          </cell>
          <cell r="V4855">
            <v>150800</v>
          </cell>
        </row>
        <row r="4856">
          <cell r="B4856">
            <v>1974</v>
          </cell>
          <cell r="K4856" t="str">
            <v>DICKINSON</v>
          </cell>
          <cell r="L4856" t="str">
            <v>Dickinson</v>
          </cell>
          <cell r="V4856">
            <v>102000</v>
          </cell>
        </row>
        <row r="4857">
          <cell r="B4857">
            <v>1974</v>
          </cell>
          <cell r="K4857" t="str">
            <v>EMMET</v>
          </cell>
          <cell r="L4857" t="str">
            <v>Emmet</v>
          </cell>
          <cell r="V4857">
            <v>109800</v>
          </cell>
        </row>
        <row r="4858">
          <cell r="B4858">
            <v>1974</v>
          </cell>
          <cell r="K4858" t="str">
            <v>LYON</v>
          </cell>
          <cell r="L4858" t="str">
            <v>Lyon</v>
          </cell>
          <cell r="V4858">
            <v>180800</v>
          </cell>
        </row>
        <row r="4859">
          <cell r="B4859">
            <v>1974</v>
          </cell>
          <cell r="K4859" t="str">
            <v>O BRIEN</v>
          </cell>
          <cell r="L4859" t="str">
            <v>O Brien</v>
          </cell>
          <cell r="V4859">
            <v>166900</v>
          </cell>
        </row>
        <row r="4860">
          <cell r="B4860">
            <v>1974</v>
          </cell>
          <cell r="K4860" t="str">
            <v>OSCEOLA</v>
          </cell>
          <cell r="L4860" t="str">
            <v>Osceola</v>
          </cell>
          <cell r="V4860">
            <v>118400</v>
          </cell>
        </row>
        <row r="4861">
          <cell r="B4861">
            <v>1974</v>
          </cell>
          <cell r="K4861" t="str">
            <v>PALO ALTO</v>
          </cell>
          <cell r="L4861" t="str">
            <v>Palo Alto</v>
          </cell>
          <cell r="V4861">
            <v>160000</v>
          </cell>
        </row>
        <row r="4862">
          <cell r="B4862">
            <v>1974</v>
          </cell>
          <cell r="K4862" t="str">
            <v>PLYMOUTH</v>
          </cell>
          <cell r="L4862" t="str">
            <v>Plymouth</v>
          </cell>
          <cell r="V4862">
            <v>274700</v>
          </cell>
        </row>
        <row r="4863">
          <cell r="B4863">
            <v>1974</v>
          </cell>
          <cell r="K4863" t="str">
            <v>POCAHONTAS</v>
          </cell>
          <cell r="L4863" t="str">
            <v>Pocahontas</v>
          </cell>
          <cell r="V4863">
            <v>162900</v>
          </cell>
        </row>
        <row r="4864">
          <cell r="B4864">
            <v>1974</v>
          </cell>
          <cell r="K4864" t="str">
            <v>SIOUX</v>
          </cell>
          <cell r="L4864" t="str">
            <v>Sioux</v>
          </cell>
          <cell r="V4864">
            <v>286700</v>
          </cell>
        </row>
        <row r="4865">
          <cell r="B4865">
            <v>1974</v>
          </cell>
          <cell r="K4865" t="str">
            <v>APPANOOSE</v>
          </cell>
          <cell r="L4865" t="str">
            <v>Appanoose</v>
          </cell>
          <cell r="V4865">
            <v>39000</v>
          </cell>
        </row>
        <row r="4866">
          <cell r="B4866">
            <v>1974</v>
          </cell>
          <cell r="K4866" t="str">
            <v>CLARKE</v>
          </cell>
          <cell r="L4866" t="str">
            <v>Clarke</v>
          </cell>
          <cell r="V4866">
            <v>41500</v>
          </cell>
        </row>
        <row r="4867">
          <cell r="B4867">
            <v>1974</v>
          </cell>
          <cell r="K4867" t="str">
            <v>DECATUR</v>
          </cell>
          <cell r="L4867" t="str">
            <v>Decatur</v>
          </cell>
          <cell r="V4867">
            <v>48600</v>
          </cell>
        </row>
        <row r="4868">
          <cell r="B4868">
            <v>1974</v>
          </cell>
          <cell r="K4868" t="str">
            <v>LUCAS</v>
          </cell>
          <cell r="L4868" t="str">
            <v>Lucas</v>
          </cell>
          <cell r="V4868">
            <v>43900</v>
          </cell>
        </row>
        <row r="4869">
          <cell r="B4869">
            <v>1974</v>
          </cell>
          <cell r="K4869" t="str">
            <v>MADISON</v>
          </cell>
          <cell r="L4869" t="str">
            <v>Madison</v>
          </cell>
          <cell r="V4869">
            <v>85000</v>
          </cell>
        </row>
        <row r="4870">
          <cell r="B4870">
            <v>1974</v>
          </cell>
          <cell r="K4870" t="str">
            <v>MARION</v>
          </cell>
          <cell r="L4870" t="str">
            <v>Marion</v>
          </cell>
          <cell r="V4870">
            <v>84800</v>
          </cell>
        </row>
        <row r="4871">
          <cell r="B4871">
            <v>1974</v>
          </cell>
          <cell r="K4871" t="str">
            <v>MONROE</v>
          </cell>
          <cell r="L4871" t="str">
            <v>Monroe</v>
          </cell>
          <cell r="V4871">
            <v>39500</v>
          </cell>
        </row>
        <row r="4872">
          <cell r="B4872">
            <v>1974</v>
          </cell>
          <cell r="K4872" t="str">
            <v>RINGGOLD</v>
          </cell>
          <cell r="L4872" t="str">
            <v>Ringgold</v>
          </cell>
          <cell r="V4872">
            <v>64000</v>
          </cell>
        </row>
        <row r="4873">
          <cell r="B4873">
            <v>1974</v>
          </cell>
          <cell r="K4873" t="str">
            <v>UNION</v>
          </cell>
          <cell r="L4873" t="str">
            <v>Union</v>
          </cell>
          <cell r="V4873">
            <v>54500</v>
          </cell>
        </row>
        <row r="4874">
          <cell r="B4874">
            <v>1974</v>
          </cell>
          <cell r="K4874" t="str">
            <v>WARREN</v>
          </cell>
          <cell r="L4874" t="str">
            <v>Warren</v>
          </cell>
          <cell r="V4874">
            <v>81900</v>
          </cell>
        </row>
        <row r="4875">
          <cell r="B4875">
            <v>1974</v>
          </cell>
          <cell r="K4875" t="str">
            <v>WAYNE</v>
          </cell>
          <cell r="L4875" t="str">
            <v>Wayne</v>
          </cell>
          <cell r="V4875">
            <v>56300</v>
          </cell>
        </row>
        <row r="4876">
          <cell r="B4876">
            <v>1974</v>
          </cell>
          <cell r="K4876" t="str">
            <v>DAVIS</v>
          </cell>
          <cell r="L4876" t="str">
            <v>Davis</v>
          </cell>
          <cell r="V4876">
            <v>51400</v>
          </cell>
        </row>
        <row r="4877">
          <cell r="B4877">
            <v>1974</v>
          </cell>
          <cell r="K4877" t="str">
            <v>DES MOINES</v>
          </cell>
          <cell r="L4877" t="str">
            <v>Des Moines</v>
          </cell>
          <cell r="V4877">
            <v>87300</v>
          </cell>
        </row>
        <row r="4878">
          <cell r="B4878">
            <v>1974</v>
          </cell>
          <cell r="K4878" t="str">
            <v>HENRY</v>
          </cell>
          <cell r="L4878" t="str">
            <v>Henry</v>
          </cell>
          <cell r="V4878">
            <v>95500</v>
          </cell>
        </row>
        <row r="4879">
          <cell r="B4879">
            <v>1974</v>
          </cell>
          <cell r="K4879" t="str">
            <v>JEFFERSON</v>
          </cell>
          <cell r="L4879" t="str">
            <v>Jefferson</v>
          </cell>
          <cell r="V4879">
            <v>70300</v>
          </cell>
        </row>
        <row r="4880">
          <cell r="B4880">
            <v>1974</v>
          </cell>
          <cell r="K4880" t="str">
            <v>KEOKUK</v>
          </cell>
          <cell r="L4880" t="str">
            <v>Keokuk</v>
          </cell>
          <cell r="V4880">
            <v>117800</v>
          </cell>
        </row>
        <row r="4881">
          <cell r="B4881">
            <v>1974</v>
          </cell>
          <cell r="K4881" t="str">
            <v>LEE</v>
          </cell>
          <cell r="L4881" t="str">
            <v>Lee</v>
          </cell>
          <cell r="V4881">
            <v>93700</v>
          </cell>
        </row>
        <row r="4882">
          <cell r="B4882">
            <v>1974</v>
          </cell>
          <cell r="K4882" t="str">
            <v>LOUISA</v>
          </cell>
          <cell r="L4882" t="str">
            <v>Louisa</v>
          </cell>
          <cell r="V4882">
            <v>82200</v>
          </cell>
        </row>
        <row r="4883">
          <cell r="B4883">
            <v>1974</v>
          </cell>
          <cell r="K4883" t="str">
            <v>MAHASKA</v>
          </cell>
          <cell r="L4883" t="str">
            <v>Mahaska</v>
          </cell>
          <cell r="V4883">
            <v>125400</v>
          </cell>
        </row>
        <row r="4884">
          <cell r="B4884">
            <v>1974</v>
          </cell>
          <cell r="K4884" t="str">
            <v>VAN BUREN</v>
          </cell>
          <cell r="L4884" t="str">
            <v>Van Buren</v>
          </cell>
          <cell r="V4884">
            <v>52100</v>
          </cell>
        </row>
        <row r="4885">
          <cell r="B4885">
            <v>1974</v>
          </cell>
          <cell r="K4885" t="str">
            <v>WAPELLO</v>
          </cell>
          <cell r="L4885" t="str">
            <v>Wapello</v>
          </cell>
          <cell r="V4885">
            <v>57900</v>
          </cell>
        </row>
        <row r="4886">
          <cell r="B4886">
            <v>1974</v>
          </cell>
          <cell r="K4886" t="str">
            <v>WASHINGTON</v>
          </cell>
          <cell r="L4886" t="str">
            <v>Washington</v>
          </cell>
          <cell r="V4886">
            <v>131400</v>
          </cell>
        </row>
        <row r="4887">
          <cell r="B4887">
            <v>1974</v>
          </cell>
          <cell r="K4887" t="str">
            <v>ADAIR</v>
          </cell>
          <cell r="L4887" t="str">
            <v>Adair</v>
          </cell>
          <cell r="V4887">
            <v>104500</v>
          </cell>
        </row>
        <row r="4888">
          <cell r="B4888">
            <v>1974</v>
          </cell>
          <cell r="K4888" t="str">
            <v>ADAMS</v>
          </cell>
          <cell r="L4888" t="str">
            <v>Adams</v>
          </cell>
          <cell r="V4888">
            <v>67800</v>
          </cell>
        </row>
        <row r="4889">
          <cell r="B4889">
            <v>1974</v>
          </cell>
          <cell r="K4889" t="str">
            <v>CASS</v>
          </cell>
          <cell r="L4889" t="str">
            <v>Cass</v>
          </cell>
          <cell r="V4889">
            <v>141500</v>
          </cell>
        </row>
        <row r="4890">
          <cell r="B4890">
            <v>1974</v>
          </cell>
          <cell r="K4890" t="str">
            <v>FREMONT</v>
          </cell>
          <cell r="L4890" t="str">
            <v>Fremont</v>
          </cell>
          <cell r="V4890">
            <v>126800</v>
          </cell>
        </row>
        <row r="4891">
          <cell r="B4891">
            <v>1974</v>
          </cell>
          <cell r="K4891" t="str">
            <v>MILLS</v>
          </cell>
          <cell r="L4891" t="str">
            <v>Mills</v>
          </cell>
          <cell r="V4891">
            <v>109200</v>
          </cell>
        </row>
        <row r="4892">
          <cell r="B4892">
            <v>1974</v>
          </cell>
          <cell r="K4892" t="str">
            <v>MONTGOMERY</v>
          </cell>
          <cell r="L4892" t="str">
            <v>Montgomery</v>
          </cell>
          <cell r="V4892">
            <v>102100</v>
          </cell>
        </row>
        <row r="4893">
          <cell r="B4893">
            <v>1974</v>
          </cell>
          <cell r="K4893" t="str">
            <v>PAGE</v>
          </cell>
          <cell r="L4893" t="str">
            <v>Page</v>
          </cell>
          <cell r="V4893">
            <v>112900</v>
          </cell>
        </row>
        <row r="4894">
          <cell r="B4894">
            <v>1974</v>
          </cell>
          <cell r="K4894" t="str">
            <v>POTTAWATTAMIE</v>
          </cell>
          <cell r="L4894" t="str">
            <v>Pottawattamie</v>
          </cell>
          <cell r="V4894">
            <v>279700</v>
          </cell>
        </row>
        <row r="4895">
          <cell r="B4895">
            <v>1974</v>
          </cell>
          <cell r="K4895" t="str">
            <v>TAYLOR</v>
          </cell>
          <cell r="L4895" t="str">
            <v>Taylor</v>
          </cell>
          <cell r="V4895">
            <v>76500</v>
          </cell>
        </row>
        <row r="4896">
          <cell r="B4896">
            <v>1974</v>
          </cell>
          <cell r="K4896" t="str">
            <v>AUDUBON</v>
          </cell>
          <cell r="L4896" t="str">
            <v>Audubon</v>
          </cell>
          <cell r="V4896">
            <v>121400</v>
          </cell>
        </row>
        <row r="4897">
          <cell r="B4897">
            <v>1974</v>
          </cell>
          <cell r="K4897" t="str">
            <v>CALHOUN</v>
          </cell>
          <cell r="L4897" t="str">
            <v>Calhoun</v>
          </cell>
          <cell r="V4897">
            <v>160600</v>
          </cell>
        </row>
        <row r="4898">
          <cell r="B4898">
            <v>1974</v>
          </cell>
          <cell r="K4898" t="str">
            <v>CARROLL</v>
          </cell>
          <cell r="L4898" t="str">
            <v>Carroll</v>
          </cell>
          <cell r="V4898">
            <v>180600</v>
          </cell>
        </row>
        <row r="4899">
          <cell r="B4899">
            <v>1974</v>
          </cell>
          <cell r="K4899" t="str">
            <v>CRAWFORD</v>
          </cell>
          <cell r="L4899" t="str">
            <v>Crawford</v>
          </cell>
          <cell r="V4899">
            <v>191500</v>
          </cell>
        </row>
        <row r="4900">
          <cell r="B4900">
            <v>1974</v>
          </cell>
          <cell r="K4900" t="str">
            <v>GREENE</v>
          </cell>
          <cell r="L4900" t="str">
            <v>Greene</v>
          </cell>
          <cell r="V4900">
            <v>166000</v>
          </cell>
        </row>
        <row r="4901">
          <cell r="B4901">
            <v>1974</v>
          </cell>
          <cell r="K4901" t="str">
            <v>GUTHRIE</v>
          </cell>
          <cell r="L4901" t="str">
            <v>Guthrie</v>
          </cell>
          <cell r="V4901">
            <v>108300</v>
          </cell>
        </row>
        <row r="4902">
          <cell r="B4902">
            <v>1974</v>
          </cell>
          <cell r="K4902" t="str">
            <v>HARRISON</v>
          </cell>
          <cell r="L4902" t="str">
            <v>Harrison</v>
          </cell>
          <cell r="V4902">
            <v>184900</v>
          </cell>
        </row>
        <row r="4903">
          <cell r="B4903">
            <v>1974</v>
          </cell>
          <cell r="K4903" t="str">
            <v>IDA</v>
          </cell>
          <cell r="L4903" t="str">
            <v>Ida</v>
          </cell>
          <cell r="V4903">
            <v>133600</v>
          </cell>
        </row>
        <row r="4904">
          <cell r="B4904">
            <v>1974</v>
          </cell>
          <cell r="K4904" t="str">
            <v>MONONA</v>
          </cell>
          <cell r="L4904" t="str">
            <v>Monona</v>
          </cell>
          <cell r="V4904">
            <v>185600</v>
          </cell>
        </row>
        <row r="4905">
          <cell r="B4905">
            <v>1974</v>
          </cell>
          <cell r="K4905" t="str">
            <v>SAC</v>
          </cell>
          <cell r="L4905" t="str">
            <v>Sac</v>
          </cell>
          <cell r="V4905">
            <v>177500</v>
          </cell>
        </row>
        <row r="4906">
          <cell r="B4906">
            <v>1974</v>
          </cell>
          <cell r="K4906" t="str">
            <v>SHELBY</v>
          </cell>
          <cell r="L4906" t="str">
            <v>Shelby</v>
          </cell>
          <cell r="V4906">
            <v>185300</v>
          </cell>
        </row>
        <row r="4907">
          <cell r="B4907">
            <v>1974</v>
          </cell>
          <cell r="K4907" t="str">
            <v>WOODBURY</v>
          </cell>
          <cell r="L4907" t="str">
            <v>Woodbury</v>
          </cell>
          <cell r="V4907">
            <v>259700</v>
          </cell>
        </row>
        <row r="4908">
          <cell r="B4908">
            <v>1973</v>
          </cell>
          <cell r="K4908" t="str">
            <v>BOONE</v>
          </cell>
          <cell r="L4908" t="str">
            <v>Boone</v>
          </cell>
          <cell r="V4908">
            <v>136700</v>
          </cell>
        </row>
        <row r="4909">
          <cell r="B4909">
            <v>1973</v>
          </cell>
          <cell r="K4909" t="str">
            <v>DALLAS</v>
          </cell>
          <cell r="L4909" t="str">
            <v>Dallas</v>
          </cell>
          <cell r="V4909">
            <v>138600</v>
          </cell>
        </row>
        <row r="4910">
          <cell r="B4910">
            <v>1973</v>
          </cell>
          <cell r="K4910" t="str">
            <v>GRUNDY</v>
          </cell>
          <cell r="L4910" t="str">
            <v>Grundy</v>
          </cell>
          <cell r="V4910">
            <v>135800</v>
          </cell>
        </row>
        <row r="4911">
          <cell r="B4911">
            <v>1973</v>
          </cell>
          <cell r="K4911" t="str">
            <v>HAMILTON</v>
          </cell>
          <cell r="L4911" t="str">
            <v>Hamilton</v>
          </cell>
          <cell r="V4911">
            <v>149800</v>
          </cell>
        </row>
        <row r="4912">
          <cell r="B4912">
            <v>1973</v>
          </cell>
          <cell r="K4912" t="str">
            <v>HARDIN</v>
          </cell>
          <cell r="L4912" t="str">
            <v>Hardin</v>
          </cell>
          <cell r="V4912">
            <v>143500</v>
          </cell>
        </row>
        <row r="4913">
          <cell r="B4913">
            <v>1973</v>
          </cell>
          <cell r="K4913" t="str">
            <v>JASPER</v>
          </cell>
          <cell r="L4913" t="str">
            <v>Jasper</v>
          </cell>
          <cell r="V4913">
            <v>152800</v>
          </cell>
        </row>
        <row r="4914">
          <cell r="B4914">
            <v>1973</v>
          </cell>
          <cell r="K4914" t="str">
            <v>MARSHALL</v>
          </cell>
          <cell r="L4914" t="str">
            <v>Marshall</v>
          </cell>
          <cell r="V4914">
            <v>139900</v>
          </cell>
        </row>
        <row r="4915">
          <cell r="B4915">
            <v>1973</v>
          </cell>
          <cell r="K4915" t="str">
            <v>POLK</v>
          </cell>
          <cell r="L4915" t="str">
            <v>Polk</v>
          </cell>
          <cell r="V4915">
            <v>104800</v>
          </cell>
        </row>
        <row r="4916">
          <cell r="B4916">
            <v>1973</v>
          </cell>
          <cell r="K4916" t="str">
            <v>POWESHIEK</v>
          </cell>
          <cell r="L4916" t="str">
            <v>Poweshiek</v>
          </cell>
          <cell r="V4916">
            <v>107600</v>
          </cell>
        </row>
        <row r="4917">
          <cell r="B4917">
            <v>1973</v>
          </cell>
          <cell r="K4917" t="str">
            <v>STORY</v>
          </cell>
          <cell r="L4917" t="str">
            <v>Story</v>
          </cell>
          <cell r="V4917">
            <v>143600</v>
          </cell>
        </row>
        <row r="4918">
          <cell r="B4918">
            <v>1973</v>
          </cell>
          <cell r="K4918" t="str">
            <v>TAMA</v>
          </cell>
          <cell r="L4918" t="str">
            <v>Tama</v>
          </cell>
          <cell r="V4918">
            <v>149400</v>
          </cell>
        </row>
        <row r="4919">
          <cell r="B4919">
            <v>1973</v>
          </cell>
          <cell r="K4919" t="str">
            <v>WEBSTER</v>
          </cell>
          <cell r="L4919" t="str">
            <v>Webster</v>
          </cell>
          <cell r="V4919">
            <v>161600</v>
          </cell>
        </row>
        <row r="4920">
          <cell r="B4920">
            <v>1973</v>
          </cell>
          <cell r="K4920" t="str">
            <v>BENTON</v>
          </cell>
          <cell r="L4920" t="str">
            <v>Benton</v>
          </cell>
          <cell r="V4920">
            <v>166600</v>
          </cell>
        </row>
        <row r="4921">
          <cell r="B4921">
            <v>1973</v>
          </cell>
          <cell r="K4921" t="str">
            <v>CEDAR</v>
          </cell>
          <cell r="L4921" t="str">
            <v>Cedar</v>
          </cell>
          <cell r="V4921">
            <v>133000</v>
          </cell>
        </row>
        <row r="4922">
          <cell r="B4922">
            <v>1973</v>
          </cell>
          <cell r="K4922" t="str">
            <v>CLINTON</v>
          </cell>
          <cell r="L4922" t="str">
            <v>Clinton</v>
          </cell>
          <cell r="V4922">
            <v>174800</v>
          </cell>
        </row>
        <row r="4923">
          <cell r="B4923">
            <v>1973</v>
          </cell>
          <cell r="K4923" t="str">
            <v>IOWA</v>
          </cell>
          <cell r="L4923" t="str">
            <v>Iowa</v>
          </cell>
          <cell r="V4923">
            <v>111000</v>
          </cell>
        </row>
        <row r="4924">
          <cell r="B4924">
            <v>1973</v>
          </cell>
          <cell r="K4924" t="str">
            <v>JACKSON</v>
          </cell>
          <cell r="L4924" t="str">
            <v>Jackson</v>
          </cell>
          <cell r="V4924">
            <v>99700</v>
          </cell>
        </row>
        <row r="4925">
          <cell r="B4925">
            <v>1973</v>
          </cell>
          <cell r="K4925" t="str">
            <v>JOHNSON</v>
          </cell>
          <cell r="L4925" t="str">
            <v>Johnson</v>
          </cell>
          <cell r="V4925">
            <v>109600</v>
          </cell>
        </row>
        <row r="4926">
          <cell r="B4926">
            <v>1973</v>
          </cell>
          <cell r="K4926" t="str">
            <v>JONES</v>
          </cell>
          <cell r="L4926" t="str">
            <v>Jones</v>
          </cell>
          <cell r="V4926">
            <v>125100</v>
          </cell>
        </row>
        <row r="4927">
          <cell r="B4927">
            <v>1973</v>
          </cell>
          <cell r="K4927" t="str">
            <v>LINN</v>
          </cell>
          <cell r="L4927" t="str">
            <v>Linn</v>
          </cell>
          <cell r="V4927">
            <v>142800</v>
          </cell>
        </row>
        <row r="4928">
          <cell r="B4928">
            <v>1973</v>
          </cell>
          <cell r="K4928" t="str">
            <v>MUSCATINE</v>
          </cell>
          <cell r="L4928" t="str">
            <v>Muscatine</v>
          </cell>
          <cell r="V4928">
            <v>88800</v>
          </cell>
        </row>
        <row r="4929">
          <cell r="B4929">
            <v>1973</v>
          </cell>
          <cell r="K4929" t="str">
            <v>SCOTT</v>
          </cell>
          <cell r="L4929" t="str">
            <v>Scott</v>
          </cell>
          <cell r="V4929">
            <v>111900</v>
          </cell>
        </row>
        <row r="4930">
          <cell r="B4930">
            <v>1973</v>
          </cell>
          <cell r="K4930" t="str">
            <v>BUTLER</v>
          </cell>
          <cell r="L4930" t="str">
            <v>Butler</v>
          </cell>
          <cell r="V4930">
            <v>139100</v>
          </cell>
        </row>
        <row r="4931">
          <cell r="B4931">
            <v>1973</v>
          </cell>
          <cell r="K4931" t="str">
            <v>CERRO GORDO</v>
          </cell>
          <cell r="L4931" t="str">
            <v>Cerro Gordo</v>
          </cell>
          <cell r="V4931">
            <v>133500</v>
          </cell>
        </row>
        <row r="4932">
          <cell r="B4932">
            <v>1973</v>
          </cell>
          <cell r="K4932" t="str">
            <v>FLOYD</v>
          </cell>
          <cell r="L4932" t="str">
            <v>Floyd</v>
          </cell>
          <cell r="V4932">
            <v>117300</v>
          </cell>
        </row>
        <row r="4933">
          <cell r="B4933">
            <v>1973</v>
          </cell>
          <cell r="K4933" t="str">
            <v>FRANKLIN</v>
          </cell>
          <cell r="L4933" t="str">
            <v>Franklin</v>
          </cell>
          <cell r="V4933">
            <v>148900</v>
          </cell>
        </row>
        <row r="4934">
          <cell r="B4934">
            <v>1973</v>
          </cell>
          <cell r="K4934" t="str">
            <v>HANCOCK</v>
          </cell>
          <cell r="L4934" t="str">
            <v>Hancock</v>
          </cell>
          <cell r="V4934">
            <v>140500</v>
          </cell>
        </row>
        <row r="4935">
          <cell r="B4935">
            <v>1973</v>
          </cell>
          <cell r="K4935" t="str">
            <v>HUMBOLDT</v>
          </cell>
          <cell r="L4935" t="str">
            <v>Humboldt</v>
          </cell>
          <cell r="V4935">
            <v>115300</v>
          </cell>
        </row>
        <row r="4936">
          <cell r="B4936">
            <v>1973</v>
          </cell>
          <cell r="K4936" t="str">
            <v>KOSSUTH</v>
          </cell>
          <cell r="L4936" t="str">
            <v>Kossuth</v>
          </cell>
          <cell r="V4936">
            <v>245700</v>
          </cell>
        </row>
        <row r="4937">
          <cell r="B4937">
            <v>1973</v>
          </cell>
          <cell r="K4937" t="str">
            <v>MITCHELL</v>
          </cell>
          <cell r="L4937" t="str">
            <v>Mitchell</v>
          </cell>
          <cell r="V4937">
            <v>113800</v>
          </cell>
        </row>
        <row r="4938">
          <cell r="B4938">
            <v>1973</v>
          </cell>
          <cell r="K4938" t="str">
            <v>WINNEBAGO</v>
          </cell>
          <cell r="L4938" t="str">
            <v>Winnebago</v>
          </cell>
          <cell r="V4938">
            <v>95000</v>
          </cell>
        </row>
        <row r="4939">
          <cell r="B4939">
            <v>1973</v>
          </cell>
          <cell r="K4939" t="str">
            <v>WORTH</v>
          </cell>
          <cell r="L4939" t="str">
            <v>Worth</v>
          </cell>
          <cell r="V4939">
            <v>102600</v>
          </cell>
        </row>
        <row r="4940">
          <cell r="B4940">
            <v>1973</v>
          </cell>
          <cell r="K4940" t="str">
            <v>WRIGHT</v>
          </cell>
          <cell r="L4940" t="str">
            <v>Wright</v>
          </cell>
          <cell r="V4940">
            <v>151500</v>
          </cell>
        </row>
        <row r="4941">
          <cell r="B4941">
            <v>1973</v>
          </cell>
          <cell r="K4941" t="str">
            <v>ALLAMAKEE</v>
          </cell>
          <cell r="L4941" t="str">
            <v>Allamakee</v>
          </cell>
          <cell r="V4941">
            <v>72500</v>
          </cell>
        </row>
        <row r="4942">
          <cell r="B4942">
            <v>1973</v>
          </cell>
          <cell r="K4942" t="str">
            <v>BLACK HAWK</v>
          </cell>
          <cell r="L4942" t="str">
            <v>Black Hawk</v>
          </cell>
          <cell r="V4942">
            <v>127700</v>
          </cell>
        </row>
        <row r="4943">
          <cell r="B4943">
            <v>1973</v>
          </cell>
          <cell r="K4943" t="str">
            <v>BREMER</v>
          </cell>
          <cell r="L4943" t="str">
            <v>Bremer</v>
          </cell>
          <cell r="V4943">
            <v>98700</v>
          </cell>
        </row>
        <row r="4944">
          <cell r="B4944">
            <v>1973</v>
          </cell>
          <cell r="K4944" t="str">
            <v>BUCHANAN</v>
          </cell>
          <cell r="L4944" t="str">
            <v>Buchanan</v>
          </cell>
          <cell r="V4944">
            <v>132900</v>
          </cell>
        </row>
        <row r="4945">
          <cell r="B4945">
            <v>1973</v>
          </cell>
          <cell r="K4945" t="str">
            <v>CHICKASAW</v>
          </cell>
          <cell r="L4945" t="str">
            <v>Chickasaw</v>
          </cell>
          <cell r="V4945">
            <v>103800</v>
          </cell>
        </row>
        <row r="4946">
          <cell r="B4946">
            <v>1973</v>
          </cell>
          <cell r="K4946" t="str">
            <v>CLAYTON</v>
          </cell>
          <cell r="L4946" t="str">
            <v>Clayton</v>
          </cell>
          <cell r="V4946">
            <v>131700</v>
          </cell>
        </row>
        <row r="4947">
          <cell r="B4947">
            <v>1973</v>
          </cell>
          <cell r="K4947" t="str">
            <v>DELAWARE</v>
          </cell>
          <cell r="L4947" t="str">
            <v>Delaware</v>
          </cell>
          <cell r="V4947">
            <v>143700</v>
          </cell>
        </row>
        <row r="4948">
          <cell r="B4948">
            <v>1973</v>
          </cell>
          <cell r="K4948" t="str">
            <v>DUBUQUE</v>
          </cell>
          <cell r="L4948" t="str">
            <v>Dubuque</v>
          </cell>
          <cell r="V4948">
            <v>115300</v>
          </cell>
        </row>
        <row r="4949">
          <cell r="B4949">
            <v>1973</v>
          </cell>
          <cell r="K4949" t="str">
            <v>FAYETTE</v>
          </cell>
          <cell r="L4949" t="str">
            <v>Fayette</v>
          </cell>
          <cell r="V4949">
            <v>157000</v>
          </cell>
        </row>
        <row r="4950">
          <cell r="B4950">
            <v>1973</v>
          </cell>
          <cell r="K4950" t="str">
            <v>HOWARD</v>
          </cell>
          <cell r="L4950" t="str">
            <v>Howard</v>
          </cell>
          <cell r="V4950">
            <v>90800</v>
          </cell>
        </row>
        <row r="4951">
          <cell r="B4951">
            <v>1973</v>
          </cell>
          <cell r="K4951" t="str">
            <v>WINNESHIEK</v>
          </cell>
          <cell r="L4951" t="str">
            <v>Winneshiek</v>
          </cell>
          <cell r="V4951">
            <v>121300</v>
          </cell>
        </row>
        <row r="4952">
          <cell r="B4952">
            <v>1973</v>
          </cell>
          <cell r="K4952" t="str">
            <v>BUENA VISTA</v>
          </cell>
          <cell r="L4952" t="str">
            <v>Buena Vista</v>
          </cell>
          <cell r="V4952">
            <v>152400</v>
          </cell>
        </row>
        <row r="4953">
          <cell r="B4953">
            <v>1973</v>
          </cell>
          <cell r="K4953" t="str">
            <v>CHEROKEE</v>
          </cell>
          <cell r="L4953" t="str">
            <v>Cherokee</v>
          </cell>
          <cell r="V4953">
            <v>155800</v>
          </cell>
        </row>
        <row r="4954">
          <cell r="B4954">
            <v>1973</v>
          </cell>
          <cell r="K4954" t="str">
            <v>CLAY</v>
          </cell>
          <cell r="L4954" t="str">
            <v>Clay</v>
          </cell>
          <cell r="V4954">
            <v>138600</v>
          </cell>
        </row>
        <row r="4955">
          <cell r="B4955">
            <v>1973</v>
          </cell>
          <cell r="K4955" t="str">
            <v>DICKINSON</v>
          </cell>
          <cell r="L4955" t="str">
            <v>Dickinson</v>
          </cell>
          <cell r="V4955">
            <v>94400</v>
          </cell>
        </row>
        <row r="4956">
          <cell r="B4956">
            <v>1973</v>
          </cell>
          <cell r="K4956" t="str">
            <v>EMMET</v>
          </cell>
          <cell r="L4956" t="str">
            <v>Emmet</v>
          </cell>
          <cell r="V4956">
            <v>97200</v>
          </cell>
        </row>
        <row r="4957">
          <cell r="B4957">
            <v>1973</v>
          </cell>
          <cell r="K4957" t="str">
            <v>LYON</v>
          </cell>
          <cell r="L4957" t="str">
            <v>Lyon</v>
          </cell>
          <cell r="V4957">
            <v>171500</v>
          </cell>
        </row>
        <row r="4958">
          <cell r="B4958">
            <v>1973</v>
          </cell>
          <cell r="K4958" t="str">
            <v>O BRIEN</v>
          </cell>
          <cell r="L4958" t="str">
            <v>O Brien</v>
          </cell>
          <cell r="V4958">
            <v>153800</v>
          </cell>
        </row>
        <row r="4959">
          <cell r="B4959">
            <v>1973</v>
          </cell>
          <cell r="K4959" t="str">
            <v>OSCEOLA</v>
          </cell>
          <cell r="L4959" t="str">
            <v>Osceola</v>
          </cell>
          <cell r="V4959">
            <v>108700</v>
          </cell>
        </row>
        <row r="4960">
          <cell r="B4960">
            <v>1973</v>
          </cell>
          <cell r="K4960" t="str">
            <v>PALO ALTO</v>
          </cell>
          <cell r="L4960" t="str">
            <v>Palo Alto</v>
          </cell>
          <cell r="V4960">
            <v>137700</v>
          </cell>
        </row>
        <row r="4961">
          <cell r="B4961">
            <v>1973</v>
          </cell>
          <cell r="K4961" t="str">
            <v>PLYMOUTH</v>
          </cell>
          <cell r="L4961" t="str">
            <v>Plymouth</v>
          </cell>
          <cell r="V4961">
            <v>251800</v>
          </cell>
        </row>
        <row r="4962">
          <cell r="B4962">
            <v>1973</v>
          </cell>
          <cell r="K4962" t="str">
            <v>POCAHONTAS</v>
          </cell>
          <cell r="L4962" t="str">
            <v>Pocahontas</v>
          </cell>
          <cell r="V4962">
            <v>140000</v>
          </cell>
        </row>
        <row r="4963">
          <cell r="B4963">
            <v>1973</v>
          </cell>
          <cell r="K4963" t="str">
            <v>SIOUX</v>
          </cell>
          <cell r="L4963" t="str">
            <v>Sioux</v>
          </cell>
          <cell r="V4963">
            <v>271800</v>
          </cell>
        </row>
        <row r="4964">
          <cell r="B4964">
            <v>1973</v>
          </cell>
          <cell r="K4964" t="str">
            <v>APPANOOSE</v>
          </cell>
          <cell r="L4964" t="str">
            <v>Appanoose</v>
          </cell>
          <cell r="V4964">
            <v>34900</v>
          </cell>
        </row>
        <row r="4965">
          <cell r="B4965">
            <v>1973</v>
          </cell>
          <cell r="K4965" t="str">
            <v>CLARKE</v>
          </cell>
          <cell r="L4965" t="str">
            <v>Clarke</v>
          </cell>
          <cell r="V4965">
            <v>35900</v>
          </cell>
        </row>
        <row r="4966">
          <cell r="B4966">
            <v>1973</v>
          </cell>
          <cell r="K4966" t="str">
            <v>DECATUR</v>
          </cell>
          <cell r="L4966" t="str">
            <v>Decatur</v>
          </cell>
          <cell r="V4966">
            <v>42600</v>
          </cell>
        </row>
        <row r="4967">
          <cell r="B4967">
            <v>1973</v>
          </cell>
          <cell r="K4967" t="str">
            <v>LUCAS</v>
          </cell>
          <cell r="L4967" t="str">
            <v>Lucas</v>
          </cell>
          <cell r="V4967">
            <v>40800</v>
          </cell>
        </row>
        <row r="4968">
          <cell r="B4968">
            <v>1973</v>
          </cell>
          <cell r="K4968" t="str">
            <v>MADISON</v>
          </cell>
          <cell r="L4968" t="str">
            <v>Madison</v>
          </cell>
          <cell r="V4968">
            <v>83200</v>
          </cell>
        </row>
        <row r="4969">
          <cell r="B4969">
            <v>1973</v>
          </cell>
          <cell r="K4969" t="str">
            <v>MARION</v>
          </cell>
          <cell r="L4969" t="str">
            <v>Marion</v>
          </cell>
          <cell r="V4969">
            <v>80100</v>
          </cell>
        </row>
        <row r="4970">
          <cell r="B4970">
            <v>1973</v>
          </cell>
          <cell r="K4970" t="str">
            <v>MONROE</v>
          </cell>
          <cell r="L4970" t="str">
            <v>Monroe</v>
          </cell>
          <cell r="V4970">
            <v>34100</v>
          </cell>
        </row>
        <row r="4971">
          <cell r="B4971">
            <v>1973</v>
          </cell>
          <cell r="K4971" t="str">
            <v>RINGGOLD</v>
          </cell>
          <cell r="L4971" t="str">
            <v>Ringgold</v>
          </cell>
          <cell r="V4971">
            <v>55500</v>
          </cell>
        </row>
        <row r="4972">
          <cell r="B4972">
            <v>1973</v>
          </cell>
          <cell r="K4972" t="str">
            <v>UNION</v>
          </cell>
          <cell r="L4972" t="str">
            <v>Union</v>
          </cell>
          <cell r="V4972">
            <v>48300</v>
          </cell>
        </row>
        <row r="4973">
          <cell r="B4973">
            <v>1973</v>
          </cell>
          <cell r="K4973" t="str">
            <v>WARREN</v>
          </cell>
          <cell r="L4973" t="str">
            <v>Warren</v>
          </cell>
          <cell r="V4973">
            <v>77600</v>
          </cell>
        </row>
        <row r="4974">
          <cell r="B4974">
            <v>1973</v>
          </cell>
          <cell r="K4974" t="str">
            <v>WAYNE</v>
          </cell>
          <cell r="L4974" t="str">
            <v>Wayne</v>
          </cell>
          <cell r="V4974">
            <v>57100</v>
          </cell>
        </row>
        <row r="4975">
          <cell r="B4975">
            <v>1973</v>
          </cell>
          <cell r="K4975" t="str">
            <v>DAVIS</v>
          </cell>
          <cell r="L4975" t="str">
            <v>Davis</v>
          </cell>
          <cell r="V4975">
            <v>45500</v>
          </cell>
        </row>
        <row r="4976">
          <cell r="B4976">
            <v>1973</v>
          </cell>
          <cell r="K4976" t="str">
            <v>DES MOINES</v>
          </cell>
          <cell r="L4976" t="str">
            <v>Des Moines</v>
          </cell>
          <cell r="V4976">
            <v>83600</v>
          </cell>
        </row>
        <row r="4977">
          <cell r="B4977">
            <v>1973</v>
          </cell>
          <cell r="K4977" t="str">
            <v>HENRY</v>
          </cell>
          <cell r="L4977" t="str">
            <v>Henry</v>
          </cell>
          <cell r="V4977">
            <v>88400</v>
          </cell>
        </row>
        <row r="4978">
          <cell r="B4978">
            <v>1973</v>
          </cell>
          <cell r="K4978" t="str">
            <v>JEFFERSON</v>
          </cell>
          <cell r="L4978" t="str">
            <v>Jefferson</v>
          </cell>
          <cell r="V4978">
            <v>65600</v>
          </cell>
        </row>
        <row r="4979">
          <cell r="B4979">
            <v>1973</v>
          </cell>
          <cell r="K4979" t="str">
            <v>KEOKUK</v>
          </cell>
          <cell r="L4979" t="str">
            <v>Keokuk</v>
          </cell>
          <cell r="V4979">
            <v>109300</v>
          </cell>
        </row>
        <row r="4980">
          <cell r="B4980">
            <v>1973</v>
          </cell>
          <cell r="K4980" t="str">
            <v>LEE</v>
          </cell>
          <cell r="L4980" t="str">
            <v>Lee</v>
          </cell>
          <cell r="V4980">
            <v>87500</v>
          </cell>
        </row>
        <row r="4981">
          <cell r="B4981">
            <v>1973</v>
          </cell>
          <cell r="K4981" t="str">
            <v>LOUISA</v>
          </cell>
          <cell r="L4981" t="str">
            <v>Louisa</v>
          </cell>
          <cell r="V4981">
            <v>78600</v>
          </cell>
        </row>
        <row r="4982">
          <cell r="B4982">
            <v>1973</v>
          </cell>
          <cell r="K4982" t="str">
            <v>MAHASKA</v>
          </cell>
          <cell r="L4982" t="str">
            <v>Mahaska</v>
          </cell>
          <cell r="V4982">
            <v>116300</v>
          </cell>
        </row>
        <row r="4983">
          <cell r="B4983">
            <v>1973</v>
          </cell>
          <cell r="K4983" t="str">
            <v>VAN BUREN</v>
          </cell>
          <cell r="L4983" t="str">
            <v>Van Buren</v>
          </cell>
          <cell r="V4983">
            <v>53900</v>
          </cell>
        </row>
        <row r="4984">
          <cell r="B4984">
            <v>1973</v>
          </cell>
          <cell r="K4984" t="str">
            <v>WAPELLO</v>
          </cell>
          <cell r="L4984" t="str">
            <v>Wapello</v>
          </cell>
          <cell r="V4984">
            <v>53100</v>
          </cell>
        </row>
        <row r="4985">
          <cell r="B4985">
            <v>1973</v>
          </cell>
          <cell r="K4985" t="str">
            <v>WASHINGTON</v>
          </cell>
          <cell r="L4985" t="str">
            <v>Washington</v>
          </cell>
          <cell r="V4985">
            <v>118300</v>
          </cell>
        </row>
        <row r="4986">
          <cell r="B4986">
            <v>1973</v>
          </cell>
          <cell r="K4986" t="str">
            <v>ADAIR</v>
          </cell>
          <cell r="L4986" t="str">
            <v>Adair</v>
          </cell>
          <cell r="V4986">
            <v>91600</v>
          </cell>
        </row>
        <row r="4987">
          <cell r="B4987">
            <v>1973</v>
          </cell>
          <cell r="K4987" t="str">
            <v>ADAMS</v>
          </cell>
          <cell r="L4987" t="str">
            <v>Adams</v>
          </cell>
          <cell r="V4987">
            <v>61600</v>
          </cell>
        </row>
        <row r="4988">
          <cell r="B4988">
            <v>1973</v>
          </cell>
          <cell r="K4988" t="str">
            <v>CASS</v>
          </cell>
          <cell r="L4988" t="str">
            <v>Cass</v>
          </cell>
          <cell r="V4988">
            <v>128400</v>
          </cell>
        </row>
        <row r="4989">
          <cell r="B4989">
            <v>1973</v>
          </cell>
          <cell r="K4989" t="str">
            <v>FREMONT</v>
          </cell>
          <cell r="L4989" t="str">
            <v>Fremont</v>
          </cell>
          <cell r="V4989">
            <v>115800</v>
          </cell>
        </row>
        <row r="4990">
          <cell r="B4990">
            <v>1973</v>
          </cell>
          <cell r="K4990" t="str">
            <v>MILLS</v>
          </cell>
          <cell r="L4990" t="str">
            <v>Mills</v>
          </cell>
          <cell r="V4990">
            <v>103700</v>
          </cell>
        </row>
        <row r="4991">
          <cell r="B4991">
            <v>1973</v>
          </cell>
          <cell r="K4991" t="str">
            <v>MONTGOMERY</v>
          </cell>
          <cell r="L4991" t="str">
            <v>Montgomery</v>
          </cell>
          <cell r="V4991">
            <v>91900</v>
          </cell>
        </row>
        <row r="4992">
          <cell r="B4992">
            <v>1973</v>
          </cell>
          <cell r="K4992" t="str">
            <v>PAGE</v>
          </cell>
          <cell r="L4992" t="str">
            <v>Page</v>
          </cell>
          <cell r="V4992">
            <v>100700</v>
          </cell>
        </row>
        <row r="4993">
          <cell r="B4993">
            <v>1973</v>
          </cell>
          <cell r="K4993" t="str">
            <v>POTTAWATTAMIE</v>
          </cell>
          <cell r="L4993" t="str">
            <v>Pottawattamie</v>
          </cell>
          <cell r="V4993">
            <v>244200</v>
          </cell>
        </row>
        <row r="4994">
          <cell r="B4994">
            <v>1973</v>
          </cell>
          <cell r="K4994" t="str">
            <v>TAYLOR</v>
          </cell>
          <cell r="L4994" t="str">
            <v>Taylor</v>
          </cell>
          <cell r="V4994">
            <v>67100</v>
          </cell>
        </row>
        <row r="4995">
          <cell r="B4995">
            <v>1973</v>
          </cell>
          <cell r="K4995" t="str">
            <v>AUDUBON</v>
          </cell>
          <cell r="L4995" t="str">
            <v>Audubon</v>
          </cell>
          <cell r="V4995">
            <v>105500</v>
          </cell>
        </row>
        <row r="4996">
          <cell r="B4996">
            <v>1973</v>
          </cell>
          <cell r="K4996" t="str">
            <v>CALHOUN</v>
          </cell>
          <cell r="L4996" t="str">
            <v>Calhoun</v>
          </cell>
          <cell r="V4996">
            <v>141600</v>
          </cell>
        </row>
        <row r="4997">
          <cell r="B4997">
            <v>1973</v>
          </cell>
          <cell r="K4997" t="str">
            <v>CARROLL</v>
          </cell>
          <cell r="L4997" t="str">
            <v>Carroll</v>
          </cell>
          <cell r="V4997">
            <v>162800</v>
          </cell>
        </row>
        <row r="4998">
          <cell r="B4998">
            <v>1973</v>
          </cell>
          <cell r="K4998" t="str">
            <v>CRAWFORD</v>
          </cell>
          <cell r="L4998" t="str">
            <v>Crawford</v>
          </cell>
          <cell r="V4998">
            <v>173500</v>
          </cell>
        </row>
        <row r="4999">
          <cell r="B4999">
            <v>1973</v>
          </cell>
          <cell r="K4999" t="str">
            <v>GREENE</v>
          </cell>
          <cell r="L4999" t="str">
            <v>Greene</v>
          </cell>
          <cell r="V4999">
            <v>148700</v>
          </cell>
        </row>
        <row r="5000">
          <cell r="B5000">
            <v>1973</v>
          </cell>
          <cell r="K5000" t="str">
            <v>GUTHRIE</v>
          </cell>
          <cell r="L5000" t="str">
            <v>Guthrie</v>
          </cell>
          <cell r="V5000">
            <v>100900</v>
          </cell>
        </row>
        <row r="5001">
          <cell r="B5001">
            <v>1973</v>
          </cell>
          <cell r="K5001" t="str">
            <v>HARRISON</v>
          </cell>
          <cell r="L5001" t="str">
            <v>Harrison</v>
          </cell>
          <cell r="V5001">
            <v>174200</v>
          </cell>
        </row>
        <row r="5002">
          <cell r="B5002">
            <v>1973</v>
          </cell>
          <cell r="K5002" t="str">
            <v>IDA</v>
          </cell>
          <cell r="L5002" t="str">
            <v>Ida</v>
          </cell>
          <cell r="V5002">
            <v>124400</v>
          </cell>
        </row>
        <row r="5003">
          <cell r="B5003">
            <v>1973</v>
          </cell>
          <cell r="K5003" t="str">
            <v>MONONA</v>
          </cell>
          <cell r="L5003" t="str">
            <v>Monona</v>
          </cell>
          <cell r="V5003">
            <v>171400</v>
          </cell>
        </row>
        <row r="5004">
          <cell r="B5004">
            <v>1973</v>
          </cell>
          <cell r="K5004" t="str">
            <v>SAC</v>
          </cell>
          <cell r="L5004" t="str">
            <v>Sac</v>
          </cell>
          <cell r="V5004">
            <v>167400</v>
          </cell>
        </row>
        <row r="5005">
          <cell r="B5005">
            <v>1973</v>
          </cell>
          <cell r="K5005" t="str">
            <v>SHELBY</v>
          </cell>
          <cell r="L5005" t="str">
            <v>Shelby</v>
          </cell>
          <cell r="V5005">
            <v>169700</v>
          </cell>
        </row>
        <row r="5006">
          <cell r="B5006">
            <v>1973</v>
          </cell>
          <cell r="K5006" t="str">
            <v>WOODBURY</v>
          </cell>
          <cell r="L5006" t="str">
            <v>Woodbury</v>
          </cell>
          <cell r="V5006">
            <v>235000</v>
          </cell>
        </row>
        <row r="5007">
          <cell r="B5007">
            <v>1972</v>
          </cell>
          <cell r="K5007" t="str">
            <v>BOONE</v>
          </cell>
          <cell r="L5007" t="str">
            <v>Boone</v>
          </cell>
          <cell r="V5007">
            <v>129100</v>
          </cell>
        </row>
        <row r="5008">
          <cell r="B5008">
            <v>1972</v>
          </cell>
          <cell r="K5008" t="str">
            <v>DALLAS</v>
          </cell>
          <cell r="L5008" t="str">
            <v>Dallas</v>
          </cell>
          <cell r="V5008">
            <v>131900</v>
          </cell>
        </row>
        <row r="5009">
          <cell r="B5009">
            <v>1972</v>
          </cell>
          <cell r="K5009" t="str">
            <v>GRUNDY</v>
          </cell>
          <cell r="L5009" t="str">
            <v>Grundy</v>
          </cell>
          <cell r="V5009">
            <v>131600</v>
          </cell>
        </row>
        <row r="5010">
          <cell r="B5010">
            <v>1972</v>
          </cell>
          <cell r="K5010" t="str">
            <v>HAMILTON</v>
          </cell>
          <cell r="L5010" t="str">
            <v>Hamilton</v>
          </cell>
          <cell r="V5010">
            <v>142100</v>
          </cell>
        </row>
        <row r="5011">
          <cell r="B5011">
            <v>1972</v>
          </cell>
          <cell r="K5011" t="str">
            <v>HARDIN</v>
          </cell>
          <cell r="L5011" t="str">
            <v>Hardin</v>
          </cell>
          <cell r="V5011">
            <v>137900</v>
          </cell>
        </row>
        <row r="5012">
          <cell r="B5012">
            <v>1972</v>
          </cell>
          <cell r="K5012" t="str">
            <v>JASPER</v>
          </cell>
          <cell r="L5012" t="str">
            <v>Jasper</v>
          </cell>
          <cell r="V5012">
            <v>145500</v>
          </cell>
        </row>
        <row r="5013">
          <cell r="B5013">
            <v>1972</v>
          </cell>
          <cell r="K5013" t="str">
            <v>MARSHALL</v>
          </cell>
          <cell r="L5013" t="str">
            <v>Marshall</v>
          </cell>
          <cell r="V5013">
            <v>132300</v>
          </cell>
        </row>
        <row r="5014">
          <cell r="B5014">
            <v>1972</v>
          </cell>
          <cell r="K5014" t="str">
            <v>POLK</v>
          </cell>
          <cell r="L5014" t="str">
            <v>Polk</v>
          </cell>
          <cell r="V5014">
            <v>102300</v>
          </cell>
        </row>
        <row r="5015">
          <cell r="B5015">
            <v>1972</v>
          </cell>
          <cell r="K5015" t="str">
            <v>POWESHIEK</v>
          </cell>
          <cell r="L5015" t="str">
            <v>Poweshiek</v>
          </cell>
          <cell r="V5015">
            <v>97800</v>
          </cell>
        </row>
        <row r="5016">
          <cell r="B5016">
            <v>1972</v>
          </cell>
          <cell r="K5016" t="str">
            <v>STORY</v>
          </cell>
          <cell r="L5016" t="str">
            <v>Story</v>
          </cell>
          <cell r="V5016">
            <v>133700</v>
          </cell>
        </row>
        <row r="5017">
          <cell r="B5017">
            <v>1972</v>
          </cell>
          <cell r="K5017" t="str">
            <v>TAMA</v>
          </cell>
          <cell r="L5017" t="str">
            <v>Tama</v>
          </cell>
          <cell r="V5017">
            <v>149400</v>
          </cell>
        </row>
        <row r="5018">
          <cell r="B5018">
            <v>1972</v>
          </cell>
          <cell r="K5018" t="str">
            <v>WEBSTER</v>
          </cell>
          <cell r="L5018" t="str">
            <v>Webster</v>
          </cell>
          <cell r="V5018">
            <v>146400</v>
          </cell>
        </row>
        <row r="5019">
          <cell r="B5019">
            <v>1972</v>
          </cell>
          <cell r="K5019" t="str">
            <v>BENTON</v>
          </cell>
          <cell r="L5019" t="str">
            <v>Benton</v>
          </cell>
          <cell r="V5019">
            <v>160000</v>
          </cell>
        </row>
        <row r="5020">
          <cell r="B5020">
            <v>1972</v>
          </cell>
          <cell r="K5020" t="str">
            <v>CEDAR</v>
          </cell>
          <cell r="L5020" t="str">
            <v>Cedar</v>
          </cell>
          <cell r="V5020">
            <v>132200</v>
          </cell>
        </row>
        <row r="5021">
          <cell r="B5021">
            <v>1972</v>
          </cell>
          <cell r="K5021" t="str">
            <v>CLINTON</v>
          </cell>
          <cell r="L5021" t="str">
            <v>Clinton</v>
          </cell>
          <cell r="V5021">
            <v>166400</v>
          </cell>
        </row>
        <row r="5022">
          <cell r="B5022">
            <v>1972</v>
          </cell>
          <cell r="K5022" t="str">
            <v>IOWA</v>
          </cell>
          <cell r="L5022" t="str">
            <v>Iowa</v>
          </cell>
          <cell r="V5022">
            <v>105800</v>
          </cell>
        </row>
        <row r="5023">
          <cell r="B5023">
            <v>1972</v>
          </cell>
          <cell r="K5023" t="str">
            <v>JACKSON</v>
          </cell>
          <cell r="L5023" t="str">
            <v>Jackson</v>
          </cell>
          <cell r="V5023">
            <v>96000</v>
          </cell>
        </row>
        <row r="5024">
          <cell r="B5024">
            <v>1972</v>
          </cell>
          <cell r="K5024" t="str">
            <v>JOHNSON</v>
          </cell>
          <cell r="L5024" t="str">
            <v>Johnson</v>
          </cell>
          <cell r="V5024">
            <v>107600</v>
          </cell>
        </row>
        <row r="5025">
          <cell r="B5025">
            <v>1972</v>
          </cell>
          <cell r="K5025" t="str">
            <v>JONES</v>
          </cell>
          <cell r="L5025" t="str">
            <v>Jones</v>
          </cell>
          <cell r="V5025">
            <v>119000</v>
          </cell>
        </row>
        <row r="5026">
          <cell r="B5026">
            <v>1972</v>
          </cell>
          <cell r="K5026" t="str">
            <v>LINN</v>
          </cell>
          <cell r="L5026" t="str">
            <v>Linn</v>
          </cell>
          <cell r="V5026">
            <v>138100</v>
          </cell>
        </row>
        <row r="5027">
          <cell r="B5027">
            <v>1972</v>
          </cell>
          <cell r="K5027" t="str">
            <v>MUSCATINE</v>
          </cell>
          <cell r="L5027" t="str">
            <v>Muscatine</v>
          </cell>
          <cell r="V5027">
            <v>81500</v>
          </cell>
        </row>
        <row r="5028">
          <cell r="B5028">
            <v>1972</v>
          </cell>
          <cell r="K5028" t="str">
            <v>SCOTT</v>
          </cell>
          <cell r="L5028" t="str">
            <v>Scott</v>
          </cell>
          <cell r="V5028">
            <v>110400</v>
          </cell>
        </row>
        <row r="5029">
          <cell r="B5029">
            <v>1972</v>
          </cell>
          <cell r="K5029" t="str">
            <v>BUTLER</v>
          </cell>
          <cell r="L5029" t="str">
            <v>Butler</v>
          </cell>
          <cell r="V5029">
            <v>133600</v>
          </cell>
        </row>
        <row r="5030">
          <cell r="B5030">
            <v>1972</v>
          </cell>
          <cell r="K5030" t="str">
            <v>CERRO GORDO</v>
          </cell>
          <cell r="L5030" t="str">
            <v>Cerro Gordo</v>
          </cell>
          <cell r="V5030">
            <v>127000</v>
          </cell>
        </row>
        <row r="5031">
          <cell r="B5031">
            <v>1972</v>
          </cell>
          <cell r="K5031" t="str">
            <v>FLOYD</v>
          </cell>
          <cell r="L5031" t="str">
            <v>Floyd</v>
          </cell>
          <cell r="V5031">
            <v>108300</v>
          </cell>
        </row>
        <row r="5032">
          <cell r="B5032">
            <v>1972</v>
          </cell>
          <cell r="K5032" t="str">
            <v>FRANKLIN</v>
          </cell>
          <cell r="L5032" t="str">
            <v>Franklin</v>
          </cell>
          <cell r="V5032">
            <v>139100</v>
          </cell>
        </row>
        <row r="5033">
          <cell r="B5033">
            <v>1972</v>
          </cell>
          <cell r="K5033" t="str">
            <v>HANCOCK</v>
          </cell>
          <cell r="L5033" t="str">
            <v>Hancock</v>
          </cell>
          <cell r="V5033">
            <v>132200</v>
          </cell>
        </row>
        <row r="5034">
          <cell r="B5034">
            <v>1972</v>
          </cell>
          <cell r="K5034" t="str">
            <v>HUMBOLDT</v>
          </cell>
          <cell r="L5034" t="str">
            <v>Humboldt</v>
          </cell>
          <cell r="V5034">
            <v>105200</v>
          </cell>
        </row>
        <row r="5035">
          <cell r="B5035">
            <v>1972</v>
          </cell>
          <cell r="K5035" t="str">
            <v>KOSSUTH</v>
          </cell>
          <cell r="L5035" t="str">
            <v>Kossuth</v>
          </cell>
          <cell r="V5035">
            <v>241400</v>
          </cell>
        </row>
        <row r="5036">
          <cell r="B5036">
            <v>1972</v>
          </cell>
          <cell r="K5036" t="str">
            <v>MITCHELL</v>
          </cell>
          <cell r="L5036" t="str">
            <v>Mitchell</v>
          </cell>
          <cell r="V5036">
            <v>107100</v>
          </cell>
        </row>
        <row r="5037">
          <cell r="B5037">
            <v>1972</v>
          </cell>
          <cell r="K5037" t="str">
            <v>WINNEBAGO</v>
          </cell>
          <cell r="L5037" t="str">
            <v>Winnebago</v>
          </cell>
          <cell r="V5037">
            <v>86300</v>
          </cell>
        </row>
        <row r="5038">
          <cell r="B5038">
            <v>1972</v>
          </cell>
          <cell r="K5038" t="str">
            <v>WORTH</v>
          </cell>
          <cell r="L5038" t="str">
            <v>Worth</v>
          </cell>
          <cell r="V5038">
            <v>90200</v>
          </cell>
        </row>
        <row r="5039">
          <cell r="B5039">
            <v>1972</v>
          </cell>
          <cell r="K5039" t="str">
            <v>WRIGHT</v>
          </cell>
          <cell r="L5039" t="str">
            <v>Wright</v>
          </cell>
          <cell r="V5039">
            <v>138600</v>
          </cell>
        </row>
        <row r="5040">
          <cell r="B5040">
            <v>1972</v>
          </cell>
          <cell r="K5040" t="str">
            <v>ALLAMAKEE</v>
          </cell>
          <cell r="L5040" t="str">
            <v>Allamakee</v>
          </cell>
          <cell r="V5040">
            <v>66300</v>
          </cell>
        </row>
        <row r="5041">
          <cell r="B5041">
            <v>1972</v>
          </cell>
          <cell r="K5041" t="str">
            <v>BLACK HAWK</v>
          </cell>
          <cell r="L5041" t="str">
            <v>Black Hawk</v>
          </cell>
          <cell r="V5041">
            <v>122100</v>
          </cell>
        </row>
        <row r="5042">
          <cell r="B5042">
            <v>1972</v>
          </cell>
          <cell r="K5042" t="str">
            <v>BREMER</v>
          </cell>
          <cell r="L5042" t="str">
            <v>Bremer</v>
          </cell>
          <cell r="V5042">
            <v>92400</v>
          </cell>
        </row>
        <row r="5043">
          <cell r="B5043">
            <v>1972</v>
          </cell>
          <cell r="K5043" t="str">
            <v>BUCHANAN</v>
          </cell>
          <cell r="L5043" t="str">
            <v>Buchanan</v>
          </cell>
          <cell r="V5043">
            <v>124400</v>
          </cell>
        </row>
        <row r="5044">
          <cell r="B5044">
            <v>1972</v>
          </cell>
          <cell r="K5044" t="str">
            <v>CHICKASAW</v>
          </cell>
          <cell r="L5044" t="str">
            <v>Chickasaw</v>
          </cell>
          <cell r="V5044">
            <v>98300</v>
          </cell>
        </row>
        <row r="5045">
          <cell r="B5045">
            <v>1972</v>
          </cell>
          <cell r="K5045" t="str">
            <v>CLAYTON</v>
          </cell>
          <cell r="L5045" t="str">
            <v>Clayton</v>
          </cell>
          <cell r="V5045">
            <v>126200</v>
          </cell>
        </row>
        <row r="5046">
          <cell r="B5046">
            <v>1972</v>
          </cell>
          <cell r="K5046" t="str">
            <v>DELAWARE</v>
          </cell>
          <cell r="L5046" t="str">
            <v>Delaware</v>
          </cell>
          <cell r="V5046">
            <v>137900</v>
          </cell>
        </row>
        <row r="5047">
          <cell r="B5047">
            <v>1972</v>
          </cell>
          <cell r="K5047" t="str">
            <v>DUBUQUE</v>
          </cell>
          <cell r="L5047" t="str">
            <v>Dubuque</v>
          </cell>
          <cell r="V5047">
            <v>106600</v>
          </cell>
        </row>
        <row r="5048">
          <cell r="B5048">
            <v>1972</v>
          </cell>
          <cell r="K5048" t="str">
            <v>FAYETTE</v>
          </cell>
          <cell r="L5048" t="str">
            <v>Fayette</v>
          </cell>
          <cell r="V5048">
            <v>143600</v>
          </cell>
        </row>
        <row r="5049">
          <cell r="B5049">
            <v>1972</v>
          </cell>
          <cell r="K5049" t="str">
            <v>HOWARD</v>
          </cell>
          <cell r="L5049" t="str">
            <v>Howard</v>
          </cell>
          <cell r="V5049">
            <v>83700</v>
          </cell>
        </row>
        <row r="5050">
          <cell r="B5050">
            <v>1972</v>
          </cell>
          <cell r="K5050" t="str">
            <v>WINNESHIEK</v>
          </cell>
          <cell r="L5050" t="str">
            <v>Winneshiek</v>
          </cell>
          <cell r="V5050">
            <v>113500</v>
          </cell>
        </row>
        <row r="5051">
          <cell r="B5051">
            <v>1972</v>
          </cell>
          <cell r="K5051" t="str">
            <v>BUENA VISTA</v>
          </cell>
          <cell r="L5051" t="str">
            <v>Buena Vista</v>
          </cell>
          <cell r="V5051">
            <v>146700</v>
          </cell>
        </row>
        <row r="5052">
          <cell r="B5052">
            <v>1972</v>
          </cell>
          <cell r="K5052" t="str">
            <v>CHEROKEE</v>
          </cell>
          <cell r="L5052" t="str">
            <v>Cherokee</v>
          </cell>
          <cell r="V5052">
            <v>148300</v>
          </cell>
        </row>
        <row r="5053">
          <cell r="B5053">
            <v>1972</v>
          </cell>
          <cell r="K5053" t="str">
            <v>CLAY</v>
          </cell>
          <cell r="L5053" t="str">
            <v>Clay</v>
          </cell>
          <cell r="V5053">
            <v>132200</v>
          </cell>
        </row>
        <row r="5054">
          <cell r="B5054">
            <v>1972</v>
          </cell>
          <cell r="K5054" t="str">
            <v>DICKINSON</v>
          </cell>
          <cell r="L5054" t="str">
            <v>Dickinson</v>
          </cell>
          <cell r="V5054">
            <v>84700</v>
          </cell>
        </row>
        <row r="5055">
          <cell r="B5055">
            <v>1972</v>
          </cell>
          <cell r="K5055" t="str">
            <v>EMMET</v>
          </cell>
          <cell r="L5055" t="str">
            <v>Emmet</v>
          </cell>
          <cell r="V5055">
            <v>92100</v>
          </cell>
        </row>
        <row r="5056">
          <cell r="B5056">
            <v>1972</v>
          </cell>
          <cell r="K5056" t="str">
            <v>LYON</v>
          </cell>
          <cell r="L5056" t="str">
            <v>Lyon</v>
          </cell>
          <cell r="V5056">
            <v>157300</v>
          </cell>
        </row>
        <row r="5057">
          <cell r="B5057">
            <v>1972</v>
          </cell>
          <cell r="K5057" t="str">
            <v>O BRIEN</v>
          </cell>
          <cell r="L5057" t="str">
            <v>O Brien</v>
          </cell>
          <cell r="V5057">
            <v>150400</v>
          </cell>
        </row>
        <row r="5058">
          <cell r="B5058">
            <v>1972</v>
          </cell>
          <cell r="K5058" t="str">
            <v>OSCEOLA</v>
          </cell>
          <cell r="L5058" t="str">
            <v>Osceola</v>
          </cell>
          <cell r="V5058">
            <v>100200</v>
          </cell>
        </row>
        <row r="5059">
          <cell r="B5059">
            <v>1972</v>
          </cell>
          <cell r="K5059" t="str">
            <v>PALO ALTO</v>
          </cell>
          <cell r="L5059" t="str">
            <v>Palo Alto</v>
          </cell>
          <cell r="V5059">
            <v>131500</v>
          </cell>
        </row>
        <row r="5060">
          <cell r="B5060">
            <v>1972</v>
          </cell>
          <cell r="K5060" t="str">
            <v>PLYMOUTH</v>
          </cell>
          <cell r="L5060" t="str">
            <v>Plymouth</v>
          </cell>
          <cell r="V5060">
            <v>234700</v>
          </cell>
        </row>
        <row r="5061">
          <cell r="B5061">
            <v>1972</v>
          </cell>
          <cell r="K5061" t="str">
            <v>POCAHONTAS</v>
          </cell>
          <cell r="L5061" t="str">
            <v>Pocahontas</v>
          </cell>
          <cell r="V5061">
            <v>132100</v>
          </cell>
        </row>
        <row r="5062">
          <cell r="B5062">
            <v>1972</v>
          </cell>
          <cell r="K5062" t="str">
            <v>SIOUX</v>
          </cell>
          <cell r="L5062" t="str">
            <v>Sioux</v>
          </cell>
          <cell r="V5062">
            <v>247800</v>
          </cell>
        </row>
        <row r="5063">
          <cell r="B5063">
            <v>1972</v>
          </cell>
          <cell r="K5063" t="str">
            <v>APPANOOSE</v>
          </cell>
          <cell r="L5063" t="str">
            <v>Appanoose</v>
          </cell>
          <cell r="V5063">
            <v>34900</v>
          </cell>
        </row>
        <row r="5064">
          <cell r="B5064">
            <v>1972</v>
          </cell>
          <cell r="K5064" t="str">
            <v>CLARKE</v>
          </cell>
          <cell r="L5064" t="str">
            <v>Clarke</v>
          </cell>
          <cell r="V5064">
            <v>35300</v>
          </cell>
        </row>
        <row r="5065">
          <cell r="B5065">
            <v>1972</v>
          </cell>
          <cell r="K5065" t="str">
            <v>DECATUR</v>
          </cell>
          <cell r="L5065" t="str">
            <v>Decatur</v>
          </cell>
          <cell r="V5065">
            <v>43700</v>
          </cell>
        </row>
        <row r="5066">
          <cell r="B5066">
            <v>1972</v>
          </cell>
          <cell r="K5066" t="str">
            <v>LUCAS</v>
          </cell>
          <cell r="L5066" t="str">
            <v>Lucas</v>
          </cell>
          <cell r="V5066">
            <v>39100</v>
          </cell>
        </row>
        <row r="5067">
          <cell r="B5067">
            <v>1972</v>
          </cell>
          <cell r="K5067" t="str">
            <v>MADISON</v>
          </cell>
          <cell r="L5067" t="str">
            <v>Madison</v>
          </cell>
          <cell r="V5067">
            <v>74800</v>
          </cell>
        </row>
        <row r="5068">
          <cell r="B5068">
            <v>1972</v>
          </cell>
          <cell r="K5068" t="str">
            <v>MARION</v>
          </cell>
          <cell r="L5068" t="str">
            <v>Marion</v>
          </cell>
          <cell r="V5068">
            <v>79700</v>
          </cell>
        </row>
        <row r="5069">
          <cell r="B5069">
            <v>1972</v>
          </cell>
          <cell r="K5069" t="str">
            <v>MONROE</v>
          </cell>
          <cell r="L5069" t="str">
            <v>Monroe</v>
          </cell>
          <cell r="V5069">
            <v>32000</v>
          </cell>
        </row>
        <row r="5070">
          <cell r="B5070">
            <v>1972</v>
          </cell>
          <cell r="K5070" t="str">
            <v>RINGGOLD</v>
          </cell>
          <cell r="L5070" t="str">
            <v>Ringgold</v>
          </cell>
          <cell r="V5070">
            <v>53700</v>
          </cell>
        </row>
        <row r="5071">
          <cell r="B5071">
            <v>1972</v>
          </cell>
          <cell r="K5071" t="str">
            <v>UNION</v>
          </cell>
          <cell r="L5071" t="str">
            <v>Union</v>
          </cell>
          <cell r="V5071">
            <v>49000</v>
          </cell>
        </row>
        <row r="5072">
          <cell r="B5072">
            <v>1972</v>
          </cell>
          <cell r="K5072" t="str">
            <v>WARREN</v>
          </cell>
          <cell r="L5072" t="str">
            <v>Warren</v>
          </cell>
          <cell r="V5072">
            <v>76900</v>
          </cell>
        </row>
        <row r="5073">
          <cell r="B5073">
            <v>1972</v>
          </cell>
          <cell r="K5073" t="str">
            <v>WAYNE</v>
          </cell>
          <cell r="L5073" t="str">
            <v>Wayne</v>
          </cell>
          <cell r="V5073">
            <v>54900</v>
          </cell>
        </row>
        <row r="5074">
          <cell r="B5074">
            <v>1972</v>
          </cell>
          <cell r="K5074" t="str">
            <v>DAVIS</v>
          </cell>
          <cell r="L5074" t="str">
            <v>Davis</v>
          </cell>
          <cell r="V5074">
            <v>42300</v>
          </cell>
        </row>
        <row r="5075">
          <cell r="B5075">
            <v>1972</v>
          </cell>
          <cell r="K5075" t="str">
            <v>DES MOINES</v>
          </cell>
          <cell r="L5075" t="str">
            <v>Des Moines</v>
          </cell>
          <cell r="V5075">
            <v>71700</v>
          </cell>
        </row>
        <row r="5076">
          <cell r="B5076">
            <v>1972</v>
          </cell>
          <cell r="K5076" t="str">
            <v>HENRY</v>
          </cell>
          <cell r="L5076" t="str">
            <v>Henry</v>
          </cell>
          <cell r="V5076">
            <v>81800</v>
          </cell>
        </row>
        <row r="5077">
          <cell r="B5077">
            <v>1972</v>
          </cell>
          <cell r="K5077" t="str">
            <v>JEFFERSON</v>
          </cell>
          <cell r="L5077" t="str">
            <v>Jefferson</v>
          </cell>
          <cell r="V5077">
            <v>58400</v>
          </cell>
        </row>
        <row r="5078">
          <cell r="B5078">
            <v>1972</v>
          </cell>
          <cell r="K5078" t="str">
            <v>KEOKUK</v>
          </cell>
          <cell r="L5078" t="str">
            <v>Keokuk</v>
          </cell>
          <cell r="V5078">
            <v>102200</v>
          </cell>
        </row>
        <row r="5079">
          <cell r="B5079">
            <v>1972</v>
          </cell>
          <cell r="K5079" t="str">
            <v>LEE</v>
          </cell>
          <cell r="L5079" t="str">
            <v>Lee</v>
          </cell>
          <cell r="V5079">
            <v>91100</v>
          </cell>
        </row>
        <row r="5080">
          <cell r="B5080">
            <v>1972</v>
          </cell>
          <cell r="K5080" t="str">
            <v>LOUISA</v>
          </cell>
          <cell r="L5080" t="str">
            <v>Louisa</v>
          </cell>
          <cell r="V5080">
            <v>75600</v>
          </cell>
        </row>
        <row r="5081">
          <cell r="B5081">
            <v>1972</v>
          </cell>
          <cell r="K5081" t="str">
            <v>MAHASKA</v>
          </cell>
          <cell r="L5081" t="str">
            <v>Mahaska</v>
          </cell>
          <cell r="V5081">
            <v>108400</v>
          </cell>
        </row>
        <row r="5082">
          <cell r="B5082">
            <v>1972</v>
          </cell>
          <cell r="K5082" t="str">
            <v>VAN BUREN</v>
          </cell>
          <cell r="L5082" t="str">
            <v>Van Buren</v>
          </cell>
          <cell r="V5082">
            <v>45800</v>
          </cell>
        </row>
        <row r="5083">
          <cell r="B5083">
            <v>1972</v>
          </cell>
          <cell r="K5083" t="str">
            <v>WAPELLO</v>
          </cell>
          <cell r="L5083" t="str">
            <v>Wapello</v>
          </cell>
          <cell r="V5083">
            <v>49700</v>
          </cell>
        </row>
        <row r="5084">
          <cell r="B5084">
            <v>1972</v>
          </cell>
          <cell r="K5084" t="str">
            <v>WASHINGTON</v>
          </cell>
          <cell r="L5084" t="str">
            <v>Washington</v>
          </cell>
          <cell r="V5084">
            <v>116000</v>
          </cell>
        </row>
        <row r="5085">
          <cell r="B5085">
            <v>1972</v>
          </cell>
          <cell r="K5085" t="str">
            <v>ADAIR</v>
          </cell>
          <cell r="L5085" t="str">
            <v>Adair</v>
          </cell>
          <cell r="V5085">
            <v>85800</v>
          </cell>
        </row>
        <row r="5086">
          <cell r="B5086">
            <v>1972</v>
          </cell>
          <cell r="K5086" t="str">
            <v>ADAMS</v>
          </cell>
          <cell r="L5086" t="str">
            <v>Adams</v>
          </cell>
          <cell r="V5086">
            <v>59000</v>
          </cell>
        </row>
        <row r="5087">
          <cell r="B5087">
            <v>1972</v>
          </cell>
          <cell r="K5087" t="str">
            <v>CASS</v>
          </cell>
          <cell r="L5087" t="str">
            <v>Cass</v>
          </cell>
          <cell r="V5087">
            <v>124700</v>
          </cell>
        </row>
        <row r="5088">
          <cell r="B5088">
            <v>1972</v>
          </cell>
          <cell r="K5088" t="str">
            <v>FREMONT</v>
          </cell>
          <cell r="L5088" t="str">
            <v>Fremont</v>
          </cell>
          <cell r="V5088">
            <v>104400</v>
          </cell>
        </row>
        <row r="5089">
          <cell r="B5089">
            <v>1972</v>
          </cell>
          <cell r="K5089" t="str">
            <v>MILLS</v>
          </cell>
          <cell r="L5089" t="str">
            <v>Mills</v>
          </cell>
          <cell r="V5089">
            <v>88100</v>
          </cell>
        </row>
        <row r="5090">
          <cell r="B5090">
            <v>1972</v>
          </cell>
          <cell r="K5090" t="str">
            <v>MONTGOMERY</v>
          </cell>
          <cell r="L5090" t="str">
            <v>Montgomery</v>
          </cell>
          <cell r="V5090">
            <v>87400</v>
          </cell>
        </row>
        <row r="5091">
          <cell r="B5091">
            <v>1972</v>
          </cell>
          <cell r="K5091" t="str">
            <v>PAGE</v>
          </cell>
          <cell r="L5091" t="str">
            <v>Page</v>
          </cell>
          <cell r="V5091">
            <v>95500</v>
          </cell>
        </row>
        <row r="5092">
          <cell r="B5092">
            <v>1972</v>
          </cell>
          <cell r="K5092" t="str">
            <v>POTTAWATTAMIE</v>
          </cell>
          <cell r="L5092" t="str">
            <v>Pottawattamie</v>
          </cell>
          <cell r="V5092">
            <v>223000</v>
          </cell>
        </row>
        <row r="5093">
          <cell r="B5093">
            <v>1972</v>
          </cell>
          <cell r="K5093" t="str">
            <v>TAYLOR</v>
          </cell>
          <cell r="L5093" t="str">
            <v>Taylor</v>
          </cell>
          <cell r="V5093">
            <v>64100</v>
          </cell>
        </row>
        <row r="5094">
          <cell r="B5094">
            <v>1972</v>
          </cell>
          <cell r="K5094" t="str">
            <v>AUDUBON</v>
          </cell>
          <cell r="L5094" t="str">
            <v>Audubon</v>
          </cell>
          <cell r="V5094">
            <v>102100</v>
          </cell>
        </row>
        <row r="5095">
          <cell r="B5095">
            <v>1972</v>
          </cell>
          <cell r="K5095" t="str">
            <v>CALHOUN</v>
          </cell>
          <cell r="L5095" t="str">
            <v>Calhoun</v>
          </cell>
          <cell r="V5095">
            <v>134700</v>
          </cell>
        </row>
        <row r="5096">
          <cell r="B5096">
            <v>1972</v>
          </cell>
          <cell r="K5096" t="str">
            <v>CARROLL</v>
          </cell>
          <cell r="L5096" t="str">
            <v>Carroll</v>
          </cell>
          <cell r="V5096">
            <v>152800</v>
          </cell>
        </row>
        <row r="5097">
          <cell r="B5097">
            <v>1972</v>
          </cell>
          <cell r="K5097" t="str">
            <v>CRAWFORD</v>
          </cell>
          <cell r="L5097" t="str">
            <v>Crawford</v>
          </cell>
          <cell r="V5097">
            <v>163700</v>
          </cell>
        </row>
        <row r="5098">
          <cell r="B5098">
            <v>1972</v>
          </cell>
          <cell r="K5098" t="str">
            <v>GREENE</v>
          </cell>
          <cell r="L5098" t="str">
            <v>Greene</v>
          </cell>
          <cell r="V5098">
            <v>136200</v>
          </cell>
        </row>
        <row r="5099">
          <cell r="B5099">
            <v>1972</v>
          </cell>
          <cell r="K5099" t="str">
            <v>GUTHRIE</v>
          </cell>
          <cell r="L5099" t="str">
            <v>Guthrie</v>
          </cell>
          <cell r="V5099">
            <v>92900</v>
          </cell>
        </row>
        <row r="5100">
          <cell r="B5100">
            <v>1972</v>
          </cell>
          <cell r="K5100" t="str">
            <v>HARRISON</v>
          </cell>
          <cell r="L5100" t="str">
            <v>Harrison</v>
          </cell>
          <cell r="V5100">
            <v>156700</v>
          </cell>
        </row>
        <row r="5101">
          <cell r="B5101">
            <v>1972</v>
          </cell>
          <cell r="K5101" t="str">
            <v>IDA</v>
          </cell>
          <cell r="L5101" t="str">
            <v>Ida</v>
          </cell>
          <cell r="V5101">
            <v>116700</v>
          </cell>
        </row>
        <row r="5102">
          <cell r="B5102">
            <v>1972</v>
          </cell>
          <cell r="K5102" t="str">
            <v>MONONA</v>
          </cell>
          <cell r="L5102" t="str">
            <v>Monona</v>
          </cell>
          <cell r="V5102">
            <v>154400</v>
          </cell>
        </row>
        <row r="5103">
          <cell r="B5103">
            <v>1972</v>
          </cell>
          <cell r="K5103" t="str">
            <v>SAC</v>
          </cell>
          <cell r="L5103" t="str">
            <v>Sac</v>
          </cell>
          <cell r="V5103">
            <v>155000</v>
          </cell>
        </row>
        <row r="5104">
          <cell r="B5104">
            <v>1972</v>
          </cell>
          <cell r="K5104" t="str">
            <v>SHELBY</v>
          </cell>
          <cell r="L5104" t="str">
            <v>Shelby</v>
          </cell>
          <cell r="V5104">
            <v>159200</v>
          </cell>
        </row>
        <row r="5105">
          <cell r="B5105">
            <v>1972</v>
          </cell>
          <cell r="K5105" t="str">
            <v>WOODBURY</v>
          </cell>
          <cell r="L5105" t="str">
            <v>Woodbury</v>
          </cell>
          <cell r="V5105">
            <v>202600</v>
          </cell>
        </row>
        <row r="5106">
          <cell r="B5106">
            <v>1971</v>
          </cell>
          <cell r="K5106" t="str">
            <v>BOONE</v>
          </cell>
          <cell r="L5106" t="str">
            <v>Boone</v>
          </cell>
          <cell r="V5106">
            <v>136900</v>
          </cell>
        </row>
        <row r="5107">
          <cell r="B5107">
            <v>1971</v>
          </cell>
          <cell r="K5107" t="str">
            <v>DALLAS</v>
          </cell>
          <cell r="L5107" t="str">
            <v>Dallas</v>
          </cell>
          <cell r="V5107">
            <v>139600</v>
          </cell>
        </row>
        <row r="5108">
          <cell r="B5108">
            <v>1971</v>
          </cell>
          <cell r="K5108" t="str">
            <v>GRUNDY</v>
          </cell>
          <cell r="L5108" t="str">
            <v>Grundy</v>
          </cell>
          <cell r="V5108">
            <v>145300</v>
          </cell>
        </row>
        <row r="5109">
          <cell r="B5109">
            <v>1971</v>
          </cell>
          <cell r="K5109" t="str">
            <v>HAMILTON</v>
          </cell>
          <cell r="L5109" t="str">
            <v>Hamilton</v>
          </cell>
          <cell r="V5109">
            <v>157400</v>
          </cell>
        </row>
        <row r="5110">
          <cell r="B5110">
            <v>1971</v>
          </cell>
          <cell r="K5110" t="str">
            <v>HARDIN</v>
          </cell>
          <cell r="L5110" t="str">
            <v>Hardin</v>
          </cell>
          <cell r="V5110">
            <v>152500</v>
          </cell>
        </row>
        <row r="5111">
          <cell r="B5111">
            <v>1971</v>
          </cell>
          <cell r="K5111" t="str">
            <v>JASPER</v>
          </cell>
          <cell r="L5111" t="str">
            <v>Jasper</v>
          </cell>
          <cell r="V5111">
            <v>161000</v>
          </cell>
        </row>
        <row r="5112">
          <cell r="B5112">
            <v>1971</v>
          </cell>
          <cell r="K5112" t="str">
            <v>MARSHALL</v>
          </cell>
          <cell r="L5112" t="str">
            <v>Marshall</v>
          </cell>
          <cell r="V5112">
            <v>150800</v>
          </cell>
        </row>
        <row r="5113">
          <cell r="B5113">
            <v>1971</v>
          </cell>
          <cell r="K5113" t="str">
            <v>POLK</v>
          </cell>
          <cell r="L5113" t="str">
            <v>Polk</v>
          </cell>
          <cell r="V5113">
            <v>110700</v>
          </cell>
        </row>
        <row r="5114">
          <cell r="B5114">
            <v>1971</v>
          </cell>
          <cell r="K5114" t="str">
            <v>POWESHIEK</v>
          </cell>
          <cell r="L5114" t="str">
            <v>Poweshiek</v>
          </cell>
          <cell r="V5114">
            <v>109300</v>
          </cell>
        </row>
        <row r="5115">
          <cell r="B5115">
            <v>1971</v>
          </cell>
          <cell r="K5115" t="str">
            <v>STORY</v>
          </cell>
          <cell r="L5115" t="str">
            <v>Story</v>
          </cell>
          <cell r="V5115">
            <v>145300</v>
          </cell>
        </row>
        <row r="5116">
          <cell r="B5116">
            <v>1971</v>
          </cell>
          <cell r="K5116" t="str">
            <v>TAMA</v>
          </cell>
          <cell r="L5116" t="str">
            <v>Tama</v>
          </cell>
          <cell r="V5116">
            <v>168400</v>
          </cell>
        </row>
        <row r="5117">
          <cell r="B5117">
            <v>1971</v>
          </cell>
          <cell r="K5117" t="str">
            <v>WEBSTER</v>
          </cell>
          <cell r="L5117" t="str">
            <v>Webster</v>
          </cell>
          <cell r="V5117">
            <v>166300</v>
          </cell>
        </row>
        <row r="5118">
          <cell r="B5118">
            <v>1971</v>
          </cell>
          <cell r="K5118" t="str">
            <v>BENTON</v>
          </cell>
          <cell r="L5118" t="str">
            <v>Benton</v>
          </cell>
          <cell r="V5118">
            <v>174200</v>
          </cell>
        </row>
        <row r="5119">
          <cell r="B5119">
            <v>1971</v>
          </cell>
          <cell r="K5119" t="str">
            <v>CEDAR</v>
          </cell>
          <cell r="L5119" t="str">
            <v>Cedar</v>
          </cell>
          <cell r="V5119">
            <v>149200</v>
          </cell>
        </row>
        <row r="5120">
          <cell r="B5120">
            <v>1971</v>
          </cell>
          <cell r="K5120" t="str">
            <v>CLINTON</v>
          </cell>
          <cell r="L5120" t="str">
            <v>Clinton</v>
          </cell>
          <cell r="V5120">
            <v>179400</v>
          </cell>
        </row>
        <row r="5121">
          <cell r="B5121">
            <v>1971</v>
          </cell>
          <cell r="K5121" t="str">
            <v>IOWA</v>
          </cell>
          <cell r="L5121" t="str">
            <v>Iowa</v>
          </cell>
          <cell r="V5121">
            <v>111600</v>
          </cell>
        </row>
        <row r="5122">
          <cell r="B5122">
            <v>1971</v>
          </cell>
          <cell r="K5122" t="str">
            <v>JACKSON</v>
          </cell>
          <cell r="L5122" t="str">
            <v>Jackson</v>
          </cell>
          <cell r="V5122">
            <v>98100</v>
          </cell>
        </row>
        <row r="5123">
          <cell r="B5123">
            <v>1971</v>
          </cell>
          <cell r="K5123" t="str">
            <v>JOHNSON</v>
          </cell>
          <cell r="L5123" t="str">
            <v>Johnson</v>
          </cell>
          <cell r="V5123">
            <v>119800</v>
          </cell>
        </row>
        <row r="5124">
          <cell r="B5124">
            <v>1971</v>
          </cell>
          <cell r="K5124" t="str">
            <v>JONES</v>
          </cell>
          <cell r="L5124" t="str">
            <v>Jones</v>
          </cell>
          <cell r="V5124">
            <v>128000</v>
          </cell>
        </row>
        <row r="5125">
          <cell r="B5125">
            <v>1971</v>
          </cell>
          <cell r="K5125" t="str">
            <v>LINN</v>
          </cell>
          <cell r="L5125" t="str">
            <v>Linn</v>
          </cell>
          <cell r="V5125">
            <v>156600</v>
          </cell>
        </row>
        <row r="5126">
          <cell r="B5126">
            <v>1971</v>
          </cell>
          <cell r="K5126" t="str">
            <v>MUSCATINE</v>
          </cell>
          <cell r="L5126" t="str">
            <v>Muscatine</v>
          </cell>
          <cell r="V5126">
            <v>83900</v>
          </cell>
        </row>
        <row r="5127">
          <cell r="B5127">
            <v>1971</v>
          </cell>
          <cell r="K5127" t="str">
            <v>SCOTT</v>
          </cell>
          <cell r="L5127" t="str">
            <v>Scott</v>
          </cell>
          <cell r="V5127">
            <v>114600</v>
          </cell>
        </row>
        <row r="5128">
          <cell r="B5128">
            <v>1971</v>
          </cell>
          <cell r="K5128" t="str">
            <v>BUTLER</v>
          </cell>
          <cell r="L5128" t="str">
            <v>Butler</v>
          </cell>
          <cell r="V5128">
            <v>149600</v>
          </cell>
        </row>
        <row r="5129">
          <cell r="B5129">
            <v>1971</v>
          </cell>
          <cell r="K5129" t="str">
            <v>CERRO GORDO</v>
          </cell>
          <cell r="L5129" t="str">
            <v>Cerro Gordo</v>
          </cell>
          <cell r="V5129">
            <v>147900</v>
          </cell>
        </row>
        <row r="5130">
          <cell r="B5130">
            <v>1971</v>
          </cell>
          <cell r="K5130" t="str">
            <v>FLOYD</v>
          </cell>
          <cell r="L5130" t="str">
            <v>Floyd</v>
          </cell>
          <cell r="V5130">
            <v>118600</v>
          </cell>
        </row>
        <row r="5131">
          <cell r="B5131">
            <v>1971</v>
          </cell>
          <cell r="K5131" t="str">
            <v>FRANKLIN</v>
          </cell>
          <cell r="L5131" t="str">
            <v>Franklin</v>
          </cell>
          <cell r="V5131">
            <v>156300</v>
          </cell>
        </row>
        <row r="5132">
          <cell r="B5132">
            <v>1971</v>
          </cell>
          <cell r="K5132" t="str">
            <v>HANCOCK</v>
          </cell>
          <cell r="L5132" t="str">
            <v>Hancock</v>
          </cell>
          <cell r="V5132">
            <v>146800</v>
          </cell>
        </row>
        <row r="5133">
          <cell r="B5133">
            <v>1971</v>
          </cell>
          <cell r="K5133" t="str">
            <v>HUMBOLDT</v>
          </cell>
          <cell r="L5133" t="str">
            <v>Humboldt</v>
          </cell>
          <cell r="V5133">
            <v>115900</v>
          </cell>
        </row>
        <row r="5134">
          <cell r="B5134">
            <v>1971</v>
          </cell>
          <cell r="K5134" t="str">
            <v>KOSSUTH</v>
          </cell>
          <cell r="L5134" t="str">
            <v>Kossuth</v>
          </cell>
          <cell r="V5134">
            <v>257200</v>
          </cell>
        </row>
        <row r="5135">
          <cell r="B5135">
            <v>1971</v>
          </cell>
          <cell r="K5135" t="str">
            <v>MITCHELL</v>
          </cell>
          <cell r="L5135" t="str">
            <v>Mitchell</v>
          </cell>
          <cell r="V5135">
            <v>116500</v>
          </cell>
        </row>
        <row r="5136">
          <cell r="B5136">
            <v>1971</v>
          </cell>
          <cell r="K5136" t="str">
            <v>WINNEBAGO</v>
          </cell>
          <cell r="L5136" t="str">
            <v>Winnebago</v>
          </cell>
          <cell r="V5136">
            <v>106100</v>
          </cell>
        </row>
        <row r="5137">
          <cell r="B5137">
            <v>1971</v>
          </cell>
          <cell r="K5137" t="str">
            <v>WORTH</v>
          </cell>
          <cell r="L5137" t="str">
            <v>Worth</v>
          </cell>
          <cell r="V5137">
            <v>102400</v>
          </cell>
        </row>
        <row r="5138">
          <cell r="B5138">
            <v>1971</v>
          </cell>
          <cell r="K5138" t="str">
            <v>WRIGHT</v>
          </cell>
          <cell r="L5138" t="str">
            <v>Wright</v>
          </cell>
          <cell r="V5138">
            <v>157000</v>
          </cell>
        </row>
        <row r="5139">
          <cell r="B5139">
            <v>1971</v>
          </cell>
          <cell r="K5139" t="str">
            <v>ALLAMAKEE</v>
          </cell>
          <cell r="L5139" t="str">
            <v>Allamakee</v>
          </cell>
          <cell r="V5139">
            <v>70700</v>
          </cell>
        </row>
        <row r="5140">
          <cell r="B5140">
            <v>1971</v>
          </cell>
          <cell r="K5140" t="str">
            <v>BLACK HAWK</v>
          </cell>
          <cell r="L5140" t="str">
            <v>Black Hawk</v>
          </cell>
          <cell r="V5140">
            <v>133800</v>
          </cell>
        </row>
        <row r="5141">
          <cell r="B5141">
            <v>1971</v>
          </cell>
          <cell r="K5141" t="str">
            <v>BREMER</v>
          </cell>
          <cell r="L5141" t="str">
            <v>Bremer</v>
          </cell>
          <cell r="V5141">
            <v>99700</v>
          </cell>
        </row>
        <row r="5142">
          <cell r="B5142">
            <v>1971</v>
          </cell>
          <cell r="K5142" t="str">
            <v>BUCHANAN</v>
          </cell>
          <cell r="L5142" t="str">
            <v>Buchanan</v>
          </cell>
          <cell r="V5142">
            <v>134900</v>
          </cell>
        </row>
        <row r="5143">
          <cell r="B5143">
            <v>1971</v>
          </cell>
          <cell r="K5143" t="str">
            <v>CHICKASAW</v>
          </cell>
          <cell r="L5143" t="str">
            <v>Chickasaw</v>
          </cell>
          <cell r="V5143">
            <v>103100</v>
          </cell>
        </row>
        <row r="5144">
          <cell r="B5144">
            <v>1971</v>
          </cell>
          <cell r="K5144" t="str">
            <v>CLAYTON</v>
          </cell>
          <cell r="L5144" t="str">
            <v>Clayton</v>
          </cell>
          <cell r="V5144">
            <v>124700</v>
          </cell>
        </row>
        <row r="5145">
          <cell r="B5145">
            <v>1971</v>
          </cell>
          <cell r="K5145" t="str">
            <v>DELAWARE</v>
          </cell>
          <cell r="L5145" t="str">
            <v>Delaware</v>
          </cell>
          <cell r="V5145">
            <v>139300</v>
          </cell>
        </row>
        <row r="5146">
          <cell r="B5146">
            <v>1971</v>
          </cell>
          <cell r="K5146" t="str">
            <v>DUBUQUE</v>
          </cell>
          <cell r="L5146" t="str">
            <v>Dubuque</v>
          </cell>
          <cell r="V5146">
            <v>110400</v>
          </cell>
        </row>
        <row r="5147">
          <cell r="B5147">
            <v>1971</v>
          </cell>
          <cell r="K5147" t="str">
            <v>FAYETTE</v>
          </cell>
          <cell r="L5147" t="str">
            <v>Fayette</v>
          </cell>
          <cell r="V5147">
            <v>148200</v>
          </cell>
        </row>
        <row r="5148">
          <cell r="B5148">
            <v>1971</v>
          </cell>
          <cell r="K5148" t="str">
            <v>HOWARD</v>
          </cell>
          <cell r="L5148" t="str">
            <v>Howard</v>
          </cell>
          <cell r="V5148">
            <v>88500</v>
          </cell>
        </row>
        <row r="5149">
          <cell r="B5149">
            <v>1971</v>
          </cell>
          <cell r="K5149" t="str">
            <v>WINNESHIEK</v>
          </cell>
          <cell r="L5149" t="str">
            <v>Winneshiek</v>
          </cell>
          <cell r="V5149">
            <v>116000</v>
          </cell>
        </row>
        <row r="5150">
          <cell r="B5150">
            <v>1971</v>
          </cell>
          <cell r="K5150" t="str">
            <v>BUENA VISTA</v>
          </cell>
          <cell r="L5150" t="str">
            <v>Buena Vista</v>
          </cell>
          <cell r="V5150">
            <v>159700</v>
          </cell>
        </row>
        <row r="5151">
          <cell r="B5151">
            <v>1971</v>
          </cell>
          <cell r="K5151" t="str">
            <v>CHEROKEE</v>
          </cell>
          <cell r="L5151" t="str">
            <v>Cherokee</v>
          </cell>
          <cell r="V5151">
            <v>152000</v>
          </cell>
        </row>
        <row r="5152">
          <cell r="B5152">
            <v>1971</v>
          </cell>
          <cell r="K5152" t="str">
            <v>CLAY</v>
          </cell>
          <cell r="L5152" t="str">
            <v>Clay</v>
          </cell>
          <cell r="V5152">
            <v>143700</v>
          </cell>
        </row>
        <row r="5153">
          <cell r="B5153">
            <v>1971</v>
          </cell>
          <cell r="K5153" t="str">
            <v>DICKINSON</v>
          </cell>
          <cell r="L5153" t="str">
            <v>Dickinson</v>
          </cell>
          <cell r="V5153">
            <v>95600</v>
          </cell>
        </row>
        <row r="5154">
          <cell r="B5154">
            <v>1971</v>
          </cell>
          <cell r="K5154" t="str">
            <v>EMMET</v>
          </cell>
          <cell r="L5154" t="str">
            <v>Emmet</v>
          </cell>
          <cell r="V5154">
            <v>108100</v>
          </cell>
        </row>
        <row r="5155">
          <cell r="B5155">
            <v>1971</v>
          </cell>
          <cell r="K5155" t="str">
            <v>LYON</v>
          </cell>
          <cell r="L5155" t="str">
            <v>Lyon</v>
          </cell>
          <cell r="V5155">
            <v>170900</v>
          </cell>
        </row>
        <row r="5156">
          <cell r="B5156">
            <v>1971</v>
          </cell>
          <cell r="K5156" t="str">
            <v>O BRIEN</v>
          </cell>
          <cell r="L5156" t="str">
            <v>O Brien</v>
          </cell>
          <cell r="V5156">
            <v>160000</v>
          </cell>
        </row>
        <row r="5157">
          <cell r="B5157">
            <v>1971</v>
          </cell>
          <cell r="K5157" t="str">
            <v>OSCEOLA</v>
          </cell>
          <cell r="L5157" t="str">
            <v>Osceola</v>
          </cell>
          <cell r="V5157">
            <v>110300</v>
          </cell>
        </row>
        <row r="5158">
          <cell r="B5158">
            <v>1971</v>
          </cell>
          <cell r="K5158" t="str">
            <v>PALO ALTO</v>
          </cell>
          <cell r="L5158" t="str">
            <v>Palo Alto</v>
          </cell>
          <cell r="V5158">
            <v>145100</v>
          </cell>
        </row>
        <row r="5159">
          <cell r="B5159">
            <v>1971</v>
          </cell>
          <cell r="K5159" t="str">
            <v>PLYMOUTH</v>
          </cell>
          <cell r="L5159" t="str">
            <v>Plymouth</v>
          </cell>
          <cell r="V5159">
            <v>245900</v>
          </cell>
        </row>
        <row r="5160">
          <cell r="B5160">
            <v>1971</v>
          </cell>
          <cell r="K5160" t="str">
            <v>POCAHONTAS</v>
          </cell>
          <cell r="L5160" t="str">
            <v>Pocahontas</v>
          </cell>
          <cell r="V5160">
            <v>147700</v>
          </cell>
        </row>
        <row r="5161">
          <cell r="B5161">
            <v>1971</v>
          </cell>
          <cell r="K5161" t="str">
            <v>SIOUX</v>
          </cell>
          <cell r="L5161" t="str">
            <v>Sioux</v>
          </cell>
          <cell r="V5161">
            <v>264800</v>
          </cell>
        </row>
        <row r="5162">
          <cell r="B5162">
            <v>1971</v>
          </cell>
          <cell r="K5162" t="str">
            <v>APPANOOSE</v>
          </cell>
          <cell r="L5162" t="str">
            <v>Appanoose</v>
          </cell>
          <cell r="V5162">
            <v>36900</v>
          </cell>
        </row>
        <row r="5163">
          <cell r="B5163">
            <v>1971</v>
          </cell>
          <cell r="K5163" t="str">
            <v>CLARKE</v>
          </cell>
          <cell r="L5163" t="str">
            <v>Clarke</v>
          </cell>
          <cell r="V5163">
            <v>38300</v>
          </cell>
        </row>
        <row r="5164">
          <cell r="B5164">
            <v>1971</v>
          </cell>
          <cell r="K5164" t="str">
            <v>DECATUR</v>
          </cell>
          <cell r="L5164" t="str">
            <v>Decatur</v>
          </cell>
          <cell r="V5164">
            <v>45100</v>
          </cell>
        </row>
        <row r="5165">
          <cell r="B5165">
            <v>1971</v>
          </cell>
          <cell r="K5165" t="str">
            <v>LUCAS</v>
          </cell>
          <cell r="L5165" t="str">
            <v>Lucas</v>
          </cell>
          <cell r="V5165">
            <v>46200</v>
          </cell>
        </row>
        <row r="5166">
          <cell r="B5166">
            <v>1971</v>
          </cell>
          <cell r="K5166" t="str">
            <v>MADISON</v>
          </cell>
          <cell r="L5166" t="str">
            <v>Madison</v>
          </cell>
          <cell r="V5166">
            <v>79300</v>
          </cell>
        </row>
        <row r="5167">
          <cell r="B5167">
            <v>1971</v>
          </cell>
          <cell r="K5167" t="str">
            <v>MARION</v>
          </cell>
          <cell r="L5167" t="str">
            <v>Marion</v>
          </cell>
          <cell r="V5167">
            <v>90300</v>
          </cell>
        </row>
        <row r="5168">
          <cell r="B5168">
            <v>1971</v>
          </cell>
          <cell r="K5168" t="str">
            <v>MONROE</v>
          </cell>
          <cell r="L5168" t="str">
            <v>Monroe</v>
          </cell>
          <cell r="V5168">
            <v>36400</v>
          </cell>
        </row>
        <row r="5169">
          <cell r="B5169">
            <v>1971</v>
          </cell>
          <cell r="K5169" t="str">
            <v>RINGGOLD</v>
          </cell>
          <cell r="L5169" t="str">
            <v>Ringgold</v>
          </cell>
          <cell r="V5169">
            <v>55600</v>
          </cell>
        </row>
        <row r="5170">
          <cell r="B5170">
            <v>1971</v>
          </cell>
          <cell r="K5170" t="str">
            <v>UNION</v>
          </cell>
          <cell r="L5170" t="str">
            <v>Union</v>
          </cell>
          <cell r="V5170">
            <v>49800</v>
          </cell>
        </row>
        <row r="5171">
          <cell r="B5171">
            <v>1971</v>
          </cell>
          <cell r="K5171" t="str">
            <v>WARREN</v>
          </cell>
          <cell r="L5171" t="str">
            <v>Warren</v>
          </cell>
          <cell r="V5171">
            <v>78900</v>
          </cell>
        </row>
        <row r="5172">
          <cell r="B5172">
            <v>1971</v>
          </cell>
          <cell r="K5172" t="str">
            <v>WAYNE</v>
          </cell>
          <cell r="L5172" t="str">
            <v>Wayne</v>
          </cell>
          <cell r="V5172">
            <v>60400</v>
          </cell>
        </row>
        <row r="5173">
          <cell r="B5173">
            <v>1971</v>
          </cell>
          <cell r="K5173" t="str">
            <v>DAVIS</v>
          </cell>
          <cell r="L5173" t="str">
            <v>Davis</v>
          </cell>
          <cell r="V5173">
            <v>50100</v>
          </cell>
        </row>
        <row r="5174">
          <cell r="B5174">
            <v>1971</v>
          </cell>
          <cell r="K5174" t="str">
            <v>DES MOINES</v>
          </cell>
          <cell r="L5174" t="str">
            <v>Des Moines</v>
          </cell>
          <cell r="V5174">
            <v>73400</v>
          </cell>
        </row>
        <row r="5175">
          <cell r="B5175">
            <v>1971</v>
          </cell>
          <cell r="K5175" t="str">
            <v>HENRY</v>
          </cell>
          <cell r="L5175" t="str">
            <v>Henry</v>
          </cell>
          <cell r="V5175">
            <v>88500</v>
          </cell>
        </row>
        <row r="5176">
          <cell r="B5176">
            <v>1971</v>
          </cell>
          <cell r="K5176" t="str">
            <v>JEFFERSON</v>
          </cell>
          <cell r="L5176" t="str">
            <v>Jefferson</v>
          </cell>
          <cell r="V5176">
            <v>67200</v>
          </cell>
        </row>
        <row r="5177">
          <cell r="B5177">
            <v>1971</v>
          </cell>
          <cell r="K5177" t="str">
            <v>KEOKUK</v>
          </cell>
          <cell r="L5177" t="str">
            <v>Keokuk</v>
          </cell>
          <cell r="V5177">
            <v>109000</v>
          </cell>
        </row>
        <row r="5178">
          <cell r="B5178">
            <v>1971</v>
          </cell>
          <cell r="K5178" t="str">
            <v>LEE</v>
          </cell>
          <cell r="L5178" t="str">
            <v>Lee</v>
          </cell>
          <cell r="V5178">
            <v>93500</v>
          </cell>
        </row>
        <row r="5179">
          <cell r="B5179">
            <v>1971</v>
          </cell>
          <cell r="K5179" t="str">
            <v>LOUISA</v>
          </cell>
          <cell r="L5179" t="str">
            <v>Louisa</v>
          </cell>
          <cell r="V5179">
            <v>82000</v>
          </cell>
        </row>
        <row r="5180">
          <cell r="B5180">
            <v>1971</v>
          </cell>
          <cell r="K5180" t="str">
            <v>MAHASKA</v>
          </cell>
          <cell r="L5180" t="str">
            <v>Mahaska</v>
          </cell>
          <cell r="V5180">
            <v>120600</v>
          </cell>
        </row>
        <row r="5181">
          <cell r="B5181">
            <v>1971</v>
          </cell>
          <cell r="K5181" t="str">
            <v>VAN BUREN</v>
          </cell>
          <cell r="L5181" t="str">
            <v>Van Buren</v>
          </cell>
          <cell r="V5181">
            <v>51800</v>
          </cell>
        </row>
        <row r="5182">
          <cell r="B5182">
            <v>1971</v>
          </cell>
          <cell r="K5182" t="str">
            <v>WAPELLO</v>
          </cell>
          <cell r="L5182" t="str">
            <v>Wapello</v>
          </cell>
          <cell r="V5182">
            <v>54400</v>
          </cell>
        </row>
        <row r="5183">
          <cell r="B5183">
            <v>1971</v>
          </cell>
          <cell r="K5183" t="str">
            <v>WASHINGTON</v>
          </cell>
          <cell r="L5183" t="str">
            <v>Washington</v>
          </cell>
          <cell r="V5183">
            <v>124100</v>
          </cell>
        </row>
        <row r="5184">
          <cell r="B5184">
            <v>1971</v>
          </cell>
          <cell r="K5184" t="str">
            <v>ADAIR</v>
          </cell>
          <cell r="L5184" t="str">
            <v>Adair</v>
          </cell>
          <cell r="V5184">
            <v>95700</v>
          </cell>
        </row>
        <row r="5185">
          <cell r="B5185">
            <v>1971</v>
          </cell>
          <cell r="K5185" t="str">
            <v>ADAMS</v>
          </cell>
          <cell r="L5185" t="str">
            <v>Adams</v>
          </cell>
          <cell r="V5185">
            <v>65100</v>
          </cell>
        </row>
        <row r="5186">
          <cell r="B5186">
            <v>1971</v>
          </cell>
          <cell r="K5186" t="str">
            <v>CASS</v>
          </cell>
          <cell r="L5186" t="str">
            <v>Cass</v>
          </cell>
          <cell r="V5186">
            <v>131100</v>
          </cell>
        </row>
        <row r="5187">
          <cell r="B5187">
            <v>1971</v>
          </cell>
          <cell r="K5187" t="str">
            <v>FREMONT</v>
          </cell>
          <cell r="L5187" t="str">
            <v>Fremont</v>
          </cell>
          <cell r="V5187">
            <v>120500</v>
          </cell>
        </row>
        <row r="5188">
          <cell r="B5188">
            <v>1971</v>
          </cell>
          <cell r="K5188" t="str">
            <v>MILLS</v>
          </cell>
          <cell r="L5188" t="str">
            <v>Mills</v>
          </cell>
          <cell r="V5188">
            <v>96800</v>
          </cell>
        </row>
        <row r="5189">
          <cell r="B5189">
            <v>1971</v>
          </cell>
          <cell r="K5189" t="str">
            <v>MONTGOMERY</v>
          </cell>
          <cell r="L5189" t="str">
            <v>Montgomery</v>
          </cell>
          <cell r="V5189">
            <v>93800</v>
          </cell>
        </row>
        <row r="5190">
          <cell r="B5190">
            <v>1971</v>
          </cell>
          <cell r="K5190" t="str">
            <v>PAGE</v>
          </cell>
          <cell r="L5190" t="str">
            <v>Page</v>
          </cell>
          <cell r="V5190">
            <v>104100</v>
          </cell>
        </row>
        <row r="5191">
          <cell r="B5191">
            <v>1971</v>
          </cell>
          <cell r="K5191" t="str">
            <v>POTTAWATTAMIE</v>
          </cell>
          <cell r="L5191" t="str">
            <v>Pottawattamie</v>
          </cell>
          <cell r="V5191">
            <v>238700</v>
          </cell>
        </row>
        <row r="5192">
          <cell r="B5192">
            <v>1971</v>
          </cell>
          <cell r="K5192" t="str">
            <v>TAYLOR</v>
          </cell>
          <cell r="L5192" t="str">
            <v>Taylor</v>
          </cell>
          <cell r="V5192">
            <v>65400</v>
          </cell>
        </row>
        <row r="5193">
          <cell r="B5193">
            <v>1971</v>
          </cell>
          <cell r="K5193" t="str">
            <v>AUDUBON</v>
          </cell>
          <cell r="L5193" t="str">
            <v>Audubon</v>
          </cell>
          <cell r="V5193">
            <v>112000</v>
          </cell>
        </row>
        <row r="5194">
          <cell r="B5194">
            <v>1971</v>
          </cell>
          <cell r="K5194" t="str">
            <v>CALHOUN</v>
          </cell>
          <cell r="L5194" t="str">
            <v>Calhoun</v>
          </cell>
          <cell r="V5194">
            <v>142300</v>
          </cell>
        </row>
        <row r="5195">
          <cell r="B5195">
            <v>1971</v>
          </cell>
          <cell r="K5195" t="str">
            <v>CARROLL</v>
          </cell>
          <cell r="L5195" t="str">
            <v>Carroll</v>
          </cell>
          <cell r="V5195">
            <v>168700</v>
          </cell>
        </row>
        <row r="5196">
          <cell r="B5196">
            <v>1971</v>
          </cell>
          <cell r="K5196" t="str">
            <v>CRAWFORD</v>
          </cell>
          <cell r="L5196" t="str">
            <v>Crawford</v>
          </cell>
          <cell r="V5196">
            <v>169700</v>
          </cell>
        </row>
        <row r="5197">
          <cell r="B5197">
            <v>1971</v>
          </cell>
          <cell r="K5197" t="str">
            <v>GREENE</v>
          </cell>
          <cell r="L5197" t="str">
            <v>Greene</v>
          </cell>
          <cell r="V5197">
            <v>149100</v>
          </cell>
        </row>
        <row r="5198">
          <cell r="B5198">
            <v>1971</v>
          </cell>
          <cell r="K5198" t="str">
            <v>GUTHRIE</v>
          </cell>
          <cell r="L5198" t="str">
            <v>Guthrie</v>
          </cell>
          <cell r="V5198">
            <v>101300</v>
          </cell>
        </row>
        <row r="5199">
          <cell r="B5199">
            <v>1971</v>
          </cell>
          <cell r="K5199" t="str">
            <v>HARRISON</v>
          </cell>
          <cell r="L5199" t="str">
            <v>Harrison</v>
          </cell>
          <cell r="V5199">
            <v>164700</v>
          </cell>
        </row>
        <row r="5200">
          <cell r="B5200">
            <v>1971</v>
          </cell>
          <cell r="K5200" t="str">
            <v>IDA</v>
          </cell>
          <cell r="L5200" t="str">
            <v>Ida</v>
          </cell>
          <cell r="V5200">
            <v>122600</v>
          </cell>
        </row>
        <row r="5201">
          <cell r="B5201">
            <v>1971</v>
          </cell>
          <cell r="K5201" t="str">
            <v>MONONA</v>
          </cell>
          <cell r="L5201" t="str">
            <v>Monona</v>
          </cell>
          <cell r="V5201">
            <v>169200</v>
          </cell>
        </row>
        <row r="5202">
          <cell r="B5202">
            <v>1971</v>
          </cell>
          <cell r="K5202" t="str">
            <v>SAC</v>
          </cell>
          <cell r="L5202" t="str">
            <v>Sac</v>
          </cell>
          <cell r="V5202">
            <v>170100</v>
          </cell>
        </row>
        <row r="5203">
          <cell r="B5203">
            <v>1971</v>
          </cell>
          <cell r="K5203" t="str">
            <v>SHELBY</v>
          </cell>
          <cell r="L5203" t="str">
            <v>Shelby</v>
          </cell>
          <cell r="V5203">
            <v>165500</v>
          </cell>
        </row>
        <row r="5204">
          <cell r="B5204">
            <v>1971</v>
          </cell>
          <cell r="K5204" t="str">
            <v>WOODBURY</v>
          </cell>
          <cell r="L5204" t="str">
            <v>Woodbury</v>
          </cell>
          <cell r="V5204">
            <v>223500</v>
          </cell>
        </row>
        <row r="5205">
          <cell r="B5205">
            <v>1970</v>
          </cell>
          <cell r="K5205" t="str">
            <v>BOONE</v>
          </cell>
          <cell r="L5205" t="str">
            <v>Boone</v>
          </cell>
          <cell r="V5205">
            <v>122600</v>
          </cell>
        </row>
        <row r="5206">
          <cell r="B5206">
            <v>1970</v>
          </cell>
          <cell r="K5206" t="str">
            <v>DALLAS</v>
          </cell>
          <cell r="L5206" t="str">
            <v>Dallas</v>
          </cell>
          <cell r="V5206">
            <v>121900</v>
          </cell>
        </row>
        <row r="5207">
          <cell r="B5207">
            <v>1970</v>
          </cell>
          <cell r="K5207" t="str">
            <v>GRUNDY</v>
          </cell>
          <cell r="L5207" t="str">
            <v>Grundy</v>
          </cell>
          <cell r="V5207">
            <v>134500</v>
          </cell>
        </row>
        <row r="5208">
          <cell r="B5208">
            <v>1970</v>
          </cell>
          <cell r="K5208" t="str">
            <v>HAMILTON</v>
          </cell>
          <cell r="L5208" t="str">
            <v>Hamilton</v>
          </cell>
          <cell r="V5208">
            <v>140500</v>
          </cell>
        </row>
        <row r="5209">
          <cell r="B5209">
            <v>1970</v>
          </cell>
          <cell r="K5209" t="str">
            <v>HARDIN</v>
          </cell>
          <cell r="L5209" t="str">
            <v>Hardin</v>
          </cell>
          <cell r="V5209">
            <v>135300</v>
          </cell>
        </row>
        <row r="5210">
          <cell r="B5210">
            <v>1970</v>
          </cell>
          <cell r="K5210" t="str">
            <v>JASPER</v>
          </cell>
          <cell r="L5210" t="str">
            <v>Jasper</v>
          </cell>
          <cell r="V5210">
            <v>144000</v>
          </cell>
        </row>
        <row r="5211">
          <cell r="B5211">
            <v>1970</v>
          </cell>
          <cell r="K5211" t="str">
            <v>MARSHALL</v>
          </cell>
          <cell r="L5211" t="str">
            <v>Marshall</v>
          </cell>
          <cell r="V5211">
            <v>136800</v>
          </cell>
        </row>
        <row r="5212">
          <cell r="B5212">
            <v>1970</v>
          </cell>
          <cell r="K5212" t="str">
            <v>POLK</v>
          </cell>
          <cell r="L5212" t="str">
            <v>Polk</v>
          </cell>
          <cell r="V5212">
            <v>97400</v>
          </cell>
        </row>
        <row r="5213">
          <cell r="B5213">
            <v>1970</v>
          </cell>
          <cell r="K5213" t="str">
            <v>POWESHIEK</v>
          </cell>
          <cell r="L5213" t="str">
            <v>Poweshiek</v>
          </cell>
          <cell r="V5213">
            <v>96100</v>
          </cell>
        </row>
        <row r="5214">
          <cell r="B5214">
            <v>1970</v>
          </cell>
          <cell r="K5214" t="str">
            <v>STORY</v>
          </cell>
          <cell r="L5214" t="str">
            <v>Story</v>
          </cell>
          <cell r="V5214">
            <v>131800</v>
          </cell>
        </row>
        <row r="5215">
          <cell r="B5215">
            <v>1970</v>
          </cell>
          <cell r="K5215" t="str">
            <v>TAMA</v>
          </cell>
          <cell r="L5215" t="str">
            <v>Tama</v>
          </cell>
          <cell r="V5215">
            <v>147900</v>
          </cell>
        </row>
        <row r="5216">
          <cell r="B5216">
            <v>1970</v>
          </cell>
          <cell r="K5216" t="str">
            <v>WEBSTER</v>
          </cell>
          <cell r="L5216" t="str">
            <v>Webster</v>
          </cell>
          <cell r="V5216">
            <v>142600</v>
          </cell>
        </row>
        <row r="5217">
          <cell r="B5217">
            <v>1970</v>
          </cell>
          <cell r="K5217" t="str">
            <v>BENTON</v>
          </cell>
          <cell r="L5217" t="str">
            <v>Benton</v>
          </cell>
          <cell r="V5217">
            <v>154200</v>
          </cell>
        </row>
        <row r="5218">
          <cell r="B5218">
            <v>1970</v>
          </cell>
          <cell r="K5218" t="str">
            <v>CEDAR</v>
          </cell>
          <cell r="L5218" t="str">
            <v>Cedar</v>
          </cell>
          <cell r="V5218">
            <v>143200</v>
          </cell>
        </row>
        <row r="5219">
          <cell r="B5219">
            <v>1970</v>
          </cell>
          <cell r="K5219" t="str">
            <v>CLINTON</v>
          </cell>
          <cell r="L5219" t="str">
            <v>Clinton</v>
          </cell>
          <cell r="V5219">
            <v>173500</v>
          </cell>
        </row>
        <row r="5220">
          <cell r="B5220">
            <v>1970</v>
          </cell>
          <cell r="K5220" t="str">
            <v>IOWA</v>
          </cell>
          <cell r="L5220" t="str">
            <v>Iowa</v>
          </cell>
          <cell r="V5220">
            <v>96700</v>
          </cell>
        </row>
        <row r="5221">
          <cell r="B5221">
            <v>1970</v>
          </cell>
          <cell r="K5221" t="str">
            <v>JACKSON</v>
          </cell>
          <cell r="L5221" t="str">
            <v>Jackson</v>
          </cell>
          <cell r="V5221">
            <v>90100</v>
          </cell>
        </row>
        <row r="5222">
          <cell r="B5222">
            <v>1970</v>
          </cell>
          <cell r="K5222" t="str">
            <v>JOHNSON</v>
          </cell>
          <cell r="L5222" t="str">
            <v>Johnson</v>
          </cell>
          <cell r="V5222">
            <v>107200</v>
          </cell>
        </row>
        <row r="5223">
          <cell r="B5223">
            <v>1970</v>
          </cell>
          <cell r="K5223" t="str">
            <v>JONES</v>
          </cell>
          <cell r="L5223" t="str">
            <v>Jones</v>
          </cell>
          <cell r="V5223">
            <v>117900</v>
          </cell>
        </row>
        <row r="5224">
          <cell r="B5224">
            <v>1970</v>
          </cell>
          <cell r="K5224" t="str">
            <v>LINN</v>
          </cell>
          <cell r="L5224" t="str">
            <v>Linn</v>
          </cell>
          <cell r="V5224">
            <v>135200</v>
          </cell>
        </row>
        <row r="5225">
          <cell r="B5225">
            <v>1970</v>
          </cell>
          <cell r="K5225" t="str">
            <v>MUSCATINE</v>
          </cell>
          <cell r="L5225" t="str">
            <v>Muscatine</v>
          </cell>
          <cell r="V5225">
            <v>82600</v>
          </cell>
        </row>
        <row r="5226">
          <cell r="B5226">
            <v>1970</v>
          </cell>
          <cell r="K5226" t="str">
            <v>SCOTT</v>
          </cell>
          <cell r="L5226" t="str">
            <v>Scott</v>
          </cell>
          <cell r="V5226">
            <v>115800</v>
          </cell>
        </row>
        <row r="5227">
          <cell r="B5227">
            <v>1970</v>
          </cell>
          <cell r="K5227" t="str">
            <v>BUTLER</v>
          </cell>
          <cell r="L5227" t="str">
            <v>Butler</v>
          </cell>
          <cell r="V5227">
            <v>130700</v>
          </cell>
        </row>
        <row r="5228">
          <cell r="B5228">
            <v>1970</v>
          </cell>
          <cell r="K5228" t="str">
            <v>CERRO GORDO</v>
          </cell>
          <cell r="L5228" t="str">
            <v>Cerro Gordo</v>
          </cell>
          <cell r="V5228">
            <v>120800</v>
          </cell>
        </row>
        <row r="5229">
          <cell r="B5229">
            <v>1970</v>
          </cell>
          <cell r="K5229" t="str">
            <v>FLOYD</v>
          </cell>
          <cell r="L5229" t="str">
            <v>Floyd</v>
          </cell>
          <cell r="V5229">
            <v>102300</v>
          </cell>
        </row>
        <row r="5230">
          <cell r="B5230">
            <v>1970</v>
          </cell>
          <cell r="K5230" t="str">
            <v>FRANKLIN</v>
          </cell>
          <cell r="L5230" t="str">
            <v>Franklin</v>
          </cell>
          <cell r="V5230">
            <v>133800</v>
          </cell>
        </row>
        <row r="5231">
          <cell r="B5231">
            <v>1970</v>
          </cell>
          <cell r="K5231" t="str">
            <v>HANCOCK</v>
          </cell>
          <cell r="L5231" t="str">
            <v>Hancock</v>
          </cell>
          <cell r="V5231">
            <v>127400</v>
          </cell>
        </row>
        <row r="5232">
          <cell r="B5232">
            <v>1970</v>
          </cell>
          <cell r="K5232" t="str">
            <v>HUMBOLDT</v>
          </cell>
          <cell r="L5232" t="str">
            <v>Humboldt</v>
          </cell>
          <cell r="V5232">
            <v>102200</v>
          </cell>
        </row>
        <row r="5233">
          <cell r="B5233">
            <v>1970</v>
          </cell>
          <cell r="K5233" t="str">
            <v>KOSSUTH</v>
          </cell>
          <cell r="L5233" t="str">
            <v>Kossuth</v>
          </cell>
          <cell r="V5233">
            <v>224400</v>
          </cell>
        </row>
        <row r="5234">
          <cell r="B5234">
            <v>1970</v>
          </cell>
          <cell r="K5234" t="str">
            <v>MITCHELL</v>
          </cell>
          <cell r="L5234" t="str">
            <v>Mitchell</v>
          </cell>
          <cell r="V5234">
            <v>98000</v>
          </cell>
        </row>
        <row r="5235">
          <cell r="B5235">
            <v>1970</v>
          </cell>
          <cell r="K5235" t="str">
            <v>WINNEBAGO</v>
          </cell>
          <cell r="L5235" t="str">
            <v>Winnebago</v>
          </cell>
          <cell r="V5235">
            <v>81000</v>
          </cell>
        </row>
        <row r="5236">
          <cell r="B5236">
            <v>1970</v>
          </cell>
          <cell r="K5236" t="str">
            <v>WORTH</v>
          </cell>
          <cell r="L5236" t="str">
            <v>Worth</v>
          </cell>
          <cell r="V5236">
            <v>78900</v>
          </cell>
        </row>
        <row r="5237">
          <cell r="B5237">
            <v>1970</v>
          </cell>
          <cell r="K5237" t="str">
            <v>WRIGHT</v>
          </cell>
          <cell r="L5237" t="str">
            <v>Wright</v>
          </cell>
          <cell r="V5237">
            <v>134400</v>
          </cell>
        </row>
        <row r="5238">
          <cell r="B5238">
            <v>1970</v>
          </cell>
          <cell r="K5238" t="str">
            <v>ALLAMAKEE</v>
          </cell>
          <cell r="L5238" t="str">
            <v>Allamakee</v>
          </cell>
          <cell r="V5238">
            <v>62400</v>
          </cell>
        </row>
        <row r="5239">
          <cell r="B5239">
            <v>1970</v>
          </cell>
          <cell r="K5239" t="str">
            <v>BLACK HAWK</v>
          </cell>
          <cell r="L5239" t="str">
            <v>Black Hawk</v>
          </cell>
          <cell r="V5239">
            <v>117900</v>
          </cell>
        </row>
        <row r="5240">
          <cell r="B5240">
            <v>1970</v>
          </cell>
          <cell r="K5240" t="str">
            <v>BREMER</v>
          </cell>
          <cell r="L5240" t="str">
            <v>Bremer</v>
          </cell>
          <cell r="V5240">
            <v>86700</v>
          </cell>
        </row>
        <row r="5241">
          <cell r="B5241">
            <v>1970</v>
          </cell>
          <cell r="K5241" t="str">
            <v>BUCHANAN</v>
          </cell>
          <cell r="L5241" t="str">
            <v>Buchanan</v>
          </cell>
          <cell r="V5241">
            <v>115600</v>
          </cell>
        </row>
        <row r="5242">
          <cell r="B5242">
            <v>1970</v>
          </cell>
          <cell r="K5242" t="str">
            <v>CHICKASAW</v>
          </cell>
          <cell r="L5242" t="str">
            <v>Chickasaw</v>
          </cell>
          <cell r="V5242">
            <v>87300</v>
          </cell>
        </row>
        <row r="5243">
          <cell r="B5243">
            <v>1970</v>
          </cell>
          <cell r="K5243" t="str">
            <v>CLAYTON</v>
          </cell>
          <cell r="L5243" t="str">
            <v>Clayton</v>
          </cell>
          <cell r="V5243">
            <v>117400</v>
          </cell>
        </row>
        <row r="5244">
          <cell r="B5244">
            <v>1970</v>
          </cell>
          <cell r="K5244" t="str">
            <v>DELAWARE</v>
          </cell>
          <cell r="L5244" t="str">
            <v>Delaware</v>
          </cell>
          <cell r="V5244">
            <v>129000</v>
          </cell>
        </row>
        <row r="5245">
          <cell r="B5245">
            <v>1970</v>
          </cell>
          <cell r="K5245" t="str">
            <v>DUBUQUE</v>
          </cell>
          <cell r="L5245" t="str">
            <v>Dubuque</v>
          </cell>
          <cell r="V5245">
            <v>102900</v>
          </cell>
        </row>
        <row r="5246">
          <cell r="B5246">
            <v>1970</v>
          </cell>
          <cell r="K5246" t="str">
            <v>FAYETTE</v>
          </cell>
          <cell r="L5246" t="str">
            <v>Fayette</v>
          </cell>
          <cell r="V5246">
            <v>134000</v>
          </cell>
        </row>
        <row r="5247">
          <cell r="B5247">
            <v>1970</v>
          </cell>
          <cell r="K5247" t="str">
            <v>HOWARD</v>
          </cell>
          <cell r="L5247" t="str">
            <v>Howard</v>
          </cell>
          <cell r="V5247">
            <v>71000</v>
          </cell>
        </row>
        <row r="5248">
          <cell r="B5248">
            <v>1970</v>
          </cell>
          <cell r="K5248" t="str">
            <v>WINNESHIEK</v>
          </cell>
          <cell r="L5248" t="str">
            <v>Winneshiek</v>
          </cell>
          <cell r="V5248">
            <v>108600</v>
          </cell>
        </row>
        <row r="5249">
          <cell r="B5249">
            <v>1970</v>
          </cell>
          <cell r="K5249" t="str">
            <v>BUENA VISTA</v>
          </cell>
          <cell r="L5249" t="str">
            <v>Buena Vista</v>
          </cell>
          <cell r="V5249">
            <v>145600</v>
          </cell>
        </row>
        <row r="5250">
          <cell r="B5250">
            <v>1970</v>
          </cell>
          <cell r="K5250" t="str">
            <v>CHEROKEE</v>
          </cell>
          <cell r="L5250" t="str">
            <v>Cherokee</v>
          </cell>
          <cell r="V5250">
            <v>137700</v>
          </cell>
        </row>
        <row r="5251">
          <cell r="B5251">
            <v>1970</v>
          </cell>
          <cell r="K5251" t="str">
            <v>CLAY</v>
          </cell>
          <cell r="L5251" t="str">
            <v>Clay</v>
          </cell>
          <cell r="V5251">
            <v>125800</v>
          </cell>
        </row>
        <row r="5252">
          <cell r="B5252">
            <v>1970</v>
          </cell>
          <cell r="K5252" t="str">
            <v>DICKINSON</v>
          </cell>
          <cell r="L5252" t="str">
            <v>Dickinson</v>
          </cell>
          <cell r="V5252">
            <v>80000</v>
          </cell>
        </row>
        <row r="5253">
          <cell r="B5253">
            <v>1970</v>
          </cell>
          <cell r="K5253" t="str">
            <v>EMMET</v>
          </cell>
          <cell r="L5253" t="str">
            <v>Emmet</v>
          </cell>
          <cell r="V5253">
            <v>88800</v>
          </cell>
        </row>
        <row r="5254">
          <cell r="B5254">
            <v>1970</v>
          </cell>
          <cell r="K5254" t="str">
            <v>LYON</v>
          </cell>
          <cell r="L5254" t="str">
            <v>Lyon</v>
          </cell>
          <cell r="V5254">
            <v>149400</v>
          </cell>
        </row>
        <row r="5255">
          <cell r="B5255">
            <v>1970</v>
          </cell>
          <cell r="K5255" t="str">
            <v>O BRIEN</v>
          </cell>
          <cell r="L5255" t="str">
            <v>O Brien</v>
          </cell>
          <cell r="V5255">
            <v>147800</v>
          </cell>
        </row>
        <row r="5256">
          <cell r="B5256">
            <v>1970</v>
          </cell>
          <cell r="K5256" t="str">
            <v>OSCEOLA</v>
          </cell>
          <cell r="L5256" t="str">
            <v>Osceola</v>
          </cell>
          <cell r="V5256">
            <v>95900</v>
          </cell>
        </row>
        <row r="5257">
          <cell r="B5257">
            <v>1970</v>
          </cell>
          <cell r="K5257" t="str">
            <v>PALO ALTO</v>
          </cell>
          <cell r="L5257" t="str">
            <v>Palo Alto</v>
          </cell>
          <cell r="V5257">
            <v>127900</v>
          </cell>
        </row>
        <row r="5258">
          <cell r="B5258">
            <v>1970</v>
          </cell>
          <cell r="K5258" t="str">
            <v>PLYMOUTH</v>
          </cell>
          <cell r="L5258" t="str">
            <v>Plymouth</v>
          </cell>
          <cell r="V5258">
            <v>215300</v>
          </cell>
        </row>
        <row r="5259">
          <cell r="B5259">
            <v>1970</v>
          </cell>
          <cell r="K5259" t="str">
            <v>POCAHONTAS</v>
          </cell>
          <cell r="L5259" t="str">
            <v>Pocahontas</v>
          </cell>
          <cell r="V5259">
            <v>130300</v>
          </cell>
        </row>
        <row r="5260">
          <cell r="B5260">
            <v>1970</v>
          </cell>
          <cell r="K5260" t="str">
            <v>SIOUX</v>
          </cell>
          <cell r="L5260" t="str">
            <v>Sioux</v>
          </cell>
          <cell r="V5260">
            <v>237500</v>
          </cell>
        </row>
        <row r="5261">
          <cell r="B5261">
            <v>1970</v>
          </cell>
          <cell r="K5261" t="str">
            <v>APPANOOSE</v>
          </cell>
          <cell r="L5261" t="str">
            <v>Appanoose</v>
          </cell>
          <cell r="V5261">
            <v>35500</v>
          </cell>
        </row>
        <row r="5262">
          <cell r="B5262">
            <v>1970</v>
          </cell>
          <cell r="K5262" t="str">
            <v>CLARKE</v>
          </cell>
          <cell r="L5262" t="str">
            <v>Clarke</v>
          </cell>
          <cell r="V5262">
            <v>33800</v>
          </cell>
        </row>
        <row r="5263">
          <cell r="B5263">
            <v>1970</v>
          </cell>
          <cell r="K5263" t="str">
            <v>DECATUR</v>
          </cell>
          <cell r="L5263" t="str">
            <v>Decatur</v>
          </cell>
          <cell r="V5263">
            <v>40700</v>
          </cell>
        </row>
        <row r="5264">
          <cell r="B5264">
            <v>1970</v>
          </cell>
          <cell r="K5264" t="str">
            <v>LUCAS</v>
          </cell>
          <cell r="L5264" t="str">
            <v>Lucas</v>
          </cell>
          <cell r="V5264">
            <v>38000</v>
          </cell>
        </row>
        <row r="5265">
          <cell r="B5265">
            <v>1970</v>
          </cell>
          <cell r="K5265" t="str">
            <v>MADISON</v>
          </cell>
          <cell r="L5265" t="str">
            <v>Madison</v>
          </cell>
          <cell r="V5265">
            <v>70700</v>
          </cell>
        </row>
        <row r="5266">
          <cell r="B5266">
            <v>1970</v>
          </cell>
          <cell r="K5266" t="str">
            <v>MARION</v>
          </cell>
          <cell r="L5266" t="str">
            <v>Marion</v>
          </cell>
          <cell r="V5266">
            <v>74800</v>
          </cell>
        </row>
        <row r="5267">
          <cell r="B5267">
            <v>1970</v>
          </cell>
          <cell r="K5267" t="str">
            <v>MONROE</v>
          </cell>
          <cell r="L5267" t="str">
            <v>Monroe</v>
          </cell>
          <cell r="V5267">
            <v>31300</v>
          </cell>
        </row>
        <row r="5268">
          <cell r="B5268">
            <v>1970</v>
          </cell>
          <cell r="K5268" t="str">
            <v>RINGGOLD</v>
          </cell>
          <cell r="L5268" t="str">
            <v>Ringgold</v>
          </cell>
          <cell r="V5268">
            <v>50300</v>
          </cell>
        </row>
        <row r="5269">
          <cell r="B5269">
            <v>1970</v>
          </cell>
          <cell r="K5269" t="str">
            <v>UNION</v>
          </cell>
          <cell r="L5269" t="str">
            <v>Union</v>
          </cell>
          <cell r="V5269">
            <v>44500</v>
          </cell>
        </row>
        <row r="5270">
          <cell r="B5270">
            <v>1970</v>
          </cell>
          <cell r="K5270" t="str">
            <v>WARREN</v>
          </cell>
          <cell r="L5270" t="str">
            <v>Warren</v>
          </cell>
          <cell r="V5270">
            <v>68600</v>
          </cell>
        </row>
        <row r="5271">
          <cell r="B5271">
            <v>1970</v>
          </cell>
          <cell r="K5271" t="str">
            <v>WAYNE</v>
          </cell>
          <cell r="L5271" t="str">
            <v>Wayne</v>
          </cell>
          <cell r="V5271">
            <v>53800</v>
          </cell>
        </row>
        <row r="5272">
          <cell r="B5272">
            <v>1970</v>
          </cell>
          <cell r="K5272" t="str">
            <v>DAVIS</v>
          </cell>
          <cell r="L5272" t="str">
            <v>Davis</v>
          </cell>
          <cell r="V5272">
            <v>47000</v>
          </cell>
        </row>
        <row r="5273">
          <cell r="B5273">
            <v>1970</v>
          </cell>
          <cell r="K5273" t="str">
            <v>DES MOINES</v>
          </cell>
          <cell r="L5273" t="str">
            <v>Des Moines</v>
          </cell>
          <cell r="V5273">
            <v>67100</v>
          </cell>
        </row>
        <row r="5274">
          <cell r="B5274">
            <v>1970</v>
          </cell>
          <cell r="K5274" t="str">
            <v>HENRY</v>
          </cell>
          <cell r="L5274" t="str">
            <v>Henry</v>
          </cell>
          <cell r="V5274">
            <v>81100</v>
          </cell>
        </row>
        <row r="5275">
          <cell r="B5275">
            <v>1970</v>
          </cell>
          <cell r="K5275" t="str">
            <v>JEFFERSON</v>
          </cell>
          <cell r="L5275" t="str">
            <v>Jefferson</v>
          </cell>
          <cell r="V5275">
            <v>57900</v>
          </cell>
        </row>
        <row r="5276">
          <cell r="B5276">
            <v>1970</v>
          </cell>
          <cell r="K5276" t="str">
            <v>KEOKUK</v>
          </cell>
          <cell r="L5276" t="str">
            <v>Keokuk</v>
          </cell>
          <cell r="V5276">
            <v>97500</v>
          </cell>
        </row>
        <row r="5277">
          <cell r="B5277">
            <v>1970</v>
          </cell>
          <cell r="K5277" t="str">
            <v>LEE</v>
          </cell>
          <cell r="L5277" t="str">
            <v>Lee</v>
          </cell>
          <cell r="V5277">
            <v>93300</v>
          </cell>
        </row>
        <row r="5278">
          <cell r="B5278">
            <v>1970</v>
          </cell>
          <cell r="K5278" t="str">
            <v>LOUISA</v>
          </cell>
          <cell r="L5278" t="str">
            <v>Louisa</v>
          </cell>
          <cell r="V5278">
            <v>77900</v>
          </cell>
        </row>
        <row r="5279">
          <cell r="B5279">
            <v>1970</v>
          </cell>
          <cell r="K5279" t="str">
            <v>MAHASKA</v>
          </cell>
          <cell r="L5279" t="str">
            <v>Mahaska</v>
          </cell>
          <cell r="V5279">
            <v>109600</v>
          </cell>
        </row>
        <row r="5280">
          <cell r="B5280">
            <v>1970</v>
          </cell>
          <cell r="K5280" t="str">
            <v>VAN BUREN</v>
          </cell>
          <cell r="L5280" t="str">
            <v>Van Buren</v>
          </cell>
          <cell r="V5280">
            <v>43700</v>
          </cell>
        </row>
        <row r="5281">
          <cell r="B5281">
            <v>1970</v>
          </cell>
          <cell r="K5281" t="str">
            <v>WAPELLO</v>
          </cell>
          <cell r="L5281" t="str">
            <v>Wapello</v>
          </cell>
          <cell r="V5281">
            <v>48400</v>
          </cell>
        </row>
        <row r="5282">
          <cell r="B5282">
            <v>1970</v>
          </cell>
          <cell r="K5282" t="str">
            <v>WASHINGTON</v>
          </cell>
          <cell r="L5282" t="str">
            <v>Washington</v>
          </cell>
          <cell r="V5282">
            <v>117100</v>
          </cell>
        </row>
        <row r="5283">
          <cell r="B5283">
            <v>1970</v>
          </cell>
          <cell r="K5283" t="str">
            <v>ADAIR</v>
          </cell>
          <cell r="L5283" t="str">
            <v>Adair</v>
          </cell>
          <cell r="V5283">
            <v>84600</v>
          </cell>
        </row>
        <row r="5284">
          <cell r="B5284">
            <v>1970</v>
          </cell>
          <cell r="K5284" t="str">
            <v>ADAMS</v>
          </cell>
          <cell r="L5284" t="str">
            <v>Adams</v>
          </cell>
          <cell r="V5284">
            <v>59900</v>
          </cell>
        </row>
        <row r="5285">
          <cell r="B5285">
            <v>1970</v>
          </cell>
          <cell r="K5285" t="str">
            <v>CASS</v>
          </cell>
          <cell r="L5285" t="str">
            <v>Cass</v>
          </cell>
          <cell r="V5285">
            <v>113100</v>
          </cell>
        </row>
        <row r="5286">
          <cell r="B5286">
            <v>1970</v>
          </cell>
          <cell r="K5286" t="str">
            <v>FREMONT</v>
          </cell>
          <cell r="L5286" t="str">
            <v>Fremont</v>
          </cell>
          <cell r="V5286">
            <v>99800</v>
          </cell>
        </row>
        <row r="5287">
          <cell r="B5287">
            <v>1970</v>
          </cell>
          <cell r="K5287" t="str">
            <v>MILLS</v>
          </cell>
          <cell r="L5287" t="str">
            <v>Mills</v>
          </cell>
          <cell r="V5287">
            <v>84600</v>
          </cell>
        </row>
        <row r="5288">
          <cell r="B5288">
            <v>1970</v>
          </cell>
          <cell r="K5288" t="str">
            <v>MONTGOMERY</v>
          </cell>
          <cell r="L5288" t="str">
            <v>Montgomery</v>
          </cell>
          <cell r="V5288">
            <v>82900</v>
          </cell>
        </row>
        <row r="5289">
          <cell r="B5289">
            <v>1970</v>
          </cell>
          <cell r="K5289" t="str">
            <v>PAGE</v>
          </cell>
          <cell r="L5289" t="str">
            <v>Page</v>
          </cell>
          <cell r="V5289">
            <v>94900</v>
          </cell>
        </row>
        <row r="5290">
          <cell r="B5290">
            <v>1970</v>
          </cell>
          <cell r="K5290" t="str">
            <v>POTTAWATTAMIE</v>
          </cell>
          <cell r="L5290" t="str">
            <v>Pottawattamie</v>
          </cell>
          <cell r="V5290">
            <v>204100</v>
          </cell>
        </row>
        <row r="5291">
          <cell r="B5291">
            <v>1970</v>
          </cell>
          <cell r="K5291" t="str">
            <v>TAYLOR</v>
          </cell>
          <cell r="L5291" t="str">
            <v>Taylor</v>
          </cell>
          <cell r="V5291">
            <v>60200</v>
          </cell>
        </row>
        <row r="5292">
          <cell r="B5292">
            <v>1970</v>
          </cell>
          <cell r="K5292" t="str">
            <v>AUDUBON</v>
          </cell>
          <cell r="L5292" t="str">
            <v>Audubon</v>
          </cell>
          <cell r="V5292">
            <v>91500</v>
          </cell>
        </row>
        <row r="5293">
          <cell r="B5293">
            <v>1970</v>
          </cell>
          <cell r="K5293" t="str">
            <v>CALHOUN</v>
          </cell>
          <cell r="L5293" t="str">
            <v>Calhoun</v>
          </cell>
          <cell r="V5293">
            <v>126800</v>
          </cell>
        </row>
        <row r="5294">
          <cell r="B5294">
            <v>1970</v>
          </cell>
          <cell r="K5294" t="str">
            <v>CARROLL</v>
          </cell>
          <cell r="L5294" t="str">
            <v>Carroll</v>
          </cell>
          <cell r="V5294">
            <v>153300</v>
          </cell>
        </row>
        <row r="5295">
          <cell r="B5295">
            <v>1970</v>
          </cell>
          <cell r="K5295" t="str">
            <v>CRAWFORD</v>
          </cell>
          <cell r="L5295" t="str">
            <v>Crawford</v>
          </cell>
          <cell r="V5295">
            <v>138700</v>
          </cell>
        </row>
        <row r="5296">
          <cell r="B5296">
            <v>1970</v>
          </cell>
          <cell r="K5296" t="str">
            <v>GREENE</v>
          </cell>
          <cell r="L5296" t="str">
            <v>Greene</v>
          </cell>
          <cell r="V5296">
            <v>135200</v>
          </cell>
        </row>
        <row r="5297">
          <cell r="B5297">
            <v>1970</v>
          </cell>
          <cell r="K5297" t="str">
            <v>GUTHRIE</v>
          </cell>
          <cell r="L5297" t="str">
            <v>Guthrie</v>
          </cell>
          <cell r="V5297">
            <v>90500</v>
          </cell>
        </row>
        <row r="5298">
          <cell r="B5298">
            <v>1970</v>
          </cell>
          <cell r="K5298" t="str">
            <v>HARRISON</v>
          </cell>
          <cell r="L5298" t="str">
            <v>Harrison</v>
          </cell>
          <cell r="V5298">
            <v>130900</v>
          </cell>
        </row>
        <row r="5299">
          <cell r="B5299">
            <v>1970</v>
          </cell>
          <cell r="K5299" t="str">
            <v>IDA</v>
          </cell>
          <cell r="L5299" t="str">
            <v>Ida</v>
          </cell>
          <cell r="V5299">
            <v>102900</v>
          </cell>
        </row>
        <row r="5300">
          <cell r="B5300">
            <v>1970</v>
          </cell>
          <cell r="K5300" t="str">
            <v>MONONA</v>
          </cell>
          <cell r="L5300" t="str">
            <v>Monona</v>
          </cell>
          <cell r="V5300">
            <v>143200</v>
          </cell>
        </row>
        <row r="5301">
          <cell r="B5301">
            <v>1970</v>
          </cell>
          <cell r="K5301" t="str">
            <v>SAC</v>
          </cell>
          <cell r="L5301" t="str">
            <v>Sac</v>
          </cell>
          <cell r="V5301">
            <v>149500</v>
          </cell>
        </row>
        <row r="5302">
          <cell r="B5302">
            <v>1970</v>
          </cell>
          <cell r="K5302" t="str">
            <v>SHELBY</v>
          </cell>
          <cell r="L5302" t="str">
            <v>Shelby</v>
          </cell>
          <cell r="V5302">
            <v>138300</v>
          </cell>
        </row>
        <row r="5303">
          <cell r="B5303">
            <v>1970</v>
          </cell>
          <cell r="K5303" t="str">
            <v>WOODBURY</v>
          </cell>
          <cell r="L5303" t="str">
            <v>Woodbury</v>
          </cell>
          <cell r="V5303">
            <v>176000</v>
          </cell>
        </row>
        <row r="5304">
          <cell r="B5304">
            <v>1969</v>
          </cell>
          <cell r="K5304" t="str">
            <v>BOONE</v>
          </cell>
          <cell r="L5304" t="str">
            <v>Boone</v>
          </cell>
          <cell r="V5304">
            <v>120000</v>
          </cell>
        </row>
        <row r="5305">
          <cell r="B5305">
            <v>1969</v>
          </cell>
          <cell r="K5305" t="str">
            <v>DALLAS</v>
          </cell>
          <cell r="L5305" t="str">
            <v>Dallas</v>
          </cell>
          <cell r="V5305">
            <v>111000</v>
          </cell>
        </row>
        <row r="5306">
          <cell r="B5306">
            <v>1969</v>
          </cell>
          <cell r="K5306" t="str">
            <v>GRUNDY</v>
          </cell>
          <cell r="L5306" t="str">
            <v>Grundy</v>
          </cell>
          <cell r="V5306">
            <v>135000</v>
          </cell>
        </row>
        <row r="5307">
          <cell r="B5307">
            <v>1969</v>
          </cell>
          <cell r="K5307" t="str">
            <v>HAMILTON</v>
          </cell>
          <cell r="L5307" t="str">
            <v>Hamilton</v>
          </cell>
          <cell r="V5307">
            <v>139000</v>
          </cell>
        </row>
        <row r="5308">
          <cell r="B5308">
            <v>1969</v>
          </cell>
          <cell r="K5308" t="str">
            <v>HARDIN</v>
          </cell>
          <cell r="L5308" t="str">
            <v>Hardin</v>
          </cell>
          <cell r="V5308">
            <v>134000</v>
          </cell>
        </row>
        <row r="5309">
          <cell r="B5309">
            <v>1969</v>
          </cell>
          <cell r="K5309" t="str">
            <v>JASPER</v>
          </cell>
          <cell r="L5309" t="str">
            <v>Jasper</v>
          </cell>
          <cell r="V5309">
            <v>146000</v>
          </cell>
        </row>
        <row r="5310">
          <cell r="B5310">
            <v>1969</v>
          </cell>
          <cell r="K5310" t="str">
            <v>MARSHALL</v>
          </cell>
          <cell r="L5310" t="str">
            <v>Marshall</v>
          </cell>
          <cell r="V5310">
            <v>132000</v>
          </cell>
        </row>
        <row r="5311">
          <cell r="B5311">
            <v>1969</v>
          </cell>
          <cell r="K5311" t="str">
            <v>POLK</v>
          </cell>
          <cell r="L5311" t="str">
            <v>Polk</v>
          </cell>
          <cell r="V5311">
            <v>97000</v>
          </cell>
        </row>
        <row r="5312">
          <cell r="B5312">
            <v>1969</v>
          </cell>
          <cell r="K5312" t="str">
            <v>POWESHIEK</v>
          </cell>
          <cell r="L5312" t="str">
            <v>Poweshiek</v>
          </cell>
          <cell r="V5312">
            <v>98000</v>
          </cell>
        </row>
        <row r="5313">
          <cell r="B5313">
            <v>1969</v>
          </cell>
          <cell r="K5313" t="str">
            <v>STORY</v>
          </cell>
          <cell r="L5313" t="str">
            <v>Story</v>
          </cell>
          <cell r="V5313">
            <v>130000</v>
          </cell>
        </row>
        <row r="5314">
          <cell r="B5314">
            <v>1969</v>
          </cell>
          <cell r="K5314" t="str">
            <v>TAMA</v>
          </cell>
          <cell r="L5314" t="str">
            <v>Tama</v>
          </cell>
          <cell r="V5314">
            <v>149000</v>
          </cell>
        </row>
        <row r="5315">
          <cell r="B5315">
            <v>1969</v>
          </cell>
          <cell r="K5315" t="str">
            <v>WEBSTER</v>
          </cell>
          <cell r="L5315" t="str">
            <v>Webster</v>
          </cell>
          <cell r="V5315">
            <v>146000</v>
          </cell>
        </row>
        <row r="5316">
          <cell r="B5316">
            <v>1969</v>
          </cell>
          <cell r="K5316" t="str">
            <v>BENTON</v>
          </cell>
          <cell r="L5316" t="str">
            <v>Benton</v>
          </cell>
          <cell r="V5316">
            <v>157000</v>
          </cell>
        </row>
        <row r="5317">
          <cell r="B5317">
            <v>1969</v>
          </cell>
          <cell r="K5317" t="str">
            <v>CEDAR</v>
          </cell>
          <cell r="L5317" t="str">
            <v>Cedar</v>
          </cell>
          <cell r="V5317">
            <v>141000</v>
          </cell>
        </row>
        <row r="5318">
          <cell r="B5318">
            <v>1969</v>
          </cell>
          <cell r="K5318" t="str">
            <v>CLINTON</v>
          </cell>
          <cell r="L5318" t="str">
            <v>Clinton</v>
          </cell>
          <cell r="V5318">
            <v>163000</v>
          </cell>
        </row>
        <row r="5319">
          <cell r="B5319">
            <v>1969</v>
          </cell>
          <cell r="K5319" t="str">
            <v>IOWA</v>
          </cell>
          <cell r="L5319" t="str">
            <v>Iowa</v>
          </cell>
          <cell r="V5319">
            <v>96000</v>
          </cell>
        </row>
        <row r="5320">
          <cell r="B5320">
            <v>1969</v>
          </cell>
          <cell r="K5320" t="str">
            <v>JACKSON</v>
          </cell>
          <cell r="L5320" t="str">
            <v>Jackson</v>
          </cell>
          <cell r="V5320">
            <v>89000</v>
          </cell>
        </row>
        <row r="5321">
          <cell r="B5321">
            <v>1969</v>
          </cell>
          <cell r="K5321" t="str">
            <v>JOHNSON</v>
          </cell>
          <cell r="L5321" t="str">
            <v>Johnson</v>
          </cell>
          <cell r="V5321">
            <v>107000</v>
          </cell>
        </row>
        <row r="5322">
          <cell r="B5322">
            <v>1969</v>
          </cell>
          <cell r="K5322" t="str">
            <v>JONES</v>
          </cell>
          <cell r="L5322" t="str">
            <v>Jones</v>
          </cell>
          <cell r="V5322">
            <v>117000</v>
          </cell>
        </row>
        <row r="5323">
          <cell r="B5323">
            <v>1969</v>
          </cell>
          <cell r="K5323" t="str">
            <v>LINN</v>
          </cell>
          <cell r="L5323" t="str">
            <v>Linn</v>
          </cell>
          <cell r="V5323">
            <v>140000</v>
          </cell>
        </row>
        <row r="5324">
          <cell r="B5324">
            <v>1969</v>
          </cell>
          <cell r="K5324" t="str">
            <v>MUSCATINE</v>
          </cell>
          <cell r="L5324" t="str">
            <v>Muscatine</v>
          </cell>
          <cell r="V5324">
            <v>82000</v>
          </cell>
        </row>
        <row r="5325">
          <cell r="B5325">
            <v>1969</v>
          </cell>
          <cell r="K5325" t="str">
            <v>SCOTT</v>
          </cell>
          <cell r="L5325" t="str">
            <v>Scott</v>
          </cell>
          <cell r="V5325">
            <v>114000</v>
          </cell>
        </row>
        <row r="5326">
          <cell r="B5326">
            <v>1969</v>
          </cell>
          <cell r="K5326" t="str">
            <v>BUTLER</v>
          </cell>
          <cell r="L5326" t="str">
            <v>Butler</v>
          </cell>
          <cell r="V5326">
            <v>128000</v>
          </cell>
        </row>
        <row r="5327">
          <cell r="B5327">
            <v>1969</v>
          </cell>
          <cell r="K5327" t="str">
            <v>CERRO GORDO</v>
          </cell>
          <cell r="L5327" t="str">
            <v>Cerro Gordo</v>
          </cell>
          <cell r="V5327">
            <v>124000</v>
          </cell>
        </row>
        <row r="5328">
          <cell r="B5328">
            <v>1969</v>
          </cell>
          <cell r="K5328" t="str">
            <v>FLOYD</v>
          </cell>
          <cell r="L5328" t="str">
            <v>Floyd</v>
          </cell>
          <cell r="V5328">
            <v>103000</v>
          </cell>
        </row>
        <row r="5329">
          <cell r="B5329">
            <v>1969</v>
          </cell>
          <cell r="K5329" t="str">
            <v>FRANKLIN</v>
          </cell>
          <cell r="L5329" t="str">
            <v>Franklin</v>
          </cell>
          <cell r="V5329">
            <v>141000</v>
          </cell>
        </row>
        <row r="5330">
          <cell r="B5330">
            <v>1969</v>
          </cell>
          <cell r="K5330" t="str">
            <v>HANCOCK</v>
          </cell>
          <cell r="L5330" t="str">
            <v>Hancock</v>
          </cell>
          <cell r="V5330">
            <v>130000</v>
          </cell>
        </row>
        <row r="5331">
          <cell r="B5331">
            <v>1969</v>
          </cell>
          <cell r="K5331" t="str">
            <v>HUMBOLDT</v>
          </cell>
          <cell r="L5331" t="str">
            <v>Humboldt</v>
          </cell>
          <cell r="V5331">
            <v>104000</v>
          </cell>
        </row>
        <row r="5332">
          <cell r="B5332">
            <v>1969</v>
          </cell>
          <cell r="K5332" t="str">
            <v>KOSSUTH</v>
          </cell>
          <cell r="L5332" t="str">
            <v>Kossuth</v>
          </cell>
          <cell r="V5332">
            <v>223000</v>
          </cell>
        </row>
        <row r="5333">
          <cell r="B5333">
            <v>1969</v>
          </cell>
          <cell r="K5333" t="str">
            <v>MITCHELL</v>
          </cell>
          <cell r="L5333" t="str">
            <v>Mitchell</v>
          </cell>
          <cell r="V5333">
            <v>98000</v>
          </cell>
        </row>
        <row r="5334">
          <cell r="B5334">
            <v>1969</v>
          </cell>
          <cell r="K5334" t="str">
            <v>WINNEBAGO</v>
          </cell>
          <cell r="L5334" t="str">
            <v>Winnebago</v>
          </cell>
          <cell r="V5334">
            <v>85000</v>
          </cell>
        </row>
        <row r="5335">
          <cell r="B5335">
            <v>1969</v>
          </cell>
          <cell r="K5335" t="str">
            <v>WORTH</v>
          </cell>
          <cell r="L5335" t="str">
            <v>Worth</v>
          </cell>
          <cell r="V5335">
            <v>80000</v>
          </cell>
        </row>
        <row r="5336">
          <cell r="B5336">
            <v>1969</v>
          </cell>
          <cell r="K5336" t="str">
            <v>WRIGHT</v>
          </cell>
          <cell r="L5336" t="str">
            <v>Wright</v>
          </cell>
          <cell r="V5336">
            <v>140000</v>
          </cell>
        </row>
        <row r="5337">
          <cell r="B5337">
            <v>1969</v>
          </cell>
          <cell r="K5337" t="str">
            <v>ALLAMAKEE</v>
          </cell>
          <cell r="L5337" t="str">
            <v>Allamakee</v>
          </cell>
          <cell r="V5337">
            <v>59000</v>
          </cell>
        </row>
        <row r="5338">
          <cell r="B5338">
            <v>1969</v>
          </cell>
          <cell r="K5338" t="str">
            <v>BLACK HAWK</v>
          </cell>
          <cell r="L5338" t="str">
            <v>Black Hawk</v>
          </cell>
          <cell r="V5338">
            <v>116000</v>
          </cell>
        </row>
        <row r="5339">
          <cell r="B5339">
            <v>1969</v>
          </cell>
          <cell r="K5339" t="str">
            <v>BREMER</v>
          </cell>
          <cell r="L5339" t="str">
            <v>Bremer</v>
          </cell>
          <cell r="V5339">
            <v>84000</v>
          </cell>
        </row>
        <row r="5340">
          <cell r="B5340">
            <v>1969</v>
          </cell>
          <cell r="K5340" t="str">
            <v>BUCHANAN</v>
          </cell>
          <cell r="L5340" t="str">
            <v>Buchanan</v>
          </cell>
          <cell r="V5340">
            <v>117000</v>
          </cell>
        </row>
        <row r="5341">
          <cell r="B5341">
            <v>1969</v>
          </cell>
          <cell r="K5341" t="str">
            <v>CHICKASAW</v>
          </cell>
          <cell r="L5341" t="str">
            <v>Chickasaw</v>
          </cell>
          <cell r="V5341">
            <v>87000</v>
          </cell>
        </row>
        <row r="5342">
          <cell r="B5342">
            <v>1969</v>
          </cell>
          <cell r="K5342" t="str">
            <v>CLAYTON</v>
          </cell>
          <cell r="L5342" t="str">
            <v>Clayton</v>
          </cell>
          <cell r="V5342">
            <v>111000</v>
          </cell>
        </row>
        <row r="5343">
          <cell r="B5343">
            <v>1969</v>
          </cell>
          <cell r="K5343" t="str">
            <v>DELAWARE</v>
          </cell>
          <cell r="L5343" t="str">
            <v>Delaware</v>
          </cell>
          <cell r="V5343">
            <v>126000</v>
          </cell>
        </row>
        <row r="5344">
          <cell r="B5344">
            <v>1969</v>
          </cell>
          <cell r="K5344" t="str">
            <v>DUBUQUE</v>
          </cell>
          <cell r="L5344" t="str">
            <v>Dubuque</v>
          </cell>
          <cell r="V5344">
            <v>97000</v>
          </cell>
        </row>
        <row r="5345">
          <cell r="B5345">
            <v>1969</v>
          </cell>
          <cell r="K5345" t="str">
            <v>FAYETTE</v>
          </cell>
          <cell r="L5345" t="str">
            <v>Fayette</v>
          </cell>
          <cell r="V5345">
            <v>132000</v>
          </cell>
        </row>
        <row r="5346">
          <cell r="B5346">
            <v>1969</v>
          </cell>
          <cell r="K5346" t="str">
            <v>HOWARD</v>
          </cell>
          <cell r="L5346" t="str">
            <v>Howard</v>
          </cell>
          <cell r="V5346">
            <v>74000</v>
          </cell>
        </row>
        <row r="5347">
          <cell r="B5347">
            <v>1969</v>
          </cell>
          <cell r="K5347" t="str">
            <v>WINNESHIEK</v>
          </cell>
          <cell r="L5347" t="str">
            <v>Winneshiek</v>
          </cell>
          <cell r="V5347">
            <v>106000</v>
          </cell>
        </row>
        <row r="5348">
          <cell r="B5348">
            <v>1969</v>
          </cell>
          <cell r="K5348" t="str">
            <v>BUENA VISTA</v>
          </cell>
          <cell r="L5348" t="str">
            <v>Buena Vista</v>
          </cell>
          <cell r="V5348">
            <v>136000</v>
          </cell>
        </row>
        <row r="5349">
          <cell r="B5349">
            <v>1969</v>
          </cell>
          <cell r="K5349" t="str">
            <v>CHEROKEE</v>
          </cell>
          <cell r="L5349" t="str">
            <v>Cherokee</v>
          </cell>
          <cell r="V5349">
            <v>130000</v>
          </cell>
        </row>
        <row r="5350">
          <cell r="B5350">
            <v>1969</v>
          </cell>
          <cell r="K5350" t="str">
            <v>CLAY</v>
          </cell>
          <cell r="L5350" t="str">
            <v>Clay</v>
          </cell>
          <cell r="V5350">
            <v>119000</v>
          </cell>
        </row>
        <row r="5351">
          <cell r="B5351">
            <v>1969</v>
          </cell>
          <cell r="K5351" t="str">
            <v>DICKINSON</v>
          </cell>
          <cell r="L5351" t="str">
            <v>Dickinson</v>
          </cell>
          <cell r="V5351">
            <v>80000</v>
          </cell>
        </row>
        <row r="5352">
          <cell r="B5352">
            <v>1969</v>
          </cell>
          <cell r="K5352" t="str">
            <v>EMMET</v>
          </cell>
          <cell r="L5352" t="str">
            <v>Emmet</v>
          </cell>
          <cell r="V5352">
            <v>85000</v>
          </cell>
        </row>
        <row r="5353">
          <cell r="B5353">
            <v>1969</v>
          </cell>
          <cell r="K5353" t="str">
            <v>LYON</v>
          </cell>
          <cell r="L5353" t="str">
            <v>Lyon</v>
          </cell>
          <cell r="V5353">
            <v>143000</v>
          </cell>
        </row>
        <row r="5354">
          <cell r="B5354">
            <v>1969</v>
          </cell>
          <cell r="K5354" t="str">
            <v>O BRIEN</v>
          </cell>
          <cell r="L5354" t="str">
            <v>O Brien</v>
          </cell>
          <cell r="V5354">
            <v>140000</v>
          </cell>
        </row>
        <row r="5355">
          <cell r="B5355">
            <v>1969</v>
          </cell>
          <cell r="K5355" t="str">
            <v>OSCEOLA</v>
          </cell>
          <cell r="L5355" t="str">
            <v>Osceola</v>
          </cell>
          <cell r="V5355">
            <v>91000</v>
          </cell>
        </row>
        <row r="5356">
          <cell r="B5356">
            <v>1969</v>
          </cell>
          <cell r="K5356" t="str">
            <v>PALO ALTO</v>
          </cell>
          <cell r="L5356" t="str">
            <v>Palo Alto</v>
          </cell>
          <cell r="V5356">
            <v>125000</v>
          </cell>
        </row>
        <row r="5357">
          <cell r="B5357">
            <v>1969</v>
          </cell>
          <cell r="K5357" t="str">
            <v>PLYMOUTH</v>
          </cell>
          <cell r="L5357" t="str">
            <v>Plymouth</v>
          </cell>
          <cell r="V5357">
            <v>203000</v>
          </cell>
        </row>
        <row r="5358">
          <cell r="B5358">
            <v>1969</v>
          </cell>
          <cell r="K5358" t="str">
            <v>POCAHONTAS</v>
          </cell>
          <cell r="L5358" t="str">
            <v>Pocahontas</v>
          </cell>
          <cell r="V5358">
            <v>125000</v>
          </cell>
        </row>
        <row r="5359">
          <cell r="B5359">
            <v>1969</v>
          </cell>
          <cell r="K5359" t="str">
            <v>SIOUX</v>
          </cell>
          <cell r="L5359" t="str">
            <v>Sioux</v>
          </cell>
          <cell r="V5359">
            <v>228000</v>
          </cell>
        </row>
        <row r="5360">
          <cell r="B5360">
            <v>1969</v>
          </cell>
          <cell r="K5360" t="str">
            <v>APPANOOSE</v>
          </cell>
          <cell r="L5360" t="str">
            <v>Appanoose</v>
          </cell>
          <cell r="V5360">
            <v>32000</v>
          </cell>
        </row>
        <row r="5361">
          <cell r="B5361">
            <v>1969</v>
          </cell>
          <cell r="K5361" t="str">
            <v>CLARKE</v>
          </cell>
          <cell r="L5361" t="str">
            <v>Clarke</v>
          </cell>
          <cell r="V5361">
            <v>33000</v>
          </cell>
        </row>
        <row r="5362">
          <cell r="B5362">
            <v>1969</v>
          </cell>
          <cell r="K5362" t="str">
            <v>DECATUR</v>
          </cell>
          <cell r="L5362" t="str">
            <v>Decatur</v>
          </cell>
          <cell r="V5362">
            <v>37000</v>
          </cell>
        </row>
        <row r="5363">
          <cell r="B5363">
            <v>1969</v>
          </cell>
          <cell r="K5363" t="str">
            <v>LUCAS</v>
          </cell>
          <cell r="L5363" t="str">
            <v>Lucas</v>
          </cell>
          <cell r="V5363">
            <v>37000</v>
          </cell>
        </row>
        <row r="5364">
          <cell r="B5364">
            <v>1969</v>
          </cell>
          <cell r="K5364" t="str">
            <v>MADISON</v>
          </cell>
          <cell r="L5364" t="str">
            <v>Madison</v>
          </cell>
          <cell r="V5364">
            <v>66000</v>
          </cell>
        </row>
        <row r="5365">
          <cell r="B5365">
            <v>1969</v>
          </cell>
          <cell r="K5365" t="str">
            <v>MARION</v>
          </cell>
          <cell r="L5365" t="str">
            <v>Marion</v>
          </cell>
          <cell r="V5365">
            <v>69000</v>
          </cell>
        </row>
        <row r="5366">
          <cell r="B5366">
            <v>1969</v>
          </cell>
          <cell r="K5366" t="str">
            <v>MONROE</v>
          </cell>
          <cell r="L5366" t="str">
            <v>Monroe</v>
          </cell>
          <cell r="V5366">
            <v>25000</v>
          </cell>
        </row>
        <row r="5367">
          <cell r="B5367">
            <v>1969</v>
          </cell>
          <cell r="K5367" t="str">
            <v>RINGGOLD</v>
          </cell>
          <cell r="L5367" t="str">
            <v>Ringgold</v>
          </cell>
          <cell r="V5367">
            <v>45000</v>
          </cell>
        </row>
        <row r="5368">
          <cell r="B5368">
            <v>1969</v>
          </cell>
          <cell r="K5368" t="str">
            <v>UNION</v>
          </cell>
          <cell r="L5368" t="str">
            <v>Union</v>
          </cell>
          <cell r="V5368">
            <v>45000</v>
          </cell>
        </row>
        <row r="5369">
          <cell r="B5369">
            <v>1969</v>
          </cell>
          <cell r="K5369" t="str">
            <v>WARREN</v>
          </cell>
          <cell r="L5369" t="str">
            <v>Warren</v>
          </cell>
          <cell r="V5369">
            <v>64000</v>
          </cell>
        </row>
        <row r="5370">
          <cell r="B5370">
            <v>1969</v>
          </cell>
          <cell r="K5370" t="str">
            <v>WAYNE</v>
          </cell>
          <cell r="L5370" t="str">
            <v>Wayne</v>
          </cell>
          <cell r="V5370">
            <v>50000</v>
          </cell>
        </row>
        <row r="5371">
          <cell r="B5371">
            <v>1969</v>
          </cell>
          <cell r="K5371" t="str">
            <v>DAVIS</v>
          </cell>
          <cell r="L5371" t="str">
            <v>Davis</v>
          </cell>
          <cell r="V5371">
            <v>49000</v>
          </cell>
        </row>
        <row r="5372">
          <cell r="B5372">
            <v>1969</v>
          </cell>
          <cell r="K5372" t="str">
            <v>DES MOINES</v>
          </cell>
          <cell r="L5372" t="str">
            <v>Des Moines</v>
          </cell>
          <cell r="V5372">
            <v>64000</v>
          </cell>
        </row>
        <row r="5373">
          <cell r="B5373">
            <v>1969</v>
          </cell>
          <cell r="K5373" t="str">
            <v>HENRY</v>
          </cell>
          <cell r="L5373" t="str">
            <v>Henry</v>
          </cell>
          <cell r="V5373">
            <v>79000</v>
          </cell>
        </row>
        <row r="5374">
          <cell r="B5374">
            <v>1969</v>
          </cell>
          <cell r="K5374" t="str">
            <v>JEFFERSON</v>
          </cell>
          <cell r="L5374" t="str">
            <v>Jefferson</v>
          </cell>
          <cell r="V5374">
            <v>55000</v>
          </cell>
        </row>
        <row r="5375">
          <cell r="B5375">
            <v>1969</v>
          </cell>
          <cell r="K5375" t="str">
            <v>KEOKUK</v>
          </cell>
          <cell r="L5375" t="str">
            <v>Keokuk</v>
          </cell>
          <cell r="V5375">
            <v>96000</v>
          </cell>
        </row>
        <row r="5376">
          <cell r="B5376">
            <v>1969</v>
          </cell>
          <cell r="K5376" t="str">
            <v>LEE</v>
          </cell>
          <cell r="L5376" t="str">
            <v>Lee</v>
          </cell>
          <cell r="V5376">
            <v>86000</v>
          </cell>
        </row>
        <row r="5377">
          <cell r="B5377">
            <v>1969</v>
          </cell>
          <cell r="K5377" t="str">
            <v>LOUISA</v>
          </cell>
          <cell r="L5377" t="str">
            <v>Louisa</v>
          </cell>
          <cell r="V5377">
            <v>74000</v>
          </cell>
        </row>
        <row r="5378">
          <cell r="B5378">
            <v>1969</v>
          </cell>
          <cell r="K5378" t="str">
            <v>MAHASKA</v>
          </cell>
          <cell r="L5378" t="str">
            <v>Mahaska</v>
          </cell>
          <cell r="V5378">
            <v>102000</v>
          </cell>
        </row>
        <row r="5379">
          <cell r="B5379">
            <v>1969</v>
          </cell>
          <cell r="K5379" t="str">
            <v>VAN BUREN</v>
          </cell>
          <cell r="L5379" t="str">
            <v>Van Buren</v>
          </cell>
          <cell r="V5379">
            <v>44000</v>
          </cell>
        </row>
        <row r="5380">
          <cell r="B5380">
            <v>1969</v>
          </cell>
          <cell r="K5380" t="str">
            <v>WAPELLO</v>
          </cell>
          <cell r="L5380" t="str">
            <v>Wapello</v>
          </cell>
          <cell r="V5380">
            <v>47000</v>
          </cell>
        </row>
        <row r="5381">
          <cell r="B5381">
            <v>1969</v>
          </cell>
          <cell r="K5381" t="str">
            <v>WASHINGTON</v>
          </cell>
          <cell r="L5381" t="str">
            <v>Washington</v>
          </cell>
          <cell r="V5381">
            <v>111000</v>
          </cell>
        </row>
        <row r="5382">
          <cell r="B5382">
            <v>1969</v>
          </cell>
          <cell r="K5382" t="str">
            <v>ADAIR</v>
          </cell>
          <cell r="L5382" t="str">
            <v>Adair</v>
          </cell>
          <cell r="V5382">
            <v>80000</v>
          </cell>
        </row>
        <row r="5383">
          <cell r="B5383">
            <v>1969</v>
          </cell>
          <cell r="K5383" t="str">
            <v>ADAMS</v>
          </cell>
          <cell r="L5383" t="str">
            <v>Adams</v>
          </cell>
          <cell r="V5383">
            <v>58000</v>
          </cell>
        </row>
        <row r="5384">
          <cell r="B5384">
            <v>1969</v>
          </cell>
          <cell r="K5384" t="str">
            <v>CASS</v>
          </cell>
          <cell r="L5384" t="str">
            <v>Cass</v>
          </cell>
          <cell r="V5384">
            <v>108000</v>
          </cell>
        </row>
        <row r="5385">
          <cell r="B5385">
            <v>1969</v>
          </cell>
          <cell r="K5385" t="str">
            <v>FREMONT</v>
          </cell>
          <cell r="L5385" t="str">
            <v>Fremont</v>
          </cell>
          <cell r="V5385">
            <v>94000</v>
          </cell>
        </row>
        <row r="5386">
          <cell r="B5386">
            <v>1969</v>
          </cell>
          <cell r="K5386" t="str">
            <v>MILLS</v>
          </cell>
          <cell r="L5386" t="str">
            <v>Mills</v>
          </cell>
          <cell r="V5386">
            <v>83000</v>
          </cell>
        </row>
        <row r="5387">
          <cell r="B5387">
            <v>1969</v>
          </cell>
          <cell r="K5387" t="str">
            <v>MONTGOMERY</v>
          </cell>
          <cell r="L5387" t="str">
            <v>Montgomery</v>
          </cell>
          <cell r="V5387">
            <v>76000</v>
          </cell>
        </row>
        <row r="5388">
          <cell r="B5388">
            <v>1969</v>
          </cell>
          <cell r="K5388" t="str">
            <v>PAGE</v>
          </cell>
          <cell r="L5388" t="str">
            <v>Page</v>
          </cell>
          <cell r="V5388">
            <v>88000</v>
          </cell>
        </row>
        <row r="5389">
          <cell r="B5389">
            <v>1969</v>
          </cell>
          <cell r="K5389" t="str">
            <v>POTTAWATTAMIE</v>
          </cell>
          <cell r="L5389" t="str">
            <v>Pottawattamie</v>
          </cell>
          <cell r="V5389">
            <v>188000</v>
          </cell>
        </row>
        <row r="5390">
          <cell r="B5390">
            <v>1969</v>
          </cell>
          <cell r="K5390" t="str">
            <v>TAYLOR</v>
          </cell>
          <cell r="L5390" t="str">
            <v>Taylor</v>
          </cell>
          <cell r="V5390">
            <v>54000</v>
          </cell>
        </row>
        <row r="5391">
          <cell r="B5391">
            <v>1969</v>
          </cell>
          <cell r="K5391" t="str">
            <v>AUDUBON</v>
          </cell>
          <cell r="L5391" t="str">
            <v>Audubon</v>
          </cell>
          <cell r="V5391">
            <v>85000</v>
          </cell>
        </row>
        <row r="5392">
          <cell r="B5392">
            <v>1969</v>
          </cell>
          <cell r="K5392" t="str">
            <v>CALHOUN</v>
          </cell>
          <cell r="L5392" t="str">
            <v>Calhoun</v>
          </cell>
          <cell r="V5392">
            <v>122000</v>
          </cell>
        </row>
        <row r="5393">
          <cell r="B5393">
            <v>1969</v>
          </cell>
          <cell r="K5393" t="str">
            <v>CARROLL</v>
          </cell>
          <cell r="L5393" t="str">
            <v>Carroll</v>
          </cell>
          <cell r="V5393">
            <v>143000</v>
          </cell>
        </row>
        <row r="5394">
          <cell r="B5394">
            <v>1969</v>
          </cell>
          <cell r="K5394" t="str">
            <v>CRAWFORD</v>
          </cell>
          <cell r="L5394" t="str">
            <v>Crawford</v>
          </cell>
          <cell r="V5394">
            <v>130000</v>
          </cell>
        </row>
        <row r="5395">
          <cell r="B5395">
            <v>1969</v>
          </cell>
          <cell r="K5395" t="str">
            <v>GREENE</v>
          </cell>
          <cell r="L5395" t="str">
            <v>Greene</v>
          </cell>
          <cell r="V5395">
            <v>132000</v>
          </cell>
        </row>
        <row r="5396">
          <cell r="B5396">
            <v>1969</v>
          </cell>
          <cell r="K5396" t="str">
            <v>GUTHRIE</v>
          </cell>
          <cell r="L5396" t="str">
            <v>Guthrie</v>
          </cell>
          <cell r="V5396">
            <v>84000</v>
          </cell>
        </row>
        <row r="5397">
          <cell r="B5397">
            <v>1969</v>
          </cell>
          <cell r="K5397" t="str">
            <v>HARRISON</v>
          </cell>
          <cell r="L5397" t="str">
            <v>Harrison</v>
          </cell>
          <cell r="V5397">
            <v>124000</v>
          </cell>
        </row>
        <row r="5398">
          <cell r="B5398">
            <v>1969</v>
          </cell>
          <cell r="K5398" t="str">
            <v>IDA</v>
          </cell>
          <cell r="L5398" t="str">
            <v>Ida</v>
          </cell>
          <cell r="V5398">
            <v>97000</v>
          </cell>
        </row>
        <row r="5399">
          <cell r="B5399">
            <v>1969</v>
          </cell>
          <cell r="K5399" t="str">
            <v>MONONA</v>
          </cell>
          <cell r="L5399" t="str">
            <v>Monona</v>
          </cell>
          <cell r="V5399">
            <v>137000</v>
          </cell>
        </row>
        <row r="5400">
          <cell r="B5400">
            <v>1969</v>
          </cell>
          <cell r="K5400" t="str">
            <v>SAC</v>
          </cell>
          <cell r="L5400" t="str">
            <v>Sac</v>
          </cell>
          <cell r="V5400">
            <v>141000</v>
          </cell>
        </row>
        <row r="5401">
          <cell r="B5401">
            <v>1969</v>
          </cell>
          <cell r="K5401" t="str">
            <v>SHELBY</v>
          </cell>
          <cell r="L5401" t="str">
            <v>Shelby</v>
          </cell>
          <cell r="V5401">
            <v>131000</v>
          </cell>
        </row>
        <row r="5402">
          <cell r="B5402">
            <v>1969</v>
          </cell>
          <cell r="K5402" t="str">
            <v>WOODBURY</v>
          </cell>
          <cell r="L5402" t="str">
            <v>Woodbury</v>
          </cell>
          <cell r="V5402">
            <v>171000</v>
          </cell>
        </row>
        <row r="5403">
          <cell r="B5403">
            <v>1968</v>
          </cell>
          <cell r="K5403" t="str">
            <v>BOONE</v>
          </cell>
          <cell r="L5403" t="str">
            <v>Boone</v>
          </cell>
          <cell r="V5403">
            <v>117500</v>
          </cell>
        </row>
        <row r="5404">
          <cell r="B5404">
            <v>1968</v>
          </cell>
          <cell r="K5404" t="str">
            <v>DALLAS</v>
          </cell>
          <cell r="L5404" t="str">
            <v>Dallas</v>
          </cell>
          <cell r="V5404">
            <v>114000</v>
          </cell>
        </row>
        <row r="5405">
          <cell r="B5405">
            <v>1968</v>
          </cell>
          <cell r="K5405" t="str">
            <v>GRUNDY</v>
          </cell>
          <cell r="L5405" t="str">
            <v>Grundy</v>
          </cell>
          <cell r="V5405">
            <v>133400</v>
          </cell>
        </row>
        <row r="5406">
          <cell r="B5406">
            <v>1968</v>
          </cell>
          <cell r="K5406" t="str">
            <v>HAMILTON</v>
          </cell>
          <cell r="L5406" t="str">
            <v>Hamilton</v>
          </cell>
          <cell r="V5406">
            <v>143600</v>
          </cell>
        </row>
        <row r="5407">
          <cell r="B5407">
            <v>1968</v>
          </cell>
          <cell r="K5407" t="str">
            <v>HARDIN</v>
          </cell>
          <cell r="L5407" t="str">
            <v>Hardin</v>
          </cell>
          <cell r="V5407">
            <v>127600</v>
          </cell>
        </row>
        <row r="5408">
          <cell r="B5408">
            <v>1968</v>
          </cell>
          <cell r="K5408" t="str">
            <v>JASPER</v>
          </cell>
          <cell r="L5408" t="str">
            <v>Jasper</v>
          </cell>
          <cell r="V5408">
            <v>141800</v>
          </cell>
        </row>
        <row r="5409">
          <cell r="B5409">
            <v>1968</v>
          </cell>
          <cell r="K5409" t="str">
            <v>MARSHALL</v>
          </cell>
          <cell r="L5409" t="str">
            <v>Marshall</v>
          </cell>
          <cell r="V5409">
            <v>128300</v>
          </cell>
        </row>
        <row r="5410">
          <cell r="B5410">
            <v>1968</v>
          </cell>
          <cell r="K5410" t="str">
            <v>POLK</v>
          </cell>
          <cell r="L5410" t="str">
            <v>Polk</v>
          </cell>
          <cell r="V5410">
            <v>99800</v>
          </cell>
        </row>
        <row r="5411">
          <cell r="B5411">
            <v>1968</v>
          </cell>
          <cell r="K5411" t="str">
            <v>POWESHIEK</v>
          </cell>
          <cell r="L5411" t="str">
            <v>Poweshiek</v>
          </cell>
          <cell r="V5411">
            <v>95000</v>
          </cell>
        </row>
        <row r="5412">
          <cell r="B5412">
            <v>1968</v>
          </cell>
          <cell r="K5412" t="str">
            <v>STORY</v>
          </cell>
          <cell r="L5412" t="str">
            <v>Story</v>
          </cell>
          <cell r="V5412">
            <v>124100</v>
          </cell>
        </row>
        <row r="5413">
          <cell r="B5413">
            <v>1968</v>
          </cell>
          <cell r="K5413" t="str">
            <v>TAMA</v>
          </cell>
          <cell r="L5413" t="str">
            <v>Tama</v>
          </cell>
          <cell r="V5413">
            <v>142000</v>
          </cell>
        </row>
        <row r="5414">
          <cell r="B5414">
            <v>1968</v>
          </cell>
          <cell r="K5414" t="str">
            <v>WEBSTER</v>
          </cell>
          <cell r="L5414" t="str">
            <v>Webster</v>
          </cell>
          <cell r="V5414">
            <v>144200</v>
          </cell>
        </row>
        <row r="5415">
          <cell r="B5415">
            <v>1968</v>
          </cell>
          <cell r="K5415" t="str">
            <v>BENTON</v>
          </cell>
          <cell r="L5415" t="str">
            <v>Benton</v>
          </cell>
          <cell r="V5415">
            <v>156700</v>
          </cell>
        </row>
        <row r="5416">
          <cell r="B5416">
            <v>1968</v>
          </cell>
          <cell r="K5416" t="str">
            <v>CEDAR</v>
          </cell>
          <cell r="L5416" t="str">
            <v>Cedar</v>
          </cell>
          <cell r="V5416">
            <v>140000</v>
          </cell>
        </row>
        <row r="5417">
          <cell r="B5417">
            <v>1968</v>
          </cell>
          <cell r="K5417" t="str">
            <v>CLINTON</v>
          </cell>
          <cell r="L5417" t="str">
            <v>Clinton</v>
          </cell>
          <cell r="V5417">
            <v>160000</v>
          </cell>
        </row>
        <row r="5418">
          <cell r="B5418">
            <v>1968</v>
          </cell>
          <cell r="K5418" t="str">
            <v>IOWA</v>
          </cell>
          <cell r="L5418" t="str">
            <v>Iowa</v>
          </cell>
          <cell r="V5418">
            <v>94500</v>
          </cell>
        </row>
        <row r="5419">
          <cell r="B5419">
            <v>1968</v>
          </cell>
          <cell r="K5419" t="str">
            <v>JACKSON</v>
          </cell>
          <cell r="L5419" t="str">
            <v>Jackson</v>
          </cell>
          <cell r="V5419">
            <v>86600</v>
          </cell>
        </row>
        <row r="5420">
          <cell r="B5420">
            <v>1968</v>
          </cell>
          <cell r="K5420" t="str">
            <v>JOHNSON</v>
          </cell>
          <cell r="L5420" t="str">
            <v>Johnson</v>
          </cell>
          <cell r="V5420">
            <v>104500</v>
          </cell>
        </row>
        <row r="5421">
          <cell r="B5421">
            <v>1968</v>
          </cell>
          <cell r="K5421" t="str">
            <v>JONES</v>
          </cell>
          <cell r="L5421" t="str">
            <v>Jones</v>
          </cell>
          <cell r="V5421">
            <v>112100</v>
          </cell>
        </row>
        <row r="5422">
          <cell r="B5422">
            <v>1968</v>
          </cell>
          <cell r="K5422" t="str">
            <v>LINN</v>
          </cell>
          <cell r="L5422" t="str">
            <v>Linn</v>
          </cell>
          <cell r="V5422">
            <v>130900</v>
          </cell>
        </row>
        <row r="5423">
          <cell r="B5423">
            <v>1968</v>
          </cell>
          <cell r="K5423" t="str">
            <v>MUSCATINE</v>
          </cell>
          <cell r="L5423" t="str">
            <v>Muscatine</v>
          </cell>
          <cell r="V5423">
            <v>81400</v>
          </cell>
        </row>
        <row r="5424">
          <cell r="B5424">
            <v>1968</v>
          </cell>
          <cell r="K5424" t="str">
            <v>SCOTT</v>
          </cell>
          <cell r="L5424" t="str">
            <v>Scott</v>
          </cell>
          <cell r="V5424">
            <v>112600</v>
          </cell>
        </row>
        <row r="5425">
          <cell r="B5425">
            <v>1968</v>
          </cell>
          <cell r="K5425" t="str">
            <v>BUTLER</v>
          </cell>
          <cell r="L5425" t="str">
            <v>Butler</v>
          </cell>
          <cell r="V5425">
            <v>124200</v>
          </cell>
        </row>
        <row r="5426">
          <cell r="B5426">
            <v>1968</v>
          </cell>
          <cell r="K5426" t="str">
            <v>CERRO GORDO</v>
          </cell>
          <cell r="L5426" t="str">
            <v>Cerro Gordo</v>
          </cell>
          <cell r="V5426">
            <v>122100</v>
          </cell>
        </row>
        <row r="5427">
          <cell r="B5427">
            <v>1968</v>
          </cell>
          <cell r="K5427" t="str">
            <v>FLOYD</v>
          </cell>
          <cell r="L5427" t="str">
            <v>Floyd</v>
          </cell>
          <cell r="V5427">
            <v>103000</v>
          </cell>
        </row>
        <row r="5428">
          <cell r="B5428">
            <v>1968</v>
          </cell>
          <cell r="K5428" t="str">
            <v>FRANKLIN</v>
          </cell>
          <cell r="L5428" t="str">
            <v>Franklin</v>
          </cell>
          <cell r="V5428">
            <v>139400</v>
          </cell>
        </row>
        <row r="5429">
          <cell r="B5429">
            <v>1968</v>
          </cell>
          <cell r="K5429" t="str">
            <v>HANCOCK</v>
          </cell>
          <cell r="L5429" t="str">
            <v>Hancock</v>
          </cell>
          <cell r="V5429">
            <v>129100</v>
          </cell>
        </row>
        <row r="5430">
          <cell r="B5430">
            <v>1968</v>
          </cell>
          <cell r="K5430" t="str">
            <v>HUMBOLDT</v>
          </cell>
          <cell r="L5430" t="str">
            <v>Humboldt</v>
          </cell>
          <cell r="V5430">
            <v>106400</v>
          </cell>
        </row>
        <row r="5431">
          <cell r="B5431">
            <v>1968</v>
          </cell>
          <cell r="K5431" t="str">
            <v>KOSSUTH</v>
          </cell>
          <cell r="L5431" t="str">
            <v>Kossuth</v>
          </cell>
          <cell r="V5431">
            <v>228000</v>
          </cell>
        </row>
        <row r="5432">
          <cell r="B5432">
            <v>1968</v>
          </cell>
          <cell r="K5432" t="str">
            <v>MITCHELL</v>
          </cell>
          <cell r="L5432" t="str">
            <v>Mitchell</v>
          </cell>
          <cell r="V5432">
            <v>101000</v>
          </cell>
        </row>
        <row r="5433">
          <cell r="B5433">
            <v>1968</v>
          </cell>
          <cell r="K5433" t="str">
            <v>WINNEBAGO</v>
          </cell>
          <cell r="L5433" t="str">
            <v>Winnebago</v>
          </cell>
          <cell r="V5433">
            <v>86100</v>
          </cell>
        </row>
        <row r="5434">
          <cell r="B5434">
            <v>1968</v>
          </cell>
          <cell r="K5434" t="str">
            <v>WORTH</v>
          </cell>
          <cell r="L5434" t="str">
            <v>Worth</v>
          </cell>
          <cell r="V5434">
            <v>78900</v>
          </cell>
        </row>
        <row r="5435">
          <cell r="B5435">
            <v>1968</v>
          </cell>
          <cell r="K5435" t="str">
            <v>WRIGHT</v>
          </cell>
          <cell r="L5435" t="str">
            <v>Wright</v>
          </cell>
          <cell r="V5435">
            <v>135700</v>
          </cell>
        </row>
        <row r="5436">
          <cell r="B5436">
            <v>1968</v>
          </cell>
          <cell r="K5436" t="str">
            <v>ALLAMAKEE</v>
          </cell>
          <cell r="L5436" t="str">
            <v>Allamakee</v>
          </cell>
          <cell r="V5436">
            <v>58600</v>
          </cell>
        </row>
        <row r="5437">
          <cell r="B5437">
            <v>1968</v>
          </cell>
          <cell r="K5437" t="str">
            <v>BLACK HAWK</v>
          </cell>
          <cell r="L5437" t="str">
            <v>Black Hawk</v>
          </cell>
          <cell r="V5437">
            <v>115800</v>
          </cell>
        </row>
        <row r="5438">
          <cell r="B5438">
            <v>1968</v>
          </cell>
          <cell r="K5438" t="str">
            <v>BREMER</v>
          </cell>
          <cell r="L5438" t="str">
            <v>Bremer</v>
          </cell>
          <cell r="V5438">
            <v>87400</v>
          </cell>
        </row>
        <row r="5439">
          <cell r="B5439">
            <v>1968</v>
          </cell>
          <cell r="K5439" t="str">
            <v>BUCHANAN</v>
          </cell>
          <cell r="L5439" t="str">
            <v>Buchanan</v>
          </cell>
          <cell r="V5439">
            <v>119700</v>
          </cell>
        </row>
        <row r="5440">
          <cell r="B5440">
            <v>1968</v>
          </cell>
          <cell r="K5440" t="str">
            <v>CHICKASAW</v>
          </cell>
          <cell r="L5440" t="str">
            <v>Chickasaw</v>
          </cell>
          <cell r="V5440">
            <v>93400</v>
          </cell>
        </row>
        <row r="5441">
          <cell r="B5441">
            <v>1968</v>
          </cell>
          <cell r="K5441" t="str">
            <v>CLAYTON</v>
          </cell>
          <cell r="L5441" t="str">
            <v>Clayton</v>
          </cell>
          <cell r="V5441">
            <v>112000</v>
          </cell>
        </row>
        <row r="5442">
          <cell r="B5442">
            <v>1968</v>
          </cell>
          <cell r="K5442" t="str">
            <v>DELAWARE</v>
          </cell>
          <cell r="L5442" t="str">
            <v>Delaware</v>
          </cell>
          <cell r="V5442">
            <v>120400</v>
          </cell>
        </row>
        <row r="5443">
          <cell r="B5443">
            <v>1968</v>
          </cell>
          <cell r="K5443" t="str">
            <v>DUBUQUE</v>
          </cell>
          <cell r="L5443" t="str">
            <v>Dubuque</v>
          </cell>
          <cell r="V5443">
            <v>97400</v>
          </cell>
        </row>
        <row r="5444">
          <cell r="B5444">
            <v>1968</v>
          </cell>
          <cell r="K5444" t="str">
            <v>FAYETTE</v>
          </cell>
          <cell r="L5444" t="str">
            <v>Fayette</v>
          </cell>
          <cell r="V5444">
            <v>135400</v>
          </cell>
        </row>
        <row r="5445">
          <cell r="B5445">
            <v>1968</v>
          </cell>
          <cell r="K5445" t="str">
            <v>HOWARD</v>
          </cell>
          <cell r="L5445" t="str">
            <v>Howard</v>
          </cell>
          <cell r="V5445">
            <v>76300</v>
          </cell>
        </row>
        <row r="5446">
          <cell r="B5446">
            <v>1968</v>
          </cell>
          <cell r="K5446" t="str">
            <v>WINNESHIEK</v>
          </cell>
          <cell r="L5446" t="str">
            <v>Winneshiek</v>
          </cell>
          <cell r="V5446">
            <v>103600</v>
          </cell>
        </row>
        <row r="5447">
          <cell r="B5447">
            <v>1968</v>
          </cell>
          <cell r="K5447" t="str">
            <v>BUENA VISTA</v>
          </cell>
          <cell r="L5447" t="str">
            <v>Buena Vista</v>
          </cell>
          <cell r="V5447">
            <v>131600</v>
          </cell>
        </row>
        <row r="5448">
          <cell r="B5448">
            <v>1968</v>
          </cell>
          <cell r="K5448" t="str">
            <v>CHEROKEE</v>
          </cell>
          <cell r="L5448" t="str">
            <v>Cherokee</v>
          </cell>
          <cell r="V5448">
            <v>123900</v>
          </cell>
        </row>
        <row r="5449">
          <cell r="B5449">
            <v>1968</v>
          </cell>
          <cell r="K5449" t="str">
            <v>CLAY</v>
          </cell>
          <cell r="L5449" t="str">
            <v>Clay</v>
          </cell>
          <cell r="V5449">
            <v>119300</v>
          </cell>
        </row>
        <row r="5450">
          <cell r="B5450">
            <v>1968</v>
          </cell>
          <cell r="K5450" t="str">
            <v>DICKINSON</v>
          </cell>
          <cell r="L5450" t="str">
            <v>Dickinson</v>
          </cell>
          <cell r="V5450">
            <v>77300</v>
          </cell>
        </row>
        <row r="5451">
          <cell r="B5451">
            <v>1968</v>
          </cell>
          <cell r="K5451" t="str">
            <v>EMMET</v>
          </cell>
          <cell r="L5451" t="str">
            <v>Emmet</v>
          </cell>
          <cell r="V5451">
            <v>86000</v>
          </cell>
        </row>
        <row r="5452">
          <cell r="B5452">
            <v>1968</v>
          </cell>
          <cell r="K5452" t="str">
            <v>LYON</v>
          </cell>
          <cell r="L5452" t="str">
            <v>Lyon</v>
          </cell>
          <cell r="V5452">
            <v>139600</v>
          </cell>
        </row>
        <row r="5453">
          <cell r="B5453">
            <v>1968</v>
          </cell>
          <cell r="K5453" t="str">
            <v>O BRIEN</v>
          </cell>
          <cell r="L5453" t="str">
            <v>O Brien</v>
          </cell>
          <cell r="V5453">
            <v>133600</v>
          </cell>
        </row>
        <row r="5454">
          <cell r="B5454">
            <v>1968</v>
          </cell>
          <cell r="K5454" t="str">
            <v>OSCEOLA</v>
          </cell>
          <cell r="L5454" t="str">
            <v>Osceola</v>
          </cell>
          <cell r="V5454">
            <v>92600</v>
          </cell>
        </row>
        <row r="5455">
          <cell r="B5455">
            <v>1968</v>
          </cell>
          <cell r="K5455" t="str">
            <v>PALO ALTO</v>
          </cell>
          <cell r="L5455" t="str">
            <v>Palo Alto</v>
          </cell>
          <cell r="V5455">
            <v>125900</v>
          </cell>
        </row>
        <row r="5456">
          <cell r="B5456">
            <v>1968</v>
          </cell>
          <cell r="K5456" t="str">
            <v>PLYMOUTH</v>
          </cell>
          <cell r="L5456" t="str">
            <v>Plymouth</v>
          </cell>
          <cell r="V5456">
            <v>193000</v>
          </cell>
        </row>
        <row r="5457">
          <cell r="B5457">
            <v>1968</v>
          </cell>
          <cell r="K5457" t="str">
            <v>POCAHONTAS</v>
          </cell>
          <cell r="L5457" t="str">
            <v>Pocahontas</v>
          </cell>
          <cell r="V5457">
            <v>124000</v>
          </cell>
        </row>
        <row r="5458">
          <cell r="B5458">
            <v>1968</v>
          </cell>
          <cell r="K5458" t="str">
            <v>SIOUX</v>
          </cell>
          <cell r="L5458" t="str">
            <v>Sioux</v>
          </cell>
          <cell r="V5458">
            <v>217800</v>
          </cell>
        </row>
        <row r="5459">
          <cell r="B5459">
            <v>1968</v>
          </cell>
          <cell r="K5459" t="str">
            <v>APPANOOSE</v>
          </cell>
          <cell r="L5459" t="str">
            <v>Appanoose</v>
          </cell>
          <cell r="V5459">
            <v>35700</v>
          </cell>
        </row>
        <row r="5460">
          <cell r="B5460">
            <v>1968</v>
          </cell>
          <cell r="K5460" t="str">
            <v>CLARKE</v>
          </cell>
          <cell r="L5460" t="str">
            <v>Clarke</v>
          </cell>
          <cell r="V5460">
            <v>33200</v>
          </cell>
        </row>
        <row r="5461">
          <cell r="B5461">
            <v>1968</v>
          </cell>
          <cell r="K5461" t="str">
            <v>DECATUR</v>
          </cell>
          <cell r="L5461" t="str">
            <v>Decatur</v>
          </cell>
          <cell r="V5461">
            <v>40900</v>
          </cell>
        </row>
        <row r="5462">
          <cell r="B5462">
            <v>1968</v>
          </cell>
          <cell r="K5462" t="str">
            <v>LUCAS</v>
          </cell>
          <cell r="L5462" t="str">
            <v>Lucas</v>
          </cell>
          <cell r="V5462">
            <v>35000</v>
          </cell>
        </row>
        <row r="5463">
          <cell r="B5463">
            <v>1968</v>
          </cell>
          <cell r="K5463" t="str">
            <v>MADISON</v>
          </cell>
          <cell r="L5463" t="str">
            <v>Madison</v>
          </cell>
          <cell r="V5463">
            <v>61200</v>
          </cell>
        </row>
        <row r="5464">
          <cell r="B5464">
            <v>1968</v>
          </cell>
          <cell r="K5464" t="str">
            <v>MARION</v>
          </cell>
          <cell r="L5464" t="str">
            <v>Marion</v>
          </cell>
          <cell r="V5464">
            <v>69800</v>
          </cell>
        </row>
        <row r="5465">
          <cell r="B5465">
            <v>1968</v>
          </cell>
          <cell r="K5465" t="str">
            <v>MONROE</v>
          </cell>
          <cell r="L5465" t="str">
            <v>Monroe</v>
          </cell>
          <cell r="V5465">
            <v>26200</v>
          </cell>
        </row>
        <row r="5466">
          <cell r="B5466">
            <v>1968</v>
          </cell>
          <cell r="K5466" t="str">
            <v>RINGGOLD</v>
          </cell>
          <cell r="L5466" t="str">
            <v>Ringgold</v>
          </cell>
          <cell r="V5466">
            <v>45300</v>
          </cell>
        </row>
        <row r="5467">
          <cell r="B5467">
            <v>1968</v>
          </cell>
          <cell r="K5467" t="str">
            <v>UNION</v>
          </cell>
          <cell r="L5467" t="str">
            <v>Union</v>
          </cell>
          <cell r="V5467">
            <v>45100</v>
          </cell>
        </row>
        <row r="5468">
          <cell r="B5468">
            <v>1968</v>
          </cell>
          <cell r="K5468" t="str">
            <v>WARREN</v>
          </cell>
          <cell r="L5468" t="str">
            <v>Warren</v>
          </cell>
          <cell r="V5468">
            <v>62700</v>
          </cell>
        </row>
        <row r="5469">
          <cell r="B5469">
            <v>1968</v>
          </cell>
          <cell r="K5469" t="str">
            <v>WAYNE</v>
          </cell>
          <cell r="L5469" t="str">
            <v>Wayne</v>
          </cell>
          <cell r="V5469">
            <v>47700</v>
          </cell>
        </row>
        <row r="5470">
          <cell r="B5470">
            <v>1968</v>
          </cell>
          <cell r="K5470" t="str">
            <v>DAVIS</v>
          </cell>
          <cell r="L5470" t="str">
            <v>Davis</v>
          </cell>
          <cell r="V5470">
            <v>47800</v>
          </cell>
        </row>
        <row r="5471">
          <cell r="B5471">
            <v>1968</v>
          </cell>
          <cell r="K5471" t="str">
            <v>DES MOINES</v>
          </cell>
          <cell r="L5471" t="str">
            <v>Des Moines</v>
          </cell>
          <cell r="V5471">
            <v>72000</v>
          </cell>
        </row>
        <row r="5472">
          <cell r="B5472">
            <v>1968</v>
          </cell>
          <cell r="K5472" t="str">
            <v>HENRY</v>
          </cell>
          <cell r="L5472" t="str">
            <v>Henry</v>
          </cell>
          <cell r="V5472">
            <v>84100</v>
          </cell>
        </row>
        <row r="5473">
          <cell r="B5473">
            <v>1968</v>
          </cell>
          <cell r="K5473" t="str">
            <v>JEFFERSON</v>
          </cell>
          <cell r="L5473" t="str">
            <v>Jefferson</v>
          </cell>
          <cell r="V5473">
            <v>55300</v>
          </cell>
        </row>
        <row r="5474">
          <cell r="B5474">
            <v>1968</v>
          </cell>
          <cell r="K5474" t="str">
            <v>KEOKUK</v>
          </cell>
          <cell r="L5474" t="str">
            <v>Keokuk</v>
          </cell>
          <cell r="V5474">
            <v>92000</v>
          </cell>
        </row>
        <row r="5475">
          <cell r="B5475">
            <v>1968</v>
          </cell>
          <cell r="K5475" t="str">
            <v>LEE</v>
          </cell>
          <cell r="L5475" t="str">
            <v>Lee</v>
          </cell>
          <cell r="V5475">
            <v>85000</v>
          </cell>
        </row>
        <row r="5476">
          <cell r="B5476">
            <v>1968</v>
          </cell>
          <cell r="K5476" t="str">
            <v>LOUISA</v>
          </cell>
          <cell r="L5476" t="str">
            <v>Louisa</v>
          </cell>
          <cell r="V5476">
            <v>79300</v>
          </cell>
        </row>
        <row r="5477">
          <cell r="B5477">
            <v>1968</v>
          </cell>
          <cell r="K5477" t="str">
            <v>MAHASKA</v>
          </cell>
          <cell r="L5477" t="str">
            <v>Mahaska</v>
          </cell>
          <cell r="V5477">
            <v>101400</v>
          </cell>
        </row>
        <row r="5478">
          <cell r="B5478">
            <v>1968</v>
          </cell>
          <cell r="K5478" t="str">
            <v>VAN BUREN</v>
          </cell>
          <cell r="L5478" t="str">
            <v>Van Buren</v>
          </cell>
          <cell r="V5478">
            <v>47400</v>
          </cell>
        </row>
        <row r="5479">
          <cell r="B5479">
            <v>1968</v>
          </cell>
          <cell r="K5479" t="str">
            <v>WAPELLO</v>
          </cell>
          <cell r="L5479" t="str">
            <v>Wapello</v>
          </cell>
          <cell r="V5479">
            <v>49400</v>
          </cell>
        </row>
        <row r="5480">
          <cell r="B5480">
            <v>1968</v>
          </cell>
          <cell r="K5480" t="str">
            <v>WASHINGTON</v>
          </cell>
          <cell r="L5480" t="str">
            <v>Washington</v>
          </cell>
          <cell r="V5480">
            <v>112700</v>
          </cell>
        </row>
        <row r="5481">
          <cell r="B5481">
            <v>1968</v>
          </cell>
          <cell r="K5481" t="str">
            <v>ADAIR</v>
          </cell>
          <cell r="L5481" t="str">
            <v>Adair</v>
          </cell>
          <cell r="V5481">
            <v>76400</v>
          </cell>
        </row>
        <row r="5482">
          <cell r="B5482">
            <v>1968</v>
          </cell>
          <cell r="K5482" t="str">
            <v>ADAMS</v>
          </cell>
          <cell r="L5482" t="str">
            <v>Adams</v>
          </cell>
          <cell r="V5482">
            <v>55800</v>
          </cell>
        </row>
        <row r="5483">
          <cell r="B5483">
            <v>1968</v>
          </cell>
          <cell r="K5483" t="str">
            <v>CASS</v>
          </cell>
          <cell r="L5483" t="str">
            <v>Cass</v>
          </cell>
          <cell r="V5483">
            <v>103200</v>
          </cell>
        </row>
        <row r="5484">
          <cell r="B5484">
            <v>1968</v>
          </cell>
          <cell r="K5484" t="str">
            <v>FREMONT</v>
          </cell>
          <cell r="L5484" t="str">
            <v>Fremont</v>
          </cell>
          <cell r="V5484">
            <v>95700</v>
          </cell>
        </row>
        <row r="5485">
          <cell r="B5485">
            <v>1968</v>
          </cell>
          <cell r="K5485" t="str">
            <v>MILLS</v>
          </cell>
          <cell r="L5485" t="str">
            <v>Mills</v>
          </cell>
          <cell r="V5485">
            <v>84500</v>
          </cell>
        </row>
        <row r="5486">
          <cell r="B5486">
            <v>1968</v>
          </cell>
          <cell r="K5486" t="str">
            <v>MONTGOMERY</v>
          </cell>
          <cell r="L5486" t="str">
            <v>Montgomery</v>
          </cell>
          <cell r="V5486">
            <v>79100</v>
          </cell>
        </row>
        <row r="5487">
          <cell r="B5487">
            <v>1968</v>
          </cell>
          <cell r="K5487" t="str">
            <v>PAGE</v>
          </cell>
          <cell r="L5487" t="str">
            <v>Page</v>
          </cell>
          <cell r="V5487">
            <v>90100</v>
          </cell>
        </row>
        <row r="5488">
          <cell r="B5488">
            <v>1968</v>
          </cell>
          <cell r="K5488" t="str">
            <v>POTTAWATTAMIE</v>
          </cell>
          <cell r="L5488" t="str">
            <v>Pottawattamie</v>
          </cell>
          <cell r="V5488">
            <v>196300</v>
          </cell>
        </row>
        <row r="5489">
          <cell r="B5489">
            <v>1968</v>
          </cell>
          <cell r="K5489" t="str">
            <v>TAYLOR</v>
          </cell>
          <cell r="L5489" t="str">
            <v>Taylor</v>
          </cell>
          <cell r="V5489">
            <v>55200</v>
          </cell>
        </row>
        <row r="5490">
          <cell r="B5490">
            <v>1968</v>
          </cell>
          <cell r="K5490" t="str">
            <v>AUDUBON</v>
          </cell>
          <cell r="L5490" t="str">
            <v>Audubon</v>
          </cell>
          <cell r="V5490">
            <v>85700</v>
          </cell>
        </row>
        <row r="5491">
          <cell r="B5491">
            <v>1968</v>
          </cell>
          <cell r="K5491" t="str">
            <v>CALHOUN</v>
          </cell>
          <cell r="L5491" t="str">
            <v>Calhoun</v>
          </cell>
          <cell r="V5491">
            <v>120000</v>
          </cell>
        </row>
        <row r="5492">
          <cell r="B5492">
            <v>1968</v>
          </cell>
          <cell r="K5492" t="str">
            <v>CARROLL</v>
          </cell>
          <cell r="L5492" t="str">
            <v>Carroll</v>
          </cell>
          <cell r="V5492">
            <v>134900</v>
          </cell>
        </row>
        <row r="5493">
          <cell r="B5493">
            <v>1968</v>
          </cell>
          <cell r="K5493" t="str">
            <v>CRAWFORD</v>
          </cell>
          <cell r="L5493" t="str">
            <v>Crawford</v>
          </cell>
          <cell r="V5493">
            <v>126200</v>
          </cell>
        </row>
        <row r="5494">
          <cell r="B5494">
            <v>1968</v>
          </cell>
          <cell r="K5494" t="str">
            <v>GREENE</v>
          </cell>
          <cell r="L5494" t="str">
            <v>Greene</v>
          </cell>
          <cell r="V5494">
            <v>134400</v>
          </cell>
        </row>
        <row r="5495">
          <cell r="B5495">
            <v>1968</v>
          </cell>
          <cell r="K5495" t="str">
            <v>GUTHRIE</v>
          </cell>
          <cell r="L5495" t="str">
            <v>Guthrie</v>
          </cell>
          <cell r="V5495">
            <v>83600</v>
          </cell>
        </row>
        <row r="5496">
          <cell r="B5496">
            <v>1968</v>
          </cell>
          <cell r="K5496" t="str">
            <v>HARRISON</v>
          </cell>
          <cell r="L5496" t="str">
            <v>Harrison</v>
          </cell>
          <cell r="V5496">
            <v>123500</v>
          </cell>
        </row>
        <row r="5497">
          <cell r="B5497">
            <v>1968</v>
          </cell>
          <cell r="K5497" t="str">
            <v>IDA</v>
          </cell>
          <cell r="L5497" t="str">
            <v>Ida</v>
          </cell>
          <cell r="V5497">
            <v>93100</v>
          </cell>
        </row>
        <row r="5498">
          <cell r="B5498">
            <v>1968</v>
          </cell>
          <cell r="K5498" t="str">
            <v>MONONA</v>
          </cell>
          <cell r="L5498" t="str">
            <v>Monona</v>
          </cell>
          <cell r="V5498">
            <v>129200</v>
          </cell>
        </row>
        <row r="5499">
          <cell r="B5499">
            <v>1968</v>
          </cell>
          <cell r="K5499" t="str">
            <v>SAC</v>
          </cell>
          <cell r="L5499" t="str">
            <v>Sac</v>
          </cell>
          <cell r="V5499">
            <v>136300</v>
          </cell>
        </row>
        <row r="5500">
          <cell r="B5500">
            <v>1968</v>
          </cell>
          <cell r="K5500" t="str">
            <v>SHELBY</v>
          </cell>
          <cell r="L5500" t="str">
            <v>Shelby</v>
          </cell>
          <cell r="V5500">
            <v>125300</v>
          </cell>
        </row>
        <row r="5501">
          <cell r="B5501">
            <v>1968</v>
          </cell>
          <cell r="K5501" t="str">
            <v>WOODBURY</v>
          </cell>
          <cell r="L5501" t="str">
            <v>Woodbury</v>
          </cell>
          <cell r="V5501">
            <v>159200</v>
          </cell>
        </row>
        <row r="5502">
          <cell r="B5502">
            <v>1967</v>
          </cell>
          <cell r="K5502" t="str">
            <v>BOONE</v>
          </cell>
          <cell r="L5502" t="str">
            <v>Boone</v>
          </cell>
          <cell r="V5502">
            <v>134400</v>
          </cell>
        </row>
        <row r="5503">
          <cell r="B5503">
            <v>1967</v>
          </cell>
          <cell r="K5503" t="str">
            <v>DALLAS</v>
          </cell>
          <cell r="L5503" t="str">
            <v>Dallas</v>
          </cell>
          <cell r="V5503">
            <v>136400</v>
          </cell>
        </row>
        <row r="5504">
          <cell r="B5504">
            <v>1967</v>
          </cell>
          <cell r="K5504" t="str">
            <v>GRUNDY</v>
          </cell>
          <cell r="L5504" t="str">
            <v>Grundy</v>
          </cell>
          <cell r="V5504">
            <v>148600</v>
          </cell>
        </row>
        <row r="5505">
          <cell r="B5505">
            <v>1967</v>
          </cell>
          <cell r="K5505" t="str">
            <v>HAMILTON</v>
          </cell>
          <cell r="L5505" t="str">
            <v>Hamilton</v>
          </cell>
          <cell r="V5505">
            <v>160800</v>
          </cell>
        </row>
        <row r="5506">
          <cell r="B5506">
            <v>1967</v>
          </cell>
          <cell r="K5506" t="str">
            <v>HARDIN</v>
          </cell>
          <cell r="L5506" t="str">
            <v>Hardin</v>
          </cell>
          <cell r="V5506">
            <v>151000</v>
          </cell>
        </row>
        <row r="5507">
          <cell r="B5507">
            <v>1967</v>
          </cell>
          <cell r="K5507" t="str">
            <v>JASPER</v>
          </cell>
          <cell r="L5507" t="str">
            <v>Jasper</v>
          </cell>
          <cell r="V5507">
            <v>168100</v>
          </cell>
        </row>
        <row r="5508">
          <cell r="B5508">
            <v>1967</v>
          </cell>
          <cell r="K5508" t="str">
            <v>MARSHALL</v>
          </cell>
          <cell r="L5508" t="str">
            <v>Marshall</v>
          </cell>
          <cell r="V5508">
            <v>156100</v>
          </cell>
        </row>
        <row r="5509">
          <cell r="B5509">
            <v>1967</v>
          </cell>
          <cell r="K5509" t="str">
            <v>POLK</v>
          </cell>
          <cell r="L5509" t="str">
            <v>Polk</v>
          </cell>
          <cell r="V5509">
            <v>120400</v>
          </cell>
        </row>
        <row r="5510">
          <cell r="B5510">
            <v>1967</v>
          </cell>
          <cell r="K5510" t="str">
            <v>POWESHIEK</v>
          </cell>
          <cell r="L5510" t="str">
            <v>Poweshiek</v>
          </cell>
          <cell r="V5510">
            <v>116700</v>
          </cell>
        </row>
        <row r="5511">
          <cell r="B5511">
            <v>1967</v>
          </cell>
          <cell r="K5511" t="str">
            <v>STORY</v>
          </cell>
          <cell r="L5511" t="str">
            <v>Story</v>
          </cell>
          <cell r="V5511">
            <v>148900</v>
          </cell>
        </row>
        <row r="5512">
          <cell r="B5512">
            <v>1967</v>
          </cell>
          <cell r="K5512" t="str">
            <v>TAMA</v>
          </cell>
          <cell r="L5512" t="str">
            <v>Tama</v>
          </cell>
          <cell r="V5512">
            <v>163700</v>
          </cell>
        </row>
        <row r="5513">
          <cell r="B5513">
            <v>1967</v>
          </cell>
          <cell r="K5513" t="str">
            <v>WEBSTER</v>
          </cell>
          <cell r="L5513" t="str">
            <v>Webster</v>
          </cell>
          <cell r="V5513">
            <v>168900</v>
          </cell>
        </row>
        <row r="5514">
          <cell r="B5514">
            <v>1967</v>
          </cell>
          <cell r="K5514" t="str">
            <v>BENTON</v>
          </cell>
          <cell r="L5514" t="str">
            <v>Benton</v>
          </cell>
          <cell r="V5514">
            <v>184000</v>
          </cell>
        </row>
        <row r="5515">
          <cell r="B5515">
            <v>1967</v>
          </cell>
          <cell r="K5515" t="str">
            <v>CEDAR</v>
          </cell>
          <cell r="L5515" t="str">
            <v>Cedar</v>
          </cell>
          <cell r="V5515">
            <v>153400</v>
          </cell>
        </row>
        <row r="5516">
          <cell r="B5516">
            <v>1967</v>
          </cell>
          <cell r="K5516" t="str">
            <v>CLINTON</v>
          </cell>
          <cell r="L5516" t="str">
            <v>Clinton</v>
          </cell>
          <cell r="V5516">
            <v>183600</v>
          </cell>
        </row>
        <row r="5517">
          <cell r="B5517">
            <v>1967</v>
          </cell>
          <cell r="K5517" t="str">
            <v>IOWA</v>
          </cell>
          <cell r="L5517" t="str">
            <v>Iowa</v>
          </cell>
          <cell r="V5517">
            <v>119200</v>
          </cell>
        </row>
        <row r="5518">
          <cell r="B5518">
            <v>1967</v>
          </cell>
          <cell r="K5518" t="str">
            <v>JACKSON</v>
          </cell>
          <cell r="L5518" t="str">
            <v>Jackson</v>
          </cell>
          <cell r="V5518">
            <v>93900</v>
          </cell>
        </row>
        <row r="5519">
          <cell r="B5519">
            <v>1967</v>
          </cell>
          <cell r="K5519" t="str">
            <v>JOHNSON</v>
          </cell>
          <cell r="L5519" t="str">
            <v>Johnson</v>
          </cell>
          <cell r="V5519">
            <v>122300</v>
          </cell>
        </row>
        <row r="5520">
          <cell r="B5520">
            <v>1967</v>
          </cell>
          <cell r="K5520" t="str">
            <v>JONES</v>
          </cell>
          <cell r="L5520" t="str">
            <v>Jones</v>
          </cell>
          <cell r="V5520">
            <v>129200</v>
          </cell>
        </row>
        <row r="5521">
          <cell r="B5521">
            <v>1967</v>
          </cell>
          <cell r="K5521" t="str">
            <v>LINN</v>
          </cell>
          <cell r="L5521" t="str">
            <v>Linn</v>
          </cell>
          <cell r="V5521">
            <v>150600</v>
          </cell>
        </row>
        <row r="5522">
          <cell r="B5522">
            <v>1967</v>
          </cell>
          <cell r="K5522" t="str">
            <v>MUSCATINE</v>
          </cell>
          <cell r="L5522" t="str">
            <v>Muscatine</v>
          </cell>
          <cell r="V5522">
            <v>92700</v>
          </cell>
        </row>
        <row r="5523">
          <cell r="B5523">
            <v>1967</v>
          </cell>
          <cell r="K5523" t="str">
            <v>SCOTT</v>
          </cell>
          <cell r="L5523" t="str">
            <v>Scott</v>
          </cell>
          <cell r="V5523">
            <v>118100</v>
          </cell>
        </row>
        <row r="5524">
          <cell r="B5524">
            <v>1967</v>
          </cell>
          <cell r="K5524" t="str">
            <v>BUTLER</v>
          </cell>
          <cell r="L5524" t="str">
            <v>Butler</v>
          </cell>
          <cell r="V5524">
            <v>142800</v>
          </cell>
        </row>
        <row r="5525">
          <cell r="B5525">
            <v>1967</v>
          </cell>
          <cell r="K5525" t="str">
            <v>CERRO GORDO</v>
          </cell>
          <cell r="L5525" t="str">
            <v>Cerro Gordo</v>
          </cell>
          <cell r="V5525">
            <v>152400</v>
          </cell>
        </row>
        <row r="5526">
          <cell r="B5526">
            <v>1967</v>
          </cell>
          <cell r="K5526" t="str">
            <v>FLOYD</v>
          </cell>
          <cell r="L5526" t="str">
            <v>Floyd</v>
          </cell>
          <cell r="V5526">
            <v>128400</v>
          </cell>
        </row>
        <row r="5527">
          <cell r="B5527">
            <v>1967</v>
          </cell>
          <cell r="K5527" t="str">
            <v>FRANKLIN</v>
          </cell>
          <cell r="L5527" t="str">
            <v>Franklin</v>
          </cell>
          <cell r="V5527">
            <v>163500</v>
          </cell>
        </row>
        <row r="5528">
          <cell r="B5528">
            <v>1967</v>
          </cell>
          <cell r="K5528" t="str">
            <v>HANCOCK</v>
          </cell>
          <cell r="L5528" t="str">
            <v>Hancock</v>
          </cell>
          <cell r="V5528">
            <v>152000</v>
          </cell>
        </row>
        <row r="5529">
          <cell r="B5529">
            <v>1967</v>
          </cell>
          <cell r="K5529" t="str">
            <v>HUMBOLDT</v>
          </cell>
          <cell r="L5529" t="str">
            <v>Humboldt</v>
          </cell>
          <cell r="V5529">
            <v>123000</v>
          </cell>
        </row>
        <row r="5530">
          <cell r="B5530">
            <v>1967</v>
          </cell>
          <cell r="K5530" t="str">
            <v>KOSSUTH</v>
          </cell>
          <cell r="L5530" t="str">
            <v>Kossuth</v>
          </cell>
          <cell r="V5530">
            <v>252300</v>
          </cell>
        </row>
        <row r="5531">
          <cell r="B5531">
            <v>1967</v>
          </cell>
          <cell r="K5531" t="str">
            <v>MITCHELL</v>
          </cell>
          <cell r="L5531" t="str">
            <v>Mitchell</v>
          </cell>
          <cell r="V5531">
            <v>122700</v>
          </cell>
        </row>
        <row r="5532">
          <cell r="B5532">
            <v>1967</v>
          </cell>
          <cell r="K5532" t="str">
            <v>WINNEBAGO</v>
          </cell>
          <cell r="L5532" t="str">
            <v>Winnebago</v>
          </cell>
          <cell r="V5532">
            <v>107400</v>
          </cell>
        </row>
        <row r="5533">
          <cell r="B5533">
            <v>1967</v>
          </cell>
          <cell r="K5533" t="str">
            <v>WORTH</v>
          </cell>
          <cell r="L5533" t="str">
            <v>Worth</v>
          </cell>
          <cell r="V5533">
            <v>105400</v>
          </cell>
        </row>
        <row r="5534">
          <cell r="B5534">
            <v>1967</v>
          </cell>
          <cell r="K5534" t="str">
            <v>WRIGHT</v>
          </cell>
          <cell r="L5534" t="str">
            <v>Wright</v>
          </cell>
          <cell r="V5534">
            <v>155100</v>
          </cell>
        </row>
        <row r="5535">
          <cell r="B5535">
            <v>1967</v>
          </cell>
          <cell r="K5535" t="str">
            <v>ALLAMAKEE</v>
          </cell>
          <cell r="L5535" t="str">
            <v>Allamakee</v>
          </cell>
          <cell r="V5535">
            <v>63300</v>
          </cell>
        </row>
        <row r="5536">
          <cell r="B5536">
            <v>1967</v>
          </cell>
          <cell r="K5536" t="str">
            <v>BLACK HAWK</v>
          </cell>
          <cell r="L5536" t="str">
            <v>Black Hawk</v>
          </cell>
          <cell r="V5536">
            <v>133600</v>
          </cell>
        </row>
        <row r="5537">
          <cell r="B5537">
            <v>1967</v>
          </cell>
          <cell r="K5537" t="str">
            <v>BREMER</v>
          </cell>
          <cell r="L5537" t="str">
            <v>Bremer</v>
          </cell>
          <cell r="V5537">
            <v>98800</v>
          </cell>
        </row>
        <row r="5538">
          <cell r="B5538">
            <v>1967</v>
          </cell>
          <cell r="K5538" t="str">
            <v>BUCHANAN</v>
          </cell>
          <cell r="L5538" t="str">
            <v>Buchanan</v>
          </cell>
          <cell r="V5538">
            <v>134300</v>
          </cell>
        </row>
        <row r="5539">
          <cell r="B5539">
            <v>1967</v>
          </cell>
          <cell r="K5539" t="str">
            <v>CHICKASAW</v>
          </cell>
          <cell r="L5539" t="str">
            <v>Chickasaw</v>
          </cell>
          <cell r="V5539">
            <v>110800</v>
          </cell>
        </row>
        <row r="5540">
          <cell r="B5540">
            <v>1967</v>
          </cell>
          <cell r="K5540" t="str">
            <v>CLAYTON</v>
          </cell>
          <cell r="L5540" t="str">
            <v>Clayton</v>
          </cell>
          <cell r="V5540">
            <v>116600</v>
          </cell>
        </row>
        <row r="5541">
          <cell r="B5541">
            <v>1967</v>
          </cell>
          <cell r="K5541" t="str">
            <v>DELAWARE</v>
          </cell>
          <cell r="L5541" t="str">
            <v>Delaware</v>
          </cell>
          <cell r="V5541">
            <v>130700</v>
          </cell>
        </row>
        <row r="5542">
          <cell r="B5542">
            <v>1967</v>
          </cell>
          <cell r="K5542" t="str">
            <v>DUBUQUE</v>
          </cell>
          <cell r="L5542" t="str">
            <v>Dubuque</v>
          </cell>
          <cell r="V5542">
            <v>98500</v>
          </cell>
        </row>
        <row r="5543">
          <cell r="B5543">
            <v>1967</v>
          </cell>
          <cell r="K5543" t="str">
            <v>FAYETTE</v>
          </cell>
          <cell r="L5543" t="str">
            <v>Fayette</v>
          </cell>
          <cell r="V5543">
            <v>147700</v>
          </cell>
        </row>
        <row r="5544">
          <cell r="B5544">
            <v>1967</v>
          </cell>
          <cell r="K5544" t="str">
            <v>HOWARD</v>
          </cell>
          <cell r="L5544" t="str">
            <v>Howard</v>
          </cell>
          <cell r="V5544">
            <v>89200</v>
          </cell>
        </row>
        <row r="5545">
          <cell r="B5545">
            <v>1967</v>
          </cell>
          <cell r="K5545" t="str">
            <v>WINNESHIEK</v>
          </cell>
          <cell r="L5545" t="str">
            <v>Winneshiek</v>
          </cell>
          <cell r="V5545">
            <v>112500</v>
          </cell>
        </row>
        <row r="5546">
          <cell r="B5546">
            <v>1967</v>
          </cell>
          <cell r="K5546" t="str">
            <v>BUENA VISTA</v>
          </cell>
          <cell r="L5546" t="str">
            <v>Buena Vista</v>
          </cell>
          <cell r="V5546">
            <v>142500</v>
          </cell>
        </row>
        <row r="5547">
          <cell r="B5547">
            <v>1967</v>
          </cell>
          <cell r="K5547" t="str">
            <v>CHEROKEE</v>
          </cell>
          <cell r="L5547" t="str">
            <v>Cherokee</v>
          </cell>
          <cell r="V5547">
            <v>135300</v>
          </cell>
        </row>
        <row r="5548">
          <cell r="B5548">
            <v>1967</v>
          </cell>
          <cell r="K5548" t="str">
            <v>CLAY</v>
          </cell>
          <cell r="L5548" t="str">
            <v>Clay</v>
          </cell>
          <cell r="V5548">
            <v>140800</v>
          </cell>
        </row>
        <row r="5549">
          <cell r="B5549">
            <v>1967</v>
          </cell>
          <cell r="K5549" t="str">
            <v>DICKINSON</v>
          </cell>
          <cell r="L5549" t="str">
            <v>Dickinson</v>
          </cell>
          <cell r="V5549">
            <v>88700</v>
          </cell>
        </row>
        <row r="5550">
          <cell r="B5550">
            <v>1967</v>
          </cell>
          <cell r="K5550" t="str">
            <v>EMMET</v>
          </cell>
          <cell r="L5550" t="str">
            <v>Emmet</v>
          </cell>
          <cell r="V5550">
            <v>98300</v>
          </cell>
        </row>
        <row r="5551">
          <cell r="B5551">
            <v>1967</v>
          </cell>
          <cell r="K5551" t="str">
            <v>LYON</v>
          </cell>
          <cell r="L5551" t="str">
            <v>Lyon</v>
          </cell>
          <cell r="V5551">
            <v>159300</v>
          </cell>
        </row>
        <row r="5552">
          <cell r="B5552">
            <v>1967</v>
          </cell>
          <cell r="K5552" t="str">
            <v>O BRIEN</v>
          </cell>
          <cell r="L5552" t="str">
            <v>O Brien</v>
          </cell>
          <cell r="V5552">
            <v>148800</v>
          </cell>
        </row>
        <row r="5553">
          <cell r="B5553">
            <v>1967</v>
          </cell>
          <cell r="K5553" t="str">
            <v>OSCEOLA</v>
          </cell>
          <cell r="L5553" t="str">
            <v>Osceola</v>
          </cell>
          <cell r="V5553">
            <v>101500</v>
          </cell>
        </row>
        <row r="5554">
          <cell r="B5554">
            <v>1967</v>
          </cell>
          <cell r="K5554" t="str">
            <v>PALO ALTO</v>
          </cell>
          <cell r="L5554" t="str">
            <v>Palo Alto</v>
          </cell>
          <cell r="V5554">
            <v>142600</v>
          </cell>
        </row>
        <row r="5555">
          <cell r="B5555">
            <v>1967</v>
          </cell>
          <cell r="K5555" t="str">
            <v>PLYMOUTH</v>
          </cell>
          <cell r="L5555" t="str">
            <v>Plymouth</v>
          </cell>
          <cell r="V5555">
            <v>224300</v>
          </cell>
        </row>
        <row r="5556">
          <cell r="B5556">
            <v>1967</v>
          </cell>
          <cell r="K5556" t="str">
            <v>POCAHONTAS</v>
          </cell>
          <cell r="L5556" t="str">
            <v>Pocahontas</v>
          </cell>
          <cell r="V5556">
            <v>139700</v>
          </cell>
        </row>
        <row r="5557">
          <cell r="B5557">
            <v>1967</v>
          </cell>
          <cell r="K5557" t="str">
            <v>SIOUX</v>
          </cell>
          <cell r="L5557" t="str">
            <v>Sioux</v>
          </cell>
          <cell r="V5557">
            <v>246200</v>
          </cell>
        </row>
        <row r="5558">
          <cell r="B5558">
            <v>1967</v>
          </cell>
          <cell r="K5558" t="str">
            <v>APPANOOSE</v>
          </cell>
          <cell r="L5558" t="str">
            <v>Appanoose</v>
          </cell>
          <cell r="V5558">
            <v>49100</v>
          </cell>
        </row>
        <row r="5559">
          <cell r="B5559">
            <v>1967</v>
          </cell>
          <cell r="K5559" t="str">
            <v>CLARKE</v>
          </cell>
          <cell r="L5559" t="str">
            <v>Clarke</v>
          </cell>
          <cell r="V5559">
            <v>48400</v>
          </cell>
        </row>
        <row r="5560">
          <cell r="B5560">
            <v>1967</v>
          </cell>
          <cell r="K5560" t="str">
            <v>DECATUR</v>
          </cell>
          <cell r="L5560" t="str">
            <v>Decatur</v>
          </cell>
          <cell r="V5560">
            <v>52200</v>
          </cell>
        </row>
        <row r="5561">
          <cell r="B5561">
            <v>1967</v>
          </cell>
          <cell r="K5561" t="str">
            <v>LUCAS</v>
          </cell>
          <cell r="L5561" t="str">
            <v>Lucas</v>
          </cell>
          <cell r="V5561">
            <v>47200</v>
          </cell>
        </row>
        <row r="5562">
          <cell r="B5562">
            <v>1967</v>
          </cell>
          <cell r="K5562" t="str">
            <v>MADISON</v>
          </cell>
          <cell r="L5562" t="str">
            <v>Madison</v>
          </cell>
          <cell r="V5562">
            <v>85000</v>
          </cell>
        </row>
        <row r="5563">
          <cell r="B5563">
            <v>1967</v>
          </cell>
          <cell r="K5563" t="str">
            <v>MARION</v>
          </cell>
          <cell r="L5563" t="str">
            <v>Marion</v>
          </cell>
          <cell r="V5563">
            <v>90800</v>
          </cell>
        </row>
        <row r="5564">
          <cell r="B5564">
            <v>1967</v>
          </cell>
          <cell r="K5564" t="str">
            <v>MONROE</v>
          </cell>
          <cell r="L5564" t="str">
            <v>Monroe</v>
          </cell>
          <cell r="V5564">
            <v>39600</v>
          </cell>
        </row>
        <row r="5565">
          <cell r="B5565">
            <v>1967</v>
          </cell>
          <cell r="K5565" t="str">
            <v>RINGGOLD</v>
          </cell>
          <cell r="L5565" t="str">
            <v>Ringgold</v>
          </cell>
          <cell r="V5565">
            <v>57900</v>
          </cell>
        </row>
        <row r="5566">
          <cell r="B5566">
            <v>1967</v>
          </cell>
          <cell r="K5566" t="str">
            <v>UNION</v>
          </cell>
          <cell r="L5566" t="str">
            <v>Union</v>
          </cell>
          <cell r="V5566">
            <v>56500</v>
          </cell>
        </row>
        <row r="5567">
          <cell r="B5567">
            <v>1967</v>
          </cell>
          <cell r="K5567" t="str">
            <v>WARREN</v>
          </cell>
          <cell r="L5567" t="str">
            <v>Warren</v>
          </cell>
          <cell r="V5567">
            <v>82300</v>
          </cell>
        </row>
        <row r="5568">
          <cell r="B5568">
            <v>1967</v>
          </cell>
          <cell r="K5568" t="str">
            <v>WAYNE</v>
          </cell>
          <cell r="L5568" t="str">
            <v>Wayne</v>
          </cell>
          <cell r="V5568">
            <v>66000</v>
          </cell>
        </row>
        <row r="5569">
          <cell r="B5569">
            <v>1967</v>
          </cell>
          <cell r="K5569" t="str">
            <v>DAVIS</v>
          </cell>
          <cell r="L5569" t="str">
            <v>Davis</v>
          </cell>
          <cell r="V5569">
            <v>53700</v>
          </cell>
        </row>
        <row r="5570">
          <cell r="B5570">
            <v>1967</v>
          </cell>
          <cell r="K5570" t="str">
            <v>DES MOINES</v>
          </cell>
          <cell r="L5570" t="str">
            <v>Des Moines</v>
          </cell>
          <cell r="V5570">
            <v>83600</v>
          </cell>
        </row>
        <row r="5571">
          <cell r="B5571">
            <v>1967</v>
          </cell>
          <cell r="K5571" t="str">
            <v>HENRY</v>
          </cell>
          <cell r="L5571" t="str">
            <v>Henry</v>
          </cell>
          <cell r="V5571">
            <v>99100</v>
          </cell>
        </row>
        <row r="5572">
          <cell r="B5572">
            <v>1967</v>
          </cell>
          <cell r="K5572" t="str">
            <v>JEFFERSON</v>
          </cell>
          <cell r="L5572" t="str">
            <v>Jefferson</v>
          </cell>
          <cell r="V5572">
            <v>70200</v>
          </cell>
        </row>
        <row r="5573">
          <cell r="B5573">
            <v>1967</v>
          </cell>
          <cell r="K5573" t="str">
            <v>KEOKUK</v>
          </cell>
          <cell r="L5573" t="str">
            <v>Keokuk</v>
          </cell>
          <cell r="V5573">
            <v>113500</v>
          </cell>
        </row>
        <row r="5574">
          <cell r="B5574">
            <v>1967</v>
          </cell>
          <cell r="K5574" t="str">
            <v>LEE</v>
          </cell>
          <cell r="L5574" t="str">
            <v>Lee</v>
          </cell>
          <cell r="V5574">
            <v>90700</v>
          </cell>
        </row>
        <row r="5575">
          <cell r="B5575">
            <v>1967</v>
          </cell>
          <cell r="K5575" t="str">
            <v>LOUISA</v>
          </cell>
          <cell r="L5575" t="str">
            <v>Louisa</v>
          </cell>
          <cell r="V5575">
            <v>95400</v>
          </cell>
        </row>
        <row r="5576">
          <cell r="B5576">
            <v>1967</v>
          </cell>
          <cell r="K5576" t="str">
            <v>MAHASKA</v>
          </cell>
          <cell r="L5576" t="str">
            <v>Mahaska</v>
          </cell>
          <cell r="V5576">
            <v>126800</v>
          </cell>
        </row>
        <row r="5577">
          <cell r="B5577">
            <v>1967</v>
          </cell>
          <cell r="K5577" t="str">
            <v>VAN BUREN</v>
          </cell>
          <cell r="L5577" t="str">
            <v>Van Buren</v>
          </cell>
          <cell r="V5577">
            <v>49800</v>
          </cell>
        </row>
        <row r="5578">
          <cell r="B5578">
            <v>1967</v>
          </cell>
          <cell r="K5578" t="str">
            <v>WAPELLO</v>
          </cell>
          <cell r="L5578" t="str">
            <v>Wapello</v>
          </cell>
          <cell r="V5578">
            <v>61200</v>
          </cell>
        </row>
        <row r="5579">
          <cell r="B5579">
            <v>1967</v>
          </cell>
          <cell r="K5579" t="str">
            <v>WASHINGTON</v>
          </cell>
          <cell r="L5579" t="str">
            <v>Washington</v>
          </cell>
          <cell r="V5579">
            <v>129000</v>
          </cell>
        </row>
        <row r="5580">
          <cell r="B5580">
            <v>1967</v>
          </cell>
          <cell r="K5580" t="str">
            <v>ADAIR</v>
          </cell>
          <cell r="L5580" t="str">
            <v>Adair</v>
          </cell>
          <cell r="V5580">
            <v>94800</v>
          </cell>
        </row>
        <row r="5581">
          <cell r="B5581">
            <v>1967</v>
          </cell>
          <cell r="K5581" t="str">
            <v>ADAMS</v>
          </cell>
          <cell r="L5581" t="str">
            <v>Adams</v>
          </cell>
          <cell r="V5581">
            <v>68100</v>
          </cell>
        </row>
        <row r="5582">
          <cell r="B5582">
            <v>1967</v>
          </cell>
          <cell r="K5582" t="str">
            <v>CASS</v>
          </cell>
          <cell r="L5582" t="str">
            <v>Cass</v>
          </cell>
          <cell r="V5582">
            <v>120100</v>
          </cell>
        </row>
        <row r="5583">
          <cell r="B5583">
            <v>1967</v>
          </cell>
          <cell r="K5583" t="str">
            <v>FREMONT</v>
          </cell>
          <cell r="L5583" t="str">
            <v>Fremont</v>
          </cell>
          <cell r="V5583">
            <v>127500</v>
          </cell>
        </row>
        <row r="5584">
          <cell r="B5584">
            <v>1967</v>
          </cell>
          <cell r="K5584" t="str">
            <v>MILLS</v>
          </cell>
          <cell r="L5584" t="str">
            <v>Mills</v>
          </cell>
          <cell r="V5584">
            <v>110000</v>
          </cell>
        </row>
        <row r="5585">
          <cell r="B5585">
            <v>1967</v>
          </cell>
          <cell r="K5585" t="str">
            <v>MONTGOMERY</v>
          </cell>
          <cell r="L5585" t="str">
            <v>Montgomery</v>
          </cell>
          <cell r="V5585">
            <v>94500</v>
          </cell>
        </row>
        <row r="5586">
          <cell r="B5586">
            <v>1967</v>
          </cell>
          <cell r="K5586" t="str">
            <v>PAGE</v>
          </cell>
          <cell r="L5586" t="str">
            <v>Page</v>
          </cell>
          <cell r="V5586">
            <v>112700</v>
          </cell>
        </row>
        <row r="5587">
          <cell r="B5587">
            <v>1967</v>
          </cell>
          <cell r="K5587" t="str">
            <v>POTTAWATTAMIE</v>
          </cell>
          <cell r="L5587" t="str">
            <v>Pottawattamie</v>
          </cell>
          <cell r="V5587">
            <v>245300</v>
          </cell>
        </row>
        <row r="5588">
          <cell r="B5588">
            <v>1967</v>
          </cell>
          <cell r="K5588" t="str">
            <v>TAYLOR</v>
          </cell>
          <cell r="L5588" t="str">
            <v>Taylor</v>
          </cell>
          <cell r="V5588">
            <v>73000</v>
          </cell>
        </row>
        <row r="5589">
          <cell r="B5589">
            <v>1967</v>
          </cell>
          <cell r="K5589" t="str">
            <v>AUDUBON</v>
          </cell>
          <cell r="L5589" t="str">
            <v>Audubon</v>
          </cell>
          <cell r="V5589">
            <v>104900</v>
          </cell>
        </row>
        <row r="5590">
          <cell r="B5590">
            <v>1967</v>
          </cell>
          <cell r="K5590" t="str">
            <v>CALHOUN</v>
          </cell>
          <cell r="L5590" t="str">
            <v>Calhoun</v>
          </cell>
          <cell r="V5590">
            <v>139300</v>
          </cell>
        </row>
        <row r="5591">
          <cell r="B5591">
            <v>1967</v>
          </cell>
          <cell r="K5591" t="str">
            <v>CARROLL</v>
          </cell>
          <cell r="L5591" t="str">
            <v>Carroll</v>
          </cell>
          <cell r="V5591">
            <v>152900</v>
          </cell>
        </row>
        <row r="5592">
          <cell r="B5592">
            <v>1967</v>
          </cell>
          <cell r="K5592" t="str">
            <v>CRAWFORD</v>
          </cell>
          <cell r="L5592" t="str">
            <v>Crawford</v>
          </cell>
          <cell r="V5592">
            <v>152600</v>
          </cell>
        </row>
        <row r="5593">
          <cell r="B5593">
            <v>1967</v>
          </cell>
          <cell r="K5593" t="str">
            <v>GREENE</v>
          </cell>
          <cell r="L5593" t="str">
            <v>Greene</v>
          </cell>
          <cell r="V5593">
            <v>155700</v>
          </cell>
        </row>
        <row r="5594">
          <cell r="B5594">
            <v>1967</v>
          </cell>
          <cell r="K5594" t="str">
            <v>GUTHRIE</v>
          </cell>
          <cell r="L5594" t="str">
            <v>Guthrie</v>
          </cell>
          <cell r="V5594">
            <v>101400</v>
          </cell>
        </row>
        <row r="5595">
          <cell r="B5595">
            <v>1967</v>
          </cell>
          <cell r="K5595" t="str">
            <v>HARRISON</v>
          </cell>
          <cell r="L5595" t="str">
            <v>Harrison</v>
          </cell>
          <cell r="V5595">
            <v>155700</v>
          </cell>
        </row>
        <row r="5596">
          <cell r="B5596">
            <v>1967</v>
          </cell>
          <cell r="K5596" t="str">
            <v>IDA</v>
          </cell>
          <cell r="L5596" t="str">
            <v>Ida</v>
          </cell>
          <cell r="V5596">
            <v>108900</v>
          </cell>
        </row>
        <row r="5597">
          <cell r="B5597">
            <v>1967</v>
          </cell>
          <cell r="K5597" t="str">
            <v>MONONA</v>
          </cell>
          <cell r="L5597" t="str">
            <v>Monona</v>
          </cell>
          <cell r="V5597">
            <v>162100</v>
          </cell>
        </row>
        <row r="5598">
          <cell r="B5598">
            <v>1967</v>
          </cell>
          <cell r="K5598" t="str">
            <v>SAC</v>
          </cell>
          <cell r="L5598" t="str">
            <v>Sac</v>
          </cell>
          <cell r="V5598">
            <v>150600</v>
          </cell>
        </row>
        <row r="5599">
          <cell r="B5599">
            <v>1967</v>
          </cell>
          <cell r="K5599" t="str">
            <v>SHELBY</v>
          </cell>
          <cell r="L5599" t="str">
            <v>Shelby</v>
          </cell>
          <cell r="V5599">
            <v>156000</v>
          </cell>
        </row>
        <row r="5600">
          <cell r="B5600">
            <v>1967</v>
          </cell>
          <cell r="K5600" t="str">
            <v>WOODBURY</v>
          </cell>
          <cell r="L5600" t="str">
            <v>Woodbury</v>
          </cell>
          <cell r="V5600">
            <v>206900</v>
          </cell>
        </row>
        <row r="5601">
          <cell r="B5601">
            <v>1966</v>
          </cell>
          <cell r="K5601" t="str">
            <v>BOONE</v>
          </cell>
          <cell r="L5601" t="str">
            <v>Boone</v>
          </cell>
          <cell r="V5601">
            <v>121100</v>
          </cell>
        </row>
        <row r="5602">
          <cell r="B5602">
            <v>1966</v>
          </cell>
          <cell r="K5602" t="str">
            <v>DALLAS</v>
          </cell>
          <cell r="L5602" t="str">
            <v>Dallas</v>
          </cell>
          <cell r="V5602">
            <v>120100</v>
          </cell>
        </row>
        <row r="5603">
          <cell r="B5603">
            <v>1966</v>
          </cell>
          <cell r="K5603" t="str">
            <v>GRUNDY</v>
          </cell>
          <cell r="L5603" t="str">
            <v>Grundy</v>
          </cell>
          <cell r="V5603">
            <v>130100</v>
          </cell>
        </row>
        <row r="5604">
          <cell r="B5604">
            <v>1966</v>
          </cell>
          <cell r="K5604" t="str">
            <v>HAMILTON</v>
          </cell>
          <cell r="L5604" t="str">
            <v>Hamilton</v>
          </cell>
          <cell r="V5604">
            <v>144200</v>
          </cell>
        </row>
        <row r="5605">
          <cell r="B5605">
            <v>1966</v>
          </cell>
          <cell r="K5605" t="str">
            <v>HARDIN</v>
          </cell>
          <cell r="L5605" t="str">
            <v>Hardin</v>
          </cell>
          <cell r="V5605">
            <v>131100</v>
          </cell>
        </row>
        <row r="5606">
          <cell r="B5606">
            <v>1966</v>
          </cell>
          <cell r="K5606" t="str">
            <v>JASPER</v>
          </cell>
          <cell r="L5606" t="str">
            <v>Jasper</v>
          </cell>
          <cell r="V5606">
            <v>150200</v>
          </cell>
        </row>
        <row r="5607">
          <cell r="B5607">
            <v>1966</v>
          </cell>
          <cell r="K5607" t="str">
            <v>MARSHALL</v>
          </cell>
          <cell r="L5607" t="str">
            <v>Marshall</v>
          </cell>
          <cell r="V5607">
            <v>132100</v>
          </cell>
        </row>
        <row r="5608">
          <cell r="B5608">
            <v>1966</v>
          </cell>
          <cell r="K5608" t="str">
            <v>POLK</v>
          </cell>
          <cell r="L5608" t="str">
            <v>Polk</v>
          </cell>
          <cell r="V5608">
            <v>102100</v>
          </cell>
        </row>
        <row r="5609">
          <cell r="B5609">
            <v>1966</v>
          </cell>
          <cell r="K5609" t="str">
            <v>POWESHIEK</v>
          </cell>
          <cell r="L5609" t="str">
            <v>Poweshiek</v>
          </cell>
          <cell r="V5609">
            <v>107100</v>
          </cell>
        </row>
        <row r="5610">
          <cell r="B5610">
            <v>1966</v>
          </cell>
          <cell r="K5610" t="str">
            <v>STORY</v>
          </cell>
          <cell r="L5610" t="str">
            <v>Story</v>
          </cell>
          <cell r="V5610">
            <v>132100</v>
          </cell>
        </row>
        <row r="5611">
          <cell r="B5611">
            <v>1966</v>
          </cell>
          <cell r="K5611" t="str">
            <v>TAMA</v>
          </cell>
          <cell r="L5611" t="str">
            <v>Tama</v>
          </cell>
          <cell r="V5611">
            <v>147200</v>
          </cell>
        </row>
        <row r="5612">
          <cell r="B5612">
            <v>1966</v>
          </cell>
          <cell r="K5612" t="str">
            <v>WEBSTER</v>
          </cell>
          <cell r="L5612" t="str">
            <v>Webster</v>
          </cell>
          <cell r="V5612">
            <v>146200</v>
          </cell>
        </row>
        <row r="5613">
          <cell r="B5613">
            <v>1966</v>
          </cell>
          <cell r="K5613" t="str">
            <v>BENTON</v>
          </cell>
          <cell r="L5613" t="str">
            <v>Benton</v>
          </cell>
          <cell r="V5613">
            <v>166100</v>
          </cell>
        </row>
        <row r="5614">
          <cell r="B5614">
            <v>1966</v>
          </cell>
          <cell r="K5614" t="str">
            <v>CEDAR</v>
          </cell>
          <cell r="L5614" t="str">
            <v>Cedar</v>
          </cell>
          <cell r="V5614">
            <v>138100</v>
          </cell>
        </row>
        <row r="5615">
          <cell r="B5615">
            <v>1966</v>
          </cell>
          <cell r="K5615" t="str">
            <v>CLINTON</v>
          </cell>
          <cell r="L5615" t="str">
            <v>Clinton</v>
          </cell>
          <cell r="V5615">
            <v>163100</v>
          </cell>
        </row>
        <row r="5616">
          <cell r="B5616">
            <v>1966</v>
          </cell>
          <cell r="K5616" t="str">
            <v>IOWA</v>
          </cell>
          <cell r="L5616" t="str">
            <v>Iowa</v>
          </cell>
          <cell r="V5616">
            <v>104100</v>
          </cell>
        </row>
        <row r="5617">
          <cell r="B5617">
            <v>1966</v>
          </cell>
          <cell r="K5617" t="str">
            <v>JACKSON</v>
          </cell>
          <cell r="L5617" t="str">
            <v>Jackson</v>
          </cell>
          <cell r="V5617">
            <v>85100</v>
          </cell>
        </row>
        <row r="5618">
          <cell r="B5618">
            <v>1966</v>
          </cell>
          <cell r="K5618" t="str">
            <v>JOHNSON</v>
          </cell>
          <cell r="L5618" t="str">
            <v>Johnson</v>
          </cell>
          <cell r="V5618">
            <v>110100</v>
          </cell>
        </row>
        <row r="5619">
          <cell r="B5619">
            <v>1966</v>
          </cell>
          <cell r="K5619" t="str">
            <v>JONES</v>
          </cell>
          <cell r="L5619" t="str">
            <v>Jones</v>
          </cell>
          <cell r="V5619">
            <v>114100</v>
          </cell>
        </row>
        <row r="5620">
          <cell r="B5620">
            <v>1966</v>
          </cell>
          <cell r="K5620" t="str">
            <v>LINN</v>
          </cell>
          <cell r="L5620" t="str">
            <v>Linn</v>
          </cell>
          <cell r="V5620">
            <v>138100</v>
          </cell>
        </row>
        <row r="5621">
          <cell r="B5621">
            <v>1966</v>
          </cell>
          <cell r="K5621" t="str">
            <v>MUSCATINE</v>
          </cell>
          <cell r="L5621" t="str">
            <v>Muscatine</v>
          </cell>
          <cell r="V5621">
            <v>85100</v>
          </cell>
        </row>
        <row r="5622">
          <cell r="B5622">
            <v>1966</v>
          </cell>
          <cell r="K5622" t="str">
            <v>SCOTT</v>
          </cell>
          <cell r="L5622" t="str">
            <v>Scott</v>
          </cell>
          <cell r="V5622">
            <v>107100</v>
          </cell>
        </row>
        <row r="5623">
          <cell r="B5623">
            <v>1966</v>
          </cell>
          <cell r="K5623" t="str">
            <v>BUTLER</v>
          </cell>
          <cell r="L5623" t="str">
            <v>Butler</v>
          </cell>
          <cell r="V5623">
            <v>128100</v>
          </cell>
        </row>
        <row r="5624">
          <cell r="B5624">
            <v>1966</v>
          </cell>
          <cell r="K5624" t="str">
            <v>CERRO GORDO</v>
          </cell>
          <cell r="L5624" t="str">
            <v>Cerro Gordo</v>
          </cell>
          <cell r="V5624">
            <v>123100</v>
          </cell>
        </row>
        <row r="5625">
          <cell r="B5625">
            <v>1966</v>
          </cell>
          <cell r="K5625" t="str">
            <v>FLOYD</v>
          </cell>
          <cell r="L5625" t="str">
            <v>Floyd</v>
          </cell>
          <cell r="V5625">
            <v>102100</v>
          </cell>
        </row>
        <row r="5626">
          <cell r="B5626">
            <v>1966</v>
          </cell>
          <cell r="K5626" t="str">
            <v>FRANKLIN</v>
          </cell>
          <cell r="L5626" t="str">
            <v>Franklin</v>
          </cell>
          <cell r="V5626">
            <v>144100</v>
          </cell>
        </row>
        <row r="5627">
          <cell r="B5627">
            <v>1966</v>
          </cell>
          <cell r="K5627" t="str">
            <v>HANCOCK</v>
          </cell>
          <cell r="L5627" t="str">
            <v>Hancock</v>
          </cell>
          <cell r="V5627">
            <v>136100</v>
          </cell>
        </row>
        <row r="5628">
          <cell r="B5628">
            <v>1966</v>
          </cell>
          <cell r="K5628" t="str">
            <v>HUMBOLDT</v>
          </cell>
          <cell r="L5628" t="str">
            <v>Humboldt</v>
          </cell>
          <cell r="V5628">
            <v>106100</v>
          </cell>
        </row>
        <row r="5629">
          <cell r="B5629">
            <v>1966</v>
          </cell>
          <cell r="K5629" t="str">
            <v>KOSSUTH</v>
          </cell>
          <cell r="L5629" t="str">
            <v>Kossuth</v>
          </cell>
          <cell r="V5629">
            <v>227200</v>
          </cell>
        </row>
        <row r="5630">
          <cell r="B5630">
            <v>1966</v>
          </cell>
          <cell r="K5630" t="str">
            <v>MITCHELL</v>
          </cell>
          <cell r="L5630" t="str">
            <v>Mitchell</v>
          </cell>
          <cell r="V5630">
            <v>103100</v>
          </cell>
        </row>
        <row r="5631">
          <cell r="B5631">
            <v>1966</v>
          </cell>
          <cell r="K5631" t="str">
            <v>WINNEBAGO</v>
          </cell>
          <cell r="L5631" t="str">
            <v>Winnebago</v>
          </cell>
          <cell r="V5631">
            <v>87100</v>
          </cell>
        </row>
        <row r="5632">
          <cell r="B5632">
            <v>1966</v>
          </cell>
          <cell r="K5632" t="str">
            <v>WORTH</v>
          </cell>
          <cell r="L5632" t="str">
            <v>Worth</v>
          </cell>
          <cell r="V5632">
            <v>81100</v>
          </cell>
        </row>
        <row r="5633">
          <cell r="B5633">
            <v>1966</v>
          </cell>
          <cell r="K5633" t="str">
            <v>WRIGHT</v>
          </cell>
          <cell r="L5633" t="str">
            <v>Wright</v>
          </cell>
          <cell r="V5633">
            <v>137100</v>
          </cell>
        </row>
        <row r="5634">
          <cell r="B5634">
            <v>1966</v>
          </cell>
          <cell r="K5634" t="str">
            <v>ALLAMAKEE</v>
          </cell>
          <cell r="L5634" t="str">
            <v>Allamakee</v>
          </cell>
          <cell r="V5634">
            <v>58100</v>
          </cell>
        </row>
        <row r="5635">
          <cell r="B5635">
            <v>1966</v>
          </cell>
          <cell r="K5635" t="str">
            <v>BLACK HAWK</v>
          </cell>
          <cell r="L5635" t="str">
            <v>Black Hawk</v>
          </cell>
          <cell r="V5635">
            <v>118200</v>
          </cell>
        </row>
        <row r="5636">
          <cell r="B5636">
            <v>1966</v>
          </cell>
          <cell r="K5636" t="str">
            <v>BREMER</v>
          </cell>
          <cell r="L5636" t="str">
            <v>Bremer</v>
          </cell>
          <cell r="V5636">
            <v>84100</v>
          </cell>
        </row>
        <row r="5637">
          <cell r="B5637">
            <v>1966</v>
          </cell>
          <cell r="K5637" t="str">
            <v>BUCHANAN</v>
          </cell>
          <cell r="L5637" t="str">
            <v>Buchanan</v>
          </cell>
          <cell r="V5637">
            <v>117200</v>
          </cell>
        </row>
        <row r="5638">
          <cell r="B5638">
            <v>1966</v>
          </cell>
          <cell r="K5638" t="str">
            <v>CHICKASAW</v>
          </cell>
          <cell r="L5638" t="str">
            <v>Chickasaw</v>
          </cell>
          <cell r="V5638">
            <v>86100</v>
          </cell>
        </row>
        <row r="5639">
          <cell r="B5639">
            <v>1966</v>
          </cell>
          <cell r="K5639" t="str">
            <v>CLAYTON</v>
          </cell>
          <cell r="L5639" t="str">
            <v>Clayton</v>
          </cell>
          <cell r="V5639">
            <v>102100</v>
          </cell>
        </row>
        <row r="5640">
          <cell r="B5640">
            <v>1966</v>
          </cell>
          <cell r="K5640" t="str">
            <v>DELAWARE</v>
          </cell>
          <cell r="L5640" t="str">
            <v>Delaware</v>
          </cell>
          <cell r="V5640">
            <v>121200</v>
          </cell>
        </row>
        <row r="5641">
          <cell r="B5641">
            <v>1966</v>
          </cell>
          <cell r="K5641" t="str">
            <v>DUBUQUE</v>
          </cell>
          <cell r="L5641" t="str">
            <v>Dubuque</v>
          </cell>
          <cell r="V5641">
            <v>89100</v>
          </cell>
        </row>
        <row r="5642">
          <cell r="B5642">
            <v>1966</v>
          </cell>
          <cell r="K5642" t="str">
            <v>FAYETTE</v>
          </cell>
          <cell r="L5642" t="str">
            <v>Fayette</v>
          </cell>
          <cell r="V5642">
            <v>126200</v>
          </cell>
        </row>
        <row r="5643">
          <cell r="B5643">
            <v>1966</v>
          </cell>
          <cell r="K5643" t="str">
            <v>HOWARD</v>
          </cell>
          <cell r="L5643" t="str">
            <v>Howard</v>
          </cell>
          <cell r="V5643">
            <v>71100</v>
          </cell>
        </row>
        <row r="5644">
          <cell r="B5644">
            <v>1966</v>
          </cell>
          <cell r="K5644" t="str">
            <v>WINNESHIEK</v>
          </cell>
          <cell r="L5644" t="str">
            <v>Winneshiek</v>
          </cell>
          <cell r="V5644">
            <v>101200</v>
          </cell>
        </row>
        <row r="5645">
          <cell r="B5645">
            <v>1966</v>
          </cell>
          <cell r="K5645" t="str">
            <v>BUENA VISTA</v>
          </cell>
          <cell r="L5645" t="str">
            <v>Buena Vista</v>
          </cell>
          <cell r="V5645">
            <v>132100</v>
          </cell>
        </row>
        <row r="5646">
          <cell r="B5646">
            <v>1966</v>
          </cell>
          <cell r="K5646" t="str">
            <v>CHEROKEE</v>
          </cell>
          <cell r="L5646" t="str">
            <v>Cherokee</v>
          </cell>
          <cell r="V5646">
            <v>127100</v>
          </cell>
        </row>
        <row r="5647">
          <cell r="B5647">
            <v>1966</v>
          </cell>
          <cell r="K5647" t="str">
            <v>CLAY</v>
          </cell>
          <cell r="L5647" t="str">
            <v>Clay</v>
          </cell>
          <cell r="V5647">
            <v>125000</v>
          </cell>
        </row>
        <row r="5648">
          <cell r="B5648">
            <v>1966</v>
          </cell>
          <cell r="K5648" t="str">
            <v>DICKINSON</v>
          </cell>
          <cell r="L5648" t="str">
            <v>Dickinson</v>
          </cell>
          <cell r="V5648">
            <v>80000</v>
          </cell>
        </row>
        <row r="5649">
          <cell r="B5649">
            <v>1966</v>
          </cell>
          <cell r="K5649" t="str">
            <v>EMMET</v>
          </cell>
          <cell r="L5649" t="str">
            <v>Emmet</v>
          </cell>
          <cell r="V5649">
            <v>88000</v>
          </cell>
        </row>
        <row r="5650">
          <cell r="B5650">
            <v>1966</v>
          </cell>
          <cell r="K5650" t="str">
            <v>LYON</v>
          </cell>
          <cell r="L5650" t="str">
            <v>Lyon</v>
          </cell>
          <cell r="V5650">
            <v>147100</v>
          </cell>
        </row>
        <row r="5651">
          <cell r="B5651">
            <v>1966</v>
          </cell>
          <cell r="K5651" t="str">
            <v>O BRIEN</v>
          </cell>
          <cell r="L5651" t="str">
            <v>O Brien</v>
          </cell>
          <cell r="V5651">
            <v>138100</v>
          </cell>
        </row>
        <row r="5652">
          <cell r="B5652">
            <v>1966</v>
          </cell>
          <cell r="K5652" t="str">
            <v>OSCEOLA</v>
          </cell>
          <cell r="L5652" t="str">
            <v>Osceola</v>
          </cell>
          <cell r="V5652">
            <v>94000</v>
          </cell>
        </row>
        <row r="5653">
          <cell r="B5653">
            <v>1966</v>
          </cell>
          <cell r="K5653" t="str">
            <v>PALO ALTO</v>
          </cell>
          <cell r="L5653" t="str">
            <v>Palo Alto</v>
          </cell>
          <cell r="V5653">
            <v>128100</v>
          </cell>
        </row>
        <row r="5654">
          <cell r="B5654">
            <v>1966</v>
          </cell>
          <cell r="K5654" t="str">
            <v>PLYMOUTH</v>
          </cell>
          <cell r="L5654" t="str">
            <v>Plymouth</v>
          </cell>
          <cell r="V5654">
            <v>200100</v>
          </cell>
        </row>
        <row r="5655">
          <cell r="B5655">
            <v>1966</v>
          </cell>
          <cell r="K5655" t="str">
            <v>POCAHONTAS</v>
          </cell>
          <cell r="L5655" t="str">
            <v>Pocahontas</v>
          </cell>
          <cell r="V5655">
            <v>132100</v>
          </cell>
        </row>
        <row r="5656">
          <cell r="B5656">
            <v>1966</v>
          </cell>
          <cell r="K5656" t="str">
            <v>SIOUX</v>
          </cell>
          <cell r="L5656" t="str">
            <v>Sioux</v>
          </cell>
          <cell r="V5656">
            <v>227100</v>
          </cell>
        </row>
        <row r="5657">
          <cell r="B5657">
            <v>1966</v>
          </cell>
          <cell r="K5657" t="str">
            <v>APPANOOSE</v>
          </cell>
          <cell r="L5657" t="str">
            <v>Appanoose</v>
          </cell>
          <cell r="V5657">
            <v>41000</v>
          </cell>
        </row>
        <row r="5658">
          <cell r="B5658">
            <v>1966</v>
          </cell>
          <cell r="K5658" t="str">
            <v>CLARKE</v>
          </cell>
          <cell r="L5658" t="str">
            <v>Clarke</v>
          </cell>
          <cell r="V5658">
            <v>35000</v>
          </cell>
        </row>
        <row r="5659">
          <cell r="B5659">
            <v>1966</v>
          </cell>
          <cell r="K5659" t="str">
            <v>DECATUR</v>
          </cell>
          <cell r="L5659" t="str">
            <v>Decatur</v>
          </cell>
          <cell r="V5659">
            <v>40000</v>
          </cell>
        </row>
        <row r="5660">
          <cell r="B5660">
            <v>1966</v>
          </cell>
          <cell r="K5660" t="str">
            <v>LUCAS</v>
          </cell>
          <cell r="L5660" t="str">
            <v>Lucas</v>
          </cell>
          <cell r="V5660">
            <v>36000</v>
          </cell>
        </row>
        <row r="5661">
          <cell r="B5661">
            <v>1966</v>
          </cell>
          <cell r="K5661" t="str">
            <v>MADISON</v>
          </cell>
          <cell r="L5661" t="str">
            <v>Madison</v>
          </cell>
          <cell r="V5661">
            <v>72100</v>
          </cell>
        </row>
        <row r="5662">
          <cell r="B5662">
            <v>1966</v>
          </cell>
          <cell r="K5662" t="str">
            <v>MARION</v>
          </cell>
          <cell r="L5662" t="str">
            <v>Marion</v>
          </cell>
          <cell r="V5662">
            <v>83100</v>
          </cell>
        </row>
        <row r="5663">
          <cell r="B5663">
            <v>1966</v>
          </cell>
          <cell r="K5663" t="str">
            <v>MONROE</v>
          </cell>
          <cell r="L5663" t="str">
            <v>Monroe</v>
          </cell>
          <cell r="V5663">
            <v>31000</v>
          </cell>
        </row>
        <row r="5664">
          <cell r="B5664">
            <v>1966</v>
          </cell>
          <cell r="K5664" t="str">
            <v>RINGGOLD</v>
          </cell>
          <cell r="L5664" t="str">
            <v>Ringgold</v>
          </cell>
          <cell r="V5664">
            <v>48000</v>
          </cell>
        </row>
        <row r="5665">
          <cell r="B5665">
            <v>1966</v>
          </cell>
          <cell r="K5665" t="str">
            <v>UNION</v>
          </cell>
          <cell r="L5665" t="str">
            <v>Union</v>
          </cell>
          <cell r="V5665">
            <v>47000</v>
          </cell>
        </row>
        <row r="5666">
          <cell r="B5666">
            <v>1966</v>
          </cell>
          <cell r="K5666" t="str">
            <v>WARREN</v>
          </cell>
          <cell r="L5666" t="str">
            <v>Warren</v>
          </cell>
          <cell r="V5666">
            <v>75100</v>
          </cell>
        </row>
        <row r="5667">
          <cell r="B5667">
            <v>1966</v>
          </cell>
          <cell r="K5667" t="str">
            <v>WAYNE</v>
          </cell>
          <cell r="L5667" t="str">
            <v>Wayne</v>
          </cell>
          <cell r="V5667">
            <v>51000</v>
          </cell>
        </row>
        <row r="5668">
          <cell r="B5668">
            <v>1966</v>
          </cell>
          <cell r="K5668" t="str">
            <v>DAVIS</v>
          </cell>
          <cell r="L5668" t="str">
            <v>Davis</v>
          </cell>
          <cell r="V5668">
            <v>45100</v>
          </cell>
        </row>
        <row r="5669">
          <cell r="B5669">
            <v>1966</v>
          </cell>
          <cell r="K5669" t="str">
            <v>DES MOINES</v>
          </cell>
          <cell r="L5669" t="str">
            <v>Des Moines</v>
          </cell>
          <cell r="V5669">
            <v>80100</v>
          </cell>
        </row>
        <row r="5670">
          <cell r="B5670">
            <v>1966</v>
          </cell>
          <cell r="K5670" t="str">
            <v>HENRY</v>
          </cell>
          <cell r="L5670" t="str">
            <v>Henry</v>
          </cell>
          <cell r="V5670">
            <v>88100</v>
          </cell>
        </row>
        <row r="5671">
          <cell r="B5671">
            <v>1966</v>
          </cell>
          <cell r="K5671" t="str">
            <v>JEFFERSON</v>
          </cell>
          <cell r="L5671" t="str">
            <v>Jefferson</v>
          </cell>
          <cell r="V5671">
            <v>61100</v>
          </cell>
        </row>
        <row r="5672">
          <cell r="B5672">
            <v>1966</v>
          </cell>
          <cell r="K5672" t="str">
            <v>KEOKUK</v>
          </cell>
          <cell r="L5672" t="str">
            <v>Keokuk</v>
          </cell>
          <cell r="V5672">
            <v>103200</v>
          </cell>
        </row>
        <row r="5673">
          <cell r="B5673">
            <v>1966</v>
          </cell>
          <cell r="K5673" t="str">
            <v>LEE</v>
          </cell>
          <cell r="L5673" t="str">
            <v>Lee</v>
          </cell>
          <cell r="V5673">
            <v>85100</v>
          </cell>
        </row>
        <row r="5674">
          <cell r="B5674">
            <v>1966</v>
          </cell>
          <cell r="K5674" t="str">
            <v>LOUISA</v>
          </cell>
          <cell r="L5674" t="str">
            <v>Louisa</v>
          </cell>
          <cell r="V5674">
            <v>85200</v>
          </cell>
        </row>
        <row r="5675">
          <cell r="B5675">
            <v>1966</v>
          </cell>
          <cell r="K5675" t="str">
            <v>MAHASKA</v>
          </cell>
          <cell r="L5675" t="str">
            <v>Mahaska</v>
          </cell>
          <cell r="V5675">
            <v>114200</v>
          </cell>
        </row>
        <row r="5676">
          <cell r="B5676">
            <v>1966</v>
          </cell>
          <cell r="K5676" t="str">
            <v>VAN BUREN</v>
          </cell>
          <cell r="L5676" t="str">
            <v>Van Buren</v>
          </cell>
          <cell r="V5676">
            <v>50100</v>
          </cell>
        </row>
        <row r="5677">
          <cell r="B5677">
            <v>1966</v>
          </cell>
          <cell r="K5677" t="str">
            <v>WAPELLO</v>
          </cell>
          <cell r="L5677" t="str">
            <v>Wapello</v>
          </cell>
          <cell r="V5677">
            <v>52100</v>
          </cell>
        </row>
        <row r="5678">
          <cell r="B5678">
            <v>1966</v>
          </cell>
          <cell r="K5678" t="str">
            <v>WASHINGTON</v>
          </cell>
          <cell r="L5678" t="str">
            <v>Washington</v>
          </cell>
          <cell r="V5678">
            <v>123200</v>
          </cell>
        </row>
        <row r="5679">
          <cell r="B5679">
            <v>1966</v>
          </cell>
          <cell r="K5679" t="str">
            <v>ADAIR</v>
          </cell>
          <cell r="L5679" t="str">
            <v>Adair</v>
          </cell>
          <cell r="V5679">
            <v>86100</v>
          </cell>
        </row>
        <row r="5680">
          <cell r="B5680">
            <v>1966</v>
          </cell>
          <cell r="K5680" t="str">
            <v>ADAMS</v>
          </cell>
          <cell r="L5680" t="str">
            <v>Adams</v>
          </cell>
          <cell r="V5680">
            <v>58000</v>
          </cell>
        </row>
        <row r="5681">
          <cell r="B5681">
            <v>1966</v>
          </cell>
          <cell r="K5681" t="str">
            <v>CASS</v>
          </cell>
          <cell r="L5681" t="str">
            <v>Cass</v>
          </cell>
          <cell r="V5681">
            <v>111100</v>
          </cell>
        </row>
        <row r="5682">
          <cell r="B5682">
            <v>1966</v>
          </cell>
          <cell r="K5682" t="str">
            <v>FREMONT</v>
          </cell>
          <cell r="L5682" t="str">
            <v>Fremont</v>
          </cell>
          <cell r="V5682">
            <v>99100</v>
          </cell>
        </row>
        <row r="5683">
          <cell r="B5683">
            <v>1966</v>
          </cell>
          <cell r="K5683" t="str">
            <v>MILLS</v>
          </cell>
          <cell r="L5683" t="str">
            <v>Mills</v>
          </cell>
          <cell r="V5683">
            <v>85100</v>
          </cell>
        </row>
        <row r="5684">
          <cell r="B5684">
            <v>1966</v>
          </cell>
          <cell r="K5684" t="str">
            <v>MONTGOMERY</v>
          </cell>
          <cell r="L5684" t="str">
            <v>Montgomery</v>
          </cell>
          <cell r="V5684">
            <v>80100</v>
          </cell>
        </row>
        <row r="5685">
          <cell r="B5685">
            <v>1966</v>
          </cell>
          <cell r="K5685" t="str">
            <v>PAGE</v>
          </cell>
          <cell r="L5685" t="str">
            <v>Page</v>
          </cell>
          <cell r="V5685">
            <v>99100</v>
          </cell>
        </row>
        <row r="5686">
          <cell r="B5686">
            <v>1966</v>
          </cell>
          <cell r="K5686" t="str">
            <v>POTTAWATTAMIE</v>
          </cell>
          <cell r="L5686" t="str">
            <v>Pottawattamie</v>
          </cell>
          <cell r="V5686">
            <v>202200</v>
          </cell>
        </row>
        <row r="5687">
          <cell r="B5687">
            <v>1966</v>
          </cell>
          <cell r="K5687" t="str">
            <v>TAYLOR</v>
          </cell>
          <cell r="L5687" t="str">
            <v>Taylor</v>
          </cell>
          <cell r="V5687">
            <v>55000</v>
          </cell>
        </row>
        <row r="5688">
          <cell r="B5688">
            <v>1966</v>
          </cell>
          <cell r="K5688" t="str">
            <v>AUDUBON</v>
          </cell>
          <cell r="L5688" t="str">
            <v>Audubon</v>
          </cell>
          <cell r="V5688">
            <v>99100</v>
          </cell>
        </row>
        <row r="5689">
          <cell r="B5689">
            <v>1966</v>
          </cell>
          <cell r="K5689" t="str">
            <v>CALHOUN</v>
          </cell>
          <cell r="L5689" t="str">
            <v>Calhoun</v>
          </cell>
          <cell r="V5689">
            <v>120100</v>
          </cell>
        </row>
        <row r="5690">
          <cell r="B5690">
            <v>1966</v>
          </cell>
          <cell r="K5690" t="str">
            <v>CARROLL</v>
          </cell>
          <cell r="L5690" t="str">
            <v>Carroll</v>
          </cell>
          <cell r="V5690">
            <v>139100</v>
          </cell>
        </row>
        <row r="5691">
          <cell r="B5691">
            <v>1966</v>
          </cell>
          <cell r="K5691" t="str">
            <v>CRAWFORD</v>
          </cell>
          <cell r="L5691" t="str">
            <v>Crawford</v>
          </cell>
          <cell r="V5691">
            <v>129100</v>
          </cell>
        </row>
        <row r="5692">
          <cell r="B5692">
            <v>1966</v>
          </cell>
          <cell r="K5692" t="str">
            <v>GREENE</v>
          </cell>
          <cell r="L5692" t="str">
            <v>Greene</v>
          </cell>
          <cell r="V5692">
            <v>135100</v>
          </cell>
        </row>
        <row r="5693">
          <cell r="B5693">
            <v>1966</v>
          </cell>
          <cell r="K5693" t="str">
            <v>GUTHRIE</v>
          </cell>
          <cell r="L5693" t="str">
            <v>Guthrie</v>
          </cell>
          <cell r="V5693">
            <v>96100</v>
          </cell>
        </row>
        <row r="5694">
          <cell r="B5694">
            <v>1966</v>
          </cell>
          <cell r="K5694" t="str">
            <v>HARRISON</v>
          </cell>
          <cell r="L5694" t="str">
            <v>Harrison</v>
          </cell>
          <cell r="V5694">
            <v>130100</v>
          </cell>
        </row>
        <row r="5695">
          <cell r="B5695">
            <v>1966</v>
          </cell>
          <cell r="K5695" t="str">
            <v>IDA</v>
          </cell>
          <cell r="L5695" t="str">
            <v>Ida</v>
          </cell>
          <cell r="V5695">
            <v>91100</v>
          </cell>
        </row>
        <row r="5696">
          <cell r="B5696">
            <v>1966</v>
          </cell>
          <cell r="K5696" t="str">
            <v>MONONA</v>
          </cell>
          <cell r="L5696" t="str">
            <v>Monona</v>
          </cell>
          <cell r="V5696">
            <v>131100</v>
          </cell>
        </row>
        <row r="5697">
          <cell r="B5697">
            <v>1966</v>
          </cell>
          <cell r="K5697" t="str">
            <v>SAC</v>
          </cell>
          <cell r="L5697" t="str">
            <v>Sac</v>
          </cell>
          <cell r="V5697">
            <v>134100</v>
          </cell>
        </row>
        <row r="5698">
          <cell r="B5698">
            <v>1966</v>
          </cell>
          <cell r="K5698" t="str">
            <v>SHELBY</v>
          </cell>
          <cell r="L5698" t="str">
            <v>Shelby</v>
          </cell>
          <cell r="V5698">
            <v>139100</v>
          </cell>
        </row>
        <row r="5699">
          <cell r="B5699">
            <v>1966</v>
          </cell>
          <cell r="K5699" t="str">
            <v>WOODBURY</v>
          </cell>
          <cell r="L5699" t="str">
            <v>Woodbury</v>
          </cell>
          <cell r="V5699">
            <v>166100</v>
          </cell>
        </row>
        <row r="5700">
          <cell r="B5700">
            <v>1965</v>
          </cell>
          <cell r="K5700" t="str">
            <v>BOONE</v>
          </cell>
          <cell r="L5700" t="str">
            <v>Boone</v>
          </cell>
          <cell r="V5700">
            <v>119100</v>
          </cell>
        </row>
        <row r="5701">
          <cell r="B5701">
            <v>1965</v>
          </cell>
          <cell r="K5701" t="str">
            <v>DALLAS</v>
          </cell>
          <cell r="L5701" t="str">
            <v>Dallas</v>
          </cell>
          <cell r="V5701">
            <v>114400</v>
          </cell>
        </row>
        <row r="5702">
          <cell r="B5702">
            <v>1965</v>
          </cell>
          <cell r="K5702" t="str">
            <v>GRUNDY</v>
          </cell>
          <cell r="L5702" t="str">
            <v>Grundy</v>
          </cell>
          <cell r="V5702">
            <v>130400</v>
          </cell>
        </row>
        <row r="5703">
          <cell r="B5703">
            <v>1965</v>
          </cell>
          <cell r="K5703" t="str">
            <v>HAMILTON</v>
          </cell>
          <cell r="L5703" t="str">
            <v>Hamilton</v>
          </cell>
          <cell r="V5703">
            <v>144200</v>
          </cell>
        </row>
        <row r="5704">
          <cell r="B5704">
            <v>1965</v>
          </cell>
          <cell r="K5704" t="str">
            <v>HARDIN</v>
          </cell>
          <cell r="L5704" t="str">
            <v>Hardin</v>
          </cell>
          <cell r="V5704">
            <v>130800</v>
          </cell>
        </row>
        <row r="5705">
          <cell r="B5705">
            <v>1965</v>
          </cell>
          <cell r="K5705" t="str">
            <v>JASPER</v>
          </cell>
          <cell r="L5705" t="str">
            <v>Jasper</v>
          </cell>
          <cell r="V5705">
            <v>151900</v>
          </cell>
        </row>
        <row r="5706">
          <cell r="B5706">
            <v>1965</v>
          </cell>
          <cell r="K5706" t="str">
            <v>MARSHALL</v>
          </cell>
          <cell r="L5706" t="str">
            <v>Marshall</v>
          </cell>
          <cell r="V5706">
            <v>128600</v>
          </cell>
        </row>
        <row r="5707">
          <cell r="B5707">
            <v>1965</v>
          </cell>
          <cell r="K5707" t="str">
            <v>POLK</v>
          </cell>
          <cell r="L5707" t="str">
            <v>Polk</v>
          </cell>
          <cell r="V5707">
            <v>101800</v>
          </cell>
        </row>
        <row r="5708">
          <cell r="B5708">
            <v>1965</v>
          </cell>
          <cell r="K5708" t="str">
            <v>POWESHIEK</v>
          </cell>
          <cell r="L5708" t="str">
            <v>Poweshiek</v>
          </cell>
          <cell r="V5708">
            <v>105100</v>
          </cell>
        </row>
        <row r="5709">
          <cell r="B5709">
            <v>1965</v>
          </cell>
          <cell r="K5709" t="str">
            <v>STORY</v>
          </cell>
          <cell r="L5709" t="str">
            <v>Story</v>
          </cell>
          <cell r="V5709">
            <v>131800</v>
          </cell>
        </row>
        <row r="5710">
          <cell r="B5710">
            <v>1965</v>
          </cell>
          <cell r="K5710" t="str">
            <v>TAMA</v>
          </cell>
          <cell r="L5710" t="str">
            <v>Tama</v>
          </cell>
          <cell r="V5710">
            <v>146800</v>
          </cell>
        </row>
        <row r="5711">
          <cell r="B5711">
            <v>1965</v>
          </cell>
          <cell r="K5711" t="str">
            <v>WEBSTER</v>
          </cell>
          <cell r="L5711" t="str">
            <v>Webster</v>
          </cell>
          <cell r="V5711">
            <v>142800</v>
          </cell>
        </row>
        <row r="5712">
          <cell r="B5712">
            <v>1965</v>
          </cell>
          <cell r="K5712" t="str">
            <v>BENTON</v>
          </cell>
          <cell r="L5712" t="str">
            <v>Benton</v>
          </cell>
          <cell r="V5712">
            <v>162800</v>
          </cell>
        </row>
        <row r="5713">
          <cell r="B5713">
            <v>1965</v>
          </cell>
          <cell r="K5713" t="str">
            <v>CEDAR</v>
          </cell>
          <cell r="L5713" t="str">
            <v>Cedar</v>
          </cell>
          <cell r="V5713">
            <v>133000</v>
          </cell>
        </row>
        <row r="5714">
          <cell r="B5714">
            <v>1965</v>
          </cell>
          <cell r="K5714" t="str">
            <v>CLINTON</v>
          </cell>
          <cell r="L5714" t="str">
            <v>Clinton</v>
          </cell>
          <cell r="V5714">
            <v>156600</v>
          </cell>
        </row>
        <row r="5715">
          <cell r="B5715">
            <v>1965</v>
          </cell>
          <cell r="K5715" t="str">
            <v>IOWA</v>
          </cell>
          <cell r="L5715" t="str">
            <v>Iowa</v>
          </cell>
          <cell r="V5715">
            <v>103200</v>
          </cell>
        </row>
        <row r="5716">
          <cell r="B5716">
            <v>1965</v>
          </cell>
          <cell r="K5716" t="str">
            <v>JACKSON</v>
          </cell>
          <cell r="L5716" t="str">
            <v>Jackson</v>
          </cell>
          <cell r="V5716">
            <v>82900</v>
          </cell>
        </row>
        <row r="5717">
          <cell r="B5717">
            <v>1965</v>
          </cell>
          <cell r="K5717" t="str">
            <v>JOHNSON</v>
          </cell>
          <cell r="L5717" t="str">
            <v>Johnson</v>
          </cell>
          <cell r="V5717">
            <v>108400</v>
          </cell>
        </row>
        <row r="5718">
          <cell r="B5718">
            <v>1965</v>
          </cell>
          <cell r="K5718" t="str">
            <v>JONES</v>
          </cell>
          <cell r="L5718" t="str">
            <v>Jones</v>
          </cell>
          <cell r="V5718">
            <v>109000</v>
          </cell>
        </row>
        <row r="5719">
          <cell r="B5719">
            <v>1965</v>
          </cell>
          <cell r="K5719" t="str">
            <v>LINN</v>
          </cell>
          <cell r="L5719" t="str">
            <v>Linn</v>
          </cell>
          <cell r="V5719">
            <v>140600</v>
          </cell>
        </row>
        <row r="5720">
          <cell r="B5720">
            <v>1965</v>
          </cell>
          <cell r="K5720" t="str">
            <v>MUSCATINE</v>
          </cell>
          <cell r="L5720" t="str">
            <v>Muscatine</v>
          </cell>
          <cell r="V5720">
            <v>82300</v>
          </cell>
        </row>
        <row r="5721">
          <cell r="B5721">
            <v>1965</v>
          </cell>
          <cell r="K5721" t="str">
            <v>SCOTT</v>
          </cell>
          <cell r="L5721" t="str">
            <v>Scott</v>
          </cell>
          <cell r="V5721">
            <v>104700</v>
          </cell>
        </row>
        <row r="5722">
          <cell r="B5722">
            <v>1965</v>
          </cell>
          <cell r="K5722" t="str">
            <v>BUTLER</v>
          </cell>
          <cell r="L5722" t="str">
            <v>Butler</v>
          </cell>
          <cell r="V5722">
            <v>128500</v>
          </cell>
        </row>
        <row r="5723">
          <cell r="B5723">
            <v>1965</v>
          </cell>
          <cell r="K5723" t="str">
            <v>CERRO GORDO</v>
          </cell>
          <cell r="L5723" t="str">
            <v>Cerro Gordo</v>
          </cell>
          <cell r="V5723">
            <v>122300</v>
          </cell>
        </row>
        <row r="5724">
          <cell r="B5724">
            <v>1965</v>
          </cell>
          <cell r="K5724" t="str">
            <v>FLOYD</v>
          </cell>
          <cell r="L5724" t="str">
            <v>Floyd</v>
          </cell>
          <cell r="V5724">
            <v>108500</v>
          </cell>
        </row>
        <row r="5725">
          <cell r="B5725">
            <v>1965</v>
          </cell>
          <cell r="K5725" t="str">
            <v>FRANKLIN</v>
          </cell>
          <cell r="L5725" t="str">
            <v>Franklin</v>
          </cell>
          <cell r="V5725">
            <v>147200</v>
          </cell>
        </row>
        <row r="5726">
          <cell r="B5726">
            <v>1965</v>
          </cell>
          <cell r="K5726" t="str">
            <v>HANCOCK</v>
          </cell>
          <cell r="L5726" t="str">
            <v>Hancock</v>
          </cell>
          <cell r="V5726">
            <v>135100</v>
          </cell>
        </row>
        <row r="5727">
          <cell r="B5727">
            <v>1965</v>
          </cell>
          <cell r="K5727" t="str">
            <v>HUMBOLDT</v>
          </cell>
          <cell r="L5727" t="str">
            <v>Humboldt</v>
          </cell>
          <cell r="V5727">
            <v>103700</v>
          </cell>
        </row>
        <row r="5728">
          <cell r="B5728">
            <v>1965</v>
          </cell>
          <cell r="K5728" t="str">
            <v>KOSSUTH</v>
          </cell>
          <cell r="L5728" t="str">
            <v>Kossuth</v>
          </cell>
          <cell r="V5728">
            <v>225400</v>
          </cell>
        </row>
        <row r="5729">
          <cell r="B5729">
            <v>1965</v>
          </cell>
          <cell r="K5729" t="str">
            <v>MITCHELL</v>
          </cell>
          <cell r="L5729" t="str">
            <v>Mitchell</v>
          </cell>
          <cell r="V5729">
            <v>103700</v>
          </cell>
        </row>
        <row r="5730">
          <cell r="B5730">
            <v>1965</v>
          </cell>
          <cell r="K5730" t="str">
            <v>WINNEBAGO</v>
          </cell>
          <cell r="L5730" t="str">
            <v>Winnebago</v>
          </cell>
          <cell r="V5730">
            <v>87500</v>
          </cell>
        </row>
        <row r="5731">
          <cell r="B5731">
            <v>1965</v>
          </cell>
          <cell r="K5731" t="str">
            <v>WORTH</v>
          </cell>
          <cell r="L5731" t="str">
            <v>Worth</v>
          </cell>
          <cell r="V5731">
            <v>81700</v>
          </cell>
        </row>
        <row r="5732">
          <cell r="B5732">
            <v>1965</v>
          </cell>
          <cell r="K5732" t="str">
            <v>WRIGHT</v>
          </cell>
          <cell r="L5732" t="str">
            <v>Wright</v>
          </cell>
          <cell r="V5732">
            <v>137900</v>
          </cell>
        </row>
        <row r="5733">
          <cell r="B5733">
            <v>1965</v>
          </cell>
          <cell r="K5733" t="str">
            <v>ALLAMAKEE</v>
          </cell>
          <cell r="L5733" t="str">
            <v>Allamakee</v>
          </cell>
          <cell r="V5733">
            <v>54600</v>
          </cell>
        </row>
        <row r="5734">
          <cell r="B5734">
            <v>1965</v>
          </cell>
          <cell r="K5734" t="str">
            <v>BLACK HAWK</v>
          </cell>
          <cell r="L5734" t="str">
            <v>Black Hawk</v>
          </cell>
          <cell r="V5734">
            <v>118900</v>
          </cell>
        </row>
        <row r="5735">
          <cell r="B5735">
            <v>1965</v>
          </cell>
          <cell r="K5735" t="str">
            <v>BREMER</v>
          </cell>
          <cell r="L5735" t="str">
            <v>Bremer</v>
          </cell>
          <cell r="V5735">
            <v>86900</v>
          </cell>
        </row>
        <row r="5736">
          <cell r="B5736">
            <v>1965</v>
          </cell>
          <cell r="K5736" t="str">
            <v>BUCHANAN</v>
          </cell>
          <cell r="L5736" t="str">
            <v>Buchanan</v>
          </cell>
          <cell r="V5736">
            <v>119400</v>
          </cell>
        </row>
        <row r="5737">
          <cell r="B5737">
            <v>1965</v>
          </cell>
          <cell r="K5737" t="str">
            <v>CHICKASAW</v>
          </cell>
          <cell r="L5737" t="str">
            <v>Chickasaw</v>
          </cell>
          <cell r="V5737">
            <v>89300</v>
          </cell>
        </row>
        <row r="5738">
          <cell r="B5738">
            <v>1965</v>
          </cell>
          <cell r="K5738" t="str">
            <v>CLAYTON</v>
          </cell>
          <cell r="L5738" t="str">
            <v>Clayton</v>
          </cell>
          <cell r="V5738">
            <v>96900</v>
          </cell>
        </row>
        <row r="5739">
          <cell r="B5739">
            <v>1965</v>
          </cell>
          <cell r="K5739" t="str">
            <v>DELAWARE</v>
          </cell>
          <cell r="L5739" t="str">
            <v>Delaware</v>
          </cell>
          <cell r="V5739">
            <v>118400</v>
          </cell>
        </row>
        <row r="5740">
          <cell r="B5740">
            <v>1965</v>
          </cell>
          <cell r="K5740" t="str">
            <v>DUBUQUE</v>
          </cell>
          <cell r="L5740" t="str">
            <v>Dubuque</v>
          </cell>
          <cell r="V5740">
            <v>89000</v>
          </cell>
        </row>
        <row r="5741">
          <cell r="B5741">
            <v>1965</v>
          </cell>
          <cell r="K5741" t="str">
            <v>FAYETTE</v>
          </cell>
          <cell r="L5741" t="str">
            <v>Fayette</v>
          </cell>
          <cell r="V5741">
            <v>130100</v>
          </cell>
        </row>
        <row r="5742">
          <cell r="B5742">
            <v>1965</v>
          </cell>
          <cell r="K5742" t="str">
            <v>HOWARD</v>
          </cell>
          <cell r="L5742" t="str">
            <v>Howard</v>
          </cell>
          <cell r="V5742">
            <v>76200</v>
          </cell>
        </row>
        <row r="5743">
          <cell r="B5743">
            <v>1965</v>
          </cell>
          <cell r="K5743" t="str">
            <v>WINNESHIEK</v>
          </cell>
          <cell r="L5743" t="str">
            <v>Winneshiek</v>
          </cell>
          <cell r="V5743">
            <v>100300</v>
          </cell>
        </row>
        <row r="5744">
          <cell r="B5744">
            <v>1965</v>
          </cell>
          <cell r="K5744" t="str">
            <v>BUENA VISTA</v>
          </cell>
          <cell r="L5744" t="str">
            <v>Buena Vista</v>
          </cell>
          <cell r="V5744">
            <v>129600</v>
          </cell>
        </row>
        <row r="5745">
          <cell r="B5745">
            <v>1965</v>
          </cell>
          <cell r="K5745" t="str">
            <v>CHEROKEE</v>
          </cell>
          <cell r="L5745" t="str">
            <v>Cherokee</v>
          </cell>
          <cell r="V5745">
            <v>121600</v>
          </cell>
        </row>
        <row r="5746">
          <cell r="B5746">
            <v>1965</v>
          </cell>
          <cell r="K5746" t="str">
            <v>CLAY</v>
          </cell>
          <cell r="L5746" t="str">
            <v>Clay</v>
          </cell>
          <cell r="V5746">
            <v>122900</v>
          </cell>
        </row>
        <row r="5747">
          <cell r="B5747">
            <v>1965</v>
          </cell>
          <cell r="K5747" t="str">
            <v>DICKINSON</v>
          </cell>
          <cell r="L5747" t="str">
            <v>Dickinson</v>
          </cell>
          <cell r="V5747">
            <v>80200</v>
          </cell>
        </row>
        <row r="5748">
          <cell r="B5748">
            <v>1965</v>
          </cell>
          <cell r="K5748" t="str">
            <v>EMMET</v>
          </cell>
          <cell r="L5748" t="str">
            <v>Emmet</v>
          </cell>
          <cell r="V5748">
            <v>87400</v>
          </cell>
        </row>
        <row r="5749">
          <cell r="B5749">
            <v>1965</v>
          </cell>
          <cell r="K5749" t="str">
            <v>LYON</v>
          </cell>
          <cell r="L5749" t="str">
            <v>Lyon</v>
          </cell>
          <cell r="V5749">
            <v>142400</v>
          </cell>
        </row>
        <row r="5750">
          <cell r="B5750">
            <v>1965</v>
          </cell>
          <cell r="K5750" t="str">
            <v>O BRIEN</v>
          </cell>
          <cell r="L5750" t="str">
            <v>O Brien</v>
          </cell>
          <cell r="V5750">
            <v>134600</v>
          </cell>
        </row>
        <row r="5751">
          <cell r="B5751">
            <v>1965</v>
          </cell>
          <cell r="K5751" t="str">
            <v>OSCEOLA</v>
          </cell>
          <cell r="L5751" t="str">
            <v>Osceola</v>
          </cell>
          <cell r="V5751">
            <v>93700</v>
          </cell>
        </row>
        <row r="5752">
          <cell r="B5752">
            <v>1965</v>
          </cell>
          <cell r="K5752" t="str">
            <v>PALO ALTO</v>
          </cell>
          <cell r="L5752" t="str">
            <v>Palo Alto</v>
          </cell>
          <cell r="V5752">
            <v>128300</v>
          </cell>
        </row>
        <row r="5753">
          <cell r="B5753">
            <v>1965</v>
          </cell>
          <cell r="K5753" t="str">
            <v>PLYMOUTH</v>
          </cell>
          <cell r="L5753" t="str">
            <v>Plymouth</v>
          </cell>
          <cell r="V5753">
            <v>188500</v>
          </cell>
        </row>
        <row r="5754">
          <cell r="B5754">
            <v>1965</v>
          </cell>
          <cell r="K5754" t="str">
            <v>POCAHONTAS</v>
          </cell>
          <cell r="L5754" t="str">
            <v>Pocahontas</v>
          </cell>
          <cell r="V5754">
            <v>131500</v>
          </cell>
        </row>
        <row r="5755">
          <cell r="B5755">
            <v>1965</v>
          </cell>
          <cell r="K5755" t="str">
            <v>SIOUX</v>
          </cell>
          <cell r="L5755" t="str">
            <v>Sioux</v>
          </cell>
          <cell r="V5755">
            <v>213700</v>
          </cell>
        </row>
        <row r="5756">
          <cell r="B5756">
            <v>1965</v>
          </cell>
          <cell r="K5756" t="str">
            <v>APPANOOSE</v>
          </cell>
          <cell r="L5756" t="str">
            <v>Appanoose</v>
          </cell>
          <cell r="V5756">
            <v>41400</v>
          </cell>
        </row>
        <row r="5757">
          <cell r="B5757">
            <v>1965</v>
          </cell>
          <cell r="K5757" t="str">
            <v>CLARKE</v>
          </cell>
          <cell r="L5757" t="str">
            <v>Clarke</v>
          </cell>
          <cell r="V5757">
            <v>35100</v>
          </cell>
        </row>
        <row r="5758">
          <cell r="B5758">
            <v>1965</v>
          </cell>
          <cell r="K5758" t="str">
            <v>DECATUR</v>
          </cell>
          <cell r="L5758" t="str">
            <v>Decatur</v>
          </cell>
          <cell r="V5758">
            <v>42000</v>
          </cell>
        </row>
        <row r="5759">
          <cell r="B5759">
            <v>1965</v>
          </cell>
          <cell r="K5759" t="str">
            <v>LUCAS</v>
          </cell>
          <cell r="L5759" t="str">
            <v>Lucas</v>
          </cell>
          <cell r="V5759">
            <v>36500</v>
          </cell>
        </row>
        <row r="5760">
          <cell r="B5760">
            <v>1965</v>
          </cell>
          <cell r="K5760" t="str">
            <v>MADISON</v>
          </cell>
          <cell r="L5760" t="str">
            <v>Madison</v>
          </cell>
          <cell r="V5760">
            <v>74100</v>
          </cell>
        </row>
        <row r="5761">
          <cell r="B5761">
            <v>1965</v>
          </cell>
          <cell r="K5761" t="str">
            <v>MARION</v>
          </cell>
          <cell r="L5761" t="str">
            <v>Marion</v>
          </cell>
          <cell r="V5761">
            <v>83700</v>
          </cell>
        </row>
        <row r="5762">
          <cell r="B5762">
            <v>1965</v>
          </cell>
          <cell r="K5762" t="str">
            <v>MONROE</v>
          </cell>
          <cell r="L5762" t="str">
            <v>Monroe</v>
          </cell>
          <cell r="V5762">
            <v>30800</v>
          </cell>
        </row>
        <row r="5763">
          <cell r="B5763">
            <v>1965</v>
          </cell>
          <cell r="K5763" t="str">
            <v>RINGGOLD</v>
          </cell>
          <cell r="L5763" t="str">
            <v>Ringgold</v>
          </cell>
          <cell r="V5763">
            <v>47200</v>
          </cell>
        </row>
        <row r="5764">
          <cell r="B5764">
            <v>1965</v>
          </cell>
          <cell r="K5764" t="str">
            <v>UNION</v>
          </cell>
          <cell r="L5764" t="str">
            <v>Union</v>
          </cell>
          <cell r="V5764">
            <v>47800</v>
          </cell>
        </row>
        <row r="5765">
          <cell r="B5765">
            <v>1965</v>
          </cell>
          <cell r="K5765" t="str">
            <v>WARREN</v>
          </cell>
          <cell r="L5765" t="str">
            <v>Warren</v>
          </cell>
          <cell r="V5765">
            <v>74500</v>
          </cell>
        </row>
        <row r="5766">
          <cell r="B5766">
            <v>1965</v>
          </cell>
          <cell r="K5766" t="str">
            <v>WAYNE</v>
          </cell>
          <cell r="L5766" t="str">
            <v>Wayne</v>
          </cell>
          <cell r="V5766">
            <v>50000</v>
          </cell>
        </row>
        <row r="5767">
          <cell r="B5767">
            <v>1965</v>
          </cell>
          <cell r="K5767" t="str">
            <v>DAVIS</v>
          </cell>
          <cell r="L5767" t="str">
            <v>Davis</v>
          </cell>
          <cell r="V5767">
            <v>41700</v>
          </cell>
        </row>
        <row r="5768">
          <cell r="B5768">
            <v>1965</v>
          </cell>
          <cell r="K5768" t="str">
            <v>DES MOINES</v>
          </cell>
          <cell r="L5768" t="str">
            <v>Des Moines</v>
          </cell>
          <cell r="V5768">
            <v>73500</v>
          </cell>
        </row>
        <row r="5769">
          <cell r="B5769">
            <v>1965</v>
          </cell>
          <cell r="K5769" t="str">
            <v>HENRY</v>
          </cell>
          <cell r="L5769" t="str">
            <v>Henry</v>
          </cell>
          <cell r="V5769">
            <v>81700</v>
          </cell>
        </row>
        <row r="5770">
          <cell r="B5770">
            <v>1965</v>
          </cell>
          <cell r="K5770" t="str">
            <v>JEFFERSON</v>
          </cell>
          <cell r="L5770" t="str">
            <v>Jefferson</v>
          </cell>
          <cell r="V5770">
            <v>60000</v>
          </cell>
        </row>
        <row r="5771">
          <cell r="B5771">
            <v>1965</v>
          </cell>
          <cell r="K5771" t="str">
            <v>KEOKUK</v>
          </cell>
          <cell r="L5771" t="str">
            <v>Keokuk</v>
          </cell>
          <cell r="V5771">
            <v>99100</v>
          </cell>
        </row>
        <row r="5772">
          <cell r="B5772">
            <v>1965</v>
          </cell>
          <cell r="K5772" t="str">
            <v>LEE</v>
          </cell>
          <cell r="L5772" t="str">
            <v>Lee</v>
          </cell>
          <cell r="V5772">
            <v>80000</v>
          </cell>
        </row>
        <row r="5773">
          <cell r="B5773">
            <v>1965</v>
          </cell>
          <cell r="K5773" t="str">
            <v>LOUISA</v>
          </cell>
          <cell r="L5773" t="str">
            <v>Louisa</v>
          </cell>
          <cell r="V5773">
            <v>81100</v>
          </cell>
        </row>
        <row r="5774">
          <cell r="B5774">
            <v>1965</v>
          </cell>
          <cell r="K5774" t="str">
            <v>MAHASKA</v>
          </cell>
          <cell r="L5774" t="str">
            <v>Mahaska</v>
          </cell>
          <cell r="V5774">
            <v>109100</v>
          </cell>
        </row>
        <row r="5775">
          <cell r="B5775">
            <v>1965</v>
          </cell>
          <cell r="K5775" t="str">
            <v>VAN BUREN</v>
          </cell>
          <cell r="L5775" t="str">
            <v>Van Buren</v>
          </cell>
          <cell r="V5775">
            <v>47200</v>
          </cell>
        </row>
        <row r="5776">
          <cell r="B5776">
            <v>1965</v>
          </cell>
          <cell r="K5776" t="str">
            <v>WAPELLO</v>
          </cell>
          <cell r="L5776" t="str">
            <v>Wapello</v>
          </cell>
          <cell r="V5776">
            <v>51400</v>
          </cell>
        </row>
        <row r="5777">
          <cell r="B5777">
            <v>1965</v>
          </cell>
          <cell r="K5777" t="str">
            <v>WASHINGTON</v>
          </cell>
          <cell r="L5777" t="str">
            <v>Washington</v>
          </cell>
          <cell r="V5777">
            <v>120700</v>
          </cell>
        </row>
        <row r="5778">
          <cell r="B5778">
            <v>1965</v>
          </cell>
          <cell r="K5778" t="str">
            <v>ADAIR</v>
          </cell>
          <cell r="L5778" t="str">
            <v>Adair</v>
          </cell>
          <cell r="V5778">
            <v>84800</v>
          </cell>
        </row>
        <row r="5779">
          <cell r="B5779">
            <v>1965</v>
          </cell>
          <cell r="K5779" t="str">
            <v>ADAMS</v>
          </cell>
          <cell r="L5779" t="str">
            <v>Adams</v>
          </cell>
          <cell r="V5779">
            <v>56100</v>
          </cell>
        </row>
        <row r="5780">
          <cell r="B5780">
            <v>1965</v>
          </cell>
          <cell r="K5780" t="str">
            <v>CASS</v>
          </cell>
          <cell r="L5780" t="str">
            <v>Cass</v>
          </cell>
          <cell r="V5780">
            <v>104500</v>
          </cell>
        </row>
        <row r="5781">
          <cell r="B5781">
            <v>1965</v>
          </cell>
          <cell r="K5781" t="str">
            <v>FREMONT</v>
          </cell>
          <cell r="L5781" t="str">
            <v>Fremont</v>
          </cell>
          <cell r="V5781">
            <v>99300</v>
          </cell>
        </row>
        <row r="5782">
          <cell r="B5782">
            <v>1965</v>
          </cell>
          <cell r="K5782" t="str">
            <v>MILLS</v>
          </cell>
          <cell r="L5782" t="str">
            <v>Mills</v>
          </cell>
          <cell r="V5782">
            <v>85100</v>
          </cell>
        </row>
        <row r="5783">
          <cell r="B5783">
            <v>1965</v>
          </cell>
          <cell r="K5783" t="str">
            <v>MONTGOMERY</v>
          </cell>
          <cell r="L5783" t="str">
            <v>Montgomery</v>
          </cell>
          <cell r="V5783">
            <v>81000</v>
          </cell>
        </row>
        <row r="5784">
          <cell r="B5784">
            <v>1965</v>
          </cell>
          <cell r="K5784" t="str">
            <v>PAGE</v>
          </cell>
          <cell r="L5784" t="str">
            <v>Page</v>
          </cell>
          <cell r="V5784">
            <v>88000</v>
          </cell>
        </row>
        <row r="5785">
          <cell r="B5785">
            <v>1965</v>
          </cell>
          <cell r="K5785" t="str">
            <v>POTTAWATTAMIE</v>
          </cell>
          <cell r="L5785" t="str">
            <v>Pottawattamie</v>
          </cell>
          <cell r="V5785">
            <v>193300</v>
          </cell>
        </row>
        <row r="5786">
          <cell r="B5786">
            <v>1965</v>
          </cell>
          <cell r="K5786" t="str">
            <v>TAYLOR</v>
          </cell>
          <cell r="L5786" t="str">
            <v>Taylor</v>
          </cell>
          <cell r="V5786">
            <v>55100</v>
          </cell>
        </row>
        <row r="5787">
          <cell r="B5787">
            <v>1965</v>
          </cell>
          <cell r="K5787" t="str">
            <v>AUDUBON</v>
          </cell>
          <cell r="L5787" t="str">
            <v>Audubon</v>
          </cell>
          <cell r="V5787">
            <v>92500</v>
          </cell>
        </row>
        <row r="5788">
          <cell r="B5788">
            <v>1965</v>
          </cell>
          <cell r="K5788" t="str">
            <v>CALHOUN</v>
          </cell>
          <cell r="L5788" t="str">
            <v>Calhoun</v>
          </cell>
          <cell r="V5788">
            <v>117900</v>
          </cell>
        </row>
        <row r="5789">
          <cell r="B5789">
            <v>1965</v>
          </cell>
          <cell r="K5789" t="str">
            <v>CARROLL</v>
          </cell>
          <cell r="L5789" t="str">
            <v>Carroll</v>
          </cell>
          <cell r="V5789">
            <v>129500</v>
          </cell>
        </row>
        <row r="5790">
          <cell r="B5790">
            <v>1965</v>
          </cell>
          <cell r="K5790" t="str">
            <v>CRAWFORD</v>
          </cell>
          <cell r="L5790" t="str">
            <v>Crawford</v>
          </cell>
          <cell r="V5790">
            <v>128600</v>
          </cell>
        </row>
        <row r="5791">
          <cell r="B5791">
            <v>1965</v>
          </cell>
          <cell r="K5791" t="str">
            <v>GREENE</v>
          </cell>
          <cell r="L5791" t="str">
            <v>Greene</v>
          </cell>
          <cell r="V5791">
            <v>132000</v>
          </cell>
        </row>
        <row r="5792">
          <cell r="B5792">
            <v>1965</v>
          </cell>
          <cell r="K5792" t="str">
            <v>GUTHRIE</v>
          </cell>
          <cell r="L5792" t="str">
            <v>Guthrie</v>
          </cell>
          <cell r="V5792">
            <v>91300</v>
          </cell>
        </row>
        <row r="5793">
          <cell r="B5793">
            <v>1965</v>
          </cell>
          <cell r="K5793" t="str">
            <v>HARRISON</v>
          </cell>
          <cell r="L5793" t="str">
            <v>Harrison</v>
          </cell>
          <cell r="V5793">
            <v>120200</v>
          </cell>
        </row>
        <row r="5794">
          <cell r="B5794">
            <v>1965</v>
          </cell>
          <cell r="K5794" t="str">
            <v>IDA</v>
          </cell>
          <cell r="L5794" t="str">
            <v>Ida</v>
          </cell>
          <cell r="V5794">
            <v>90400</v>
          </cell>
        </row>
        <row r="5795">
          <cell r="B5795">
            <v>1965</v>
          </cell>
          <cell r="K5795" t="str">
            <v>MONONA</v>
          </cell>
          <cell r="L5795" t="str">
            <v>Monona</v>
          </cell>
          <cell r="V5795">
            <v>125300</v>
          </cell>
        </row>
        <row r="5796">
          <cell r="B5796">
            <v>1965</v>
          </cell>
          <cell r="K5796" t="str">
            <v>SAC</v>
          </cell>
          <cell r="L5796" t="str">
            <v>Sac</v>
          </cell>
          <cell r="V5796">
            <v>128600</v>
          </cell>
        </row>
        <row r="5797">
          <cell r="B5797">
            <v>1965</v>
          </cell>
          <cell r="K5797" t="str">
            <v>SHELBY</v>
          </cell>
          <cell r="L5797" t="str">
            <v>Shelby</v>
          </cell>
          <cell r="V5797">
            <v>131800</v>
          </cell>
        </row>
        <row r="5798">
          <cell r="B5798">
            <v>1965</v>
          </cell>
          <cell r="K5798" t="str">
            <v>WOODBURY</v>
          </cell>
          <cell r="L5798" t="str">
            <v>Woodbury</v>
          </cell>
          <cell r="V5798">
            <v>156000</v>
          </cell>
        </row>
        <row r="5799">
          <cell r="B5799">
            <v>1964</v>
          </cell>
          <cell r="K5799" t="str">
            <v>BOONE</v>
          </cell>
          <cell r="L5799" t="str">
            <v>Boone</v>
          </cell>
          <cell r="V5799">
            <v>116300</v>
          </cell>
        </row>
        <row r="5800">
          <cell r="B5800">
            <v>1964</v>
          </cell>
          <cell r="K5800" t="str">
            <v>DALLAS</v>
          </cell>
          <cell r="L5800" t="str">
            <v>Dallas</v>
          </cell>
          <cell r="V5800">
            <v>107900</v>
          </cell>
        </row>
        <row r="5801">
          <cell r="B5801">
            <v>1964</v>
          </cell>
          <cell r="K5801" t="str">
            <v>GRUNDY</v>
          </cell>
          <cell r="L5801" t="str">
            <v>Grundy</v>
          </cell>
          <cell r="V5801">
            <v>126700</v>
          </cell>
        </row>
        <row r="5802">
          <cell r="B5802">
            <v>1964</v>
          </cell>
          <cell r="K5802" t="str">
            <v>HAMILTON</v>
          </cell>
          <cell r="L5802" t="str">
            <v>Hamilton</v>
          </cell>
          <cell r="V5802">
            <v>143100</v>
          </cell>
        </row>
        <row r="5803">
          <cell r="B5803">
            <v>1964</v>
          </cell>
          <cell r="K5803" t="str">
            <v>HARDIN</v>
          </cell>
          <cell r="L5803" t="str">
            <v>Hardin</v>
          </cell>
          <cell r="V5803">
            <v>130300</v>
          </cell>
        </row>
        <row r="5804">
          <cell r="B5804">
            <v>1964</v>
          </cell>
          <cell r="K5804" t="str">
            <v>JASPER</v>
          </cell>
          <cell r="L5804" t="str">
            <v>Jasper</v>
          </cell>
          <cell r="V5804">
            <v>146200</v>
          </cell>
        </row>
        <row r="5805">
          <cell r="B5805">
            <v>1964</v>
          </cell>
          <cell r="K5805" t="str">
            <v>MARSHALL</v>
          </cell>
          <cell r="L5805" t="str">
            <v>Marshall</v>
          </cell>
          <cell r="V5805">
            <v>124900</v>
          </cell>
        </row>
        <row r="5806">
          <cell r="B5806">
            <v>1964</v>
          </cell>
          <cell r="K5806" t="str">
            <v>POLK</v>
          </cell>
          <cell r="L5806" t="str">
            <v>Polk</v>
          </cell>
          <cell r="V5806">
            <v>99900</v>
          </cell>
        </row>
        <row r="5807">
          <cell r="B5807">
            <v>1964</v>
          </cell>
          <cell r="K5807" t="str">
            <v>POWESHIEK</v>
          </cell>
          <cell r="L5807" t="str">
            <v>Poweshiek</v>
          </cell>
          <cell r="V5807">
            <v>103800</v>
          </cell>
        </row>
        <row r="5808">
          <cell r="B5808">
            <v>1964</v>
          </cell>
          <cell r="K5808" t="str">
            <v>STORY</v>
          </cell>
          <cell r="L5808" t="str">
            <v>Story</v>
          </cell>
          <cell r="V5808">
            <v>128500</v>
          </cell>
        </row>
        <row r="5809">
          <cell r="B5809">
            <v>1964</v>
          </cell>
          <cell r="K5809" t="str">
            <v>TAMA</v>
          </cell>
          <cell r="L5809" t="str">
            <v>Tama</v>
          </cell>
          <cell r="V5809">
            <v>137400</v>
          </cell>
        </row>
        <row r="5810">
          <cell r="B5810">
            <v>1964</v>
          </cell>
          <cell r="K5810" t="str">
            <v>WEBSTER</v>
          </cell>
          <cell r="L5810" t="str">
            <v>Webster</v>
          </cell>
          <cell r="V5810">
            <v>141500</v>
          </cell>
        </row>
        <row r="5811">
          <cell r="B5811">
            <v>1964</v>
          </cell>
          <cell r="K5811" t="str">
            <v>BENTON</v>
          </cell>
          <cell r="L5811" t="str">
            <v>Benton</v>
          </cell>
          <cell r="V5811">
            <v>160800</v>
          </cell>
        </row>
        <row r="5812">
          <cell r="B5812">
            <v>1964</v>
          </cell>
          <cell r="K5812" t="str">
            <v>CEDAR</v>
          </cell>
          <cell r="L5812" t="str">
            <v>Cedar</v>
          </cell>
          <cell r="V5812">
            <v>130500</v>
          </cell>
        </row>
        <row r="5813">
          <cell r="B5813">
            <v>1964</v>
          </cell>
          <cell r="K5813" t="str">
            <v>CLINTON</v>
          </cell>
          <cell r="L5813" t="str">
            <v>Clinton</v>
          </cell>
          <cell r="V5813">
            <v>154900</v>
          </cell>
        </row>
        <row r="5814">
          <cell r="B5814">
            <v>1964</v>
          </cell>
          <cell r="K5814" t="str">
            <v>IOWA</v>
          </cell>
          <cell r="L5814" t="str">
            <v>Iowa</v>
          </cell>
          <cell r="V5814">
            <v>103700</v>
          </cell>
        </row>
        <row r="5815">
          <cell r="B5815">
            <v>1964</v>
          </cell>
          <cell r="K5815" t="str">
            <v>JACKSON</v>
          </cell>
          <cell r="L5815" t="str">
            <v>Jackson</v>
          </cell>
          <cell r="V5815">
            <v>80100</v>
          </cell>
        </row>
        <row r="5816">
          <cell r="B5816">
            <v>1964</v>
          </cell>
          <cell r="K5816" t="str">
            <v>JOHNSON</v>
          </cell>
          <cell r="L5816" t="str">
            <v>Johnson</v>
          </cell>
          <cell r="V5816">
            <v>105100</v>
          </cell>
        </row>
        <row r="5817">
          <cell r="B5817">
            <v>1964</v>
          </cell>
          <cell r="K5817" t="str">
            <v>JONES</v>
          </cell>
          <cell r="L5817" t="str">
            <v>Jones</v>
          </cell>
          <cell r="V5817">
            <v>106600</v>
          </cell>
        </row>
        <row r="5818">
          <cell r="B5818">
            <v>1964</v>
          </cell>
          <cell r="K5818" t="str">
            <v>LINN</v>
          </cell>
          <cell r="L5818" t="str">
            <v>Linn</v>
          </cell>
          <cell r="V5818">
            <v>136000</v>
          </cell>
        </row>
        <row r="5819">
          <cell r="B5819">
            <v>1964</v>
          </cell>
          <cell r="K5819" t="str">
            <v>MUSCATINE</v>
          </cell>
          <cell r="L5819" t="str">
            <v>Muscatine</v>
          </cell>
          <cell r="V5819">
            <v>81300</v>
          </cell>
        </row>
        <row r="5820">
          <cell r="B5820">
            <v>1964</v>
          </cell>
          <cell r="K5820" t="str">
            <v>SCOTT</v>
          </cell>
          <cell r="L5820" t="str">
            <v>Scott</v>
          </cell>
          <cell r="V5820">
            <v>102900</v>
          </cell>
        </row>
        <row r="5821">
          <cell r="B5821">
            <v>1964</v>
          </cell>
          <cell r="K5821" t="str">
            <v>BUTLER</v>
          </cell>
          <cell r="L5821" t="str">
            <v>Butler</v>
          </cell>
          <cell r="V5821">
            <v>130300</v>
          </cell>
        </row>
        <row r="5822">
          <cell r="B5822">
            <v>1964</v>
          </cell>
          <cell r="K5822" t="str">
            <v>CERRO GORDO</v>
          </cell>
          <cell r="L5822" t="str">
            <v>Cerro Gordo</v>
          </cell>
          <cell r="V5822">
            <v>123500</v>
          </cell>
        </row>
        <row r="5823">
          <cell r="B5823">
            <v>1964</v>
          </cell>
          <cell r="K5823" t="str">
            <v>FLOYD</v>
          </cell>
          <cell r="L5823" t="str">
            <v>Floyd</v>
          </cell>
          <cell r="V5823">
            <v>108200</v>
          </cell>
        </row>
        <row r="5824">
          <cell r="B5824">
            <v>1964</v>
          </cell>
          <cell r="K5824" t="str">
            <v>FRANKLIN</v>
          </cell>
          <cell r="L5824" t="str">
            <v>Franklin</v>
          </cell>
          <cell r="V5824">
            <v>146600</v>
          </cell>
        </row>
        <row r="5825">
          <cell r="B5825">
            <v>1964</v>
          </cell>
          <cell r="K5825" t="str">
            <v>HANCOCK</v>
          </cell>
          <cell r="L5825" t="str">
            <v>Hancock</v>
          </cell>
          <cell r="V5825">
            <v>134600</v>
          </cell>
        </row>
        <row r="5826">
          <cell r="B5826">
            <v>1964</v>
          </cell>
          <cell r="K5826" t="str">
            <v>HUMBOLDT</v>
          </cell>
          <cell r="L5826" t="str">
            <v>Humboldt</v>
          </cell>
          <cell r="V5826">
            <v>107100</v>
          </cell>
        </row>
        <row r="5827">
          <cell r="B5827">
            <v>1964</v>
          </cell>
          <cell r="K5827" t="str">
            <v>KOSSUTH</v>
          </cell>
          <cell r="L5827" t="str">
            <v>Kossuth</v>
          </cell>
          <cell r="V5827">
            <v>223600</v>
          </cell>
        </row>
        <row r="5828">
          <cell r="B5828">
            <v>1964</v>
          </cell>
          <cell r="K5828" t="str">
            <v>MITCHELL</v>
          </cell>
          <cell r="L5828" t="str">
            <v>Mitchell</v>
          </cell>
          <cell r="V5828">
            <v>106000</v>
          </cell>
        </row>
        <row r="5829">
          <cell r="B5829">
            <v>1964</v>
          </cell>
          <cell r="K5829" t="str">
            <v>WINNEBAGO</v>
          </cell>
          <cell r="L5829" t="str">
            <v>Winnebago</v>
          </cell>
          <cell r="V5829">
            <v>88200</v>
          </cell>
        </row>
        <row r="5830">
          <cell r="B5830">
            <v>1964</v>
          </cell>
          <cell r="K5830" t="str">
            <v>WORTH</v>
          </cell>
          <cell r="L5830" t="str">
            <v>Worth</v>
          </cell>
          <cell r="V5830">
            <v>82600</v>
          </cell>
        </row>
        <row r="5831">
          <cell r="B5831">
            <v>1964</v>
          </cell>
          <cell r="K5831" t="str">
            <v>WRIGHT</v>
          </cell>
          <cell r="L5831" t="str">
            <v>Wright</v>
          </cell>
          <cell r="V5831">
            <v>138300</v>
          </cell>
        </row>
        <row r="5832">
          <cell r="B5832">
            <v>1964</v>
          </cell>
          <cell r="K5832" t="str">
            <v>ALLAMAKEE</v>
          </cell>
          <cell r="L5832" t="str">
            <v>Allamakee</v>
          </cell>
          <cell r="V5832">
            <v>57500</v>
          </cell>
        </row>
        <row r="5833">
          <cell r="B5833">
            <v>1964</v>
          </cell>
          <cell r="K5833" t="str">
            <v>BLACK HAWK</v>
          </cell>
          <cell r="L5833" t="str">
            <v>Black Hawk</v>
          </cell>
          <cell r="V5833">
            <v>115500</v>
          </cell>
        </row>
        <row r="5834">
          <cell r="B5834">
            <v>1964</v>
          </cell>
          <cell r="K5834" t="str">
            <v>BREMER</v>
          </cell>
          <cell r="L5834" t="str">
            <v>Bremer</v>
          </cell>
          <cell r="V5834">
            <v>87800</v>
          </cell>
        </row>
        <row r="5835">
          <cell r="B5835">
            <v>1964</v>
          </cell>
          <cell r="K5835" t="str">
            <v>BUCHANAN</v>
          </cell>
          <cell r="L5835" t="str">
            <v>Buchanan</v>
          </cell>
          <cell r="V5835">
            <v>115300</v>
          </cell>
        </row>
        <row r="5836">
          <cell r="B5836">
            <v>1964</v>
          </cell>
          <cell r="K5836" t="str">
            <v>CHICKASAW</v>
          </cell>
          <cell r="L5836" t="str">
            <v>Chickasaw</v>
          </cell>
          <cell r="V5836">
            <v>90300</v>
          </cell>
        </row>
        <row r="5837">
          <cell r="B5837">
            <v>1964</v>
          </cell>
          <cell r="K5837" t="str">
            <v>CLAYTON</v>
          </cell>
          <cell r="L5837" t="str">
            <v>Clayton</v>
          </cell>
          <cell r="V5837">
            <v>96800</v>
          </cell>
        </row>
        <row r="5838">
          <cell r="B5838">
            <v>1964</v>
          </cell>
          <cell r="K5838" t="str">
            <v>DELAWARE</v>
          </cell>
          <cell r="L5838" t="str">
            <v>Delaware</v>
          </cell>
          <cell r="V5838">
            <v>113000</v>
          </cell>
        </row>
        <row r="5839">
          <cell r="B5839">
            <v>1964</v>
          </cell>
          <cell r="K5839" t="str">
            <v>DUBUQUE</v>
          </cell>
          <cell r="L5839" t="str">
            <v>Dubuque</v>
          </cell>
          <cell r="V5839">
            <v>87300</v>
          </cell>
        </row>
        <row r="5840">
          <cell r="B5840">
            <v>1964</v>
          </cell>
          <cell r="K5840" t="str">
            <v>FAYETTE</v>
          </cell>
          <cell r="L5840" t="str">
            <v>Fayette</v>
          </cell>
          <cell r="V5840">
            <v>126100</v>
          </cell>
        </row>
        <row r="5841">
          <cell r="B5841">
            <v>1964</v>
          </cell>
          <cell r="K5841" t="str">
            <v>HOWARD</v>
          </cell>
          <cell r="L5841" t="str">
            <v>Howard</v>
          </cell>
          <cell r="V5841">
            <v>76700</v>
          </cell>
        </row>
        <row r="5842">
          <cell r="B5842">
            <v>1964</v>
          </cell>
          <cell r="K5842" t="str">
            <v>WINNESHIEK</v>
          </cell>
          <cell r="L5842" t="str">
            <v>Winneshiek</v>
          </cell>
          <cell r="V5842">
            <v>98000</v>
          </cell>
        </row>
        <row r="5843">
          <cell r="B5843">
            <v>1964</v>
          </cell>
          <cell r="K5843" t="str">
            <v>BUENA VISTA</v>
          </cell>
          <cell r="L5843" t="str">
            <v>Buena Vista</v>
          </cell>
          <cell r="V5843">
            <v>124800</v>
          </cell>
        </row>
        <row r="5844">
          <cell r="B5844">
            <v>1964</v>
          </cell>
          <cell r="K5844" t="str">
            <v>CHEROKEE</v>
          </cell>
          <cell r="L5844" t="str">
            <v>Cherokee</v>
          </cell>
          <cell r="V5844">
            <v>116700</v>
          </cell>
        </row>
        <row r="5845">
          <cell r="B5845">
            <v>1964</v>
          </cell>
          <cell r="K5845" t="str">
            <v>CLAY</v>
          </cell>
          <cell r="L5845" t="str">
            <v>Clay</v>
          </cell>
          <cell r="V5845">
            <v>120100</v>
          </cell>
        </row>
        <row r="5846">
          <cell r="B5846">
            <v>1964</v>
          </cell>
          <cell r="K5846" t="str">
            <v>DICKINSON</v>
          </cell>
          <cell r="L5846" t="str">
            <v>Dickinson</v>
          </cell>
          <cell r="V5846">
            <v>80000</v>
          </cell>
        </row>
        <row r="5847">
          <cell r="B5847">
            <v>1964</v>
          </cell>
          <cell r="K5847" t="str">
            <v>EMMET</v>
          </cell>
          <cell r="L5847" t="str">
            <v>Emmet</v>
          </cell>
          <cell r="V5847">
            <v>87900</v>
          </cell>
        </row>
        <row r="5848">
          <cell r="B5848">
            <v>1964</v>
          </cell>
          <cell r="K5848" t="str">
            <v>LYON</v>
          </cell>
          <cell r="L5848" t="str">
            <v>Lyon</v>
          </cell>
          <cell r="V5848">
            <v>135500</v>
          </cell>
        </row>
        <row r="5849">
          <cell r="B5849">
            <v>1964</v>
          </cell>
          <cell r="K5849" t="str">
            <v>O BRIEN</v>
          </cell>
          <cell r="L5849" t="str">
            <v>O Brien</v>
          </cell>
          <cell r="V5849">
            <v>129500</v>
          </cell>
        </row>
        <row r="5850">
          <cell r="B5850">
            <v>1964</v>
          </cell>
          <cell r="K5850" t="str">
            <v>OSCEOLA</v>
          </cell>
          <cell r="L5850" t="str">
            <v>Osceola</v>
          </cell>
          <cell r="V5850">
            <v>93900</v>
          </cell>
        </row>
        <row r="5851">
          <cell r="B5851">
            <v>1964</v>
          </cell>
          <cell r="K5851" t="str">
            <v>PALO ALTO</v>
          </cell>
          <cell r="L5851" t="str">
            <v>Palo Alto</v>
          </cell>
          <cell r="V5851">
            <v>127000</v>
          </cell>
        </row>
        <row r="5852">
          <cell r="B5852">
            <v>1964</v>
          </cell>
          <cell r="K5852" t="str">
            <v>PLYMOUTH</v>
          </cell>
          <cell r="L5852" t="str">
            <v>Plymouth</v>
          </cell>
          <cell r="V5852">
            <v>179700</v>
          </cell>
        </row>
        <row r="5853">
          <cell r="B5853">
            <v>1964</v>
          </cell>
          <cell r="K5853" t="str">
            <v>POCAHONTAS</v>
          </cell>
          <cell r="L5853" t="str">
            <v>Pocahontas</v>
          </cell>
          <cell r="V5853">
            <v>131200</v>
          </cell>
        </row>
        <row r="5854">
          <cell r="B5854">
            <v>1964</v>
          </cell>
          <cell r="K5854" t="str">
            <v>SIOUX</v>
          </cell>
          <cell r="L5854" t="str">
            <v>Sioux</v>
          </cell>
          <cell r="V5854">
            <v>201500</v>
          </cell>
        </row>
        <row r="5855">
          <cell r="B5855">
            <v>1964</v>
          </cell>
          <cell r="K5855" t="str">
            <v>APPANOOSE</v>
          </cell>
          <cell r="L5855" t="str">
            <v>Appanoose</v>
          </cell>
          <cell r="V5855">
            <v>40700</v>
          </cell>
        </row>
        <row r="5856">
          <cell r="B5856">
            <v>1964</v>
          </cell>
          <cell r="K5856" t="str">
            <v>CLARKE</v>
          </cell>
          <cell r="L5856" t="str">
            <v>Clarke</v>
          </cell>
          <cell r="V5856">
            <v>38700</v>
          </cell>
        </row>
        <row r="5857">
          <cell r="B5857">
            <v>1964</v>
          </cell>
          <cell r="K5857" t="str">
            <v>DECATUR</v>
          </cell>
          <cell r="L5857" t="str">
            <v>Decatur</v>
          </cell>
          <cell r="V5857">
            <v>39300</v>
          </cell>
        </row>
        <row r="5858">
          <cell r="B5858">
            <v>1964</v>
          </cell>
          <cell r="K5858" t="str">
            <v>LUCAS</v>
          </cell>
          <cell r="L5858" t="str">
            <v>Lucas</v>
          </cell>
          <cell r="V5858">
            <v>37300</v>
          </cell>
        </row>
        <row r="5859">
          <cell r="B5859">
            <v>1964</v>
          </cell>
          <cell r="K5859" t="str">
            <v>MADISON</v>
          </cell>
          <cell r="L5859" t="str">
            <v>Madison</v>
          </cell>
          <cell r="V5859">
            <v>69200</v>
          </cell>
        </row>
        <row r="5860">
          <cell r="B5860">
            <v>1964</v>
          </cell>
          <cell r="K5860" t="str">
            <v>MARION</v>
          </cell>
          <cell r="L5860" t="str">
            <v>Marion</v>
          </cell>
          <cell r="V5860">
            <v>81000</v>
          </cell>
        </row>
        <row r="5861">
          <cell r="B5861">
            <v>1964</v>
          </cell>
          <cell r="K5861" t="str">
            <v>MONROE</v>
          </cell>
          <cell r="L5861" t="str">
            <v>Monroe</v>
          </cell>
          <cell r="V5861">
            <v>31300</v>
          </cell>
        </row>
        <row r="5862">
          <cell r="B5862">
            <v>1964</v>
          </cell>
          <cell r="K5862" t="str">
            <v>RINGGOLD</v>
          </cell>
          <cell r="L5862" t="str">
            <v>Ringgold</v>
          </cell>
          <cell r="V5862">
            <v>49000</v>
          </cell>
        </row>
        <row r="5863">
          <cell r="B5863">
            <v>1964</v>
          </cell>
          <cell r="K5863" t="str">
            <v>UNION</v>
          </cell>
          <cell r="L5863" t="str">
            <v>Union</v>
          </cell>
          <cell r="V5863">
            <v>49100</v>
          </cell>
        </row>
        <row r="5864">
          <cell r="B5864">
            <v>1964</v>
          </cell>
          <cell r="K5864" t="str">
            <v>WARREN</v>
          </cell>
          <cell r="L5864" t="str">
            <v>Warren</v>
          </cell>
          <cell r="V5864">
            <v>74000</v>
          </cell>
        </row>
        <row r="5865">
          <cell r="B5865">
            <v>1964</v>
          </cell>
          <cell r="K5865" t="str">
            <v>WAYNE</v>
          </cell>
          <cell r="L5865" t="str">
            <v>Wayne</v>
          </cell>
          <cell r="V5865">
            <v>48600</v>
          </cell>
        </row>
        <row r="5866">
          <cell r="B5866">
            <v>1964</v>
          </cell>
          <cell r="K5866" t="str">
            <v>DAVIS</v>
          </cell>
          <cell r="L5866" t="str">
            <v>Davis</v>
          </cell>
          <cell r="V5866">
            <v>41200</v>
          </cell>
        </row>
        <row r="5867">
          <cell r="B5867">
            <v>1964</v>
          </cell>
          <cell r="K5867" t="str">
            <v>DES MOINES</v>
          </cell>
          <cell r="L5867" t="str">
            <v>Des Moines</v>
          </cell>
          <cell r="V5867">
            <v>72700</v>
          </cell>
        </row>
        <row r="5868">
          <cell r="B5868">
            <v>1964</v>
          </cell>
          <cell r="K5868" t="str">
            <v>HENRY</v>
          </cell>
          <cell r="L5868" t="str">
            <v>Henry</v>
          </cell>
          <cell r="V5868">
            <v>79700</v>
          </cell>
        </row>
        <row r="5869">
          <cell r="B5869">
            <v>1964</v>
          </cell>
          <cell r="K5869" t="str">
            <v>JEFFERSON</v>
          </cell>
          <cell r="L5869" t="str">
            <v>Jefferson</v>
          </cell>
          <cell r="V5869">
            <v>59700</v>
          </cell>
        </row>
        <row r="5870">
          <cell r="B5870">
            <v>1964</v>
          </cell>
          <cell r="K5870" t="str">
            <v>KEOKUK</v>
          </cell>
          <cell r="L5870" t="str">
            <v>Keokuk</v>
          </cell>
          <cell r="V5870">
            <v>95000</v>
          </cell>
        </row>
        <row r="5871">
          <cell r="B5871">
            <v>1964</v>
          </cell>
          <cell r="K5871" t="str">
            <v>LEE</v>
          </cell>
          <cell r="L5871" t="str">
            <v>Lee</v>
          </cell>
          <cell r="V5871">
            <v>75100</v>
          </cell>
        </row>
        <row r="5872">
          <cell r="B5872">
            <v>1964</v>
          </cell>
          <cell r="K5872" t="str">
            <v>LOUISA</v>
          </cell>
          <cell r="L5872" t="str">
            <v>Louisa</v>
          </cell>
          <cell r="V5872">
            <v>78800</v>
          </cell>
        </row>
        <row r="5873">
          <cell r="B5873">
            <v>1964</v>
          </cell>
          <cell r="K5873" t="str">
            <v>MAHASKA</v>
          </cell>
          <cell r="L5873" t="str">
            <v>Mahaska</v>
          </cell>
          <cell r="V5873">
            <v>107500</v>
          </cell>
        </row>
        <row r="5874">
          <cell r="B5874">
            <v>1964</v>
          </cell>
          <cell r="K5874" t="str">
            <v>VAN BUREN</v>
          </cell>
          <cell r="L5874" t="str">
            <v>Van Buren</v>
          </cell>
          <cell r="V5874">
            <v>43500</v>
          </cell>
        </row>
        <row r="5875">
          <cell r="B5875">
            <v>1964</v>
          </cell>
          <cell r="K5875" t="str">
            <v>WAPELLO</v>
          </cell>
          <cell r="L5875" t="str">
            <v>Wapello</v>
          </cell>
          <cell r="V5875">
            <v>51200</v>
          </cell>
        </row>
        <row r="5876">
          <cell r="B5876">
            <v>1964</v>
          </cell>
          <cell r="K5876" t="str">
            <v>WASHINGTON</v>
          </cell>
          <cell r="L5876" t="str">
            <v>Washington</v>
          </cell>
          <cell r="V5876">
            <v>112100</v>
          </cell>
        </row>
        <row r="5877">
          <cell r="B5877">
            <v>1964</v>
          </cell>
          <cell r="K5877" t="str">
            <v>ADAIR</v>
          </cell>
          <cell r="L5877" t="str">
            <v>Adair</v>
          </cell>
          <cell r="V5877">
            <v>84300</v>
          </cell>
        </row>
        <row r="5878">
          <cell r="B5878">
            <v>1964</v>
          </cell>
          <cell r="K5878" t="str">
            <v>ADAMS</v>
          </cell>
          <cell r="L5878" t="str">
            <v>Adams</v>
          </cell>
          <cell r="V5878">
            <v>56700</v>
          </cell>
        </row>
        <row r="5879">
          <cell r="B5879">
            <v>1964</v>
          </cell>
          <cell r="K5879" t="str">
            <v>CASS</v>
          </cell>
          <cell r="L5879" t="str">
            <v>Cass</v>
          </cell>
          <cell r="V5879">
            <v>102800</v>
          </cell>
        </row>
        <row r="5880">
          <cell r="B5880">
            <v>1964</v>
          </cell>
          <cell r="K5880" t="str">
            <v>FREMONT</v>
          </cell>
          <cell r="L5880" t="str">
            <v>Fremont</v>
          </cell>
          <cell r="V5880">
            <v>98800</v>
          </cell>
        </row>
        <row r="5881">
          <cell r="B5881">
            <v>1964</v>
          </cell>
          <cell r="K5881" t="str">
            <v>MILLS</v>
          </cell>
          <cell r="L5881" t="str">
            <v>Mills</v>
          </cell>
          <cell r="V5881">
            <v>83600</v>
          </cell>
        </row>
        <row r="5882">
          <cell r="B5882">
            <v>1964</v>
          </cell>
          <cell r="K5882" t="str">
            <v>MONTGOMERY</v>
          </cell>
          <cell r="L5882" t="str">
            <v>Montgomery</v>
          </cell>
          <cell r="V5882">
            <v>78400</v>
          </cell>
        </row>
        <row r="5883">
          <cell r="B5883">
            <v>1964</v>
          </cell>
          <cell r="K5883" t="str">
            <v>PAGE</v>
          </cell>
          <cell r="L5883" t="str">
            <v>Page</v>
          </cell>
          <cell r="V5883">
            <v>88100</v>
          </cell>
        </row>
        <row r="5884">
          <cell r="B5884">
            <v>1964</v>
          </cell>
          <cell r="K5884" t="str">
            <v>POTTAWATTAMIE</v>
          </cell>
          <cell r="L5884" t="str">
            <v>Pottawattamie</v>
          </cell>
          <cell r="V5884">
            <v>183900</v>
          </cell>
        </row>
        <row r="5885">
          <cell r="B5885">
            <v>1964</v>
          </cell>
          <cell r="K5885" t="str">
            <v>TAYLOR</v>
          </cell>
          <cell r="L5885" t="str">
            <v>Taylor</v>
          </cell>
          <cell r="V5885">
            <v>56300</v>
          </cell>
        </row>
        <row r="5886">
          <cell r="B5886">
            <v>1964</v>
          </cell>
          <cell r="K5886" t="str">
            <v>AUDUBON</v>
          </cell>
          <cell r="L5886" t="str">
            <v>Audubon</v>
          </cell>
          <cell r="V5886">
            <v>88400</v>
          </cell>
        </row>
        <row r="5887">
          <cell r="B5887">
            <v>1964</v>
          </cell>
          <cell r="K5887" t="str">
            <v>CALHOUN</v>
          </cell>
          <cell r="L5887" t="str">
            <v>Calhoun</v>
          </cell>
          <cell r="V5887">
            <v>120100</v>
          </cell>
        </row>
        <row r="5888">
          <cell r="B5888">
            <v>1964</v>
          </cell>
          <cell r="K5888" t="str">
            <v>CARROLL</v>
          </cell>
          <cell r="L5888" t="str">
            <v>Carroll</v>
          </cell>
          <cell r="V5888">
            <v>129900</v>
          </cell>
        </row>
        <row r="5889">
          <cell r="B5889">
            <v>1964</v>
          </cell>
          <cell r="K5889" t="str">
            <v>CRAWFORD</v>
          </cell>
          <cell r="L5889" t="str">
            <v>Crawford</v>
          </cell>
          <cell r="V5889">
            <v>129300</v>
          </cell>
        </row>
        <row r="5890">
          <cell r="B5890">
            <v>1964</v>
          </cell>
          <cell r="K5890" t="str">
            <v>GREENE</v>
          </cell>
          <cell r="L5890" t="str">
            <v>Greene</v>
          </cell>
          <cell r="V5890">
            <v>129700</v>
          </cell>
        </row>
        <row r="5891">
          <cell r="B5891">
            <v>1964</v>
          </cell>
          <cell r="K5891" t="str">
            <v>GUTHRIE</v>
          </cell>
          <cell r="L5891" t="str">
            <v>Guthrie</v>
          </cell>
          <cell r="V5891">
            <v>85000</v>
          </cell>
        </row>
        <row r="5892">
          <cell r="B5892">
            <v>1964</v>
          </cell>
          <cell r="K5892" t="str">
            <v>HARRISON</v>
          </cell>
          <cell r="L5892" t="str">
            <v>Harrison</v>
          </cell>
          <cell r="V5892">
            <v>119600</v>
          </cell>
        </row>
        <row r="5893">
          <cell r="B5893">
            <v>1964</v>
          </cell>
          <cell r="K5893" t="str">
            <v>IDA</v>
          </cell>
          <cell r="L5893" t="str">
            <v>Ida</v>
          </cell>
          <cell r="V5893">
            <v>87300</v>
          </cell>
        </row>
        <row r="5894">
          <cell r="B5894">
            <v>1964</v>
          </cell>
          <cell r="K5894" t="str">
            <v>MONONA</v>
          </cell>
          <cell r="L5894" t="str">
            <v>Monona</v>
          </cell>
          <cell r="V5894">
            <v>126900</v>
          </cell>
        </row>
        <row r="5895">
          <cell r="B5895">
            <v>1964</v>
          </cell>
          <cell r="K5895" t="str">
            <v>SAC</v>
          </cell>
          <cell r="L5895" t="str">
            <v>Sac</v>
          </cell>
          <cell r="V5895">
            <v>124900</v>
          </cell>
        </row>
        <row r="5896">
          <cell r="B5896">
            <v>1964</v>
          </cell>
          <cell r="K5896" t="str">
            <v>SHELBY</v>
          </cell>
          <cell r="L5896" t="str">
            <v>Shelby</v>
          </cell>
          <cell r="V5896">
            <v>121600</v>
          </cell>
        </row>
        <row r="5897">
          <cell r="B5897">
            <v>1964</v>
          </cell>
          <cell r="K5897" t="str">
            <v>WOODBURY</v>
          </cell>
          <cell r="L5897" t="str">
            <v>Woodbury</v>
          </cell>
          <cell r="V5897">
            <v>153200</v>
          </cell>
        </row>
        <row r="5898">
          <cell r="B5898">
            <v>1963</v>
          </cell>
          <cell r="K5898" t="str">
            <v>BOONE</v>
          </cell>
          <cell r="L5898" t="str">
            <v>Boone</v>
          </cell>
          <cell r="V5898">
            <v>124600</v>
          </cell>
        </row>
        <row r="5899">
          <cell r="B5899">
            <v>1963</v>
          </cell>
          <cell r="K5899" t="str">
            <v>DALLAS</v>
          </cell>
          <cell r="L5899" t="str">
            <v>Dallas</v>
          </cell>
          <cell r="V5899">
            <v>118800</v>
          </cell>
        </row>
        <row r="5900">
          <cell r="B5900">
            <v>1963</v>
          </cell>
          <cell r="K5900" t="str">
            <v>GRUNDY</v>
          </cell>
          <cell r="L5900" t="str">
            <v>Grundy</v>
          </cell>
          <cell r="V5900">
            <v>131700</v>
          </cell>
        </row>
        <row r="5901">
          <cell r="B5901">
            <v>1963</v>
          </cell>
          <cell r="K5901" t="str">
            <v>HAMILTON</v>
          </cell>
          <cell r="L5901" t="str">
            <v>Hamilton</v>
          </cell>
          <cell r="V5901">
            <v>151500</v>
          </cell>
        </row>
        <row r="5902">
          <cell r="B5902">
            <v>1963</v>
          </cell>
          <cell r="K5902" t="str">
            <v>HARDIN</v>
          </cell>
          <cell r="L5902" t="str">
            <v>Hardin</v>
          </cell>
          <cell r="V5902">
            <v>141500</v>
          </cell>
        </row>
        <row r="5903">
          <cell r="B5903">
            <v>1963</v>
          </cell>
          <cell r="K5903" t="str">
            <v>JASPER</v>
          </cell>
          <cell r="L5903" t="str">
            <v>Jasper</v>
          </cell>
          <cell r="V5903">
            <v>149400</v>
          </cell>
        </row>
        <row r="5904">
          <cell r="B5904">
            <v>1963</v>
          </cell>
          <cell r="K5904" t="str">
            <v>MARSHALL</v>
          </cell>
          <cell r="L5904" t="str">
            <v>Marshall</v>
          </cell>
          <cell r="V5904">
            <v>133900</v>
          </cell>
        </row>
        <row r="5905">
          <cell r="B5905">
            <v>1963</v>
          </cell>
          <cell r="K5905" t="str">
            <v>POLK</v>
          </cell>
          <cell r="L5905" t="str">
            <v>Polk</v>
          </cell>
          <cell r="V5905">
            <v>102200</v>
          </cell>
        </row>
        <row r="5906">
          <cell r="B5906">
            <v>1963</v>
          </cell>
          <cell r="K5906" t="str">
            <v>POWESHIEK</v>
          </cell>
          <cell r="L5906" t="str">
            <v>Poweshiek</v>
          </cell>
          <cell r="V5906">
            <v>111600</v>
          </cell>
        </row>
        <row r="5907">
          <cell r="B5907">
            <v>1963</v>
          </cell>
          <cell r="K5907" t="str">
            <v>STORY</v>
          </cell>
          <cell r="L5907" t="str">
            <v>Story</v>
          </cell>
          <cell r="V5907">
            <v>139800</v>
          </cell>
        </row>
        <row r="5908">
          <cell r="B5908">
            <v>1963</v>
          </cell>
          <cell r="K5908" t="str">
            <v>TAMA</v>
          </cell>
          <cell r="L5908" t="str">
            <v>Tama</v>
          </cell>
          <cell r="V5908">
            <v>146800</v>
          </cell>
        </row>
        <row r="5909">
          <cell r="B5909">
            <v>1963</v>
          </cell>
          <cell r="K5909" t="str">
            <v>WEBSTER</v>
          </cell>
          <cell r="L5909" t="str">
            <v>Webster</v>
          </cell>
          <cell r="V5909">
            <v>151800</v>
          </cell>
        </row>
        <row r="5910">
          <cell r="B5910">
            <v>1963</v>
          </cell>
          <cell r="K5910" t="str">
            <v>BENTON</v>
          </cell>
          <cell r="L5910" t="str">
            <v>Benton</v>
          </cell>
          <cell r="V5910">
            <v>168700</v>
          </cell>
        </row>
        <row r="5911">
          <cell r="B5911">
            <v>1963</v>
          </cell>
          <cell r="K5911" t="str">
            <v>CEDAR</v>
          </cell>
          <cell r="L5911" t="str">
            <v>Cedar</v>
          </cell>
          <cell r="V5911">
            <v>137000</v>
          </cell>
        </row>
        <row r="5912">
          <cell r="B5912">
            <v>1963</v>
          </cell>
          <cell r="K5912" t="str">
            <v>CLINTON</v>
          </cell>
          <cell r="L5912" t="str">
            <v>Clinton</v>
          </cell>
          <cell r="V5912">
            <v>163700</v>
          </cell>
        </row>
        <row r="5913">
          <cell r="B5913">
            <v>1963</v>
          </cell>
          <cell r="K5913" t="str">
            <v>IOWA</v>
          </cell>
          <cell r="L5913" t="str">
            <v>Iowa</v>
          </cell>
          <cell r="V5913">
            <v>107400</v>
          </cell>
        </row>
        <row r="5914">
          <cell r="B5914">
            <v>1963</v>
          </cell>
          <cell r="K5914" t="str">
            <v>JACKSON</v>
          </cell>
          <cell r="L5914" t="str">
            <v>Jackson</v>
          </cell>
          <cell r="V5914">
            <v>82300</v>
          </cell>
        </row>
        <row r="5915">
          <cell r="B5915">
            <v>1963</v>
          </cell>
          <cell r="K5915" t="str">
            <v>JOHNSON</v>
          </cell>
          <cell r="L5915" t="str">
            <v>Johnson</v>
          </cell>
          <cell r="V5915">
            <v>109500</v>
          </cell>
        </row>
        <row r="5916">
          <cell r="B5916">
            <v>1963</v>
          </cell>
          <cell r="K5916" t="str">
            <v>JONES</v>
          </cell>
          <cell r="L5916" t="str">
            <v>Jones</v>
          </cell>
          <cell r="V5916">
            <v>111200</v>
          </cell>
        </row>
        <row r="5917">
          <cell r="B5917">
            <v>1963</v>
          </cell>
          <cell r="K5917" t="str">
            <v>LINN</v>
          </cell>
          <cell r="L5917" t="str">
            <v>Linn</v>
          </cell>
          <cell r="V5917">
            <v>139800</v>
          </cell>
        </row>
        <row r="5918">
          <cell r="B5918">
            <v>1963</v>
          </cell>
          <cell r="K5918" t="str">
            <v>MUSCATINE</v>
          </cell>
          <cell r="L5918" t="str">
            <v>Muscatine</v>
          </cell>
          <cell r="V5918">
            <v>84000</v>
          </cell>
        </row>
        <row r="5919">
          <cell r="B5919">
            <v>1963</v>
          </cell>
          <cell r="K5919" t="str">
            <v>SCOTT</v>
          </cell>
          <cell r="L5919" t="str">
            <v>Scott</v>
          </cell>
          <cell r="V5919">
            <v>105200</v>
          </cell>
        </row>
        <row r="5920">
          <cell r="B5920">
            <v>1963</v>
          </cell>
          <cell r="K5920" t="str">
            <v>BUTLER</v>
          </cell>
          <cell r="L5920" t="str">
            <v>Butler</v>
          </cell>
          <cell r="V5920">
            <v>138600</v>
          </cell>
        </row>
        <row r="5921">
          <cell r="B5921">
            <v>1963</v>
          </cell>
          <cell r="K5921" t="str">
            <v>CERRO GORDO</v>
          </cell>
          <cell r="L5921" t="str">
            <v>Cerro Gordo</v>
          </cell>
          <cell r="V5921">
            <v>140000</v>
          </cell>
        </row>
        <row r="5922">
          <cell r="B5922">
            <v>1963</v>
          </cell>
          <cell r="K5922" t="str">
            <v>FLOYD</v>
          </cell>
          <cell r="L5922" t="str">
            <v>Floyd</v>
          </cell>
          <cell r="V5922">
            <v>116300</v>
          </cell>
        </row>
        <row r="5923">
          <cell r="B5923">
            <v>1963</v>
          </cell>
          <cell r="K5923" t="str">
            <v>FRANKLIN</v>
          </cell>
          <cell r="L5923" t="str">
            <v>Franklin</v>
          </cell>
          <cell r="V5923">
            <v>161600</v>
          </cell>
        </row>
        <row r="5924">
          <cell r="B5924">
            <v>1963</v>
          </cell>
          <cell r="K5924" t="str">
            <v>HANCOCK</v>
          </cell>
          <cell r="L5924" t="str">
            <v>Hancock</v>
          </cell>
          <cell r="V5924">
            <v>144200</v>
          </cell>
        </row>
        <row r="5925">
          <cell r="B5925">
            <v>1963</v>
          </cell>
          <cell r="K5925" t="str">
            <v>HUMBOLDT</v>
          </cell>
          <cell r="L5925" t="str">
            <v>Humboldt</v>
          </cell>
          <cell r="V5925">
            <v>107100</v>
          </cell>
        </row>
        <row r="5926">
          <cell r="B5926">
            <v>1963</v>
          </cell>
          <cell r="K5926" t="str">
            <v>KOSSUTH</v>
          </cell>
          <cell r="L5926" t="str">
            <v>Kossuth</v>
          </cell>
          <cell r="V5926">
            <v>231200</v>
          </cell>
        </row>
        <row r="5927">
          <cell r="B5927">
            <v>1963</v>
          </cell>
          <cell r="K5927" t="str">
            <v>MITCHELL</v>
          </cell>
          <cell r="L5927" t="str">
            <v>Mitchell</v>
          </cell>
          <cell r="V5927">
            <v>116600</v>
          </cell>
        </row>
        <row r="5928">
          <cell r="B5928">
            <v>1963</v>
          </cell>
          <cell r="K5928" t="str">
            <v>WINNEBAGO</v>
          </cell>
          <cell r="L5928" t="str">
            <v>Winnebago</v>
          </cell>
          <cell r="V5928">
            <v>100400</v>
          </cell>
        </row>
        <row r="5929">
          <cell r="B5929">
            <v>1963</v>
          </cell>
          <cell r="K5929" t="str">
            <v>WORTH</v>
          </cell>
          <cell r="L5929" t="str">
            <v>Worth</v>
          </cell>
          <cell r="V5929">
            <v>92300</v>
          </cell>
        </row>
        <row r="5930">
          <cell r="B5930">
            <v>1963</v>
          </cell>
          <cell r="K5930" t="str">
            <v>WRIGHT</v>
          </cell>
          <cell r="L5930" t="str">
            <v>Wright</v>
          </cell>
          <cell r="V5930">
            <v>148000</v>
          </cell>
        </row>
        <row r="5931">
          <cell r="B5931">
            <v>1963</v>
          </cell>
          <cell r="K5931" t="str">
            <v>ALLAMAKEE</v>
          </cell>
          <cell r="L5931" t="str">
            <v>Allamakee</v>
          </cell>
          <cell r="V5931">
            <v>57900</v>
          </cell>
        </row>
        <row r="5932">
          <cell r="B5932">
            <v>1963</v>
          </cell>
          <cell r="K5932" t="str">
            <v>BLACK HAWK</v>
          </cell>
          <cell r="L5932" t="str">
            <v>Black Hawk</v>
          </cell>
          <cell r="V5932">
            <v>124800</v>
          </cell>
        </row>
        <row r="5933">
          <cell r="B5933">
            <v>1963</v>
          </cell>
          <cell r="K5933" t="str">
            <v>BREMER</v>
          </cell>
          <cell r="L5933" t="str">
            <v>Bremer</v>
          </cell>
          <cell r="V5933">
            <v>89900</v>
          </cell>
        </row>
        <row r="5934">
          <cell r="B5934">
            <v>1963</v>
          </cell>
          <cell r="K5934" t="str">
            <v>BUCHANAN</v>
          </cell>
          <cell r="L5934" t="str">
            <v>Buchanan</v>
          </cell>
          <cell r="V5934">
            <v>118700</v>
          </cell>
        </row>
        <row r="5935">
          <cell r="B5935">
            <v>1963</v>
          </cell>
          <cell r="K5935" t="str">
            <v>CHICKASAW</v>
          </cell>
          <cell r="L5935" t="str">
            <v>Chickasaw</v>
          </cell>
          <cell r="V5935">
            <v>96400</v>
          </cell>
        </row>
        <row r="5936">
          <cell r="B5936">
            <v>1963</v>
          </cell>
          <cell r="K5936" t="str">
            <v>CLAYTON</v>
          </cell>
          <cell r="L5936" t="str">
            <v>Clayton</v>
          </cell>
          <cell r="V5936">
            <v>98900</v>
          </cell>
        </row>
        <row r="5937">
          <cell r="B5937">
            <v>1963</v>
          </cell>
          <cell r="K5937" t="str">
            <v>DELAWARE</v>
          </cell>
          <cell r="L5937" t="str">
            <v>Delaware</v>
          </cell>
          <cell r="V5937">
            <v>117100</v>
          </cell>
        </row>
        <row r="5938">
          <cell r="B5938">
            <v>1963</v>
          </cell>
          <cell r="K5938" t="str">
            <v>DUBUQUE</v>
          </cell>
          <cell r="L5938" t="str">
            <v>Dubuque</v>
          </cell>
          <cell r="V5938">
            <v>88500</v>
          </cell>
        </row>
        <row r="5939">
          <cell r="B5939">
            <v>1963</v>
          </cell>
          <cell r="K5939" t="str">
            <v>FAYETTE</v>
          </cell>
          <cell r="L5939" t="str">
            <v>Fayette</v>
          </cell>
          <cell r="V5939">
            <v>132500</v>
          </cell>
        </row>
        <row r="5940">
          <cell r="B5940">
            <v>1963</v>
          </cell>
          <cell r="K5940" t="str">
            <v>HOWARD</v>
          </cell>
          <cell r="L5940" t="str">
            <v>Howard</v>
          </cell>
          <cell r="V5940">
            <v>83700</v>
          </cell>
        </row>
        <row r="5941">
          <cell r="B5941">
            <v>1963</v>
          </cell>
          <cell r="K5941" t="str">
            <v>WINNESHIEK</v>
          </cell>
          <cell r="L5941" t="str">
            <v>Winneshiek</v>
          </cell>
          <cell r="V5941">
            <v>102900</v>
          </cell>
        </row>
        <row r="5942">
          <cell r="B5942">
            <v>1963</v>
          </cell>
          <cell r="K5942" t="str">
            <v>BUENA VISTA</v>
          </cell>
          <cell r="L5942" t="str">
            <v>Buena Vista</v>
          </cell>
          <cell r="V5942">
            <v>143600</v>
          </cell>
        </row>
        <row r="5943">
          <cell r="B5943">
            <v>1963</v>
          </cell>
          <cell r="K5943" t="str">
            <v>CHEROKEE</v>
          </cell>
          <cell r="L5943" t="str">
            <v>Cherokee</v>
          </cell>
          <cell r="V5943">
            <v>143400</v>
          </cell>
        </row>
        <row r="5944">
          <cell r="B5944">
            <v>1963</v>
          </cell>
          <cell r="K5944" t="str">
            <v>CLAY</v>
          </cell>
          <cell r="L5944" t="str">
            <v>Clay</v>
          </cell>
          <cell r="V5944">
            <v>133600</v>
          </cell>
        </row>
        <row r="5945">
          <cell r="B5945">
            <v>1963</v>
          </cell>
          <cell r="K5945" t="str">
            <v>DICKINSON</v>
          </cell>
          <cell r="L5945" t="str">
            <v>Dickinson</v>
          </cell>
          <cell r="V5945">
            <v>85900</v>
          </cell>
        </row>
        <row r="5946">
          <cell r="B5946">
            <v>1963</v>
          </cell>
          <cell r="K5946" t="str">
            <v>EMMET</v>
          </cell>
          <cell r="L5946" t="str">
            <v>Emmet</v>
          </cell>
          <cell r="V5946">
            <v>95800</v>
          </cell>
        </row>
        <row r="5947">
          <cell r="B5947">
            <v>1963</v>
          </cell>
          <cell r="K5947" t="str">
            <v>LYON</v>
          </cell>
          <cell r="L5947" t="str">
            <v>Lyon</v>
          </cell>
          <cell r="V5947">
            <v>151900</v>
          </cell>
        </row>
        <row r="5948">
          <cell r="B5948">
            <v>1963</v>
          </cell>
          <cell r="K5948" t="str">
            <v>O BRIEN</v>
          </cell>
          <cell r="L5948" t="str">
            <v>O Brien</v>
          </cell>
          <cell r="V5948">
            <v>146200</v>
          </cell>
        </row>
        <row r="5949">
          <cell r="B5949">
            <v>1963</v>
          </cell>
          <cell r="K5949" t="str">
            <v>OSCEOLA</v>
          </cell>
          <cell r="L5949" t="str">
            <v>Osceola</v>
          </cell>
          <cell r="V5949">
            <v>100600</v>
          </cell>
        </row>
        <row r="5950">
          <cell r="B5950">
            <v>1963</v>
          </cell>
          <cell r="K5950" t="str">
            <v>PALO ALTO</v>
          </cell>
          <cell r="L5950" t="str">
            <v>Palo Alto</v>
          </cell>
          <cell r="V5950">
            <v>136900</v>
          </cell>
        </row>
        <row r="5951">
          <cell r="B5951">
            <v>1963</v>
          </cell>
          <cell r="K5951" t="str">
            <v>PLYMOUTH</v>
          </cell>
          <cell r="L5951" t="str">
            <v>Plymouth</v>
          </cell>
          <cell r="V5951">
            <v>223100</v>
          </cell>
        </row>
        <row r="5952">
          <cell r="B5952">
            <v>1963</v>
          </cell>
          <cell r="K5952" t="str">
            <v>POCAHONTAS</v>
          </cell>
          <cell r="L5952" t="str">
            <v>Pocahontas</v>
          </cell>
          <cell r="V5952">
            <v>142100</v>
          </cell>
        </row>
        <row r="5953">
          <cell r="B5953">
            <v>1963</v>
          </cell>
          <cell r="K5953" t="str">
            <v>SIOUX</v>
          </cell>
          <cell r="L5953" t="str">
            <v>Sioux</v>
          </cell>
          <cell r="V5953">
            <v>231700</v>
          </cell>
        </row>
        <row r="5954">
          <cell r="B5954">
            <v>1963</v>
          </cell>
          <cell r="K5954" t="str">
            <v>APPANOOSE</v>
          </cell>
          <cell r="L5954" t="str">
            <v>Appanoose</v>
          </cell>
          <cell r="V5954">
            <v>40300</v>
          </cell>
        </row>
        <row r="5955">
          <cell r="B5955">
            <v>1963</v>
          </cell>
          <cell r="K5955" t="str">
            <v>CLARKE</v>
          </cell>
          <cell r="L5955" t="str">
            <v>Clarke</v>
          </cell>
          <cell r="V5955">
            <v>41200</v>
          </cell>
        </row>
        <row r="5956">
          <cell r="B5956">
            <v>1963</v>
          </cell>
          <cell r="K5956" t="str">
            <v>DECATUR</v>
          </cell>
          <cell r="L5956" t="str">
            <v>Decatur</v>
          </cell>
          <cell r="V5956">
            <v>41500</v>
          </cell>
        </row>
        <row r="5957">
          <cell r="B5957">
            <v>1963</v>
          </cell>
          <cell r="K5957" t="str">
            <v>LUCAS</v>
          </cell>
          <cell r="L5957" t="str">
            <v>Lucas</v>
          </cell>
          <cell r="V5957">
            <v>39000</v>
          </cell>
        </row>
        <row r="5958">
          <cell r="B5958">
            <v>1963</v>
          </cell>
          <cell r="K5958" t="str">
            <v>MADISON</v>
          </cell>
          <cell r="L5958" t="str">
            <v>Madison</v>
          </cell>
          <cell r="V5958">
            <v>76800</v>
          </cell>
        </row>
        <row r="5959">
          <cell r="B5959">
            <v>1963</v>
          </cell>
          <cell r="K5959" t="str">
            <v>MARION</v>
          </cell>
          <cell r="L5959" t="str">
            <v>Marion</v>
          </cell>
          <cell r="V5959">
            <v>85500</v>
          </cell>
        </row>
        <row r="5960">
          <cell r="B5960">
            <v>1963</v>
          </cell>
          <cell r="K5960" t="str">
            <v>MONROE</v>
          </cell>
          <cell r="L5960" t="str">
            <v>Monroe</v>
          </cell>
          <cell r="V5960">
            <v>34600</v>
          </cell>
        </row>
        <row r="5961">
          <cell r="B5961">
            <v>1963</v>
          </cell>
          <cell r="K5961" t="str">
            <v>RINGGOLD</v>
          </cell>
          <cell r="L5961" t="str">
            <v>Ringgold</v>
          </cell>
          <cell r="V5961">
            <v>51800</v>
          </cell>
        </row>
        <row r="5962">
          <cell r="B5962">
            <v>1963</v>
          </cell>
          <cell r="K5962" t="str">
            <v>UNION</v>
          </cell>
          <cell r="L5962" t="str">
            <v>Union</v>
          </cell>
          <cell r="V5962">
            <v>55400</v>
          </cell>
        </row>
        <row r="5963">
          <cell r="B5963">
            <v>1963</v>
          </cell>
          <cell r="K5963" t="str">
            <v>WARREN</v>
          </cell>
          <cell r="L5963" t="str">
            <v>Warren</v>
          </cell>
          <cell r="V5963">
            <v>78000</v>
          </cell>
        </row>
        <row r="5964">
          <cell r="B5964">
            <v>1963</v>
          </cell>
          <cell r="K5964" t="str">
            <v>WAYNE</v>
          </cell>
          <cell r="L5964" t="str">
            <v>Wayne</v>
          </cell>
          <cell r="V5964">
            <v>52800</v>
          </cell>
        </row>
        <row r="5965">
          <cell r="B5965">
            <v>1963</v>
          </cell>
          <cell r="K5965" t="str">
            <v>DAVIS</v>
          </cell>
          <cell r="L5965" t="str">
            <v>Davis</v>
          </cell>
          <cell r="V5965">
            <v>42800</v>
          </cell>
        </row>
        <row r="5966">
          <cell r="B5966">
            <v>1963</v>
          </cell>
          <cell r="K5966" t="str">
            <v>DES MOINES</v>
          </cell>
          <cell r="L5966" t="str">
            <v>Des Moines</v>
          </cell>
          <cell r="V5966">
            <v>75900</v>
          </cell>
        </row>
        <row r="5967">
          <cell r="B5967">
            <v>1963</v>
          </cell>
          <cell r="K5967" t="str">
            <v>HENRY</v>
          </cell>
          <cell r="L5967" t="str">
            <v>Henry</v>
          </cell>
          <cell r="V5967">
            <v>79800</v>
          </cell>
        </row>
        <row r="5968">
          <cell r="B5968">
            <v>1963</v>
          </cell>
          <cell r="K5968" t="str">
            <v>JEFFERSON</v>
          </cell>
          <cell r="L5968" t="str">
            <v>Jefferson</v>
          </cell>
          <cell r="V5968">
            <v>63500</v>
          </cell>
        </row>
        <row r="5969">
          <cell r="B5969">
            <v>1963</v>
          </cell>
          <cell r="K5969" t="str">
            <v>KEOKUK</v>
          </cell>
          <cell r="L5969" t="str">
            <v>Keokuk</v>
          </cell>
          <cell r="V5969">
            <v>98600</v>
          </cell>
        </row>
        <row r="5970">
          <cell r="B5970">
            <v>1963</v>
          </cell>
          <cell r="K5970" t="str">
            <v>LEE</v>
          </cell>
          <cell r="L5970" t="str">
            <v>Lee</v>
          </cell>
          <cell r="V5970">
            <v>77200</v>
          </cell>
        </row>
        <row r="5971">
          <cell r="B5971">
            <v>1963</v>
          </cell>
          <cell r="K5971" t="str">
            <v>LOUISA</v>
          </cell>
          <cell r="L5971" t="str">
            <v>Louisa</v>
          </cell>
          <cell r="V5971">
            <v>81000</v>
          </cell>
        </row>
        <row r="5972">
          <cell r="B5972">
            <v>1963</v>
          </cell>
          <cell r="K5972" t="str">
            <v>MAHASKA</v>
          </cell>
          <cell r="L5972" t="str">
            <v>Mahaska</v>
          </cell>
          <cell r="V5972">
            <v>114400</v>
          </cell>
        </row>
        <row r="5973">
          <cell r="B5973">
            <v>1963</v>
          </cell>
          <cell r="K5973" t="str">
            <v>VAN BUREN</v>
          </cell>
          <cell r="L5973" t="str">
            <v>Van Buren</v>
          </cell>
          <cell r="V5973">
            <v>45100</v>
          </cell>
        </row>
        <row r="5974">
          <cell r="B5974">
            <v>1963</v>
          </cell>
          <cell r="K5974" t="str">
            <v>WAPELLO</v>
          </cell>
          <cell r="L5974" t="str">
            <v>Wapello</v>
          </cell>
          <cell r="V5974">
            <v>53800</v>
          </cell>
        </row>
        <row r="5975">
          <cell r="B5975">
            <v>1963</v>
          </cell>
          <cell r="K5975" t="str">
            <v>WASHINGTON</v>
          </cell>
          <cell r="L5975" t="str">
            <v>Washington</v>
          </cell>
          <cell r="V5975">
            <v>117900</v>
          </cell>
        </row>
        <row r="5976">
          <cell r="B5976">
            <v>1963</v>
          </cell>
          <cell r="K5976" t="str">
            <v>ADAIR</v>
          </cell>
          <cell r="L5976" t="str">
            <v>Adair</v>
          </cell>
          <cell r="V5976">
            <v>89200</v>
          </cell>
        </row>
        <row r="5977">
          <cell r="B5977">
            <v>1963</v>
          </cell>
          <cell r="K5977" t="str">
            <v>ADAMS</v>
          </cell>
          <cell r="L5977" t="str">
            <v>Adams</v>
          </cell>
          <cell r="V5977">
            <v>61800</v>
          </cell>
        </row>
        <row r="5978">
          <cell r="B5978">
            <v>1963</v>
          </cell>
          <cell r="K5978" t="str">
            <v>CASS</v>
          </cell>
          <cell r="L5978" t="str">
            <v>Cass</v>
          </cell>
          <cell r="V5978">
            <v>110800</v>
          </cell>
        </row>
        <row r="5979">
          <cell r="B5979">
            <v>1963</v>
          </cell>
          <cell r="K5979" t="str">
            <v>FREMONT</v>
          </cell>
          <cell r="L5979" t="str">
            <v>Fremont</v>
          </cell>
          <cell r="V5979">
            <v>117000</v>
          </cell>
        </row>
        <row r="5980">
          <cell r="B5980">
            <v>1963</v>
          </cell>
          <cell r="K5980" t="str">
            <v>MILLS</v>
          </cell>
          <cell r="L5980" t="str">
            <v>Mills</v>
          </cell>
          <cell r="V5980">
            <v>100500</v>
          </cell>
        </row>
        <row r="5981">
          <cell r="B5981">
            <v>1963</v>
          </cell>
          <cell r="K5981" t="str">
            <v>MONTGOMERY</v>
          </cell>
          <cell r="L5981" t="str">
            <v>Montgomery</v>
          </cell>
          <cell r="V5981">
            <v>89100</v>
          </cell>
        </row>
        <row r="5982">
          <cell r="B5982">
            <v>1963</v>
          </cell>
          <cell r="K5982" t="str">
            <v>PAGE</v>
          </cell>
          <cell r="L5982" t="str">
            <v>Page</v>
          </cell>
          <cell r="V5982">
            <v>100100</v>
          </cell>
        </row>
        <row r="5983">
          <cell r="B5983">
            <v>1963</v>
          </cell>
          <cell r="K5983" t="str">
            <v>POTTAWATTAMIE</v>
          </cell>
          <cell r="L5983" t="str">
            <v>Pottawattamie</v>
          </cell>
          <cell r="V5983">
            <v>221000</v>
          </cell>
        </row>
        <row r="5984">
          <cell r="B5984">
            <v>1963</v>
          </cell>
          <cell r="K5984" t="str">
            <v>TAYLOR</v>
          </cell>
          <cell r="L5984" t="str">
            <v>Taylor</v>
          </cell>
          <cell r="V5984">
            <v>60700</v>
          </cell>
        </row>
        <row r="5985">
          <cell r="B5985">
            <v>1963</v>
          </cell>
          <cell r="K5985" t="str">
            <v>AUDUBON</v>
          </cell>
          <cell r="L5985" t="str">
            <v>Audubon</v>
          </cell>
          <cell r="V5985">
            <v>93900</v>
          </cell>
        </row>
        <row r="5986">
          <cell r="B5986">
            <v>1963</v>
          </cell>
          <cell r="K5986" t="str">
            <v>CALHOUN</v>
          </cell>
          <cell r="L5986" t="str">
            <v>Calhoun</v>
          </cell>
          <cell r="V5986">
            <v>129200</v>
          </cell>
        </row>
        <row r="5987">
          <cell r="B5987">
            <v>1963</v>
          </cell>
          <cell r="K5987" t="str">
            <v>CARROLL</v>
          </cell>
          <cell r="L5987" t="str">
            <v>Carroll</v>
          </cell>
          <cell r="V5987">
            <v>140600</v>
          </cell>
        </row>
        <row r="5988">
          <cell r="B5988">
            <v>1963</v>
          </cell>
          <cell r="K5988" t="str">
            <v>CRAWFORD</v>
          </cell>
          <cell r="L5988" t="str">
            <v>Crawford</v>
          </cell>
          <cell r="V5988">
            <v>144100</v>
          </cell>
        </row>
        <row r="5989">
          <cell r="B5989">
            <v>1963</v>
          </cell>
          <cell r="K5989" t="str">
            <v>GREENE</v>
          </cell>
          <cell r="L5989" t="str">
            <v>Greene</v>
          </cell>
          <cell r="V5989">
            <v>141200</v>
          </cell>
        </row>
        <row r="5990">
          <cell r="B5990">
            <v>1963</v>
          </cell>
          <cell r="K5990" t="str">
            <v>GUTHRIE</v>
          </cell>
          <cell r="L5990" t="str">
            <v>Guthrie</v>
          </cell>
          <cell r="V5990">
            <v>92900</v>
          </cell>
        </row>
        <row r="5991">
          <cell r="B5991">
            <v>1963</v>
          </cell>
          <cell r="K5991" t="str">
            <v>HARRISON</v>
          </cell>
          <cell r="L5991" t="str">
            <v>Harrison</v>
          </cell>
          <cell r="V5991">
            <v>140800</v>
          </cell>
        </row>
        <row r="5992">
          <cell r="B5992">
            <v>1963</v>
          </cell>
          <cell r="K5992" t="str">
            <v>IDA</v>
          </cell>
          <cell r="L5992" t="str">
            <v>Ida</v>
          </cell>
          <cell r="V5992">
            <v>101400</v>
          </cell>
        </row>
        <row r="5993">
          <cell r="B5993">
            <v>1963</v>
          </cell>
          <cell r="K5993" t="str">
            <v>MONONA</v>
          </cell>
          <cell r="L5993" t="str">
            <v>Monona</v>
          </cell>
          <cell r="V5993">
            <v>140200</v>
          </cell>
        </row>
        <row r="5994">
          <cell r="B5994">
            <v>1963</v>
          </cell>
          <cell r="K5994" t="str">
            <v>SAC</v>
          </cell>
          <cell r="L5994" t="str">
            <v>Sac</v>
          </cell>
          <cell r="V5994">
            <v>143300</v>
          </cell>
        </row>
        <row r="5995">
          <cell r="B5995">
            <v>1963</v>
          </cell>
          <cell r="K5995" t="str">
            <v>SHELBY</v>
          </cell>
          <cell r="L5995" t="str">
            <v>Shelby</v>
          </cell>
          <cell r="V5995">
            <v>145400</v>
          </cell>
        </row>
        <row r="5996">
          <cell r="B5996">
            <v>1963</v>
          </cell>
          <cell r="K5996" t="str">
            <v>WOODBURY</v>
          </cell>
          <cell r="L5996" t="str">
            <v>Woodbury</v>
          </cell>
          <cell r="V5996">
            <v>190100</v>
          </cell>
        </row>
        <row r="5997">
          <cell r="B5997">
            <v>1962</v>
          </cell>
          <cell r="K5997" t="str">
            <v>BOONE</v>
          </cell>
          <cell r="L5997" t="str">
            <v>Boone</v>
          </cell>
          <cell r="V5997">
            <v>113100</v>
          </cell>
        </row>
        <row r="5998">
          <cell r="B5998">
            <v>1962</v>
          </cell>
          <cell r="K5998" t="str">
            <v>DALLAS</v>
          </cell>
          <cell r="L5998" t="str">
            <v>Dallas</v>
          </cell>
          <cell r="V5998">
            <v>105800</v>
          </cell>
        </row>
        <row r="5999">
          <cell r="B5999">
            <v>1962</v>
          </cell>
          <cell r="K5999" t="str">
            <v>GRUNDY</v>
          </cell>
          <cell r="L5999" t="str">
            <v>Grundy</v>
          </cell>
          <cell r="V5999">
            <v>122700</v>
          </cell>
        </row>
        <row r="6000">
          <cell r="B6000">
            <v>1962</v>
          </cell>
          <cell r="K6000" t="str">
            <v>HAMILTON</v>
          </cell>
          <cell r="L6000" t="str">
            <v>Hamilton</v>
          </cell>
          <cell r="V6000">
            <v>138700</v>
          </cell>
        </row>
        <row r="6001">
          <cell r="B6001">
            <v>1962</v>
          </cell>
          <cell r="K6001" t="str">
            <v>HARDIN</v>
          </cell>
          <cell r="L6001" t="str">
            <v>Hardin</v>
          </cell>
          <cell r="V6001">
            <v>130300</v>
          </cell>
        </row>
        <row r="6002">
          <cell r="B6002">
            <v>1962</v>
          </cell>
          <cell r="K6002" t="str">
            <v>JASPER</v>
          </cell>
          <cell r="L6002" t="str">
            <v>Jasper</v>
          </cell>
          <cell r="V6002">
            <v>135500</v>
          </cell>
        </row>
        <row r="6003">
          <cell r="B6003">
            <v>1962</v>
          </cell>
          <cell r="K6003" t="str">
            <v>MARSHALL</v>
          </cell>
          <cell r="L6003" t="str">
            <v>Marshall</v>
          </cell>
          <cell r="V6003">
            <v>123300</v>
          </cell>
        </row>
        <row r="6004">
          <cell r="B6004">
            <v>1962</v>
          </cell>
          <cell r="K6004" t="str">
            <v>POLK</v>
          </cell>
          <cell r="L6004" t="str">
            <v>Polk</v>
          </cell>
          <cell r="V6004">
            <v>87000</v>
          </cell>
        </row>
        <row r="6005">
          <cell r="B6005">
            <v>1962</v>
          </cell>
          <cell r="K6005" t="str">
            <v>POWESHIEK</v>
          </cell>
          <cell r="L6005" t="str">
            <v>Poweshiek</v>
          </cell>
          <cell r="V6005">
            <v>102400</v>
          </cell>
        </row>
        <row r="6006">
          <cell r="B6006">
            <v>1962</v>
          </cell>
          <cell r="K6006" t="str">
            <v>STORY</v>
          </cell>
          <cell r="L6006" t="str">
            <v>Story</v>
          </cell>
          <cell r="V6006">
            <v>127000</v>
          </cell>
        </row>
        <row r="6007">
          <cell r="B6007">
            <v>1962</v>
          </cell>
          <cell r="K6007" t="str">
            <v>TAMA</v>
          </cell>
          <cell r="L6007" t="str">
            <v>Tama</v>
          </cell>
          <cell r="V6007">
            <v>135500</v>
          </cell>
        </row>
        <row r="6008">
          <cell r="B6008">
            <v>1962</v>
          </cell>
          <cell r="K6008" t="str">
            <v>WEBSTER</v>
          </cell>
          <cell r="L6008" t="str">
            <v>Webster</v>
          </cell>
          <cell r="V6008">
            <v>138000</v>
          </cell>
        </row>
        <row r="6009">
          <cell r="B6009">
            <v>1962</v>
          </cell>
          <cell r="K6009" t="str">
            <v>BENTON</v>
          </cell>
          <cell r="L6009" t="str">
            <v>Benton</v>
          </cell>
          <cell r="V6009">
            <v>155600</v>
          </cell>
        </row>
        <row r="6010">
          <cell r="B6010">
            <v>1962</v>
          </cell>
          <cell r="K6010" t="str">
            <v>CEDAR</v>
          </cell>
          <cell r="L6010" t="str">
            <v>Cedar</v>
          </cell>
          <cell r="V6010">
            <v>127800</v>
          </cell>
        </row>
        <row r="6011">
          <cell r="B6011">
            <v>1962</v>
          </cell>
          <cell r="K6011" t="str">
            <v>CLINTON</v>
          </cell>
          <cell r="L6011" t="str">
            <v>Clinton</v>
          </cell>
          <cell r="V6011">
            <v>154400</v>
          </cell>
        </row>
        <row r="6012">
          <cell r="B6012">
            <v>1962</v>
          </cell>
          <cell r="K6012" t="str">
            <v>IOWA</v>
          </cell>
          <cell r="L6012" t="str">
            <v>Iowa</v>
          </cell>
          <cell r="V6012">
            <v>99100</v>
          </cell>
        </row>
        <row r="6013">
          <cell r="B6013">
            <v>1962</v>
          </cell>
          <cell r="K6013" t="str">
            <v>JACKSON</v>
          </cell>
          <cell r="L6013" t="str">
            <v>Jackson</v>
          </cell>
          <cell r="V6013">
            <v>77400</v>
          </cell>
        </row>
        <row r="6014">
          <cell r="B6014">
            <v>1962</v>
          </cell>
          <cell r="K6014" t="str">
            <v>JOHNSON</v>
          </cell>
          <cell r="L6014" t="str">
            <v>Johnson</v>
          </cell>
          <cell r="V6014">
            <v>99900</v>
          </cell>
        </row>
        <row r="6015">
          <cell r="B6015">
            <v>1962</v>
          </cell>
          <cell r="K6015" t="str">
            <v>JONES</v>
          </cell>
          <cell r="L6015" t="str">
            <v>Jones</v>
          </cell>
          <cell r="V6015">
            <v>105200</v>
          </cell>
        </row>
        <row r="6016">
          <cell r="B6016">
            <v>1962</v>
          </cell>
          <cell r="K6016" t="str">
            <v>LINN</v>
          </cell>
          <cell r="L6016" t="str">
            <v>Linn</v>
          </cell>
          <cell r="V6016">
            <v>130300</v>
          </cell>
        </row>
        <row r="6017">
          <cell r="B6017">
            <v>1962</v>
          </cell>
          <cell r="K6017" t="str">
            <v>MUSCATINE</v>
          </cell>
          <cell r="L6017" t="str">
            <v>Muscatine</v>
          </cell>
          <cell r="V6017">
            <v>78500</v>
          </cell>
        </row>
        <row r="6018">
          <cell r="B6018">
            <v>1962</v>
          </cell>
          <cell r="K6018" t="str">
            <v>SCOTT</v>
          </cell>
          <cell r="L6018" t="str">
            <v>Scott</v>
          </cell>
          <cell r="V6018">
            <v>99200</v>
          </cell>
        </row>
        <row r="6019">
          <cell r="B6019">
            <v>1962</v>
          </cell>
          <cell r="K6019" t="str">
            <v>BUTLER</v>
          </cell>
          <cell r="L6019" t="str">
            <v>Butler</v>
          </cell>
          <cell r="V6019">
            <v>131100</v>
          </cell>
        </row>
        <row r="6020">
          <cell r="B6020">
            <v>1962</v>
          </cell>
          <cell r="K6020" t="str">
            <v>CERRO GORDO</v>
          </cell>
          <cell r="L6020" t="str">
            <v>Cerro Gordo</v>
          </cell>
          <cell r="V6020">
            <v>124800</v>
          </cell>
        </row>
        <row r="6021">
          <cell r="B6021">
            <v>1962</v>
          </cell>
          <cell r="K6021" t="str">
            <v>FLOYD</v>
          </cell>
          <cell r="L6021" t="str">
            <v>Floyd</v>
          </cell>
          <cell r="V6021">
            <v>108200</v>
          </cell>
        </row>
        <row r="6022">
          <cell r="B6022">
            <v>1962</v>
          </cell>
          <cell r="K6022" t="str">
            <v>FRANKLIN</v>
          </cell>
          <cell r="L6022" t="str">
            <v>Franklin</v>
          </cell>
          <cell r="V6022">
            <v>152300</v>
          </cell>
        </row>
        <row r="6023">
          <cell r="B6023">
            <v>1962</v>
          </cell>
          <cell r="K6023" t="str">
            <v>HANCOCK</v>
          </cell>
          <cell r="L6023" t="str">
            <v>Hancock</v>
          </cell>
          <cell r="V6023">
            <v>132000</v>
          </cell>
        </row>
        <row r="6024">
          <cell r="B6024">
            <v>1962</v>
          </cell>
          <cell r="K6024" t="str">
            <v>HUMBOLDT</v>
          </cell>
          <cell r="L6024" t="str">
            <v>Humboldt</v>
          </cell>
          <cell r="V6024">
            <v>99700</v>
          </cell>
        </row>
        <row r="6025">
          <cell r="B6025">
            <v>1962</v>
          </cell>
          <cell r="K6025" t="str">
            <v>KOSSUTH</v>
          </cell>
          <cell r="L6025" t="str">
            <v>Kossuth</v>
          </cell>
          <cell r="V6025">
            <v>221700</v>
          </cell>
        </row>
        <row r="6026">
          <cell r="B6026">
            <v>1962</v>
          </cell>
          <cell r="K6026" t="str">
            <v>MITCHELL</v>
          </cell>
          <cell r="L6026" t="str">
            <v>Mitchell</v>
          </cell>
          <cell r="V6026">
            <v>110300</v>
          </cell>
        </row>
        <row r="6027">
          <cell r="B6027">
            <v>1962</v>
          </cell>
          <cell r="K6027" t="str">
            <v>WINNEBAGO</v>
          </cell>
          <cell r="L6027" t="str">
            <v>Winnebago</v>
          </cell>
          <cell r="V6027">
            <v>88900</v>
          </cell>
        </row>
        <row r="6028">
          <cell r="B6028">
            <v>1962</v>
          </cell>
          <cell r="K6028" t="str">
            <v>WORTH</v>
          </cell>
          <cell r="L6028" t="str">
            <v>Worth</v>
          </cell>
          <cell r="V6028">
            <v>83900</v>
          </cell>
        </row>
        <row r="6029">
          <cell r="B6029">
            <v>1962</v>
          </cell>
          <cell r="K6029" t="str">
            <v>WRIGHT</v>
          </cell>
          <cell r="L6029" t="str">
            <v>Wright</v>
          </cell>
          <cell r="V6029">
            <v>137100</v>
          </cell>
        </row>
        <row r="6030">
          <cell r="B6030">
            <v>1962</v>
          </cell>
          <cell r="K6030" t="str">
            <v>ALLAMAKEE</v>
          </cell>
          <cell r="L6030" t="str">
            <v>Allamakee</v>
          </cell>
          <cell r="V6030">
            <v>56100</v>
          </cell>
        </row>
        <row r="6031">
          <cell r="B6031">
            <v>1962</v>
          </cell>
          <cell r="K6031" t="str">
            <v>BLACK HAWK</v>
          </cell>
          <cell r="L6031" t="str">
            <v>Black Hawk</v>
          </cell>
          <cell r="V6031">
            <v>112800</v>
          </cell>
        </row>
        <row r="6032">
          <cell r="B6032">
            <v>1962</v>
          </cell>
          <cell r="K6032" t="str">
            <v>BREMER</v>
          </cell>
          <cell r="L6032" t="str">
            <v>Bremer</v>
          </cell>
          <cell r="V6032">
            <v>84100</v>
          </cell>
        </row>
        <row r="6033">
          <cell r="B6033">
            <v>1962</v>
          </cell>
          <cell r="K6033" t="str">
            <v>BUCHANAN</v>
          </cell>
          <cell r="L6033" t="str">
            <v>Buchanan</v>
          </cell>
          <cell r="V6033">
            <v>107400</v>
          </cell>
        </row>
        <row r="6034">
          <cell r="B6034">
            <v>1962</v>
          </cell>
          <cell r="K6034" t="str">
            <v>CHICKASAW</v>
          </cell>
          <cell r="L6034" t="str">
            <v>Chickasaw</v>
          </cell>
          <cell r="V6034">
            <v>89400</v>
          </cell>
        </row>
        <row r="6035">
          <cell r="B6035">
            <v>1962</v>
          </cell>
          <cell r="K6035" t="str">
            <v>CLAYTON</v>
          </cell>
          <cell r="L6035" t="str">
            <v>Clayton</v>
          </cell>
          <cell r="V6035">
            <v>94100</v>
          </cell>
        </row>
        <row r="6036">
          <cell r="B6036">
            <v>1962</v>
          </cell>
          <cell r="K6036" t="str">
            <v>DELAWARE</v>
          </cell>
          <cell r="L6036" t="str">
            <v>Delaware</v>
          </cell>
          <cell r="V6036">
            <v>108800</v>
          </cell>
        </row>
        <row r="6037">
          <cell r="B6037">
            <v>1962</v>
          </cell>
          <cell r="K6037" t="str">
            <v>DUBUQUE</v>
          </cell>
          <cell r="L6037" t="str">
            <v>Dubuque</v>
          </cell>
          <cell r="V6037">
            <v>84900</v>
          </cell>
        </row>
        <row r="6038">
          <cell r="B6038">
            <v>1962</v>
          </cell>
          <cell r="K6038" t="str">
            <v>FAYETTE</v>
          </cell>
          <cell r="L6038" t="str">
            <v>Fayette</v>
          </cell>
          <cell r="V6038">
            <v>119200</v>
          </cell>
        </row>
        <row r="6039">
          <cell r="B6039">
            <v>1962</v>
          </cell>
          <cell r="K6039" t="str">
            <v>HOWARD</v>
          </cell>
          <cell r="L6039" t="str">
            <v>Howard</v>
          </cell>
          <cell r="V6039">
            <v>77400</v>
          </cell>
        </row>
        <row r="6040">
          <cell r="B6040">
            <v>1962</v>
          </cell>
          <cell r="K6040" t="str">
            <v>WINNESHIEK</v>
          </cell>
          <cell r="L6040" t="str">
            <v>Winneshiek</v>
          </cell>
          <cell r="V6040">
            <v>97100</v>
          </cell>
        </row>
        <row r="6041">
          <cell r="B6041">
            <v>1962</v>
          </cell>
          <cell r="K6041" t="str">
            <v>BUENA VISTA</v>
          </cell>
          <cell r="L6041" t="str">
            <v>Buena Vista</v>
          </cell>
          <cell r="V6041">
            <v>128300</v>
          </cell>
        </row>
        <row r="6042">
          <cell r="B6042">
            <v>1962</v>
          </cell>
          <cell r="K6042" t="str">
            <v>CHEROKEE</v>
          </cell>
          <cell r="L6042" t="str">
            <v>Cherokee</v>
          </cell>
          <cell r="V6042">
            <v>129700</v>
          </cell>
        </row>
        <row r="6043">
          <cell r="B6043">
            <v>1962</v>
          </cell>
          <cell r="K6043" t="str">
            <v>CLAY</v>
          </cell>
          <cell r="L6043" t="str">
            <v>Clay</v>
          </cell>
          <cell r="V6043">
            <v>120500</v>
          </cell>
        </row>
        <row r="6044">
          <cell r="B6044">
            <v>1962</v>
          </cell>
          <cell r="K6044" t="str">
            <v>DICKINSON</v>
          </cell>
          <cell r="L6044" t="str">
            <v>Dickinson</v>
          </cell>
          <cell r="V6044">
            <v>78900</v>
          </cell>
        </row>
        <row r="6045">
          <cell r="B6045">
            <v>1962</v>
          </cell>
          <cell r="K6045" t="str">
            <v>EMMET</v>
          </cell>
          <cell r="L6045" t="str">
            <v>Emmet</v>
          </cell>
          <cell r="V6045">
            <v>88900</v>
          </cell>
        </row>
        <row r="6046">
          <cell r="B6046">
            <v>1962</v>
          </cell>
          <cell r="K6046" t="str">
            <v>LYON</v>
          </cell>
          <cell r="L6046" t="str">
            <v>Lyon</v>
          </cell>
          <cell r="V6046">
            <v>140900</v>
          </cell>
        </row>
        <row r="6047">
          <cell r="B6047">
            <v>1962</v>
          </cell>
          <cell r="K6047" t="str">
            <v>O BRIEN</v>
          </cell>
          <cell r="L6047" t="str">
            <v>O Brien</v>
          </cell>
          <cell r="V6047">
            <v>136000</v>
          </cell>
        </row>
        <row r="6048">
          <cell r="B6048">
            <v>1962</v>
          </cell>
          <cell r="K6048" t="str">
            <v>OSCEOLA</v>
          </cell>
          <cell r="L6048" t="str">
            <v>Osceola</v>
          </cell>
          <cell r="V6048">
            <v>93000</v>
          </cell>
        </row>
        <row r="6049">
          <cell r="B6049">
            <v>1962</v>
          </cell>
          <cell r="K6049" t="str">
            <v>PALO ALTO</v>
          </cell>
          <cell r="L6049" t="str">
            <v>Palo Alto</v>
          </cell>
          <cell r="V6049">
            <v>124900</v>
          </cell>
        </row>
        <row r="6050">
          <cell r="B6050">
            <v>1962</v>
          </cell>
          <cell r="K6050" t="str">
            <v>PLYMOUTH</v>
          </cell>
          <cell r="L6050" t="str">
            <v>Plymouth</v>
          </cell>
          <cell r="V6050">
            <v>207400</v>
          </cell>
        </row>
        <row r="6051">
          <cell r="B6051">
            <v>1962</v>
          </cell>
          <cell r="K6051" t="str">
            <v>POCAHONTAS</v>
          </cell>
          <cell r="L6051" t="str">
            <v>Pocahontas</v>
          </cell>
          <cell r="V6051">
            <v>130500</v>
          </cell>
        </row>
        <row r="6052">
          <cell r="B6052">
            <v>1962</v>
          </cell>
          <cell r="K6052" t="str">
            <v>SIOUX</v>
          </cell>
          <cell r="L6052" t="str">
            <v>Sioux</v>
          </cell>
          <cell r="V6052">
            <v>215900</v>
          </cell>
        </row>
        <row r="6053">
          <cell r="B6053">
            <v>1962</v>
          </cell>
          <cell r="K6053" t="str">
            <v>APPANOOSE</v>
          </cell>
          <cell r="L6053" t="str">
            <v>Appanoose</v>
          </cell>
          <cell r="V6053">
            <v>35400</v>
          </cell>
        </row>
        <row r="6054">
          <cell r="B6054">
            <v>1962</v>
          </cell>
          <cell r="K6054" t="str">
            <v>CLARKE</v>
          </cell>
          <cell r="L6054" t="str">
            <v>Clarke</v>
          </cell>
          <cell r="V6054">
            <v>34300</v>
          </cell>
        </row>
        <row r="6055">
          <cell r="B6055">
            <v>1962</v>
          </cell>
          <cell r="K6055" t="str">
            <v>DECATUR</v>
          </cell>
          <cell r="L6055" t="str">
            <v>Decatur</v>
          </cell>
          <cell r="V6055">
            <v>35000</v>
          </cell>
        </row>
        <row r="6056">
          <cell r="B6056">
            <v>1962</v>
          </cell>
          <cell r="K6056" t="str">
            <v>LUCAS</v>
          </cell>
          <cell r="L6056" t="str">
            <v>Lucas</v>
          </cell>
          <cell r="V6056">
            <v>32100</v>
          </cell>
        </row>
        <row r="6057">
          <cell r="B6057">
            <v>1962</v>
          </cell>
          <cell r="K6057" t="str">
            <v>MADISON</v>
          </cell>
          <cell r="L6057" t="str">
            <v>Madison</v>
          </cell>
          <cell r="V6057">
            <v>65100</v>
          </cell>
        </row>
        <row r="6058">
          <cell r="B6058">
            <v>1962</v>
          </cell>
          <cell r="K6058" t="str">
            <v>MARION</v>
          </cell>
          <cell r="L6058" t="str">
            <v>Marion</v>
          </cell>
          <cell r="V6058">
            <v>75700</v>
          </cell>
        </row>
        <row r="6059">
          <cell r="B6059">
            <v>1962</v>
          </cell>
          <cell r="K6059" t="str">
            <v>MONROE</v>
          </cell>
          <cell r="L6059" t="str">
            <v>Monroe</v>
          </cell>
          <cell r="V6059">
            <v>29700</v>
          </cell>
        </row>
        <row r="6060">
          <cell r="B6060">
            <v>1962</v>
          </cell>
          <cell r="K6060" t="str">
            <v>RINGGOLD</v>
          </cell>
          <cell r="L6060" t="str">
            <v>Ringgold</v>
          </cell>
          <cell r="V6060">
            <v>42100</v>
          </cell>
        </row>
        <row r="6061">
          <cell r="B6061">
            <v>1962</v>
          </cell>
          <cell r="K6061" t="str">
            <v>UNION</v>
          </cell>
          <cell r="L6061" t="str">
            <v>Union</v>
          </cell>
          <cell r="V6061">
            <v>44300</v>
          </cell>
        </row>
        <row r="6062">
          <cell r="B6062">
            <v>1962</v>
          </cell>
          <cell r="K6062" t="str">
            <v>WARREN</v>
          </cell>
          <cell r="L6062" t="str">
            <v>Warren</v>
          </cell>
          <cell r="V6062">
            <v>67200</v>
          </cell>
        </row>
        <row r="6063">
          <cell r="B6063">
            <v>1962</v>
          </cell>
          <cell r="K6063" t="str">
            <v>WAYNE</v>
          </cell>
          <cell r="L6063" t="str">
            <v>Wayne</v>
          </cell>
          <cell r="V6063">
            <v>47400</v>
          </cell>
        </row>
        <row r="6064">
          <cell r="B6064">
            <v>1962</v>
          </cell>
          <cell r="K6064" t="str">
            <v>DAVIS</v>
          </cell>
          <cell r="L6064" t="str">
            <v>Davis</v>
          </cell>
          <cell r="V6064">
            <v>38300</v>
          </cell>
        </row>
        <row r="6065">
          <cell r="B6065">
            <v>1962</v>
          </cell>
          <cell r="K6065" t="str">
            <v>DES MOINES</v>
          </cell>
          <cell r="L6065" t="str">
            <v>Des Moines</v>
          </cell>
          <cell r="V6065">
            <v>65100</v>
          </cell>
        </row>
        <row r="6066">
          <cell r="B6066">
            <v>1962</v>
          </cell>
          <cell r="K6066" t="str">
            <v>HENRY</v>
          </cell>
          <cell r="L6066" t="str">
            <v>Henry</v>
          </cell>
          <cell r="V6066">
            <v>72700</v>
          </cell>
        </row>
        <row r="6067">
          <cell r="B6067">
            <v>1962</v>
          </cell>
          <cell r="K6067" t="str">
            <v>JEFFERSON</v>
          </cell>
          <cell r="L6067" t="str">
            <v>Jefferson</v>
          </cell>
          <cell r="V6067">
            <v>53900</v>
          </cell>
        </row>
        <row r="6068">
          <cell r="B6068">
            <v>1962</v>
          </cell>
          <cell r="K6068" t="str">
            <v>KEOKUK</v>
          </cell>
          <cell r="L6068" t="str">
            <v>Keokuk</v>
          </cell>
          <cell r="V6068">
            <v>89100</v>
          </cell>
        </row>
        <row r="6069">
          <cell r="B6069">
            <v>1962</v>
          </cell>
          <cell r="K6069" t="str">
            <v>LEE</v>
          </cell>
          <cell r="L6069" t="str">
            <v>Lee</v>
          </cell>
          <cell r="V6069">
            <v>65300</v>
          </cell>
        </row>
        <row r="6070">
          <cell r="B6070">
            <v>1962</v>
          </cell>
          <cell r="K6070" t="str">
            <v>LOUISA</v>
          </cell>
          <cell r="L6070" t="str">
            <v>Louisa</v>
          </cell>
          <cell r="V6070">
            <v>73400</v>
          </cell>
        </row>
        <row r="6071">
          <cell r="B6071">
            <v>1962</v>
          </cell>
          <cell r="K6071" t="str">
            <v>MAHASKA</v>
          </cell>
          <cell r="L6071" t="str">
            <v>Mahaska</v>
          </cell>
          <cell r="V6071">
            <v>103200</v>
          </cell>
        </row>
        <row r="6072">
          <cell r="B6072">
            <v>1962</v>
          </cell>
          <cell r="K6072" t="str">
            <v>VAN BUREN</v>
          </cell>
          <cell r="L6072" t="str">
            <v>Van Buren</v>
          </cell>
          <cell r="V6072">
            <v>37900</v>
          </cell>
        </row>
        <row r="6073">
          <cell r="B6073">
            <v>1962</v>
          </cell>
          <cell r="K6073" t="str">
            <v>WAPELLO</v>
          </cell>
          <cell r="L6073" t="str">
            <v>Wapello</v>
          </cell>
          <cell r="V6073">
            <v>46400</v>
          </cell>
        </row>
        <row r="6074">
          <cell r="B6074">
            <v>1962</v>
          </cell>
          <cell r="K6074" t="str">
            <v>WASHINGTON</v>
          </cell>
          <cell r="L6074" t="str">
            <v>Washington</v>
          </cell>
          <cell r="V6074">
            <v>107000</v>
          </cell>
        </row>
        <row r="6075">
          <cell r="B6075">
            <v>1962</v>
          </cell>
          <cell r="K6075" t="str">
            <v>ADAIR</v>
          </cell>
          <cell r="L6075" t="str">
            <v>Adair</v>
          </cell>
          <cell r="V6075">
            <v>77900</v>
          </cell>
        </row>
        <row r="6076">
          <cell r="B6076">
            <v>1962</v>
          </cell>
          <cell r="K6076" t="str">
            <v>ADAMS</v>
          </cell>
          <cell r="L6076" t="str">
            <v>Adams</v>
          </cell>
          <cell r="V6076">
            <v>52400</v>
          </cell>
        </row>
        <row r="6077">
          <cell r="B6077">
            <v>1962</v>
          </cell>
          <cell r="K6077" t="str">
            <v>CASS</v>
          </cell>
          <cell r="L6077" t="str">
            <v>Cass</v>
          </cell>
          <cell r="V6077">
            <v>100000</v>
          </cell>
        </row>
        <row r="6078">
          <cell r="B6078">
            <v>1962</v>
          </cell>
          <cell r="K6078" t="str">
            <v>FREMONT</v>
          </cell>
          <cell r="L6078" t="str">
            <v>Fremont</v>
          </cell>
          <cell r="V6078">
            <v>101000</v>
          </cell>
        </row>
        <row r="6079">
          <cell r="B6079">
            <v>1962</v>
          </cell>
          <cell r="K6079" t="str">
            <v>MILLS</v>
          </cell>
          <cell r="L6079" t="str">
            <v>Mills</v>
          </cell>
          <cell r="V6079">
            <v>94300</v>
          </cell>
        </row>
        <row r="6080">
          <cell r="B6080">
            <v>1962</v>
          </cell>
          <cell r="K6080" t="str">
            <v>MONTGOMERY</v>
          </cell>
          <cell r="L6080" t="str">
            <v>Montgomery</v>
          </cell>
          <cell r="V6080">
            <v>79600</v>
          </cell>
        </row>
        <row r="6081">
          <cell r="B6081">
            <v>1962</v>
          </cell>
          <cell r="K6081" t="str">
            <v>PAGE</v>
          </cell>
          <cell r="L6081" t="str">
            <v>Page</v>
          </cell>
          <cell r="V6081">
            <v>88600</v>
          </cell>
        </row>
        <row r="6082">
          <cell r="B6082">
            <v>1962</v>
          </cell>
          <cell r="K6082" t="str">
            <v>POTTAWATTAMIE</v>
          </cell>
          <cell r="L6082" t="str">
            <v>Pottawattamie</v>
          </cell>
          <cell r="V6082">
            <v>200900</v>
          </cell>
        </row>
        <row r="6083">
          <cell r="B6083">
            <v>1962</v>
          </cell>
          <cell r="K6083" t="str">
            <v>TAYLOR</v>
          </cell>
          <cell r="L6083" t="str">
            <v>Taylor</v>
          </cell>
          <cell r="V6083">
            <v>51600</v>
          </cell>
        </row>
        <row r="6084">
          <cell r="B6084">
            <v>1962</v>
          </cell>
          <cell r="K6084" t="str">
            <v>AUDUBON</v>
          </cell>
          <cell r="L6084" t="str">
            <v>Audubon</v>
          </cell>
          <cell r="V6084">
            <v>83500</v>
          </cell>
        </row>
        <row r="6085">
          <cell r="B6085">
            <v>1962</v>
          </cell>
          <cell r="K6085" t="str">
            <v>CALHOUN</v>
          </cell>
          <cell r="L6085" t="str">
            <v>Calhoun</v>
          </cell>
          <cell r="V6085">
            <v>115400</v>
          </cell>
        </row>
        <row r="6086">
          <cell r="B6086">
            <v>1962</v>
          </cell>
          <cell r="K6086" t="str">
            <v>CARROLL</v>
          </cell>
          <cell r="L6086" t="str">
            <v>Carroll</v>
          </cell>
          <cell r="V6086">
            <v>125700</v>
          </cell>
        </row>
        <row r="6087">
          <cell r="B6087">
            <v>1962</v>
          </cell>
          <cell r="K6087" t="str">
            <v>CRAWFORD</v>
          </cell>
          <cell r="L6087" t="str">
            <v>Crawford</v>
          </cell>
          <cell r="V6087">
            <v>129200</v>
          </cell>
        </row>
        <row r="6088">
          <cell r="B6088">
            <v>1962</v>
          </cell>
          <cell r="K6088" t="str">
            <v>GREENE</v>
          </cell>
          <cell r="L6088" t="str">
            <v>Greene</v>
          </cell>
          <cell r="V6088">
            <v>125100</v>
          </cell>
        </row>
        <row r="6089">
          <cell r="B6089">
            <v>1962</v>
          </cell>
          <cell r="K6089" t="str">
            <v>GUTHRIE</v>
          </cell>
          <cell r="L6089" t="str">
            <v>Guthrie</v>
          </cell>
          <cell r="V6089">
            <v>83300</v>
          </cell>
        </row>
        <row r="6090">
          <cell r="B6090">
            <v>1962</v>
          </cell>
          <cell r="K6090" t="str">
            <v>HARRISON</v>
          </cell>
          <cell r="L6090" t="str">
            <v>Harrison</v>
          </cell>
          <cell r="V6090">
            <v>128400</v>
          </cell>
        </row>
        <row r="6091">
          <cell r="B6091">
            <v>1962</v>
          </cell>
          <cell r="K6091" t="str">
            <v>IDA</v>
          </cell>
          <cell r="L6091" t="str">
            <v>Ida</v>
          </cell>
          <cell r="V6091">
            <v>90700</v>
          </cell>
        </row>
        <row r="6092">
          <cell r="B6092">
            <v>1962</v>
          </cell>
          <cell r="K6092" t="str">
            <v>MONONA</v>
          </cell>
          <cell r="L6092" t="str">
            <v>Monona</v>
          </cell>
          <cell r="V6092">
            <v>127300</v>
          </cell>
        </row>
        <row r="6093">
          <cell r="B6093">
            <v>1962</v>
          </cell>
          <cell r="K6093" t="str">
            <v>SAC</v>
          </cell>
          <cell r="L6093" t="str">
            <v>Sac</v>
          </cell>
          <cell r="V6093">
            <v>127600</v>
          </cell>
        </row>
        <row r="6094">
          <cell r="B6094">
            <v>1962</v>
          </cell>
          <cell r="K6094" t="str">
            <v>SHELBY</v>
          </cell>
          <cell r="L6094" t="str">
            <v>Shelby</v>
          </cell>
          <cell r="V6094">
            <v>130000</v>
          </cell>
        </row>
        <row r="6095">
          <cell r="B6095">
            <v>1962</v>
          </cell>
          <cell r="K6095" t="str">
            <v>WOODBURY</v>
          </cell>
          <cell r="L6095" t="str">
            <v>Woodbury</v>
          </cell>
          <cell r="V6095">
            <v>175000</v>
          </cell>
        </row>
        <row r="6096">
          <cell r="B6096">
            <v>1961</v>
          </cell>
          <cell r="K6096" t="str">
            <v>BOONE</v>
          </cell>
          <cell r="L6096" t="str">
            <v>Boone</v>
          </cell>
          <cell r="V6096">
            <v>114100</v>
          </cell>
        </row>
        <row r="6097">
          <cell r="B6097">
            <v>1961</v>
          </cell>
          <cell r="K6097" t="str">
            <v>DALLAS</v>
          </cell>
          <cell r="L6097" t="str">
            <v>Dallas</v>
          </cell>
          <cell r="V6097">
            <v>106000</v>
          </cell>
        </row>
        <row r="6098">
          <cell r="B6098">
            <v>1961</v>
          </cell>
          <cell r="K6098" t="str">
            <v>GRUNDY</v>
          </cell>
          <cell r="L6098" t="str">
            <v>Grundy</v>
          </cell>
          <cell r="V6098">
            <v>123600</v>
          </cell>
        </row>
        <row r="6099">
          <cell r="B6099">
            <v>1961</v>
          </cell>
          <cell r="K6099" t="str">
            <v>HAMILTON</v>
          </cell>
          <cell r="L6099" t="str">
            <v>Hamilton</v>
          </cell>
          <cell r="V6099">
            <v>142500</v>
          </cell>
        </row>
        <row r="6100">
          <cell r="B6100">
            <v>1961</v>
          </cell>
          <cell r="K6100" t="str">
            <v>HARDIN</v>
          </cell>
          <cell r="L6100" t="str">
            <v>Hardin</v>
          </cell>
          <cell r="V6100">
            <v>132700</v>
          </cell>
        </row>
        <row r="6101">
          <cell r="B6101">
            <v>1961</v>
          </cell>
          <cell r="K6101" t="str">
            <v>JASPER</v>
          </cell>
          <cell r="L6101" t="str">
            <v>Jasper</v>
          </cell>
          <cell r="V6101">
            <v>140600</v>
          </cell>
        </row>
        <row r="6102">
          <cell r="B6102">
            <v>1961</v>
          </cell>
          <cell r="K6102" t="str">
            <v>MARSHALL</v>
          </cell>
          <cell r="L6102" t="str">
            <v>Marshall</v>
          </cell>
          <cell r="V6102">
            <v>126600</v>
          </cell>
        </row>
        <row r="6103">
          <cell r="B6103">
            <v>1961</v>
          </cell>
          <cell r="K6103" t="str">
            <v>POLK</v>
          </cell>
          <cell r="L6103" t="str">
            <v>Polk</v>
          </cell>
          <cell r="V6103">
            <v>88600</v>
          </cell>
        </row>
        <row r="6104">
          <cell r="B6104">
            <v>1961</v>
          </cell>
          <cell r="K6104" t="str">
            <v>POWESHIEK</v>
          </cell>
          <cell r="L6104" t="str">
            <v>Poweshiek</v>
          </cell>
          <cell r="V6104">
            <v>106000</v>
          </cell>
        </row>
        <row r="6105">
          <cell r="B6105">
            <v>1961</v>
          </cell>
          <cell r="K6105" t="str">
            <v>STORY</v>
          </cell>
          <cell r="L6105" t="str">
            <v>Story</v>
          </cell>
          <cell r="V6105">
            <v>129900</v>
          </cell>
        </row>
        <row r="6106">
          <cell r="B6106">
            <v>1961</v>
          </cell>
          <cell r="K6106" t="str">
            <v>TAMA</v>
          </cell>
          <cell r="L6106" t="str">
            <v>Tama</v>
          </cell>
          <cell r="V6106">
            <v>138200</v>
          </cell>
        </row>
        <row r="6107">
          <cell r="B6107">
            <v>1961</v>
          </cell>
          <cell r="K6107" t="str">
            <v>WEBSTER</v>
          </cell>
          <cell r="L6107" t="str">
            <v>Webster</v>
          </cell>
          <cell r="V6107">
            <v>143100</v>
          </cell>
        </row>
        <row r="6108">
          <cell r="B6108">
            <v>1961</v>
          </cell>
          <cell r="K6108" t="str">
            <v>BENTON</v>
          </cell>
          <cell r="L6108" t="str">
            <v>Benton</v>
          </cell>
          <cell r="V6108">
            <v>160200</v>
          </cell>
        </row>
        <row r="6109">
          <cell r="B6109">
            <v>1961</v>
          </cell>
          <cell r="K6109" t="str">
            <v>CEDAR</v>
          </cell>
          <cell r="L6109" t="str">
            <v>Cedar</v>
          </cell>
          <cell r="V6109">
            <v>136000</v>
          </cell>
        </row>
        <row r="6110">
          <cell r="B6110">
            <v>1961</v>
          </cell>
          <cell r="K6110" t="str">
            <v>CLINTON</v>
          </cell>
          <cell r="L6110" t="str">
            <v>Clinton</v>
          </cell>
          <cell r="V6110">
            <v>162100</v>
          </cell>
        </row>
        <row r="6111">
          <cell r="B6111">
            <v>1961</v>
          </cell>
          <cell r="K6111" t="str">
            <v>IOWA</v>
          </cell>
          <cell r="L6111" t="str">
            <v>Iowa</v>
          </cell>
          <cell r="V6111">
            <v>105200</v>
          </cell>
        </row>
        <row r="6112">
          <cell r="B6112">
            <v>1961</v>
          </cell>
          <cell r="K6112" t="str">
            <v>JACKSON</v>
          </cell>
          <cell r="L6112" t="str">
            <v>Jackson</v>
          </cell>
          <cell r="V6112">
            <v>80100</v>
          </cell>
        </row>
        <row r="6113">
          <cell r="B6113">
            <v>1961</v>
          </cell>
          <cell r="K6113" t="str">
            <v>JOHNSON</v>
          </cell>
          <cell r="L6113" t="str">
            <v>Johnson</v>
          </cell>
          <cell r="V6113">
            <v>106200</v>
          </cell>
        </row>
        <row r="6114">
          <cell r="B6114">
            <v>1961</v>
          </cell>
          <cell r="K6114" t="str">
            <v>JONES</v>
          </cell>
          <cell r="L6114" t="str">
            <v>Jones</v>
          </cell>
          <cell r="V6114">
            <v>108900</v>
          </cell>
        </row>
        <row r="6115">
          <cell r="B6115">
            <v>1961</v>
          </cell>
          <cell r="K6115" t="str">
            <v>LINN</v>
          </cell>
          <cell r="L6115" t="str">
            <v>Linn</v>
          </cell>
          <cell r="V6115">
            <v>136500</v>
          </cell>
        </row>
        <row r="6116">
          <cell r="B6116">
            <v>1961</v>
          </cell>
          <cell r="K6116" t="str">
            <v>MUSCATINE</v>
          </cell>
          <cell r="L6116" t="str">
            <v>Muscatine</v>
          </cell>
          <cell r="V6116">
            <v>82900</v>
          </cell>
        </row>
        <row r="6117">
          <cell r="B6117">
            <v>1961</v>
          </cell>
          <cell r="K6117" t="str">
            <v>SCOTT</v>
          </cell>
          <cell r="L6117" t="str">
            <v>Scott</v>
          </cell>
          <cell r="V6117">
            <v>106200</v>
          </cell>
        </row>
        <row r="6118">
          <cell r="B6118">
            <v>1961</v>
          </cell>
          <cell r="K6118" t="str">
            <v>BUTLER</v>
          </cell>
          <cell r="L6118" t="str">
            <v>Butler</v>
          </cell>
          <cell r="V6118">
            <v>129400</v>
          </cell>
        </row>
        <row r="6119">
          <cell r="B6119">
            <v>1961</v>
          </cell>
          <cell r="K6119" t="str">
            <v>CERRO GORDO</v>
          </cell>
          <cell r="L6119" t="str">
            <v>Cerro Gordo</v>
          </cell>
          <cell r="V6119">
            <v>124300</v>
          </cell>
        </row>
        <row r="6120">
          <cell r="B6120">
            <v>1961</v>
          </cell>
          <cell r="K6120" t="str">
            <v>FLOYD</v>
          </cell>
          <cell r="L6120" t="str">
            <v>Floyd</v>
          </cell>
          <cell r="V6120">
            <v>106800</v>
          </cell>
        </row>
        <row r="6121">
          <cell r="B6121">
            <v>1961</v>
          </cell>
          <cell r="K6121" t="str">
            <v>FRANKLIN</v>
          </cell>
          <cell r="L6121" t="str">
            <v>Franklin</v>
          </cell>
          <cell r="V6121">
            <v>149800</v>
          </cell>
        </row>
        <row r="6122">
          <cell r="B6122">
            <v>1961</v>
          </cell>
          <cell r="K6122" t="str">
            <v>HANCOCK</v>
          </cell>
          <cell r="L6122" t="str">
            <v>Hancock</v>
          </cell>
          <cell r="V6122">
            <v>132100</v>
          </cell>
        </row>
        <row r="6123">
          <cell r="B6123">
            <v>1961</v>
          </cell>
          <cell r="K6123" t="str">
            <v>HUMBOLDT</v>
          </cell>
          <cell r="L6123" t="str">
            <v>Humboldt</v>
          </cell>
          <cell r="V6123">
            <v>101900</v>
          </cell>
        </row>
        <row r="6124">
          <cell r="B6124">
            <v>1961</v>
          </cell>
          <cell r="K6124" t="str">
            <v>KOSSUTH</v>
          </cell>
          <cell r="L6124" t="str">
            <v>Kossuth</v>
          </cell>
          <cell r="V6124">
            <v>219200</v>
          </cell>
        </row>
        <row r="6125">
          <cell r="B6125">
            <v>1961</v>
          </cell>
          <cell r="K6125" t="str">
            <v>MITCHELL</v>
          </cell>
          <cell r="L6125" t="str">
            <v>Mitchell</v>
          </cell>
          <cell r="V6125">
            <v>110600</v>
          </cell>
        </row>
        <row r="6126">
          <cell r="B6126">
            <v>1961</v>
          </cell>
          <cell r="K6126" t="str">
            <v>WINNEBAGO</v>
          </cell>
          <cell r="L6126" t="str">
            <v>Winnebago</v>
          </cell>
          <cell r="V6126">
            <v>91000</v>
          </cell>
        </row>
        <row r="6127">
          <cell r="B6127">
            <v>1961</v>
          </cell>
          <cell r="K6127" t="str">
            <v>WORTH</v>
          </cell>
          <cell r="L6127" t="str">
            <v>Worth</v>
          </cell>
          <cell r="V6127">
            <v>83600</v>
          </cell>
        </row>
        <row r="6128">
          <cell r="B6128">
            <v>1961</v>
          </cell>
          <cell r="K6128" t="str">
            <v>WRIGHT</v>
          </cell>
          <cell r="L6128" t="str">
            <v>Wright</v>
          </cell>
          <cell r="V6128">
            <v>136200</v>
          </cell>
        </row>
        <row r="6129">
          <cell r="B6129">
            <v>1961</v>
          </cell>
          <cell r="K6129" t="str">
            <v>ALLAMAKEE</v>
          </cell>
          <cell r="L6129" t="str">
            <v>Allamakee</v>
          </cell>
          <cell r="V6129">
            <v>55600</v>
          </cell>
        </row>
        <row r="6130">
          <cell r="B6130">
            <v>1961</v>
          </cell>
          <cell r="K6130" t="str">
            <v>BLACK HAWK</v>
          </cell>
          <cell r="L6130" t="str">
            <v>Black Hawk</v>
          </cell>
          <cell r="V6130">
            <v>117000</v>
          </cell>
        </row>
        <row r="6131">
          <cell r="B6131">
            <v>1961</v>
          </cell>
          <cell r="K6131" t="str">
            <v>BREMER</v>
          </cell>
          <cell r="L6131" t="str">
            <v>Bremer</v>
          </cell>
          <cell r="V6131">
            <v>87100</v>
          </cell>
        </row>
        <row r="6132">
          <cell r="B6132">
            <v>1961</v>
          </cell>
          <cell r="K6132" t="str">
            <v>BUCHANAN</v>
          </cell>
          <cell r="L6132" t="str">
            <v>Buchanan</v>
          </cell>
          <cell r="V6132">
            <v>113000</v>
          </cell>
        </row>
        <row r="6133">
          <cell r="B6133">
            <v>1961</v>
          </cell>
          <cell r="K6133" t="str">
            <v>CHICKASAW</v>
          </cell>
          <cell r="L6133" t="str">
            <v>Chickasaw</v>
          </cell>
          <cell r="V6133">
            <v>92400</v>
          </cell>
        </row>
        <row r="6134">
          <cell r="B6134">
            <v>1961</v>
          </cell>
          <cell r="K6134" t="str">
            <v>CLAYTON</v>
          </cell>
          <cell r="L6134" t="str">
            <v>Clayton</v>
          </cell>
          <cell r="V6134">
            <v>96800</v>
          </cell>
        </row>
        <row r="6135">
          <cell r="B6135">
            <v>1961</v>
          </cell>
          <cell r="K6135" t="str">
            <v>DELAWARE</v>
          </cell>
          <cell r="L6135" t="str">
            <v>Delaware</v>
          </cell>
          <cell r="V6135">
            <v>114200</v>
          </cell>
        </row>
        <row r="6136">
          <cell r="B6136">
            <v>1961</v>
          </cell>
          <cell r="K6136" t="str">
            <v>DUBUQUE</v>
          </cell>
          <cell r="L6136" t="str">
            <v>Dubuque</v>
          </cell>
          <cell r="V6136">
            <v>89900</v>
          </cell>
        </row>
        <row r="6137">
          <cell r="B6137">
            <v>1961</v>
          </cell>
          <cell r="K6137" t="str">
            <v>FAYETTE</v>
          </cell>
          <cell r="L6137" t="str">
            <v>Fayette</v>
          </cell>
          <cell r="V6137">
            <v>121600</v>
          </cell>
        </row>
        <row r="6138">
          <cell r="B6138">
            <v>1961</v>
          </cell>
          <cell r="K6138" t="str">
            <v>HOWARD</v>
          </cell>
          <cell r="L6138" t="str">
            <v>Howard</v>
          </cell>
          <cell r="V6138">
            <v>83100</v>
          </cell>
        </row>
        <row r="6139">
          <cell r="B6139">
            <v>1961</v>
          </cell>
          <cell r="K6139" t="str">
            <v>WINNESHIEK</v>
          </cell>
          <cell r="L6139" t="str">
            <v>Winneshiek</v>
          </cell>
          <cell r="V6139">
            <v>101300</v>
          </cell>
        </row>
        <row r="6140">
          <cell r="B6140">
            <v>1961</v>
          </cell>
          <cell r="K6140" t="str">
            <v>BUENA VISTA</v>
          </cell>
          <cell r="L6140" t="str">
            <v>Buena Vista</v>
          </cell>
          <cell r="V6140">
            <v>128400</v>
          </cell>
        </row>
        <row r="6141">
          <cell r="B6141">
            <v>1961</v>
          </cell>
          <cell r="K6141" t="str">
            <v>CHEROKEE</v>
          </cell>
          <cell r="L6141" t="str">
            <v>Cherokee</v>
          </cell>
          <cell r="V6141">
            <v>125400</v>
          </cell>
        </row>
        <row r="6142">
          <cell r="B6142">
            <v>1961</v>
          </cell>
          <cell r="K6142" t="str">
            <v>CLAY</v>
          </cell>
          <cell r="L6142" t="str">
            <v>Clay</v>
          </cell>
          <cell r="V6142">
            <v>120300</v>
          </cell>
        </row>
        <row r="6143">
          <cell r="B6143">
            <v>1961</v>
          </cell>
          <cell r="K6143" t="str">
            <v>DICKINSON</v>
          </cell>
          <cell r="L6143" t="str">
            <v>Dickinson</v>
          </cell>
          <cell r="V6143">
            <v>78600</v>
          </cell>
        </row>
        <row r="6144">
          <cell r="B6144">
            <v>1961</v>
          </cell>
          <cell r="K6144" t="str">
            <v>EMMET</v>
          </cell>
          <cell r="L6144" t="str">
            <v>Emmet</v>
          </cell>
          <cell r="V6144">
            <v>88700</v>
          </cell>
        </row>
        <row r="6145">
          <cell r="B6145">
            <v>1961</v>
          </cell>
          <cell r="K6145" t="str">
            <v>LYON</v>
          </cell>
          <cell r="L6145" t="str">
            <v>Lyon</v>
          </cell>
          <cell r="V6145">
            <v>140200</v>
          </cell>
        </row>
        <row r="6146">
          <cell r="B6146">
            <v>1961</v>
          </cell>
          <cell r="K6146" t="str">
            <v>O BRIEN</v>
          </cell>
          <cell r="L6146" t="str">
            <v>O Brien</v>
          </cell>
          <cell r="V6146">
            <v>134300</v>
          </cell>
        </row>
        <row r="6147">
          <cell r="B6147">
            <v>1961</v>
          </cell>
          <cell r="K6147" t="str">
            <v>OSCEOLA</v>
          </cell>
          <cell r="L6147" t="str">
            <v>Osceola</v>
          </cell>
          <cell r="V6147">
            <v>92700</v>
          </cell>
        </row>
        <row r="6148">
          <cell r="B6148">
            <v>1961</v>
          </cell>
          <cell r="K6148" t="str">
            <v>PALO ALTO</v>
          </cell>
          <cell r="L6148" t="str">
            <v>Palo Alto</v>
          </cell>
          <cell r="V6148">
            <v>124200</v>
          </cell>
        </row>
        <row r="6149">
          <cell r="B6149">
            <v>1961</v>
          </cell>
          <cell r="K6149" t="str">
            <v>PLYMOUTH</v>
          </cell>
          <cell r="L6149" t="str">
            <v>Plymouth</v>
          </cell>
          <cell r="V6149">
            <v>204000</v>
          </cell>
        </row>
        <row r="6150">
          <cell r="B6150">
            <v>1961</v>
          </cell>
          <cell r="K6150" t="str">
            <v>POCAHONTAS</v>
          </cell>
          <cell r="L6150" t="str">
            <v>Pocahontas</v>
          </cell>
          <cell r="V6150">
            <v>129400</v>
          </cell>
        </row>
        <row r="6151">
          <cell r="B6151">
            <v>1961</v>
          </cell>
          <cell r="K6151" t="str">
            <v>SIOUX</v>
          </cell>
          <cell r="L6151" t="str">
            <v>Sioux</v>
          </cell>
          <cell r="V6151">
            <v>211400</v>
          </cell>
        </row>
        <row r="6152">
          <cell r="B6152">
            <v>1961</v>
          </cell>
          <cell r="K6152" t="str">
            <v>APPANOOSE</v>
          </cell>
          <cell r="L6152" t="str">
            <v>Appanoose</v>
          </cell>
          <cell r="V6152">
            <v>37200</v>
          </cell>
        </row>
        <row r="6153">
          <cell r="B6153">
            <v>1961</v>
          </cell>
          <cell r="K6153" t="str">
            <v>CLARKE</v>
          </cell>
          <cell r="L6153" t="str">
            <v>Clarke</v>
          </cell>
          <cell r="V6153">
            <v>34600</v>
          </cell>
        </row>
        <row r="6154">
          <cell r="B6154">
            <v>1961</v>
          </cell>
          <cell r="K6154" t="str">
            <v>DECATUR</v>
          </cell>
          <cell r="L6154" t="str">
            <v>Decatur</v>
          </cell>
          <cell r="V6154">
            <v>37700</v>
          </cell>
        </row>
        <row r="6155">
          <cell r="B6155">
            <v>1961</v>
          </cell>
          <cell r="K6155" t="str">
            <v>LUCAS</v>
          </cell>
          <cell r="L6155" t="str">
            <v>Lucas</v>
          </cell>
          <cell r="V6155">
            <v>34800</v>
          </cell>
        </row>
        <row r="6156">
          <cell r="B6156">
            <v>1961</v>
          </cell>
          <cell r="K6156" t="str">
            <v>MADISON</v>
          </cell>
          <cell r="L6156" t="str">
            <v>Madison</v>
          </cell>
          <cell r="V6156">
            <v>67100</v>
          </cell>
        </row>
        <row r="6157">
          <cell r="B6157">
            <v>1961</v>
          </cell>
          <cell r="K6157" t="str">
            <v>MARION</v>
          </cell>
          <cell r="L6157" t="str">
            <v>Marion</v>
          </cell>
          <cell r="V6157">
            <v>80600</v>
          </cell>
        </row>
        <row r="6158">
          <cell r="B6158">
            <v>1961</v>
          </cell>
          <cell r="K6158" t="str">
            <v>MONROE</v>
          </cell>
          <cell r="L6158" t="str">
            <v>Monroe</v>
          </cell>
          <cell r="V6158">
            <v>33900</v>
          </cell>
        </row>
        <row r="6159">
          <cell r="B6159">
            <v>1961</v>
          </cell>
          <cell r="K6159" t="str">
            <v>RINGGOLD</v>
          </cell>
          <cell r="L6159" t="str">
            <v>Ringgold</v>
          </cell>
          <cell r="V6159">
            <v>48800</v>
          </cell>
        </row>
        <row r="6160">
          <cell r="B6160">
            <v>1961</v>
          </cell>
          <cell r="K6160" t="str">
            <v>UNION</v>
          </cell>
          <cell r="L6160" t="str">
            <v>Union</v>
          </cell>
          <cell r="V6160">
            <v>44000</v>
          </cell>
        </row>
        <row r="6161">
          <cell r="B6161">
            <v>1961</v>
          </cell>
          <cell r="K6161" t="str">
            <v>WARREN</v>
          </cell>
          <cell r="L6161" t="str">
            <v>Warren</v>
          </cell>
          <cell r="V6161">
            <v>68100</v>
          </cell>
        </row>
        <row r="6162">
          <cell r="B6162">
            <v>1961</v>
          </cell>
          <cell r="K6162" t="str">
            <v>WAYNE</v>
          </cell>
          <cell r="L6162" t="str">
            <v>Wayne</v>
          </cell>
          <cell r="V6162">
            <v>49200</v>
          </cell>
        </row>
        <row r="6163">
          <cell r="B6163">
            <v>1961</v>
          </cell>
          <cell r="K6163" t="str">
            <v>DAVIS</v>
          </cell>
          <cell r="L6163" t="str">
            <v>Davis</v>
          </cell>
          <cell r="V6163">
            <v>43100</v>
          </cell>
        </row>
        <row r="6164">
          <cell r="B6164">
            <v>1961</v>
          </cell>
          <cell r="K6164" t="str">
            <v>DES MOINES</v>
          </cell>
          <cell r="L6164" t="str">
            <v>Des Moines</v>
          </cell>
          <cell r="V6164">
            <v>69600</v>
          </cell>
        </row>
        <row r="6165">
          <cell r="B6165">
            <v>1961</v>
          </cell>
          <cell r="K6165" t="str">
            <v>HENRY</v>
          </cell>
          <cell r="L6165" t="str">
            <v>Henry</v>
          </cell>
          <cell r="V6165">
            <v>76500</v>
          </cell>
        </row>
        <row r="6166">
          <cell r="B6166">
            <v>1961</v>
          </cell>
          <cell r="K6166" t="str">
            <v>JEFFERSON</v>
          </cell>
          <cell r="L6166" t="str">
            <v>Jefferson</v>
          </cell>
          <cell r="V6166">
            <v>60800</v>
          </cell>
        </row>
        <row r="6167">
          <cell r="B6167">
            <v>1961</v>
          </cell>
          <cell r="K6167" t="str">
            <v>KEOKUK</v>
          </cell>
          <cell r="L6167" t="str">
            <v>Keokuk</v>
          </cell>
          <cell r="V6167">
            <v>91900</v>
          </cell>
        </row>
        <row r="6168">
          <cell r="B6168">
            <v>1961</v>
          </cell>
          <cell r="K6168" t="str">
            <v>LEE</v>
          </cell>
          <cell r="L6168" t="str">
            <v>Lee</v>
          </cell>
          <cell r="V6168">
            <v>70200</v>
          </cell>
        </row>
        <row r="6169">
          <cell r="B6169">
            <v>1961</v>
          </cell>
          <cell r="K6169" t="str">
            <v>LOUISA</v>
          </cell>
          <cell r="L6169" t="str">
            <v>Louisa</v>
          </cell>
          <cell r="V6169">
            <v>76100</v>
          </cell>
        </row>
        <row r="6170">
          <cell r="B6170">
            <v>1961</v>
          </cell>
          <cell r="K6170" t="str">
            <v>MAHASKA</v>
          </cell>
          <cell r="L6170" t="str">
            <v>Mahaska</v>
          </cell>
          <cell r="V6170">
            <v>111500</v>
          </cell>
        </row>
        <row r="6171">
          <cell r="B6171">
            <v>1961</v>
          </cell>
          <cell r="K6171" t="str">
            <v>VAN BUREN</v>
          </cell>
          <cell r="L6171" t="str">
            <v>Van Buren</v>
          </cell>
          <cell r="V6171">
            <v>43800</v>
          </cell>
        </row>
        <row r="6172">
          <cell r="B6172">
            <v>1961</v>
          </cell>
          <cell r="K6172" t="str">
            <v>WAPELLO</v>
          </cell>
          <cell r="L6172" t="str">
            <v>Wapello</v>
          </cell>
          <cell r="V6172">
            <v>51900</v>
          </cell>
        </row>
        <row r="6173">
          <cell r="B6173">
            <v>1961</v>
          </cell>
          <cell r="K6173" t="str">
            <v>WASHINGTON</v>
          </cell>
          <cell r="L6173" t="str">
            <v>Washington</v>
          </cell>
          <cell r="V6173">
            <v>113600</v>
          </cell>
        </row>
        <row r="6174">
          <cell r="B6174">
            <v>1961</v>
          </cell>
          <cell r="K6174" t="str">
            <v>ADAIR</v>
          </cell>
          <cell r="L6174" t="str">
            <v>Adair</v>
          </cell>
          <cell r="V6174">
            <v>76300</v>
          </cell>
        </row>
        <row r="6175">
          <cell r="B6175">
            <v>1961</v>
          </cell>
          <cell r="K6175" t="str">
            <v>ADAMS</v>
          </cell>
          <cell r="L6175" t="str">
            <v>Adams</v>
          </cell>
          <cell r="V6175">
            <v>52700</v>
          </cell>
        </row>
        <row r="6176">
          <cell r="B6176">
            <v>1961</v>
          </cell>
          <cell r="K6176" t="str">
            <v>CASS</v>
          </cell>
          <cell r="L6176" t="str">
            <v>Cass</v>
          </cell>
          <cell r="V6176">
            <v>99300</v>
          </cell>
        </row>
        <row r="6177">
          <cell r="B6177">
            <v>1961</v>
          </cell>
          <cell r="K6177" t="str">
            <v>FREMONT</v>
          </cell>
          <cell r="L6177" t="str">
            <v>Fremont</v>
          </cell>
          <cell r="V6177">
            <v>100700</v>
          </cell>
        </row>
        <row r="6178">
          <cell r="B6178">
            <v>1961</v>
          </cell>
          <cell r="K6178" t="str">
            <v>MILLS</v>
          </cell>
          <cell r="L6178" t="str">
            <v>Mills</v>
          </cell>
          <cell r="V6178">
            <v>96400</v>
          </cell>
        </row>
        <row r="6179">
          <cell r="B6179">
            <v>1961</v>
          </cell>
          <cell r="K6179" t="str">
            <v>MONTGOMERY</v>
          </cell>
          <cell r="L6179" t="str">
            <v>Montgomery</v>
          </cell>
          <cell r="V6179">
            <v>81800</v>
          </cell>
        </row>
        <row r="6180">
          <cell r="B6180">
            <v>1961</v>
          </cell>
          <cell r="K6180" t="str">
            <v>PAGE</v>
          </cell>
          <cell r="L6180" t="str">
            <v>Page</v>
          </cell>
          <cell r="V6180">
            <v>89000</v>
          </cell>
        </row>
        <row r="6181">
          <cell r="B6181">
            <v>1961</v>
          </cell>
          <cell r="K6181" t="str">
            <v>POTTAWATTAMIE</v>
          </cell>
          <cell r="L6181" t="str">
            <v>Pottawattamie</v>
          </cell>
          <cell r="V6181">
            <v>206400</v>
          </cell>
        </row>
        <row r="6182">
          <cell r="B6182">
            <v>1961</v>
          </cell>
          <cell r="K6182" t="str">
            <v>TAYLOR</v>
          </cell>
          <cell r="L6182" t="str">
            <v>Taylor</v>
          </cell>
          <cell r="V6182">
            <v>55700</v>
          </cell>
        </row>
        <row r="6183">
          <cell r="B6183">
            <v>1961</v>
          </cell>
          <cell r="K6183" t="str">
            <v>AUDUBON</v>
          </cell>
          <cell r="L6183" t="str">
            <v>Audubon</v>
          </cell>
          <cell r="V6183">
            <v>82300</v>
          </cell>
        </row>
        <row r="6184">
          <cell r="B6184">
            <v>1961</v>
          </cell>
          <cell r="K6184" t="str">
            <v>CALHOUN</v>
          </cell>
          <cell r="L6184" t="str">
            <v>Calhoun</v>
          </cell>
          <cell r="V6184">
            <v>118700</v>
          </cell>
        </row>
        <row r="6185">
          <cell r="B6185">
            <v>1961</v>
          </cell>
          <cell r="K6185" t="str">
            <v>CARROLL</v>
          </cell>
          <cell r="L6185" t="str">
            <v>Carroll</v>
          </cell>
          <cell r="V6185">
            <v>125500</v>
          </cell>
        </row>
        <row r="6186">
          <cell r="B6186">
            <v>1961</v>
          </cell>
          <cell r="K6186" t="str">
            <v>CRAWFORD</v>
          </cell>
          <cell r="L6186" t="str">
            <v>Crawford</v>
          </cell>
          <cell r="V6186">
            <v>126400</v>
          </cell>
        </row>
        <row r="6187">
          <cell r="B6187">
            <v>1961</v>
          </cell>
          <cell r="K6187" t="str">
            <v>GREENE</v>
          </cell>
          <cell r="L6187" t="str">
            <v>Greene</v>
          </cell>
          <cell r="V6187">
            <v>123500</v>
          </cell>
        </row>
        <row r="6188">
          <cell r="B6188">
            <v>1961</v>
          </cell>
          <cell r="K6188" t="str">
            <v>GUTHRIE</v>
          </cell>
          <cell r="L6188" t="str">
            <v>Guthrie</v>
          </cell>
          <cell r="V6188">
            <v>81300</v>
          </cell>
        </row>
        <row r="6189">
          <cell r="B6189">
            <v>1961</v>
          </cell>
          <cell r="K6189" t="str">
            <v>HARRISON</v>
          </cell>
          <cell r="L6189" t="str">
            <v>Harrison</v>
          </cell>
          <cell r="V6189">
            <v>128900</v>
          </cell>
        </row>
        <row r="6190">
          <cell r="B6190">
            <v>1961</v>
          </cell>
          <cell r="K6190" t="str">
            <v>IDA</v>
          </cell>
          <cell r="L6190" t="str">
            <v>Ida</v>
          </cell>
          <cell r="V6190">
            <v>88100</v>
          </cell>
        </row>
        <row r="6191">
          <cell r="B6191">
            <v>1961</v>
          </cell>
          <cell r="K6191" t="str">
            <v>MONONA</v>
          </cell>
          <cell r="L6191" t="str">
            <v>Monona</v>
          </cell>
          <cell r="V6191">
            <v>126600</v>
          </cell>
        </row>
        <row r="6192">
          <cell r="B6192">
            <v>1961</v>
          </cell>
          <cell r="K6192" t="str">
            <v>SAC</v>
          </cell>
          <cell r="L6192" t="str">
            <v>Sac</v>
          </cell>
          <cell r="V6192">
            <v>128000</v>
          </cell>
        </row>
        <row r="6193">
          <cell r="B6193">
            <v>1961</v>
          </cell>
          <cell r="K6193" t="str">
            <v>SHELBY</v>
          </cell>
          <cell r="L6193" t="str">
            <v>Shelby</v>
          </cell>
          <cell r="V6193">
            <v>130000</v>
          </cell>
        </row>
        <row r="6194">
          <cell r="B6194">
            <v>1961</v>
          </cell>
          <cell r="K6194" t="str">
            <v>WOODBURY</v>
          </cell>
          <cell r="L6194" t="str">
            <v>Woodbury</v>
          </cell>
          <cell r="V6194">
            <v>174700</v>
          </cell>
        </row>
        <row r="6195">
          <cell r="B6195">
            <v>1960</v>
          </cell>
          <cell r="K6195" t="str">
            <v>BOONE</v>
          </cell>
          <cell r="L6195" t="str">
            <v>Boone</v>
          </cell>
          <cell r="V6195">
            <v>146900</v>
          </cell>
        </row>
        <row r="6196">
          <cell r="B6196">
            <v>1960</v>
          </cell>
          <cell r="K6196" t="str">
            <v>DALLAS</v>
          </cell>
          <cell r="L6196" t="str">
            <v>Dallas</v>
          </cell>
          <cell r="V6196">
            <v>143400</v>
          </cell>
        </row>
        <row r="6197">
          <cell r="B6197">
            <v>1960</v>
          </cell>
          <cell r="K6197" t="str">
            <v>GRUNDY</v>
          </cell>
          <cell r="L6197" t="str">
            <v>Grundy</v>
          </cell>
          <cell r="V6197">
            <v>144700</v>
          </cell>
        </row>
        <row r="6198">
          <cell r="B6198">
            <v>1960</v>
          </cell>
          <cell r="K6198" t="str">
            <v>HAMILTON</v>
          </cell>
          <cell r="L6198" t="str">
            <v>Hamilton</v>
          </cell>
          <cell r="V6198">
            <v>175300</v>
          </cell>
        </row>
        <row r="6199">
          <cell r="B6199">
            <v>1960</v>
          </cell>
          <cell r="K6199" t="str">
            <v>HARDIN</v>
          </cell>
          <cell r="L6199" t="str">
            <v>Hardin</v>
          </cell>
          <cell r="V6199">
            <v>163500</v>
          </cell>
        </row>
        <row r="6200">
          <cell r="B6200">
            <v>1960</v>
          </cell>
          <cell r="K6200" t="str">
            <v>JASPER</v>
          </cell>
          <cell r="L6200" t="str">
            <v>Jasper</v>
          </cell>
          <cell r="V6200">
            <v>163200</v>
          </cell>
        </row>
        <row r="6201">
          <cell r="B6201">
            <v>1960</v>
          </cell>
          <cell r="K6201" t="str">
            <v>MARSHALL</v>
          </cell>
          <cell r="L6201" t="str">
            <v>Marshall</v>
          </cell>
          <cell r="V6201">
            <v>147300</v>
          </cell>
        </row>
        <row r="6202">
          <cell r="B6202">
            <v>1960</v>
          </cell>
          <cell r="K6202" t="str">
            <v>POLK</v>
          </cell>
          <cell r="L6202" t="str">
            <v>Polk</v>
          </cell>
          <cell r="V6202">
            <v>116500</v>
          </cell>
        </row>
        <row r="6203">
          <cell r="B6203">
            <v>1960</v>
          </cell>
          <cell r="K6203" t="str">
            <v>POWESHIEK</v>
          </cell>
          <cell r="L6203" t="str">
            <v>Poweshiek</v>
          </cell>
          <cell r="V6203">
            <v>126900</v>
          </cell>
        </row>
        <row r="6204">
          <cell r="B6204">
            <v>1960</v>
          </cell>
          <cell r="K6204" t="str">
            <v>STORY</v>
          </cell>
          <cell r="L6204" t="str">
            <v>Story</v>
          </cell>
          <cell r="V6204">
            <v>168000</v>
          </cell>
        </row>
        <row r="6205">
          <cell r="B6205">
            <v>1960</v>
          </cell>
          <cell r="K6205" t="str">
            <v>TAMA</v>
          </cell>
          <cell r="L6205" t="str">
            <v>Tama</v>
          </cell>
          <cell r="V6205">
            <v>159800</v>
          </cell>
        </row>
        <row r="6206">
          <cell r="B6206">
            <v>1960</v>
          </cell>
          <cell r="K6206" t="str">
            <v>WEBSTER</v>
          </cell>
          <cell r="L6206" t="str">
            <v>Webster</v>
          </cell>
          <cell r="V6206">
            <v>182300</v>
          </cell>
        </row>
        <row r="6207">
          <cell r="B6207">
            <v>1960</v>
          </cell>
          <cell r="K6207" t="str">
            <v>BENTON</v>
          </cell>
          <cell r="L6207" t="str">
            <v>Benton</v>
          </cell>
          <cell r="V6207">
            <v>182700</v>
          </cell>
        </row>
        <row r="6208">
          <cell r="B6208">
            <v>1960</v>
          </cell>
          <cell r="K6208" t="str">
            <v>CEDAR</v>
          </cell>
          <cell r="L6208" t="str">
            <v>Cedar</v>
          </cell>
          <cell r="V6208">
            <v>147900</v>
          </cell>
        </row>
        <row r="6209">
          <cell r="B6209">
            <v>1960</v>
          </cell>
          <cell r="K6209" t="str">
            <v>CLINTON</v>
          </cell>
          <cell r="L6209" t="str">
            <v>Clinton</v>
          </cell>
          <cell r="V6209">
            <v>175700</v>
          </cell>
        </row>
        <row r="6210">
          <cell r="B6210">
            <v>1960</v>
          </cell>
          <cell r="K6210" t="str">
            <v>IOWA</v>
          </cell>
          <cell r="L6210" t="str">
            <v>Iowa</v>
          </cell>
          <cell r="V6210">
            <v>120700</v>
          </cell>
        </row>
        <row r="6211">
          <cell r="B6211">
            <v>1960</v>
          </cell>
          <cell r="K6211" t="str">
            <v>JACKSON</v>
          </cell>
          <cell r="L6211" t="str">
            <v>Jackson</v>
          </cell>
          <cell r="V6211">
            <v>88700</v>
          </cell>
        </row>
        <row r="6212">
          <cell r="B6212">
            <v>1960</v>
          </cell>
          <cell r="K6212" t="str">
            <v>JOHNSON</v>
          </cell>
          <cell r="L6212" t="str">
            <v>Johnson</v>
          </cell>
          <cell r="V6212">
            <v>122200</v>
          </cell>
        </row>
        <row r="6213">
          <cell r="B6213">
            <v>1960</v>
          </cell>
          <cell r="K6213" t="str">
            <v>JONES</v>
          </cell>
          <cell r="L6213" t="str">
            <v>Jones</v>
          </cell>
          <cell r="V6213">
            <v>121800</v>
          </cell>
        </row>
        <row r="6214">
          <cell r="B6214">
            <v>1960</v>
          </cell>
          <cell r="K6214" t="str">
            <v>LINN</v>
          </cell>
          <cell r="L6214" t="str">
            <v>Linn</v>
          </cell>
          <cell r="V6214">
            <v>157600</v>
          </cell>
        </row>
        <row r="6215">
          <cell r="B6215">
            <v>1960</v>
          </cell>
          <cell r="K6215" t="str">
            <v>MUSCATINE</v>
          </cell>
          <cell r="L6215" t="str">
            <v>Muscatine</v>
          </cell>
          <cell r="V6215">
            <v>96500</v>
          </cell>
        </row>
        <row r="6216">
          <cell r="B6216">
            <v>1960</v>
          </cell>
          <cell r="K6216" t="str">
            <v>SCOTT</v>
          </cell>
          <cell r="L6216" t="str">
            <v>Scott</v>
          </cell>
          <cell r="V6216">
            <v>112400</v>
          </cell>
        </row>
        <row r="6217">
          <cell r="B6217">
            <v>1960</v>
          </cell>
          <cell r="K6217" t="str">
            <v>BUTLER</v>
          </cell>
          <cell r="L6217" t="str">
            <v>Butler</v>
          </cell>
          <cell r="V6217">
            <v>154700</v>
          </cell>
        </row>
        <row r="6218">
          <cell r="B6218">
            <v>1960</v>
          </cell>
          <cell r="K6218" t="str">
            <v>CERRO GORDO</v>
          </cell>
          <cell r="L6218" t="str">
            <v>Cerro Gordo</v>
          </cell>
          <cell r="V6218">
            <v>165100</v>
          </cell>
        </row>
        <row r="6219">
          <cell r="B6219">
            <v>1960</v>
          </cell>
          <cell r="K6219" t="str">
            <v>FLOYD</v>
          </cell>
          <cell r="L6219" t="str">
            <v>Floyd</v>
          </cell>
          <cell r="V6219">
            <v>139400</v>
          </cell>
        </row>
        <row r="6220">
          <cell r="B6220">
            <v>1960</v>
          </cell>
          <cell r="K6220" t="str">
            <v>FRANKLIN</v>
          </cell>
          <cell r="L6220" t="str">
            <v>Franklin</v>
          </cell>
          <cell r="V6220">
            <v>183900</v>
          </cell>
        </row>
        <row r="6221">
          <cell r="B6221">
            <v>1960</v>
          </cell>
          <cell r="K6221" t="str">
            <v>HANCOCK</v>
          </cell>
          <cell r="L6221" t="str">
            <v>Hancock</v>
          </cell>
          <cell r="V6221">
            <v>167500</v>
          </cell>
        </row>
        <row r="6222">
          <cell r="B6222">
            <v>1960</v>
          </cell>
          <cell r="K6222" t="str">
            <v>HUMBOLDT</v>
          </cell>
          <cell r="L6222" t="str">
            <v>Humboldt</v>
          </cell>
          <cell r="V6222">
            <v>125800</v>
          </cell>
        </row>
        <row r="6223">
          <cell r="B6223">
            <v>1960</v>
          </cell>
          <cell r="K6223" t="str">
            <v>KOSSUTH</v>
          </cell>
          <cell r="L6223" t="str">
            <v>Kossuth</v>
          </cell>
          <cell r="V6223">
            <v>272600</v>
          </cell>
        </row>
        <row r="6224">
          <cell r="B6224">
            <v>1960</v>
          </cell>
          <cell r="K6224" t="str">
            <v>MITCHELL</v>
          </cell>
          <cell r="L6224" t="str">
            <v>Mitchell</v>
          </cell>
          <cell r="V6224">
            <v>127400</v>
          </cell>
        </row>
        <row r="6225">
          <cell r="B6225">
            <v>1960</v>
          </cell>
          <cell r="K6225" t="str">
            <v>WINNEBAGO</v>
          </cell>
          <cell r="L6225" t="str">
            <v>Winnebago</v>
          </cell>
          <cell r="V6225">
            <v>118000</v>
          </cell>
        </row>
        <row r="6226">
          <cell r="B6226">
            <v>1960</v>
          </cell>
          <cell r="K6226" t="str">
            <v>WORTH</v>
          </cell>
          <cell r="L6226" t="str">
            <v>Worth</v>
          </cell>
          <cell r="V6226">
            <v>106200</v>
          </cell>
        </row>
        <row r="6227">
          <cell r="B6227">
            <v>1960</v>
          </cell>
          <cell r="K6227" t="str">
            <v>WRIGHT</v>
          </cell>
          <cell r="L6227" t="str">
            <v>Wright</v>
          </cell>
          <cell r="V6227">
            <v>169500</v>
          </cell>
        </row>
        <row r="6228">
          <cell r="B6228">
            <v>1960</v>
          </cell>
          <cell r="K6228" t="str">
            <v>ALLAMAKEE</v>
          </cell>
          <cell r="L6228" t="str">
            <v>Allamakee</v>
          </cell>
          <cell r="V6228">
            <v>62300</v>
          </cell>
        </row>
        <row r="6229">
          <cell r="B6229">
            <v>1960</v>
          </cell>
          <cell r="K6229" t="str">
            <v>BLACK HAWK</v>
          </cell>
          <cell r="L6229" t="str">
            <v>Black Hawk</v>
          </cell>
          <cell r="V6229">
            <v>143200</v>
          </cell>
        </row>
        <row r="6230">
          <cell r="B6230">
            <v>1960</v>
          </cell>
          <cell r="K6230" t="str">
            <v>BREMER</v>
          </cell>
          <cell r="L6230" t="str">
            <v>Bremer</v>
          </cell>
          <cell r="V6230">
            <v>102500</v>
          </cell>
        </row>
        <row r="6231">
          <cell r="B6231">
            <v>1960</v>
          </cell>
          <cell r="K6231" t="str">
            <v>BUCHANAN</v>
          </cell>
          <cell r="L6231" t="str">
            <v>Buchanan</v>
          </cell>
          <cell r="V6231">
            <v>136900</v>
          </cell>
        </row>
        <row r="6232">
          <cell r="B6232">
            <v>1960</v>
          </cell>
          <cell r="K6232" t="str">
            <v>CHICKASAW</v>
          </cell>
          <cell r="L6232" t="str">
            <v>Chickasaw</v>
          </cell>
          <cell r="V6232">
            <v>114500</v>
          </cell>
        </row>
        <row r="6233">
          <cell r="B6233">
            <v>1960</v>
          </cell>
          <cell r="K6233" t="str">
            <v>CLAYTON</v>
          </cell>
          <cell r="L6233" t="str">
            <v>Clayton</v>
          </cell>
          <cell r="V6233">
            <v>101900</v>
          </cell>
        </row>
        <row r="6234">
          <cell r="B6234">
            <v>1960</v>
          </cell>
          <cell r="K6234" t="str">
            <v>DELAWARE</v>
          </cell>
          <cell r="L6234" t="str">
            <v>Delaware</v>
          </cell>
          <cell r="V6234">
            <v>126800</v>
          </cell>
        </row>
        <row r="6235">
          <cell r="B6235">
            <v>1960</v>
          </cell>
          <cell r="K6235" t="str">
            <v>DUBUQUE</v>
          </cell>
          <cell r="L6235" t="str">
            <v>Dubuque</v>
          </cell>
          <cell r="V6235">
            <v>95800</v>
          </cell>
        </row>
        <row r="6236">
          <cell r="B6236">
            <v>1960</v>
          </cell>
          <cell r="K6236" t="str">
            <v>FAYETTE</v>
          </cell>
          <cell r="L6236" t="str">
            <v>Fayette</v>
          </cell>
          <cell r="V6236">
            <v>150300</v>
          </cell>
        </row>
        <row r="6237">
          <cell r="B6237">
            <v>1960</v>
          </cell>
          <cell r="K6237" t="str">
            <v>HOWARD</v>
          </cell>
          <cell r="L6237" t="str">
            <v>Howard</v>
          </cell>
          <cell r="V6237">
            <v>97200</v>
          </cell>
        </row>
        <row r="6238">
          <cell r="B6238">
            <v>1960</v>
          </cell>
          <cell r="K6238" t="str">
            <v>WINNESHIEK</v>
          </cell>
          <cell r="L6238" t="str">
            <v>Winneshiek</v>
          </cell>
          <cell r="V6238">
            <v>111000</v>
          </cell>
        </row>
        <row r="6239">
          <cell r="B6239">
            <v>1960</v>
          </cell>
          <cell r="K6239" t="str">
            <v>BUENA VISTA</v>
          </cell>
          <cell r="L6239" t="str">
            <v>Buena Vista</v>
          </cell>
          <cell r="V6239">
            <v>161900</v>
          </cell>
        </row>
        <row r="6240">
          <cell r="B6240">
            <v>1960</v>
          </cell>
          <cell r="K6240" t="str">
            <v>CHEROKEE</v>
          </cell>
          <cell r="L6240" t="str">
            <v>Cherokee</v>
          </cell>
          <cell r="V6240">
            <v>154900</v>
          </cell>
        </row>
        <row r="6241">
          <cell r="B6241">
            <v>1960</v>
          </cell>
          <cell r="K6241" t="str">
            <v>CLAY</v>
          </cell>
          <cell r="L6241" t="str">
            <v>Clay</v>
          </cell>
          <cell r="V6241">
            <v>154300</v>
          </cell>
        </row>
        <row r="6242">
          <cell r="B6242">
            <v>1960</v>
          </cell>
          <cell r="K6242" t="str">
            <v>DICKINSON</v>
          </cell>
          <cell r="L6242" t="str">
            <v>Dickinson</v>
          </cell>
          <cell r="V6242">
            <v>105700</v>
          </cell>
        </row>
        <row r="6243">
          <cell r="B6243">
            <v>1960</v>
          </cell>
          <cell r="K6243" t="str">
            <v>EMMET</v>
          </cell>
          <cell r="L6243" t="str">
            <v>Emmet</v>
          </cell>
          <cell r="V6243">
            <v>110200</v>
          </cell>
        </row>
        <row r="6244">
          <cell r="B6244">
            <v>1960</v>
          </cell>
          <cell r="K6244" t="str">
            <v>LYON</v>
          </cell>
          <cell r="L6244" t="str">
            <v>Lyon</v>
          </cell>
          <cell r="V6244">
            <v>167200</v>
          </cell>
        </row>
        <row r="6245">
          <cell r="B6245">
            <v>1960</v>
          </cell>
          <cell r="K6245" t="str">
            <v>O BRIEN</v>
          </cell>
          <cell r="L6245" t="str">
            <v>O Brien</v>
          </cell>
          <cell r="V6245">
            <v>159900</v>
          </cell>
        </row>
        <row r="6246">
          <cell r="B6246">
            <v>1960</v>
          </cell>
          <cell r="K6246" t="str">
            <v>OSCEOLA</v>
          </cell>
          <cell r="L6246" t="str">
            <v>Osceola</v>
          </cell>
          <cell r="V6246">
            <v>114600</v>
          </cell>
        </row>
        <row r="6247">
          <cell r="B6247">
            <v>1960</v>
          </cell>
          <cell r="K6247" t="str">
            <v>PALO ALTO</v>
          </cell>
          <cell r="L6247" t="str">
            <v>Palo Alto</v>
          </cell>
          <cell r="V6247">
            <v>163500</v>
          </cell>
        </row>
        <row r="6248">
          <cell r="B6248">
            <v>1960</v>
          </cell>
          <cell r="K6248" t="str">
            <v>PLYMOUTH</v>
          </cell>
          <cell r="L6248" t="str">
            <v>Plymouth</v>
          </cell>
          <cell r="V6248">
            <v>245900</v>
          </cell>
        </row>
        <row r="6249">
          <cell r="B6249">
            <v>1960</v>
          </cell>
          <cell r="K6249" t="str">
            <v>POCAHONTAS</v>
          </cell>
          <cell r="L6249" t="str">
            <v>Pocahontas</v>
          </cell>
          <cell r="V6249">
            <v>160800</v>
          </cell>
        </row>
        <row r="6250">
          <cell r="B6250">
            <v>1960</v>
          </cell>
          <cell r="K6250" t="str">
            <v>SIOUX</v>
          </cell>
          <cell r="L6250" t="str">
            <v>Sioux</v>
          </cell>
          <cell r="V6250">
            <v>246800</v>
          </cell>
        </row>
        <row r="6251">
          <cell r="B6251">
            <v>1960</v>
          </cell>
          <cell r="K6251" t="str">
            <v>APPANOOSE</v>
          </cell>
          <cell r="L6251" t="str">
            <v>Appanoose</v>
          </cell>
          <cell r="V6251">
            <v>46200</v>
          </cell>
        </row>
        <row r="6252">
          <cell r="B6252">
            <v>1960</v>
          </cell>
          <cell r="K6252" t="str">
            <v>CLARKE</v>
          </cell>
          <cell r="L6252" t="str">
            <v>Clarke</v>
          </cell>
          <cell r="V6252">
            <v>48000</v>
          </cell>
        </row>
        <row r="6253">
          <cell r="B6253">
            <v>1960</v>
          </cell>
          <cell r="K6253" t="str">
            <v>DECATUR</v>
          </cell>
          <cell r="L6253" t="str">
            <v>Decatur</v>
          </cell>
          <cell r="V6253">
            <v>52000</v>
          </cell>
        </row>
        <row r="6254">
          <cell r="B6254">
            <v>1960</v>
          </cell>
          <cell r="K6254" t="str">
            <v>LUCAS</v>
          </cell>
          <cell r="L6254" t="str">
            <v>Lucas</v>
          </cell>
          <cell r="V6254">
            <v>44600</v>
          </cell>
        </row>
        <row r="6255">
          <cell r="B6255">
            <v>1960</v>
          </cell>
          <cell r="K6255" t="str">
            <v>MADISON</v>
          </cell>
          <cell r="L6255" t="str">
            <v>Madison</v>
          </cell>
          <cell r="V6255">
            <v>88200</v>
          </cell>
        </row>
        <row r="6256">
          <cell r="B6256">
            <v>1960</v>
          </cell>
          <cell r="K6256" t="str">
            <v>MARION</v>
          </cell>
          <cell r="L6256" t="str">
            <v>Marion</v>
          </cell>
          <cell r="V6256">
            <v>93000</v>
          </cell>
        </row>
        <row r="6257">
          <cell r="B6257">
            <v>1960</v>
          </cell>
          <cell r="K6257" t="str">
            <v>MONROE</v>
          </cell>
          <cell r="L6257" t="str">
            <v>Monroe</v>
          </cell>
          <cell r="V6257">
            <v>39300</v>
          </cell>
        </row>
        <row r="6258">
          <cell r="B6258">
            <v>1960</v>
          </cell>
          <cell r="K6258" t="str">
            <v>RINGGOLD</v>
          </cell>
          <cell r="L6258" t="str">
            <v>Ringgold</v>
          </cell>
          <cell r="V6258">
            <v>65000</v>
          </cell>
        </row>
        <row r="6259">
          <cell r="B6259">
            <v>1960</v>
          </cell>
          <cell r="K6259" t="str">
            <v>UNION</v>
          </cell>
          <cell r="L6259" t="str">
            <v>Union</v>
          </cell>
          <cell r="V6259">
            <v>61000</v>
          </cell>
        </row>
        <row r="6260">
          <cell r="B6260">
            <v>1960</v>
          </cell>
          <cell r="K6260" t="str">
            <v>WARREN</v>
          </cell>
          <cell r="L6260" t="str">
            <v>Warren</v>
          </cell>
          <cell r="V6260">
            <v>90000</v>
          </cell>
        </row>
        <row r="6261">
          <cell r="B6261">
            <v>1960</v>
          </cell>
          <cell r="K6261" t="str">
            <v>WAYNE</v>
          </cell>
          <cell r="L6261" t="str">
            <v>Wayne</v>
          </cell>
          <cell r="V6261">
            <v>64100</v>
          </cell>
        </row>
        <row r="6262">
          <cell r="B6262">
            <v>1960</v>
          </cell>
          <cell r="K6262" t="str">
            <v>DAVIS</v>
          </cell>
          <cell r="L6262" t="str">
            <v>Davis</v>
          </cell>
          <cell r="V6262">
            <v>48000</v>
          </cell>
        </row>
        <row r="6263">
          <cell r="B6263">
            <v>1960</v>
          </cell>
          <cell r="K6263" t="str">
            <v>DES MOINES</v>
          </cell>
          <cell r="L6263" t="str">
            <v>Des Moines</v>
          </cell>
          <cell r="V6263">
            <v>77200</v>
          </cell>
        </row>
        <row r="6264">
          <cell r="B6264">
            <v>1960</v>
          </cell>
          <cell r="K6264" t="str">
            <v>HENRY</v>
          </cell>
          <cell r="L6264" t="str">
            <v>Henry</v>
          </cell>
          <cell r="V6264">
            <v>87300</v>
          </cell>
        </row>
        <row r="6265">
          <cell r="B6265">
            <v>1960</v>
          </cell>
          <cell r="K6265" t="str">
            <v>JEFFERSON</v>
          </cell>
          <cell r="L6265" t="str">
            <v>Jefferson</v>
          </cell>
          <cell r="V6265">
            <v>69700</v>
          </cell>
        </row>
        <row r="6266">
          <cell r="B6266">
            <v>1960</v>
          </cell>
          <cell r="K6266" t="str">
            <v>KEOKUK</v>
          </cell>
          <cell r="L6266" t="str">
            <v>Keokuk</v>
          </cell>
          <cell r="V6266">
            <v>112000</v>
          </cell>
        </row>
        <row r="6267">
          <cell r="B6267">
            <v>1960</v>
          </cell>
          <cell r="K6267" t="str">
            <v>LEE</v>
          </cell>
          <cell r="L6267" t="str">
            <v>Lee</v>
          </cell>
          <cell r="V6267">
            <v>77800</v>
          </cell>
        </row>
        <row r="6268">
          <cell r="B6268">
            <v>1960</v>
          </cell>
          <cell r="K6268" t="str">
            <v>LOUISA</v>
          </cell>
          <cell r="L6268" t="str">
            <v>Louisa</v>
          </cell>
          <cell r="V6268">
            <v>85500</v>
          </cell>
        </row>
        <row r="6269">
          <cell r="B6269">
            <v>1960</v>
          </cell>
          <cell r="K6269" t="str">
            <v>MAHASKA</v>
          </cell>
          <cell r="L6269" t="str">
            <v>Mahaska</v>
          </cell>
          <cell r="V6269">
            <v>118600</v>
          </cell>
        </row>
        <row r="6270">
          <cell r="B6270">
            <v>1960</v>
          </cell>
          <cell r="K6270" t="str">
            <v>VAN BUREN</v>
          </cell>
          <cell r="L6270" t="str">
            <v>Van Buren</v>
          </cell>
          <cell r="V6270">
            <v>49300</v>
          </cell>
        </row>
        <row r="6271">
          <cell r="B6271">
            <v>1960</v>
          </cell>
          <cell r="K6271" t="str">
            <v>WAPELLO</v>
          </cell>
          <cell r="L6271" t="str">
            <v>Wapello</v>
          </cell>
          <cell r="V6271">
            <v>58000</v>
          </cell>
        </row>
        <row r="6272">
          <cell r="B6272">
            <v>1960</v>
          </cell>
          <cell r="K6272" t="str">
            <v>WASHINGTON</v>
          </cell>
          <cell r="L6272" t="str">
            <v>Washington</v>
          </cell>
          <cell r="V6272">
            <v>127700</v>
          </cell>
        </row>
        <row r="6273">
          <cell r="B6273">
            <v>1960</v>
          </cell>
          <cell r="K6273" t="str">
            <v>ADAIR</v>
          </cell>
          <cell r="L6273" t="str">
            <v>Adair</v>
          </cell>
          <cell r="V6273">
            <v>101700</v>
          </cell>
        </row>
        <row r="6274">
          <cell r="B6274">
            <v>1960</v>
          </cell>
          <cell r="K6274" t="str">
            <v>ADAMS</v>
          </cell>
          <cell r="L6274" t="str">
            <v>Adams</v>
          </cell>
          <cell r="V6274">
            <v>68900</v>
          </cell>
        </row>
        <row r="6275">
          <cell r="B6275">
            <v>1960</v>
          </cell>
          <cell r="K6275" t="str">
            <v>CASS</v>
          </cell>
          <cell r="L6275" t="str">
            <v>Cass</v>
          </cell>
          <cell r="V6275">
            <v>118700</v>
          </cell>
        </row>
        <row r="6276">
          <cell r="B6276">
            <v>1960</v>
          </cell>
          <cell r="K6276" t="str">
            <v>FREMONT</v>
          </cell>
          <cell r="L6276" t="str">
            <v>Fremont</v>
          </cell>
          <cell r="V6276">
            <v>146000</v>
          </cell>
        </row>
        <row r="6277">
          <cell r="B6277">
            <v>1960</v>
          </cell>
          <cell r="K6277" t="str">
            <v>MILLS</v>
          </cell>
          <cell r="L6277" t="str">
            <v>Mills</v>
          </cell>
          <cell r="V6277">
            <v>124400</v>
          </cell>
        </row>
        <row r="6278">
          <cell r="B6278">
            <v>1960</v>
          </cell>
          <cell r="K6278" t="str">
            <v>MONTGOMERY</v>
          </cell>
          <cell r="L6278" t="str">
            <v>Montgomery</v>
          </cell>
          <cell r="V6278">
            <v>102100</v>
          </cell>
        </row>
        <row r="6279">
          <cell r="B6279">
            <v>1960</v>
          </cell>
          <cell r="K6279" t="str">
            <v>PAGE</v>
          </cell>
          <cell r="L6279" t="str">
            <v>Page</v>
          </cell>
          <cell r="V6279">
            <v>122500</v>
          </cell>
        </row>
        <row r="6280">
          <cell r="B6280">
            <v>1960</v>
          </cell>
          <cell r="K6280" t="str">
            <v>POTTAWATTAMIE</v>
          </cell>
          <cell r="L6280" t="str">
            <v>Pottawattamie</v>
          </cell>
          <cell r="V6280">
            <v>264800</v>
          </cell>
        </row>
        <row r="6281">
          <cell r="B6281">
            <v>1960</v>
          </cell>
          <cell r="K6281" t="str">
            <v>TAYLOR</v>
          </cell>
          <cell r="L6281" t="str">
            <v>Taylor</v>
          </cell>
          <cell r="V6281">
            <v>78000</v>
          </cell>
        </row>
        <row r="6282">
          <cell r="B6282">
            <v>1960</v>
          </cell>
          <cell r="K6282" t="str">
            <v>AUDUBON</v>
          </cell>
          <cell r="L6282" t="str">
            <v>Audubon</v>
          </cell>
          <cell r="V6282">
            <v>100200</v>
          </cell>
        </row>
        <row r="6283">
          <cell r="B6283">
            <v>1960</v>
          </cell>
          <cell r="K6283" t="str">
            <v>CALHOUN</v>
          </cell>
          <cell r="L6283" t="str">
            <v>Calhoun</v>
          </cell>
          <cell r="V6283">
            <v>152800</v>
          </cell>
        </row>
        <row r="6284">
          <cell r="B6284">
            <v>1960</v>
          </cell>
          <cell r="K6284" t="str">
            <v>CARROLL</v>
          </cell>
          <cell r="L6284" t="str">
            <v>Carroll</v>
          </cell>
          <cell r="V6284">
            <v>153800</v>
          </cell>
        </row>
        <row r="6285">
          <cell r="B6285">
            <v>1960</v>
          </cell>
          <cell r="K6285" t="str">
            <v>CRAWFORD</v>
          </cell>
          <cell r="L6285" t="str">
            <v>Crawford</v>
          </cell>
          <cell r="V6285">
            <v>163500</v>
          </cell>
        </row>
        <row r="6286">
          <cell r="B6286">
            <v>1960</v>
          </cell>
          <cell r="K6286" t="str">
            <v>GREENE</v>
          </cell>
          <cell r="L6286" t="str">
            <v>Greene</v>
          </cell>
          <cell r="V6286">
            <v>167700</v>
          </cell>
        </row>
        <row r="6287">
          <cell r="B6287">
            <v>1960</v>
          </cell>
          <cell r="K6287" t="str">
            <v>GUTHRIE</v>
          </cell>
          <cell r="L6287" t="str">
            <v>Guthrie</v>
          </cell>
          <cell r="V6287">
            <v>106300</v>
          </cell>
        </row>
        <row r="6288">
          <cell r="B6288">
            <v>1960</v>
          </cell>
          <cell r="K6288" t="str">
            <v>HARRISON</v>
          </cell>
          <cell r="L6288" t="str">
            <v>Harrison</v>
          </cell>
          <cell r="V6288">
            <v>178000</v>
          </cell>
        </row>
        <row r="6289">
          <cell r="B6289">
            <v>1960</v>
          </cell>
          <cell r="K6289" t="str">
            <v>IDA</v>
          </cell>
          <cell r="L6289" t="str">
            <v>Ida</v>
          </cell>
          <cell r="V6289">
            <v>110400</v>
          </cell>
        </row>
        <row r="6290">
          <cell r="B6290">
            <v>1960</v>
          </cell>
          <cell r="K6290" t="str">
            <v>MONONA</v>
          </cell>
          <cell r="L6290" t="str">
            <v>Monona</v>
          </cell>
          <cell r="V6290">
            <v>176000</v>
          </cell>
        </row>
        <row r="6291">
          <cell r="B6291">
            <v>1960</v>
          </cell>
          <cell r="K6291" t="str">
            <v>SAC</v>
          </cell>
          <cell r="L6291" t="str">
            <v>Sac</v>
          </cell>
          <cell r="V6291">
            <v>155400</v>
          </cell>
        </row>
        <row r="6292">
          <cell r="B6292">
            <v>1960</v>
          </cell>
          <cell r="K6292" t="str">
            <v>SHELBY</v>
          </cell>
          <cell r="L6292" t="str">
            <v>Shelby</v>
          </cell>
          <cell r="V6292">
            <v>160900</v>
          </cell>
        </row>
        <row r="6293">
          <cell r="B6293">
            <v>1960</v>
          </cell>
          <cell r="K6293" t="str">
            <v>WOODBURY</v>
          </cell>
          <cell r="L6293" t="str">
            <v>Woodbury</v>
          </cell>
          <cell r="V6293">
            <v>221200</v>
          </cell>
        </row>
        <row r="6294">
          <cell r="B6294">
            <v>1959</v>
          </cell>
          <cell r="K6294" t="str">
            <v>BOONE</v>
          </cell>
          <cell r="L6294" t="str">
            <v>Boone</v>
          </cell>
          <cell r="V6294">
            <v>147800</v>
          </cell>
        </row>
        <row r="6295">
          <cell r="B6295">
            <v>1959</v>
          </cell>
          <cell r="K6295" t="str">
            <v>DALLAS</v>
          </cell>
          <cell r="L6295" t="str">
            <v>Dallas</v>
          </cell>
          <cell r="V6295">
            <v>139300</v>
          </cell>
        </row>
        <row r="6296">
          <cell r="B6296">
            <v>1959</v>
          </cell>
          <cell r="K6296" t="str">
            <v>GRUNDY</v>
          </cell>
          <cell r="L6296" t="str">
            <v>Grundy</v>
          </cell>
          <cell r="V6296">
            <v>143500</v>
          </cell>
        </row>
        <row r="6297">
          <cell r="B6297">
            <v>1959</v>
          </cell>
          <cell r="K6297" t="str">
            <v>HAMILTON</v>
          </cell>
          <cell r="L6297" t="str">
            <v>Hamilton</v>
          </cell>
          <cell r="V6297">
            <v>176000</v>
          </cell>
        </row>
        <row r="6298">
          <cell r="B6298">
            <v>1959</v>
          </cell>
          <cell r="K6298" t="str">
            <v>HARDIN</v>
          </cell>
          <cell r="L6298" t="str">
            <v>Hardin</v>
          </cell>
          <cell r="V6298">
            <v>161000</v>
          </cell>
        </row>
        <row r="6299">
          <cell r="B6299">
            <v>1959</v>
          </cell>
          <cell r="K6299" t="str">
            <v>JASPER</v>
          </cell>
          <cell r="L6299" t="str">
            <v>Jasper</v>
          </cell>
          <cell r="V6299">
            <v>155200</v>
          </cell>
        </row>
        <row r="6300">
          <cell r="B6300">
            <v>1959</v>
          </cell>
          <cell r="K6300" t="str">
            <v>MARSHALL</v>
          </cell>
          <cell r="L6300" t="str">
            <v>Marshall</v>
          </cell>
          <cell r="V6300">
            <v>146700</v>
          </cell>
        </row>
        <row r="6301">
          <cell r="B6301">
            <v>1959</v>
          </cell>
          <cell r="K6301" t="str">
            <v>POLK</v>
          </cell>
          <cell r="L6301" t="str">
            <v>Polk</v>
          </cell>
          <cell r="V6301">
            <v>113600</v>
          </cell>
        </row>
        <row r="6302">
          <cell r="B6302">
            <v>1959</v>
          </cell>
          <cell r="K6302" t="str">
            <v>POWESHIEK</v>
          </cell>
          <cell r="L6302" t="str">
            <v>Poweshiek</v>
          </cell>
          <cell r="V6302">
            <v>124400</v>
          </cell>
        </row>
        <row r="6303">
          <cell r="B6303">
            <v>1959</v>
          </cell>
          <cell r="K6303" t="str">
            <v>STORY</v>
          </cell>
          <cell r="L6303" t="str">
            <v>Story</v>
          </cell>
          <cell r="V6303">
            <v>168900</v>
          </cell>
        </row>
        <row r="6304">
          <cell r="B6304">
            <v>1959</v>
          </cell>
          <cell r="K6304" t="str">
            <v>TAMA</v>
          </cell>
          <cell r="L6304" t="str">
            <v>Tama</v>
          </cell>
          <cell r="V6304">
            <v>156100</v>
          </cell>
        </row>
        <row r="6305">
          <cell r="B6305">
            <v>1959</v>
          </cell>
          <cell r="K6305" t="str">
            <v>WEBSTER</v>
          </cell>
          <cell r="L6305" t="str">
            <v>Webster</v>
          </cell>
          <cell r="V6305">
            <v>186100</v>
          </cell>
        </row>
        <row r="6306">
          <cell r="B6306">
            <v>1959</v>
          </cell>
          <cell r="K6306" t="str">
            <v>BENTON</v>
          </cell>
          <cell r="L6306" t="str">
            <v>Benton</v>
          </cell>
          <cell r="V6306">
            <v>178200</v>
          </cell>
        </row>
        <row r="6307">
          <cell r="B6307">
            <v>1959</v>
          </cell>
          <cell r="K6307" t="str">
            <v>CEDAR</v>
          </cell>
          <cell r="L6307" t="str">
            <v>Cedar</v>
          </cell>
          <cell r="V6307">
            <v>141900</v>
          </cell>
        </row>
        <row r="6308">
          <cell r="B6308">
            <v>1959</v>
          </cell>
          <cell r="K6308" t="str">
            <v>CLINTON</v>
          </cell>
          <cell r="L6308" t="str">
            <v>Clinton</v>
          </cell>
          <cell r="V6308">
            <v>174600</v>
          </cell>
        </row>
        <row r="6309">
          <cell r="B6309">
            <v>1959</v>
          </cell>
          <cell r="K6309" t="str">
            <v>IOWA</v>
          </cell>
          <cell r="L6309" t="str">
            <v>Iowa</v>
          </cell>
          <cell r="V6309">
            <v>122000</v>
          </cell>
        </row>
        <row r="6310">
          <cell r="B6310">
            <v>1959</v>
          </cell>
          <cell r="K6310" t="str">
            <v>JACKSON</v>
          </cell>
          <cell r="L6310" t="str">
            <v>Jackson</v>
          </cell>
          <cell r="V6310">
            <v>86600</v>
          </cell>
        </row>
        <row r="6311">
          <cell r="B6311">
            <v>1959</v>
          </cell>
          <cell r="K6311" t="str">
            <v>JOHNSON</v>
          </cell>
          <cell r="L6311" t="str">
            <v>Johnson</v>
          </cell>
          <cell r="V6311">
            <v>124100</v>
          </cell>
        </row>
        <row r="6312">
          <cell r="B6312">
            <v>1959</v>
          </cell>
          <cell r="K6312" t="str">
            <v>JONES</v>
          </cell>
          <cell r="L6312" t="str">
            <v>Jones</v>
          </cell>
          <cell r="V6312">
            <v>123100</v>
          </cell>
        </row>
        <row r="6313">
          <cell r="B6313">
            <v>1959</v>
          </cell>
          <cell r="K6313" t="str">
            <v>LINN</v>
          </cell>
          <cell r="L6313" t="str">
            <v>Linn</v>
          </cell>
          <cell r="V6313">
            <v>154500</v>
          </cell>
        </row>
        <row r="6314">
          <cell r="B6314">
            <v>1959</v>
          </cell>
          <cell r="K6314" t="str">
            <v>MUSCATINE</v>
          </cell>
          <cell r="L6314" t="str">
            <v>Muscatine</v>
          </cell>
          <cell r="V6314">
            <v>95700</v>
          </cell>
        </row>
        <row r="6315">
          <cell r="B6315">
            <v>1959</v>
          </cell>
          <cell r="K6315" t="str">
            <v>SCOTT</v>
          </cell>
          <cell r="L6315" t="str">
            <v>Scott</v>
          </cell>
          <cell r="V6315">
            <v>112200</v>
          </cell>
        </row>
        <row r="6316">
          <cell r="B6316">
            <v>1959</v>
          </cell>
          <cell r="K6316" t="str">
            <v>BUTLER</v>
          </cell>
          <cell r="L6316" t="str">
            <v>Butler</v>
          </cell>
          <cell r="V6316">
            <v>156200</v>
          </cell>
        </row>
        <row r="6317">
          <cell r="B6317">
            <v>1959</v>
          </cell>
          <cell r="K6317" t="str">
            <v>CERRO GORDO</v>
          </cell>
          <cell r="L6317" t="str">
            <v>Cerro Gordo</v>
          </cell>
          <cell r="V6317">
            <v>170600</v>
          </cell>
        </row>
        <row r="6318">
          <cell r="B6318">
            <v>1959</v>
          </cell>
          <cell r="K6318" t="str">
            <v>FLOYD</v>
          </cell>
          <cell r="L6318" t="str">
            <v>Floyd</v>
          </cell>
          <cell r="V6318">
            <v>143900</v>
          </cell>
        </row>
        <row r="6319">
          <cell r="B6319">
            <v>1959</v>
          </cell>
          <cell r="K6319" t="str">
            <v>FRANKLIN</v>
          </cell>
          <cell r="L6319" t="str">
            <v>Franklin</v>
          </cell>
          <cell r="V6319">
            <v>180900</v>
          </cell>
        </row>
        <row r="6320">
          <cell r="B6320">
            <v>1959</v>
          </cell>
          <cell r="K6320" t="str">
            <v>HANCOCK</v>
          </cell>
          <cell r="L6320" t="str">
            <v>Hancock</v>
          </cell>
          <cell r="V6320">
            <v>167800</v>
          </cell>
        </row>
        <row r="6321">
          <cell r="B6321">
            <v>1959</v>
          </cell>
          <cell r="K6321" t="str">
            <v>HUMBOLDT</v>
          </cell>
          <cell r="L6321" t="str">
            <v>Humboldt</v>
          </cell>
          <cell r="V6321">
            <v>131000</v>
          </cell>
        </row>
        <row r="6322">
          <cell r="B6322">
            <v>1959</v>
          </cell>
          <cell r="K6322" t="str">
            <v>KOSSUTH</v>
          </cell>
          <cell r="L6322" t="str">
            <v>Kossuth</v>
          </cell>
          <cell r="V6322">
            <v>281200</v>
          </cell>
        </row>
        <row r="6323">
          <cell r="B6323">
            <v>1959</v>
          </cell>
          <cell r="K6323" t="str">
            <v>MITCHELL</v>
          </cell>
          <cell r="L6323" t="str">
            <v>Mitchell</v>
          </cell>
          <cell r="V6323">
            <v>132600</v>
          </cell>
        </row>
        <row r="6324">
          <cell r="B6324">
            <v>1959</v>
          </cell>
          <cell r="K6324" t="str">
            <v>WINNEBAGO</v>
          </cell>
          <cell r="L6324" t="str">
            <v>Winnebago</v>
          </cell>
          <cell r="V6324">
            <v>125000</v>
          </cell>
        </row>
        <row r="6325">
          <cell r="B6325">
            <v>1959</v>
          </cell>
          <cell r="K6325" t="str">
            <v>WORTH</v>
          </cell>
          <cell r="L6325" t="str">
            <v>Worth</v>
          </cell>
          <cell r="V6325">
            <v>115700</v>
          </cell>
        </row>
        <row r="6326">
          <cell r="B6326">
            <v>1959</v>
          </cell>
          <cell r="K6326" t="str">
            <v>WRIGHT</v>
          </cell>
          <cell r="L6326" t="str">
            <v>Wright</v>
          </cell>
          <cell r="V6326">
            <v>173600</v>
          </cell>
        </row>
        <row r="6327">
          <cell r="B6327">
            <v>1959</v>
          </cell>
          <cell r="K6327" t="str">
            <v>ALLAMAKEE</v>
          </cell>
          <cell r="L6327" t="str">
            <v>Allamakee</v>
          </cell>
          <cell r="V6327">
            <v>64000</v>
          </cell>
        </row>
        <row r="6328">
          <cell r="B6328">
            <v>1959</v>
          </cell>
          <cell r="K6328" t="str">
            <v>BLACK HAWK</v>
          </cell>
          <cell r="L6328" t="str">
            <v>Black Hawk</v>
          </cell>
          <cell r="V6328">
            <v>143100</v>
          </cell>
        </row>
        <row r="6329">
          <cell r="B6329">
            <v>1959</v>
          </cell>
          <cell r="K6329" t="str">
            <v>BREMER</v>
          </cell>
          <cell r="L6329" t="str">
            <v>Bremer</v>
          </cell>
          <cell r="V6329">
            <v>105300</v>
          </cell>
        </row>
        <row r="6330">
          <cell r="B6330">
            <v>1959</v>
          </cell>
          <cell r="K6330" t="str">
            <v>BUCHANAN</v>
          </cell>
          <cell r="L6330" t="str">
            <v>Buchanan</v>
          </cell>
          <cell r="V6330">
            <v>141400</v>
          </cell>
        </row>
        <row r="6331">
          <cell r="B6331">
            <v>1959</v>
          </cell>
          <cell r="K6331" t="str">
            <v>CHICKASAW</v>
          </cell>
          <cell r="L6331" t="str">
            <v>Chickasaw</v>
          </cell>
          <cell r="V6331">
            <v>117400</v>
          </cell>
        </row>
        <row r="6332">
          <cell r="B6332">
            <v>1959</v>
          </cell>
          <cell r="K6332" t="str">
            <v>CLAYTON</v>
          </cell>
          <cell r="L6332" t="str">
            <v>Clayton</v>
          </cell>
          <cell r="V6332">
            <v>105100</v>
          </cell>
        </row>
        <row r="6333">
          <cell r="B6333">
            <v>1959</v>
          </cell>
          <cell r="K6333" t="str">
            <v>DELAWARE</v>
          </cell>
          <cell r="L6333" t="str">
            <v>Delaware</v>
          </cell>
          <cell r="V6333">
            <v>128100</v>
          </cell>
        </row>
        <row r="6334">
          <cell r="B6334">
            <v>1959</v>
          </cell>
          <cell r="K6334" t="str">
            <v>DUBUQUE</v>
          </cell>
          <cell r="L6334" t="str">
            <v>Dubuque</v>
          </cell>
          <cell r="V6334">
            <v>94700</v>
          </cell>
        </row>
        <row r="6335">
          <cell r="B6335">
            <v>1959</v>
          </cell>
          <cell r="K6335" t="str">
            <v>FAYETTE</v>
          </cell>
          <cell r="L6335" t="str">
            <v>Fayette</v>
          </cell>
          <cell r="V6335">
            <v>151800</v>
          </cell>
        </row>
        <row r="6336">
          <cell r="B6336">
            <v>1959</v>
          </cell>
          <cell r="K6336" t="str">
            <v>HOWARD</v>
          </cell>
          <cell r="L6336" t="str">
            <v>Howard</v>
          </cell>
          <cell r="V6336">
            <v>105100</v>
          </cell>
        </row>
        <row r="6337">
          <cell r="B6337">
            <v>1959</v>
          </cell>
          <cell r="K6337" t="str">
            <v>WINNESHIEK</v>
          </cell>
          <cell r="L6337" t="str">
            <v>Winneshiek</v>
          </cell>
          <cell r="V6337">
            <v>111400</v>
          </cell>
        </row>
        <row r="6338">
          <cell r="B6338">
            <v>1959</v>
          </cell>
          <cell r="K6338" t="str">
            <v>BUENA VISTA</v>
          </cell>
          <cell r="L6338" t="str">
            <v>Buena Vista</v>
          </cell>
          <cell r="V6338">
            <v>163500</v>
          </cell>
        </row>
        <row r="6339">
          <cell r="B6339">
            <v>1959</v>
          </cell>
          <cell r="K6339" t="str">
            <v>CHEROKEE</v>
          </cell>
          <cell r="L6339" t="str">
            <v>Cherokee</v>
          </cell>
          <cell r="V6339">
            <v>153900</v>
          </cell>
        </row>
        <row r="6340">
          <cell r="B6340">
            <v>1959</v>
          </cell>
          <cell r="K6340" t="str">
            <v>CLAY</v>
          </cell>
          <cell r="L6340" t="str">
            <v>Clay</v>
          </cell>
          <cell r="V6340">
            <v>156100</v>
          </cell>
        </row>
        <row r="6341">
          <cell r="B6341">
            <v>1959</v>
          </cell>
          <cell r="K6341" t="str">
            <v>DICKINSON</v>
          </cell>
          <cell r="L6341" t="str">
            <v>Dickinson</v>
          </cell>
          <cell r="V6341">
            <v>104100</v>
          </cell>
        </row>
        <row r="6342">
          <cell r="B6342">
            <v>1959</v>
          </cell>
          <cell r="K6342" t="str">
            <v>EMMET</v>
          </cell>
          <cell r="L6342" t="str">
            <v>Emmet</v>
          </cell>
          <cell r="V6342">
            <v>116000</v>
          </cell>
        </row>
        <row r="6343">
          <cell r="B6343">
            <v>1959</v>
          </cell>
          <cell r="K6343" t="str">
            <v>LYON</v>
          </cell>
          <cell r="L6343" t="str">
            <v>Lyon</v>
          </cell>
          <cell r="V6343">
            <v>168100</v>
          </cell>
        </row>
        <row r="6344">
          <cell r="B6344">
            <v>1959</v>
          </cell>
          <cell r="K6344" t="str">
            <v>O BRIEN</v>
          </cell>
          <cell r="L6344" t="str">
            <v>O Brien</v>
          </cell>
          <cell r="V6344">
            <v>163000</v>
          </cell>
        </row>
        <row r="6345">
          <cell r="B6345">
            <v>1959</v>
          </cell>
          <cell r="K6345" t="str">
            <v>OSCEOLA</v>
          </cell>
          <cell r="L6345" t="str">
            <v>Osceola</v>
          </cell>
          <cell r="V6345">
            <v>118200</v>
          </cell>
        </row>
        <row r="6346">
          <cell r="B6346">
            <v>1959</v>
          </cell>
          <cell r="K6346" t="str">
            <v>PALO ALTO</v>
          </cell>
          <cell r="L6346" t="str">
            <v>Palo Alto</v>
          </cell>
          <cell r="V6346">
            <v>167900</v>
          </cell>
        </row>
        <row r="6347">
          <cell r="B6347">
            <v>1959</v>
          </cell>
          <cell r="K6347" t="str">
            <v>PLYMOUTH</v>
          </cell>
          <cell r="L6347" t="str">
            <v>Plymouth</v>
          </cell>
          <cell r="V6347">
            <v>241800</v>
          </cell>
        </row>
        <row r="6348">
          <cell r="B6348">
            <v>1959</v>
          </cell>
          <cell r="K6348" t="str">
            <v>POCAHONTAS</v>
          </cell>
          <cell r="L6348" t="str">
            <v>Pocahontas</v>
          </cell>
          <cell r="V6348">
            <v>165200</v>
          </cell>
        </row>
        <row r="6349">
          <cell r="B6349">
            <v>1959</v>
          </cell>
          <cell r="K6349" t="str">
            <v>SIOUX</v>
          </cell>
          <cell r="L6349" t="str">
            <v>Sioux</v>
          </cell>
          <cell r="V6349">
            <v>240100</v>
          </cell>
        </row>
        <row r="6350">
          <cell r="B6350">
            <v>1959</v>
          </cell>
          <cell r="K6350" t="str">
            <v>APPANOOSE</v>
          </cell>
          <cell r="L6350" t="str">
            <v>Appanoose</v>
          </cell>
          <cell r="V6350">
            <v>45100</v>
          </cell>
        </row>
        <row r="6351">
          <cell r="B6351">
            <v>1959</v>
          </cell>
          <cell r="K6351" t="str">
            <v>CLARKE</v>
          </cell>
          <cell r="L6351" t="str">
            <v>Clarke</v>
          </cell>
          <cell r="V6351">
            <v>45100</v>
          </cell>
        </row>
        <row r="6352">
          <cell r="B6352">
            <v>1959</v>
          </cell>
          <cell r="K6352" t="str">
            <v>DECATUR</v>
          </cell>
          <cell r="L6352" t="str">
            <v>Decatur</v>
          </cell>
          <cell r="V6352">
            <v>49000</v>
          </cell>
        </row>
        <row r="6353">
          <cell r="B6353">
            <v>1959</v>
          </cell>
          <cell r="K6353" t="str">
            <v>LUCAS</v>
          </cell>
          <cell r="L6353" t="str">
            <v>Lucas</v>
          </cell>
          <cell r="V6353">
            <v>41900</v>
          </cell>
        </row>
        <row r="6354">
          <cell r="B6354">
            <v>1959</v>
          </cell>
          <cell r="K6354" t="str">
            <v>MADISON</v>
          </cell>
          <cell r="L6354" t="str">
            <v>Madison</v>
          </cell>
          <cell r="V6354">
            <v>82800</v>
          </cell>
        </row>
        <row r="6355">
          <cell r="B6355">
            <v>1959</v>
          </cell>
          <cell r="K6355" t="str">
            <v>MARION</v>
          </cell>
          <cell r="L6355" t="str">
            <v>Marion</v>
          </cell>
          <cell r="V6355">
            <v>92400</v>
          </cell>
        </row>
        <row r="6356">
          <cell r="B6356">
            <v>1959</v>
          </cell>
          <cell r="K6356" t="str">
            <v>MONROE</v>
          </cell>
          <cell r="L6356" t="str">
            <v>Monroe</v>
          </cell>
          <cell r="V6356">
            <v>37300</v>
          </cell>
        </row>
        <row r="6357">
          <cell r="B6357">
            <v>1959</v>
          </cell>
          <cell r="K6357" t="str">
            <v>RINGGOLD</v>
          </cell>
          <cell r="L6357" t="str">
            <v>Ringgold</v>
          </cell>
          <cell r="V6357">
            <v>61700</v>
          </cell>
        </row>
        <row r="6358">
          <cell r="B6358">
            <v>1959</v>
          </cell>
          <cell r="K6358" t="str">
            <v>UNION</v>
          </cell>
          <cell r="L6358" t="str">
            <v>Union</v>
          </cell>
          <cell r="V6358">
            <v>57600</v>
          </cell>
        </row>
        <row r="6359">
          <cell r="B6359">
            <v>1959</v>
          </cell>
          <cell r="K6359" t="str">
            <v>WARREN</v>
          </cell>
          <cell r="L6359" t="str">
            <v>Warren</v>
          </cell>
          <cell r="V6359">
            <v>81100</v>
          </cell>
        </row>
        <row r="6360">
          <cell r="B6360">
            <v>1959</v>
          </cell>
          <cell r="K6360" t="str">
            <v>WAYNE</v>
          </cell>
          <cell r="L6360" t="str">
            <v>Wayne</v>
          </cell>
          <cell r="V6360">
            <v>60000</v>
          </cell>
        </row>
        <row r="6361">
          <cell r="B6361">
            <v>1959</v>
          </cell>
          <cell r="K6361" t="str">
            <v>DAVIS</v>
          </cell>
          <cell r="L6361" t="str">
            <v>Davis</v>
          </cell>
          <cell r="V6361">
            <v>49300</v>
          </cell>
        </row>
        <row r="6362">
          <cell r="B6362">
            <v>1959</v>
          </cell>
          <cell r="K6362" t="str">
            <v>DES MOINES</v>
          </cell>
          <cell r="L6362" t="str">
            <v>Des Moines</v>
          </cell>
          <cell r="V6362">
            <v>79500</v>
          </cell>
        </row>
        <row r="6363">
          <cell r="B6363">
            <v>1959</v>
          </cell>
          <cell r="K6363" t="str">
            <v>HENRY</v>
          </cell>
          <cell r="L6363" t="str">
            <v>Henry</v>
          </cell>
          <cell r="V6363">
            <v>87200</v>
          </cell>
        </row>
        <row r="6364">
          <cell r="B6364">
            <v>1959</v>
          </cell>
          <cell r="K6364" t="str">
            <v>JEFFERSON</v>
          </cell>
          <cell r="L6364" t="str">
            <v>Jefferson</v>
          </cell>
          <cell r="V6364">
            <v>69900</v>
          </cell>
        </row>
        <row r="6365">
          <cell r="B6365">
            <v>1959</v>
          </cell>
          <cell r="K6365" t="str">
            <v>KEOKUK</v>
          </cell>
          <cell r="L6365" t="str">
            <v>Keokuk</v>
          </cell>
          <cell r="V6365">
            <v>110400</v>
          </cell>
        </row>
        <row r="6366">
          <cell r="B6366">
            <v>1959</v>
          </cell>
          <cell r="K6366" t="str">
            <v>LEE</v>
          </cell>
          <cell r="L6366" t="str">
            <v>Lee</v>
          </cell>
          <cell r="V6366">
            <v>78200</v>
          </cell>
        </row>
        <row r="6367">
          <cell r="B6367">
            <v>1959</v>
          </cell>
          <cell r="K6367" t="str">
            <v>LOUISA</v>
          </cell>
          <cell r="L6367" t="str">
            <v>Louisa</v>
          </cell>
          <cell r="V6367">
            <v>84700</v>
          </cell>
        </row>
        <row r="6368">
          <cell r="B6368">
            <v>1959</v>
          </cell>
          <cell r="K6368" t="str">
            <v>MAHASKA</v>
          </cell>
          <cell r="L6368" t="str">
            <v>Mahaska</v>
          </cell>
          <cell r="V6368">
            <v>123100</v>
          </cell>
        </row>
        <row r="6369">
          <cell r="B6369">
            <v>1959</v>
          </cell>
          <cell r="K6369" t="str">
            <v>VAN BUREN</v>
          </cell>
          <cell r="L6369" t="str">
            <v>Van Buren</v>
          </cell>
          <cell r="V6369">
            <v>47800</v>
          </cell>
        </row>
        <row r="6370">
          <cell r="B6370">
            <v>1959</v>
          </cell>
          <cell r="K6370" t="str">
            <v>WAPELLO</v>
          </cell>
          <cell r="L6370" t="str">
            <v>Wapello</v>
          </cell>
          <cell r="V6370">
            <v>59100</v>
          </cell>
        </row>
        <row r="6371">
          <cell r="B6371">
            <v>1959</v>
          </cell>
          <cell r="K6371" t="str">
            <v>WASHINGTON</v>
          </cell>
          <cell r="L6371" t="str">
            <v>Washington</v>
          </cell>
          <cell r="V6371">
            <v>126400</v>
          </cell>
        </row>
        <row r="6372">
          <cell r="B6372">
            <v>1959</v>
          </cell>
          <cell r="K6372" t="str">
            <v>ADAIR</v>
          </cell>
          <cell r="L6372" t="str">
            <v>Adair</v>
          </cell>
          <cell r="V6372">
            <v>97800</v>
          </cell>
        </row>
        <row r="6373">
          <cell r="B6373">
            <v>1959</v>
          </cell>
          <cell r="K6373" t="str">
            <v>ADAMS</v>
          </cell>
          <cell r="L6373" t="str">
            <v>Adams</v>
          </cell>
          <cell r="V6373">
            <v>64600</v>
          </cell>
        </row>
        <row r="6374">
          <cell r="B6374">
            <v>1959</v>
          </cell>
          <cell r="K6374" t="str">
            <v>CASS</v>
          </cell>
          <cell r="L6374" t="str">
            <v>Cass</v>
          </cell>
          <cell r="V6374">
            <v>114800</v>
          </cell>
        </row>
        <row r="6375">
          <cell r="B6375">
            <v>1959</v>
          </cell>
          <cell r="K6375" t="str">
            <v>FREMONT</v>
          </cell>
          <cell r="L6375" t="str">
            <v>Fremont</v>
          </cell>
          <cell r="V6375">
            <v>141000</v>
          </cell>
        </row>
        <row r="6376">
          <cell r="B6376">
            <v>1959</v>
          </cell>
          <cell r="K6376" t="str">
            <v>MILLS</v>
          </cell>
          <cell r="L6376" t="str">
            <v>Mills</v>
          </cell>
          <cell r="V6376">
            <v>119900</v>
          </cell>
        </row>
        <row r="6377">
          <cell r="B6377">
            <v>1959</v>
          </cell>
          <cell r="K6377" t="str">
            <v>MONTGOMERY</v>
          </cell>
          <cell r="L6377" t="str">
            <v>Montgomery</v>
          </cell>
          <cell r="V6377">
            <v>94700</v>
          </cell>
        </row>
        <row r="6378">
          <cell r="B6378">
            <v>1959</v>
          </cell>
          <cell r="K6378" t="str">
            <v>PAGE</v>
          </cell>
          <cell r="L6378" t="str">
            <v>Page</v>
          </cell>
          <cell r="V6378">
            <v>109600</v>
          </cell>
        </row>
        <row r="6379">
          <cell r="B6379">
            <v>1959</v>
          </cell>
          <cell r="K6379" t="str">
            <v>POTTAWATTAMIE</v>
          </cell>
          <cell r="L6379" t="str">
            <v>Pottawattamie</v>
          </cell>
          <cell r="V6379">
            <v>248000</v>
          </cell>
        </row>
        <row r="6380">
          <cell r="B6380">
            <v>1959</v>
          </cell>
          <cell r="K6380" t="str">
            <v>TAYLOR</v>
          </cell>
          <cell r="L6380" t="str">
            <v>Taylor</v>
          </cell>
          <cell r="V6380">
            <v>73400</v>
          </cell>
        </row>
        <row r="6381">
          <cell r="B6381">
            <v>1959</v>
          </cell>
          <cell r="K6381" t="str">
            <v>AUDUBON</v>
          </cell>
          <cell r="L6381" t="str">
            <v>Audubon</v>
          </cell>
          <cell r="V6381">
            <v>99000</v>
          </cell>
        </row>
        <row r="6382">
          <cell r="B6382">
            <v>1959</v>
          </cell>
          <cell r="K6382" t="str">
            <v>CALHOUN</v>
          </cell>
          <cell r="L6382" t="str">
            <v>Calhoun</v>
          </cell>
          <cell r="V6382">
            <v>154400</v>
          </cell>
        </row>
        <row r="6383">
          <cell r="B6383">
            <v>1959</v>
          </cell>
          <cell r="K6383" t="str">
            <v>CARROLL</v>
          </cell>
          <cell r="L6383" t="str">
            <v>Carroll</v>
          </cell>
          <cell r="V6383">
            <v>153700</v>
          </cell>
        </row>
        <row r="6384">
          <cell r="B6384">
            <v>1959</v>
          </cell>
          <cell r="K6384" t="str">
            <v>CRAWFORD</v>
          </cell>
          <cell r="L6384" t="str">
            <v>Crawford</v>
          </cell>
          <cell r="V6384">
            <v>160100</v>
          </cell>
        </row>
        <row r="6385">
          <cell r="B6385">
            <v>1959</v>
          </cell>
          <cell r="K6385" t="str">
            <v>GREENE</v>
          </cell>
          <cell r="L6385" t="str">
            <v>Greene</v>
          </cell>
          <cell r="V6385">
            <v>159800</v>
          </cell>
        </row>
        <row r="6386">
          <cell r="B6386">
            <v>1959</v>
          </cell>
          <cell r="K6386" t="str">
            <v>GUTHRIE</v>
          </cell>
          <cell r="L6386" t="str">
            <v>Guthrie</v>
          </cell>
          <cell r="V6386">
            <v>104200</v>
          </cell>
        </row>
        <row r="6387">
          <cell r="B6387">
            <v>1959</v>
          </cell>
          <cell r="K6387" t="str">
            <v>HARRISON</v>
          </cell>
          <cell r="L6387" t="str">
            <v>Harrison</v>
          </cell>
          <cell r="V6387">
            <v>169100</v>
          </cell>
        </row>
        <row r="6388">
          <cell r="B6388">
            <v>1959</v>
          </cell>
          <cell r="K6388" t="str">
            <v>IDA</v>
          </cell>
          <cell r="L6388" t="str">
            <v>Ida</v>
          </cell>
          <cell r="V6388">
            <v>113400</v>
          </cell>
        </row>
        <row r="6389">
          <cell r="B6389">
            <v>1959</v>
          </cell>
          <cell r="K6389" t="str">
            <v>MONONA</v>
          </cell>
          <cell r="L6389" t="str">
            <v>Monona</v>
          </cell>
          <cell r="V6389">
            <v>155600</v>
          </cell>
        </row>
        <row r="6390">
          <cell r="B6390">
            <v>1959</v>
          </cell>
          <cell r="K6390" t="str">
            <v>SAC</v>
          </cell>
          <cell r="L6390" t="str">
            <v>Sac</v>
          </cell>
          <cell r="V6390">
            <v>154000</v>
          </cell>
        </row>
        <row r="6391">
          <cell r="B6391">
            <v>1959</v>
          </cell>
          <cell r="K6391" t="str">
            <v>SHELBY</v>
          </cell>
          <cell r="L6391" t="str">
            <v>Shelby</v>
          </cell>
          <cell r="V6391">
            <v>153800</v>
          </cell>
        </row>
        <row r="6392">
          <cell r="B6392">
            <v>1959</v>
          </cell>
          <cell r="K6392" t="str">
            <v>WOODBURY</v>
          </cell>
          <cell r="L6392" t="str">
            <v>Woodbury</v>
          </cell>
          <cell r="V6392">
            <v>211200</v>
          </cell>
        </row>
        <row r="6393">
          <cell r="B6393">
            <v>1958</v>
          </cell>
          <cell r="K6393" t="str">
            <v>BOONE</v>
          </cell>
          <cell r="L6393" t="str">
            <v>Boone</v>
          </cell>
          <cell r="V6393">
            <v>114200</v>
          </cell>
        </row>
        <row r="6394">
          <cell r="B6394">
            <v>1958</v>
          </cell>
          <cell r="K6394" t="str">
            <v>DALLAS</v>
          </cell>
          <cell r="L6394" t="str">
            <v>Dallas</v>
          </cell>
          <cell r="V6394">
            <v>107400</v>
          </cell>
        </row>
        <row r="6395">
          <cell r="B6395">
            <v>1958</v>
          </cell>
          <cell r="K6395" t="str">
            <v>GRUNDY</v>
          </cell>
          <cell r="L6395" t="str">
            <v>Grundy</v>
          </cell>
          <cell r="V6395">
            <v>124900</v>
          </cell>
        </row>
        <row r="6396">
          <cell r="B6396">
            <v>1958</v>
          </cell>
          <cell r="K6396" t="str">
            <v>HAMILTON</v>
          </cell>
          <cell r="L6396" t="str">
            <v>Hamilton</v>
          </cell>
          <cell r="V6396">
            <v>145500</v>
          </cell>
        </row>
        <row r="6397">
          <cell r="B6397">
            <v>1958</v>
          </cell>
          <cell r="K6397" t="str">
            <v>HARDIN</v>
          </cell>
          <cell r="L6397" t="str">
            <v>Hardin</v>
          </cell>
          <cell r="V6397">
            <v>131500</v>
          </cell>
        </row>
        <row r="6398">
          <cell r="B6398">
            <v>1958</v>
          </cell>
          <cell r="K6398" t="str">
            <v>JASPER</v>
          </cell>
          <cell r="L6398" t="str">
            <v>Jasper</v>
          </cell>
          <cell r="V6398">
            <v>133100</v>
          </cell>
        </row>
        <row r="6399">
          <cell r="B6399">
            <v>1958</v>
          </cell>
          <cell r="K6399" t="str">
            <v>MARSHALL</v>
          </cell>
          <cell r="L6399" t="str">
            <v>Marshall</v>
          </cell>
          <cell r="V6399">
            <v>122700</v>
          </cell>
        </row>
        <row r="6400">
          <cell r="B6400">
            <v>1958</v>
          </cell>
          <cell r="K6400" t="str">
            <v>POLK</v>
          </cell>
          <cell r="L6400" t="str">
            <v>Polk</v>
          </cell>
          <cell r="V6400">
            <v>80600</v>
          </cell>
        </row>
        <row r="6401">
          <cell r="B6401">
            <v>1958</v>
          </cell>
          <cell r="K6401" t="str">
            <v>POWESHIEK</v>
          </cell>
          <cell r="L6401" t="str">
            <v>Poweshiek</v>
          </cell>
          <cell r="V6401">
            <v>107800</v>
          </cell>
        </row>
        <row r="6402">
          <cell r="B6402">
            <v>1958</v>
          </cell>
          <cell r="K6402" t="str">
            <v>STORY</v>
          </cell>
          <cell r="L6402" t="str">
            <v>Story</v>
          </cell>
          <cell r="V6402">
            <v>124400</v>
          </cell>
        </row>
        <row r="6403">
          <cell r="B6403">
            <v>1958</v>
          </cell>
          <cell r="K6403" t="str">
            <v>TAMA</v>
          </cell>
          <cell r="L6403" t="str">
            <v>Tama</v>
          </cell>
          <cell r="V6403">
            <v>140800</v>
          </cell>
        </row>
        <row r="6404">
          <cell r="B6404">
            <v>1958</v>
          </cell>
          <cell r="K6404" t="str">
            <v>WEBSTER</v>
          </cell>
          <cell r="L6404" t="str">
            <v>Webster</v>
          </cell>
          <cell r="V6404">
            <v>127100</v>
          </cell>
        </row>
        <row r="6405">
          <cell r="B6405">
            <v>1958</v>
          </cell>
          <cell r="K6405" t="str">
            <v>BENTON</v>
          </cell>
          <cell r="L6405" t="str">
            <v>Benton</v>
          </cell>
          <cell r="V6405">
            <v>158100</v>
          </cell>
        </row>
        <row r="6406">
          <cell r="B6406">
            <v>1958</v>
          </cell>
          <cell r="K6406" t="str">
            <v>CEDAR</v>
          </cell>
          <cell r="L6406" t="str">
            <v>Cedar</v>
          </cell>
          <cell r="V6406">
            <v>128700</v>
          </cell>
        </row>
        <row r="6407">
          <cell r="B6407">
            <v>1958</v>
          </cell>
          <cell r="K6407" t="str">
            <v>CLINTON</v>
          </cell>
          <cell r="L6407" t="str">
            <v>Clinton</v>
          </cell>
          <cell r="V6407">
            <v>159200</v>
          </cell>
        </row>
        <row r="6408">
          <cell r="B6408">
            <v>1958</v>
          </cell>
          <cell r="K6408" t="str">
            <v>IOWA</v>
          </cell>
          <cell r="L6408" t="str">
            <v>Iowa</v>
          </cell>
          <cell r="V6408">
            <v>108600</v>
          </cell>
        </row>
        <row r="6409">
          <cell r="B6409">
            <v>1958</v>
          </cell>
          <cell r="K6409" t="str">
            <v>JACKSON</v>
          </cell>
          <cell r="L6409" t="str">
            <v>Jackson</v>
          </cell>
          <cell r="V6409">
            <v>78600</v>
          </cell>
        </row>
        <row r="6410">
          <cell r="B6410">
            <v>1958</v>
          </cell>
          <cell r="K6410" t="str">
            <v>JOHNSON</v>
          </cell>
          <cell r="L6410" t="str">
            <v>Johnson</v>
          </cell>
          <cell r="V6410">
            <v>109200</v>
          </cell>
        </row>
        <row r="6411">
          <cell r="B6411">
            <v>1958</v>
          </cell>
          <cell r="K6411" t="str">
            <v>JONES</v>
          </cell>
          <cell r="L6411" t="str">
            <v>Jones</v>
          </cell>
          <cell r="V6411">
            <v>110300</v>
          </cell>
        </row>
        <row r="6412">
          <cell r="B6412">
            <v>1958</v>
          </cell>
          <cell r="K6412" t="str">
            <v>LINN</v>
          </cell>
          <cell r="L6412" t="str">
            <v>Linn</v>
          </cell>
          <cell r="V6412">
            <v>141100</v>
          </cell>
        </row>
        <row r="6413">
          <cell r="B6413">
            <v>1958</v>
          </cell>
          <cell r="K6413" t="str">
            <v>MUSCATINE</v>
          </cell>
          <cell r="L6413" t="str">
            <v>Muscatine</v>
          </cell>
          <cell r="V6413">
            <v>79900</v>
          </cell>
        </row>
        <row r="6414">
          <cell r="B6414">
            <v>1958</v>
          </cell>
          <cell r="K6414" t="str">
            <v>SCOTT</v>
          </cell>
          <cell r="L6414" t="str">
            <v>Scott</v>
          </cell>
          <cell r="V6414">
            <v>99800</v>
          </cell>
        </row>
        <row r="6415">
          <cell r="B6415">
            <v>1958</v>
          </cell>
          <cell r="K6415" t="str">
            <v>BUTLER</v>
          </cell>
          <cell r="L6415" t="str">
            <v>Butler</v>
          </cell>
          <cell r="V6415">
            <v>136000</v>
          </cell>
        </row>
        <row r="6416">
          <cell r="B6416">
            <v>1958</v>
          </cell>
          <cell r="K6416" t="str">
            <v>CERRO GORDO</v>
          </cell>
          <cell r="L6416" t="str">
            <v>Cerro Gordo</v>
          </cell>
          <cell r="V6416">
            <v>130100</v>
          </cell>
        </row>
        <row r="6417">
          <cell r="B6417">
            <v>1958</v>
          </cell>
          <cell r="K6417" t="str">
            <v>FLOYD</v>
          </cell>
          <cell r="L6417" t="str">
            <v>Floyd</v>
          </cell>
          <cell r="V6417">
            <v>114300</v>
          </cell>
        </row>
        <row r="6418">
          <cell r="B6418">
            <v>1958</v>
          </cell>
          <cell r="K6418" t="str">
            <v>FRANKLIN</v>
          </cell>
          <cell r="L6418" t="str">
            <v>Franklin</v>
          </cell>
          <cell r="V6418">
            <v>151400</v>
          </cell>
        </row>
        <row r="6419">
          <cell r="B6419">
            <v>1958</v>
          </cell>
          <cell r="K6419" t="str">
            <v>HANCOCK</v>
          </cell>
          <cell r="L6419" t="str">
            <v>Hancock</v>
          </cell>
          <cell r="V6419">
            <v>133000</v>
          </cell>
        </row>
        <row r="6420">
          <cell r="B6420">
            <v>1958</v>
          </cell>
          <cell r="K6420" t="str">
            <v>HUMBOLDT</v>
          </cell>
          <cell r="L6420" t="str">
            <v>Humboldt</v>
          </cell>
          <cell r="V6420">
            <v>92600</v>
          </cell>
        </row>
        <row r="6421">
          <cell r="B6421">
            <v>1958</v>
          </cell>
          <cell r="K6421" t="str">
            <v>KOSSUTH</v>
          </cell>
          <cell r="L6421" t="str">
            <v>Kossuth</v>
          </cell>
          <cell r="V6421">
            <v>213600</v>
          </cell>
        </row>
        <row r="6422">
          <cell r="B6422">
            <v>1958</v>
          </cell>
          <cell r="K6422" t="str">
            <v>MITCHELL</v>
          </cell>
          <cell r="L6422" t="str">
            <v>Mitchell</v>
          </cell>
          <cell r="V6422">
            <v>111600</v>
          </cell>
        </row>
        <row r="6423">
          <cell r="B6423">
            <v>1958</v>
          </cell>
          <cell r="K6423" t="str">
            <v>WINNEBAGO</v>
          </cell>
          <cell r="L6423" t="str">
            <v>Winnebago</v>
          </cell>
          <cell r="V6423">
            <v>92400</v>
          </cell>
        </row>
        <row r="6424">
          <cell r="B6424">
            <v>1958</v>
          </cell>
          <cell r="K6424" t="str">
            <v>WORTH</v>
          </cell>
          <cell r="L6424" t="str">
            <v>Worth</v>
          </cell>
          <cell r="V6424">
            <v>87900</v>
          </cell>
        </row>
        <row r="6425">
          <cell r="B6425">
            <v>1958</v>
          </cell>
          <cell r="K6425" t="str">
            <v>WRIGHT</v>
          </cell>
          <cell r="L6425" t="str">
            <v>Wright</v>
          </cell>
          <cell r="V6425">
            <v>133100</v>
          </cell>
        </row>
        <row r="6426">
          <cell r="B6426">
            <v>1958</v>
          </cell>
          <cell r="K6426" t="str">
            <v>ALLAMAKEE</v>
          </cell>
          <cell r="L6426" t="str">
            <v>Allamakee</v>
          </cell>
          <cell r="V6426">
            <v>56500</v>
          </cell>
        </row>
        <row r="6427">
          <cell r="B6427">
            <v>1958</v>
          </cell>
          <cell r="K6427" t="str">
            <v>BLACK HAWK</v>
          </cell>
          <cell r="L6427" t="str">
            <v>Black Hawk</v>
          </cell>
          <cell r="V6427">
            <v>120200</v>
          </cell>
        </row>
        <row r="6428">
          <cell r="B6428">
            <v>1958</v>
          </cell>
          <cell r="K6428" t="str">
            <v>BREMER</v>
          </cell>
          <cell r="L6428" t="str">
            <v>Bremer</v>
          </cell>
          <cell r="V6428">
            <v>89300</v>
          </cell>
        </row>
        <row r="6429">
          <cell r="B6429">
            <v>1958</v>
          </cell>
          <cell r="K6429" t="str">
            <v>BUCHANAN</v>
          </cell>
          <cell r="L6429" t="str">
            <v>Buchanan</v>
          </cell>
          <cell r="V6429">
            <v>115600</v>
          </cell>
        </row>
        <row r="6430">
          <cell r="B6430">
            <v>1958</v>
          </cell>
          <cell r="K6430" t="str">
            <v>CHICKASAW</v>
          </cell>
          <cell r="L6430" t="str">
            <v>Chickasaw</v>
          </cell>
          <cell r="V6430">
            <v>94800</v>
          </cell>
        </row>
        <row r="6431">
          <cell r="B6431">
            <v>1958</v>
          </cell>
          <cell r="K6431" t="str">
            <v>CLAYTON</v>
          </cell>
          <cell r="L6431" t="str">
            <v>Clayton</v>
          </cell>
          <cell r="V6431">
            <v>96300</v>
          </cell>
        </row>
        <row r="6432">
          <cell r="B6432">
            <v>1958</v>
          </cell>
          <cell r="K6432" t="str">
            <v>DELAWARE</v>
          </cell>
          <cell r="L6432" t="str">
            <v>Delaware</v>
          </cell>
          <cell r="V6432">
            <v>116200</v>
          </cell>
        </row>
        <row r="6433">
          <cell r="B6433">
            <v>1958</v>
          </cell>
          <cell r="K6433" t="str">
            <v>DUBUQUE</v>
          </cell>
          <cell r="L6433" t="str">
            <v>Dubuque</v>
          </cell>
          <cell r="V6433">
            <v>91500</v>
          </cell>
        </row>
        <row r="6434">
          <cell r="B6434">
            <v>1958</v>
          </cell>
          <cell r="K6434" t="str">
            <v>FAYETTE</v>
          </cell>
          <cell r="L6434" t="str">
            <v>Fayette</v>
          </cell>
          <cell r="V6434">
            <v>126500</v>
          </cell>
        </row>
        <row r="6435">
          <cell r="B6435">
            <v>1958</v>
          </cell>
          <cell r="K6435" t="str">
            <v>HOWARD</v>
          </cell>
          <cell r="L6435" t="str">
            <v>Howard</v>
          </cell>
          <cell r="V6435">
            <v>85700</v>
          </cell>
        </row>
        <row r="6436">
          <cell r="B6436">
            <v>1958</v>
          </cell>
          <cell r="K6436" t="str">
            <v>WINNESHIEK</v>
          </cell>
          <cell r="L6436" t="str">
            <v>Winneshiek</v>
          </cell>
          <cell r="V6436">
            <v>98200</v>
          </cell>
        </row>
        <row r="6437">
          <cell r="B6437">
            <v>1958</v>
          </cell>
          <cell r="K6437" t="str">
            <v>BUENA VISTA</v>
          </cell>
          <cell r="L6437" t="str">
            <v>Buena Vista</v>
          </cell>
          <cell r="V6437">
            <v>125400</v>
          </cell>
        </row>
        <row r="6438">
          <cell r="B6438">
            <v>1958</v>
          </cell>
          <cell r="K6438" t="str">
            <v>CHEROKEE</v>
          </cell>
          <cell r="L6438" t="str">
            <v>Cherokee</v>
          </cell>
          <cell r="V6438">
            <v>125400</v>
          </cell>
        </row>
        <row r="6439">
          <cell r="B6439">
            <v>1958</v>
          </cell>
          <cell r="K6439" t="str">
            <v>CLAY</v>
          </cell>
          <cell r="L6439" t="str">
            <v>Clay</v>
          </cell>
          <cell r="V6439">
            <v>125200</v>
          </cell>
        </row>
        <row r="6440">
          <cell r="B6440">
            <v>1958</v>
          </cell>
          <cell r="K6440" t="str">
            <v>DICKINSON</v>
          </cell>
          <cell r="L6440" t="str">
            <v>Dickinson</v>
          </cell>
          <cell r="V6440">
            <v>80900</v>
          </cell>
        </row>
        <row r="6441">
          <cell r="B6441">
            <v>1958</v>
          </cell>
          <cell r="K6441" t="str">
            <v>EMMET</v>
          </cell>
          <cell r="L6441" t="str">
            <v>Emmet</v>
          </cell>
          <cell r="V6441">
            <v>88900</v>
          </cell>
        </row>
        <row r="6442">
          <cell r="B6442">
            <v>1958</v>
          </cell>
          <cell r="K6442" t="str">
            <v>LYON</v>
          </cell>
          <cell r="L6442" t="str">
            <v>Lyon</v>
          </cell>
          <cell r="V6442">
            <v>144000</v>
          </cell>
        </row>
        <row r="6443">
          <cell r="B6443">
            <v>1958</v>
          </cell>
          <cell r="K6443" t="str">
            <v>O BRIEN</v>
          </cell>
          <cell r="L6443" t="str">
            <v>O Brien</v>
          </cell>
          <cell r="V6443">
            <v>129600</v>
          </cell>
        </row>
        <row r="6444">
          <cell r="B6444">
            <v>1958</v>
          </cell>
          <cell r="K6444" t="str">
            <v>OSCEOLA</v>
          </cell>
          <cell r="L6444" t="str">
            <v>Osceola</v>
          </cell>
          <cell r="V6444">
            <v>96100</v>
          </cell>
        </row>
        <row r="6445">
          <cell r="B6445">
            <v>1958</v>
          </cell>
          <cell r="K6445" t="str">
            <v>PALO ALTO</v>
          </cell>
          <cell r="L6445" t="str">
            <v>Palo Alto</v>
          </cell>
          <cell r="V6445">
            <v>129500</v>
          </cell>
        </row>
        <row r="6446">
          <cell r="B6446">
            <v>1958</v>
          </cell>
          <cell r="K6446" t="str">
            <v>PLYMOUTH</v>
          </cell>
          <cell r="L6446" t="str">
            <v>Plymouth</v>
          </cell>
          <cell r="V6446">
            <v>200300</v>
          </cell>
        </row>
        <row r="6447">
          <cell r="B6447">
            <v>1958</v>
          </cell>
          <cell r="K6447" t="str">
            <v>POCAHONTAS</v>
          </cell>
          <cell r="L6447" t="str">
            <v>Pocahontas</v>
          </cell>
          <cell r="V6447">
            <v>116900</v>
          </cell>
        </row>
        <row r="6448">
          <cell r="B6448">
            <v>1958</v>
          </cell>
          <cell r="K6448" t="str">
            <v>SIOUX</v>
          </cell>
          <cell r="L6448" t="str">
            <v>Sioux</v>
          </cell>
          <cell r="V6448">
            <v>204900</v>
          </cell>
        </row>
        <row r="6449">
          <cell r="B6449">
            <v>1958</v>
          </cell>
          <cell r="K6449" t="str">
            <v>APPANOOSE</v>
          </cell>
          <cell r="L6449" t="str">
            <v>Appanoose</v>
          </cell>
          <cell r="V6449">
            <v>33400</v>
          </cell>
        </row>
        <row r="6450">
          <cell r="B6450">
            <v>1958</v>
          </cell>
          <cell r="K6450" t="str">
            <v>CLARKE</v>
          </cell>
          <cell r="L6450" t="str">
            <v>Clarke</v>
          </cell>
          <cell r="V6450">
            <v>35000</v>
          </cell>
        </row>
        <row r="6451">
          <cell r="B6451">
            <v>1958</v>
          </cell>
          <cell r="K6451" t="str">
            <v>DECATUR</v>
          </cell>
          <cell r="L6451" t="str">
            <v>Decatur</v>
          </cell>
          <cell r="V6451">
            <v>39200</v>
          </cell>
        </row>
        <row r="6452">
          <cell r="B6452">
            <v>1958</v>
          </cell>
          <cell r="K6452" t="str">
            <v>LUCAS</v>
          </cell>
          <cell r="L6452" t="str">
            <v>Lucas</v>
          </cell>
          <cell r="V6452">
            <v>33800</v>
          </cell>
        </row>
        <row r="6453">
          <cell r="B6453">
            <v>1958</v>
          </cell>
          <cell r="K6453" t="str">
            <v>MADISON</v>
          </cell>
          <cell r="L6453" t="str">
            <v>Madison</v>
          </cell>
          <cell r="V6453">
            <v>67200</v>
          </cell>
        </row>
        <row r="6454">
          <cell r="B6454">
            <v>1958</v>
          </cell>
          <cell r="K6454" t="str">
            <v>MARION</v>
          </cell>
          <cell r="L6454" t="str">
            <v>Marion</v>
          </cell>
          <cell r="V6454">
            <v>73700</v>
          </cell>
        </row>
        <row r="6455">
          <cell r="B6455">
            <v>1958</v>
          </cell>
          <cell r="K6455" t="str">
            <v>MONROE</v>
          </cell>
          <cell r="L6455" t="str">
            <v>Monroe</v>
          </cell>
          <cell r="V6455">
            <v>32900</v>
          </cell>
        </row>
        <row r="6456">
          <cell r="B6456">
            <v>1958</v>
          </cell>
          <cell r="K6456" t="str">
            <v>RINGGOLD</v>
          </cell>
          <cell r="L6456" t="str">
            <v>Ringgold</v>
          </cell>
          <cell r="V6456">
            <v>44500</v>
          </cell>
        </row>
        <row r="6457">
          <cell r="B6457">
            <v>1958</v>
          </cell>
          <cell r="K6457" t="str">
            <v>UNION</v>
          </cell>
          <cell r="L6457" t="str">
            <v>Union</v>
          </cell>
          <cell r="V6457">
            <v>43100</v>
          </cell>
        </row>
        <row r="6458">
          <cell r="B6458">
            <v>1958</v>
          </cell>
          <cell r="K6458" t="str">
            <v>WARREN</v>
          </cell>
          <cell r="L6458" t="str">
            <v>Warren</v>
          </cell>
          <cell r="V6458">
            <v>64400</v>
          </cell>
        </row>
        <row r="6459">
          <cell r="B6459">
            <v>1958</v>
          </cell>
          <cell r="K6459" t="str">
            <v>WAYNE</v>
          </cell>
          <cell r="L6459" t="str">
            <v>Wayne</v>
          </cell>
          <cell r="V6459">
            <v>48500</v>
          </cell>
        </row>
        <row r="6460">
          <cell r="B6460">
            <v>1958</v>
          </cell>
          <cell r="K6460" t="str">
            <v>DAVIS</v>
          </cell>
          <cell r="L6460" t="str">
            <v>Davis</v>
          </cell>
          <cell r="V6460">
            <v>36800</v>
          </cell>
        </row>
        <row r="6461">
          <cell r="B6461">
            <v>1958</v>
          </cell>
          <cell r="K6461" t="str">
            <v>DES MOINES</v>
          </cell>
          <cell r="L6461" t="str">
            <v>Des Moines</v>
          </cell>
          <cell r="V6461">
            <v>60700</v>
          </cell>
        </row>
        <row r="6462">
          <cell r="B6462">
            <v>1958</v>
          </cell>
          <cell r="K6462" t="str">
            <v>HENRY</v>
          </cell>
          <cell r="L6462" t="str">
            <v>Henry</v>
          </cell>
          <cell r="V6462">
            <v>71700</v>
          </cell>
        </row>
        <row r="6463">
          <cell r="B6463">
            <v>1958</v>
          </cell>
          <cell r="K6463" t="str">
            <v>JEFFERSON</v>
          </cell>
          <cell r="L6463" t="str">
            <v>Jefferson</v>
          </cell>
          <cell r="V6463">
            <v>55700</v>
          </cell>
        </row>
        <row r="6464">
          <cell r="B6464">
            <v>1958</v>
          </cell>
          <cell r="K6464" t="str">
            <v>KEOKUK</v>
          </cell>
          <cell r="L6464" t="str">
            <v>Keokuk</v>
          </cell>
          <cell r="V6464">
            <v>92100</v>
          </cell>
        </row>
        <row r="6465">
          <cell r="B6465">
            <v>1958</v>
          </cell>
          <cell r="K6465" t="str">
            <v>LEE</v>
          </cell>
          <cell r="L6465" t="str">
            <v>Lee</v>
          </cell>
          <cell r="V6465">
            <v>63400</v>
          </cell>
        </row>
        <row r="6466">
          <cell r="B6466">
            <v>1958</v>
          </cell>
          <cell r="K6466" t="str">
            <v>LOUISA</v>
          </cell>
          <cell r="L6466" t="str">
            <v>Louisa</v>
          </cell>
          <cell r="V6466">
            <v>68600</v>
          </cell>
        </row>
        <row r="6467">
          <cell r="B6467">
            <v>1958</v>
          </cell>
          <cell r="K6467" t="str">
            <v>MAHASKA</v>
          </cell>
          <cell r="L6467" t="str">
            <v>Mahaska</v>
          </cell>
          <cell r="V6467">
            <v>107800</v>
          </cell>
        </row>
        <row r="6468">
          <cell r="B6468">
            <v>1958</v>
          </cell>
          <cell r="K6468" t="str">
            <v>VAN BUREN</v>
          </cell>
          <cell r="L6468" t="str">
            <v>Van Buren</v>
          </cell>
          <cell r="V6468">
            <v>36600</v>
          </cell>
        </row>
        <row r="6469">
          <cell r="B6469">
            <v>1958</v>
          </cell>
          <cell r="K6469" t="str">
            <v>WAPELLO</v>
          </cell>
          <cell r="L6469" t="str">
            <v>Wapello</v>
          </cell>
          <cell r="V6469">
            <v>48700</v>
          </cell>
        </row>
        <row r="6470">
          <cell r="B6470">
            <v>1958</v>
          </cell>
          <cell r="K6470" t="str">
            <v>WASHINGTON</v>
          </cell>
          <cell r="L6470" t="str">
            <v>Washington</v>
          </cell>
          <cell r="V6470">
            <v>110100</v>
          </cell>
        </row>
        <row r="6471">
          <cell r="B6471">
            <v>1958</v>
          </cell>
          <cell r="K6471" t="str">
            <v>ADAIR</v>
          </cell>
          <cell r="L6471" t="str">
            <v>Adair</v>
          </cell>
          <cell r="V6471">
            <v>80700</v>
          </cell>
        </row>
        <row r="6472">
          <cell r="B6472">
            <v>1958</v>
          </cell>
          <cell r="K6472" t="str">
            <v>ADAMS</v>
          </cell>
          <cell r="L6472" t="str">
            <v>Adams</v>
          </cell>
          <cell r="V6472">
            <v>47300</v>
          </cell>
        </row>
        <row r="6473">
          <cell r="B6473">
            <v>1958</v>
          </cell>
          <cell r="K6473" t="str">
            <v>CASS</v>
          </cell>
          <cell r="L6473" t="str">
            <v>Cass</v>
          </cell>
          <cell r="V6473">
            <v>94100</v>
          </cell>
        </row>
        <row r="6474">
          <cell r="B6474">
            <v>1958</v>
          </cell>
          <cell r="K6474" t="str">
            <v>FREMONT</v>
          </cell>
          <cell r="L6474" t="str">
            <v>Fremont</v>
          </cell>
          <cell r="V6474">
            <v>88600</v>
          </cell>
        </row>
        <row r="6475">
          <cell r="B6475">
            <v>1958</v>
          </cell>
          <cell r="K6475" t="str">
            <v>MILLS</v>
          </cell>
          <cell r="L6475" t="str">
            <v>Mills</v>
          </cell>
          <cell r="V6475">
            <v>74300</v>
          </cell>
        </row>
        <row r="6476">
          <cell r="B6476">
            <v>1958</v>
          </cell>
          <cell r="K6476" t="str">
            <v>MONTGOMERY</v>
          </cell>
          <cell r="L6476" t="str">
            <v>Montgomery</v>
          </cell>
          <cell r="V6476">
            <v>69700</v>
          </cell>
        </row>
        <row r="6477">
          <cell r="B6477">
            <v>1958</v>
          </cell>
          <cell r="K6477" t="str">
            <v>PAGE</v>
          </cell>
          <cell r="L6477" t="str">
            <v>Page</v>
          </cell>
          <cell r="V6477">
            <v>77300</v>
          </cell>
        </row>
        <row r="6478">
          <cell r="B6478">
            <v>1958</v>
          </cell>
          <cell r="K6478" t="str">
            <v>POTTAWATTAMIE</v>
          </cell>
          <cell r="L6478" t="str">
            <v>Pottawattamie</v>
          </cell>
          <cell r="V6478">
            <v>197800</v>
          </cell>
        </row>
        <row r="6479">
          <cell r="B6479">
            <v>1958</v>
          </cell>
          <cell r="K6479" t="str">
            <v>TAYLOR</v>
          </cell>
          <cell r="L6479" t="str">
            <v>Taylor</v>
          </cell>
          <cell r="V6479">
            <v>51500</v>
          </cell>
        </row>
        <row r="6480">
          <cell r="B6480">
            <v>1958</v>
          </cell>
          <cell r="K6480" t="str">
            <v>AUDUBON</v>
          </cell>
          <cell r="L6480" t="str">
            <v>Audubon</v>
          </cell>
          <cell r="V6480">
            <v>80700</v>
          </cell>
        </row>
        <row r="6481">
          <cell r="B6481">
            <v>1958</v>
          </cell>
          <cell r="K6481" t="str">
            <v>CALHOUN</v>
          </cell>
          <cell r="L6481" t="str">
            <v>Calhoun</v>
          </cell>
          <cell r="V6481">
            <v>108300</v>
          </cell>
        </row>
        <row r="6482">
          <cell r="B6482">
            <v>1958</v>
          </cell>
          <cell r="K6482" t="str">
            <v>CARROLL</v>
          </cell>
          <cell r="L6482" t="str">
            <v>Carroll</v>
          </cell>
          <cell r="V6482">
            <v>122600</v>
          </cell>
        </row>
        <row r="6483">
          <cell r="B6483">
            <v>1958</v>
          </cell>
          <cell r="K6483" t="str">
            <v>CRAWFORD</v>
          </cell>
          <cell r="L6483" t="str">
            <v>Crawford</v>
          </cell>
          <cell r="V6483">
            <v>133900</v>
          </cell>
        </row>
        <row r="6484">
          <cell r="B6484">
            <v>1958</v>
          </cell>
          <cell r="K6484" t="str">
            <v>GREENE</v>
          </cell>
          <cell r="L6484" t="str">
            <v>Greene</v>
          </cell>
          <cell r="V6484">
            <v>125200</v>
          </cell>
        </row>
        <row r="6485">
          <cell r="B6485">
            <v>1958</v>
          </cell>
          <cell r="K6485" t="str">
            <v>GUTHRIE</v>
          </cell>
          <cell r="L6485" t="str">
            <v>Guthrie</v>
          </cell>
          <cell r="V6485">
            <v>78400</v>
          </cell>
        </row>
        <row r="6486">
          <cell r="B6486">
            <v>1958</v>
          </cell>
          <cell r="K6486" t="str">
            <v>HARRISON</v>
          </cell>
          <cell r="L6486" t="str">
            <v>Harrison</v>
          </cell>
          <cell r="V6486">
            <v>121000</v>
          </cell>
        </row>
        <row r="6487">
          <cell r="B6487">
            <v>1958</v>
          </cell>
          <cell r="K6487" t="str">
            <v>IDA</v>
          </cell>
          <cell r="L6487" t="str">
            <v>Ida</v>
          </cell>
          <cell r="V6487">
            <v>91200</v>
          </cell>
        </row>
        <row r="6488">
          <cell r="B6488">
            <v>1958</v>
          </cell>
          <cell r="K6488" t="str">
            <v>MONONA</v>
          </cell>
          <cell r="L6488" t="str">
            <v>Monona</v>
          </cell>
          <cell r="V6488">
            <v>123000</v>
          </cell>
        </row>
        <row r="6489">
          <cell r="B6489">
            <v>1958</v>
          </cell>
          <cell r="K6489" t="str">
            <v>SAC</v>
          </cell>
          <cell r="L6489" t="str">
            <v>Sac</v>
          </cell>
          <cell r="V6489">
            <v>123700</v>
          </cell>
        </row>
        <row r="6490">
          <cell r="B6490">
            <v>1958</v>
          </cell>
          <cell r="K6490" t="str">
            <v>SHELBY</v>
          </cell>
          <cell r="L6490" t="str">
            <v>Shelby</v>
          </cell>
          <cell r="V6490">
            <v>125400</v>
          </cell>
        </row>
        <row r="6491">
          <cell r="B6491">
            <v>1958</v>
          </cell>
          <cell r="K6491" t="str">
            <v>WOODBURY</v>
          </cell>
          <cell r="L6491" t="str">
            <v>Woodbury</v>
          </cell>
          <cell r="V6491">
            <v>166000</v>
          </cell>
        </row>
        <row r="6492">
          <cell r="B6492">
            <v>1957</v>
          </cell>
          <cell r="K6492" t="str">
            <v>BOONE</v>
          </cell>
          <cell r="L6492" t="str">
            <v>Boone</v>
          </cell>
          <cell r="V6492">
            <v>117000</v>
          </cell>
        </row>
        <row r="6493">
          <cell r="B6493">
            <v>1957</v>
          </cell>
          <cell r="K6493" t="str">
            <v>DALLAS</v>
          </cell>
          <cell r="L6493" t="str">
            <v>Dallas</v>
          </cell>
          <cell r="V6493">
            <v>108500</v>
          </cell>
        </row>
        <row r="6494">
          <cell r="B6494">
            <v>1957</v>
          </cell>
          <cell r="K6494" t="str">
            <v>GRUNDY</v>
          </cell>
          <cell r="L6494" t="str">
            <v>Grundy</v>
          </cell>
          <cell r="V6494">
            <v>122900</v>
          </cell>
        </row>
        <row r="6495">
          <cell r="B6495">
            <v>1957</v>
          </cell>
          <cell r="K6495" t="str">
            <v>HAMILTON</v>
          </cell>
          <cell r="L6495" t="str">
            <v>Hamilton</v>
          </cell>
          <cell r="V6495">
            <v>143100</v>
          </cell>
        </row>
        <row r="6496">
          <cell r="B6496">
            <v>1957</v>
          </cell>
          <cell r="K6496" t="str">
            <v>HARDIN</v>
          </cell>
          <cell r="L6496" t="str">
            <v>Hardin</v>
          </cell>
          <cell r="V6496">
            <v>127600</v>
          </cell>
        </row>
        <row r="6497">
          <cell r="B6497">
            <v>1957</v>
          </cell>
          <cell r="K6497" t="str">
            <v>JASPER</v>
          </cell>
          <cell r="L6497" t="str">
            <v>Jasper</v>
          </cell>
          <cell r="V6497">
            <v>138100</v>
          </cell>
        </row>
        <row r="6498">
          <cell r="B6498">
            <v>1957</v>
          </cell>
          <cell r="K6498" t="str">
            <v>MARSHALL</v>
          </cell>
          <cell r="L6498" t="str">
            <v>Marshall</v>
          </cell>
          <cell r="V6498">
            <v>121500</v>
          </cell>
        </row>
        <row r="6499">
          <cell r="B6499">
            <v>1957</v>
          </cell>
          <cell r="K6499" t="str">
            <v>POLK</v>
          </cell>
          <cell r="L6499" t="str">
            <v>Polk</v>
          </cell>
          <cell r="V6499">
            <v>88200</v>
          </cell>
        </row>
        <row r="6500">
          <cell r="B6500">
            <v>1957</v>
          </cell>
          <cell r="K6500" t="str">
            <v>POWESHIEK</v>
          </cell>
          <cell r="L6500" t="str">
            <v>Poweshiek</v>
          </cell>
          <cell r="V6500">
            <v>111500</v>
          </cell>
        </row>
        <row r="6501">
          <cell r="B6501">
            <v>1957</v>
          </cell>
          <cell r="K6501" t="str">
            <v>STORY</v>
          </cell>
          <cell r="L6501" t="str">
            <v>Story</v>
          </cell>
          <cell r="V6501">
            <v>127100</v>
          </cell>
        </row>
        <row r="6502">
          <cell r="B6502">
            <v>1957</v>
          </cell>
          <cell r="K6502" t="str">
            <v>TAMA</v>
          </cell>
          <cell r="L6502" t="str">
            <v>Tama</v>
          </cell>
          <cell r="V6502">
            <v>139000</v>
          </cell>
        </row>
        <row r="6503">
          <cell r="B6503">
            <v>1957</v>
          </cell>
          <cell r="K6503" t="str">
            <v>WEBSTER</v>
          </cell>
          <cell r="L6503" t="str">
            <v>Webster</v>
          </cell>
          <cell r="V6503">
            <v>131400</v>
          </cell>
        </row>
        <row r="6504">
          <cell r="B6504">
            <v>1957</v>
          </cell>
          <cell r="K6504" t="str">
            <v>BENTON</v>
          </cell>
          <cell r="L6504" t="str">
            <v>Benton</v>
          </cell>
          <cell r="V6504">
            <v>153400</v>
          </cell>
        </row>
        <row r="6505">
          <cell r="B6505">
            <v>1957</v>
          </cell>
          <cell r="K6505" t="str">
            <v>CEDAR</v>
          </cell>
          <cell r="L6505" t="str">
            <v>Cedar</v>
          </cell>
          <cell r="V6505">
            <v>130100</v>
          </cell>
        </row>
        <row r="6506">
          <cell r="B6506">
            <v>1957</v>
          </cell>
          <cell r="K6506" t="str">
            <v>CLINTON</v>
          </cell>
          <cell r="L6506" t="str">
            <v>Clinton</v>
          </cell>
          <cell r="V6506">
            <v>157200</v>
          </cell>
        </row>
        <row r="6507">
          <cell r="B6507">
            <v>1957</v>
          </cell>
          <cell r="K6507" t="str">
            <v>IOWA</v>
          </cell>
          <cell r="L6507" t="str">
            <v>Iowa</v>
          </cell>
          <cell r="V6507">
            <v>109300</v>
          </cell>
        </row>
        <row r="6508">
          <cell r="B6508">
            <v>1957</v>
          </cell>
          <cell r="K6508" t="str">
            <v>JACKSON</v>
          </cell>
          <cell r="L6508" t="str">
            <v>Jackson</v>
          </cell>
          <cell r="V6508">
            <v>77700</v>
          </cell>
        </row>
        <row r="6509">
          <cell r="B6509">
            <v>1957</v>
          </cell>
          <cell r="K6509" t="str">
            <v>JOHNSON</v>
          </cell>
          <cell r="L6509" t="str">
            <v>Johnson</v>
          </cell>
          <cell r="V6509">
            <v>116100</v>
          </cell>
        </row>
        <row r="6510">
          <cell r="B6510">
            <v>1957</v>
          </cell>
          <cell r="K6510" t="str">
            <v>JONES</v>
          </cell>
          <cell r="L6510" t="str">
            <v>Jones</v>
          </cell>
          <cell r="V6510">
            <v>107000</v>
          </cell>
        </row>
        <row r="6511">
          <cell r="B6511">
            <v>1957</v>
          </cell>
          <cell r="K6511" t="str">
            <v>LINN</v>
          </cell>
          <cell r="L6511" t="str">
            <v>Linn</v>
          </cell>
          <cell r="V6511">
            <v>137200</v>
          </cell>
        </row>
        <row r="6512">
          <cell r="B6512">
            <v>1957</v>
          </cell>
          <cell r="K6512" t="str">
            <v>MUSCATINE</v>
          </cell>
          <cell r="L6512" t="str">
            <v>Muscatine</v>
          </cell>
          <cell r="V6512">
            <v>81100</v>
          </cell>
        </row>
        <row r="6513">
          <cell r="B6513">
            <v>1957</v>
          </cell>
          <cell r="K6513" t="str">
            <v>SCOTT</v>
          </cell>
          <cell r="L6513" t="str">
            <v>Scott</v>
          </cell>
          <cell r="V6513">
            <v>97800</v>
          </cell>
        </row>
        <row r="6514">
          <cell r="B6514">
            <v>1957</v>
          </cell>
          <cell r="K6514" t="str">
            <v>BUTLER</v>
          </cell>
          <cell r="L6514" t="str">
            <v>Butler</v>
          </cell>
          <cell r="V6514">
            <v>135300</v>
          </cell>
        </row>
        <row r="6515">
          <cell r="B6515">
            <v>1957</v>
          </cell>
          <cell r="K6515" t="str">
            <v>CERRO GORDO</v>
          </cell>
          <cell r="L6515" t="str">
            <v>Cerro Gordo</v>
          </cell>
          <cell r="V6515">
            <v>133800</v>
          </cell>
        </row>
        <row r="6516">
          <cell r="B6516">
            <v>1957</v>
          </cell>
          <cell r="K6516" t="str">
            <v>FLOYD</v>
          </cell>
          <cell r="L6516" t="str">
            <v>Floyd</v>
          </cell>
          <cell r="V6516">
            <v>115700</v>
          </cell>
        </row>
        <row r="6517">
          <cell r="B6517">
            <v>1957</v>
          </cell>
          <cell r="K6517" t="str">
            <v>FRANKLIN</v>
          </cell>
          <cell r="L6517" t="str">
            <v>Franklin</v>
          </cell>
          <cell r="V6517">
            <v>148200</v>
          </cell>
        </row>
        <row r="6518">
          <cell r="B6518">
            <v>1957</v>
          </cell>
          <cell r="K6518" t="str">
            <v>HANCOCK</v>
          </cell>
          <cell r="L6518" t="str">
            <v>Hancock</v>
          </cell>
          <cell r="V6518">
            <v>133000</v>
          </cell>
        </row>
        <row r="6519">
          <cell r="B6519">
            <v>1957</v>
          </cell>
          <cell r="K6519" t="str">
            <v>HUMBOLDT</v>
          </cell>
          <cell r="L6519" t="str">
            <v>Humboldt</v>
          </cell>
          <cell r="V6519">
            <v>98500</v>
          </cell>
        </row>
        <row r="6520">
          <cell r="B6520">
            <v>1957</v>
          </cell>
          <cell r="K6520" t="str">
            <v>KOSSUTH</v>
          </cell>
          <cell r="L6520" t="str">
            <v>Kossuth</v>
          </cell>
          <cell r="V6520">
            <v>214300</v>
          </cell>
        </row>
        <row r="6521">
          <cell r="B6521">
            <v>1957</v>
          </cell>
          <cell r="K6521" t="str">
            <v>MITCHELL</v>
          </cell>
          <cell r="L6521" t="str">
            <v>Mitchell</v>
          </cell>
          <cell r="V6521">
            <v>111100</v>
          </cell>
        </row>
        <row r="6522">
          <cell r="B6522">
            <v>1957</v>
          </cell>
          <cell r="K6522" t="str">
            <v>WINNEBAGO</v>
          </cell>
          <cell r="L6522" t="str">
            <v>Winnebago</v>
          </cell>
          <cell r="V6522">
            <v>93200</v>
          </cell>
        </row>
        <row r="6523">
          <cell r="B6523">
            <v>1957</v>
          </cell>
          <cell r="K6523" t="str">
            <v>WORTH</v>
          </cell>
          <cell r="L6523" t="str">
            <v>Worth</v>
          </cell>
          <cell r="V6523">
            <v>88700</v>
          </cell>
        </row>
        <row r="6524">
          <cell r="B6524">
            <v>1957</v>
          </cell>
          <cell r="K6524" t="str">
            <v>WRIGHT</v>
          </cell>
          <cell r="L6524" t="str">
            <v>Wright</v>
          </cell>
          <cell r="V6524">
            <v>127600</v>
          </cell>
        </row>
        <row r="6525">
          <cell r="B6525">
            <v>1957</v>
          </cell>
          <cell r="K6525" t="str">
            <v>ALLAMAKEE</v>
          </cell>
          <cell r="L6525" t="str">
            <v>Allamakee</v>
          </cell>
          <cell r="V6525">
            <v>56700</v>
          </cell>
        </row>
        <row r="6526">
          <cell r="B6526">
            <v>1957</v>
          </cell>
          <cell r="K6526" t="str">
            <v>BLACK HAWK</v>
          </cell>
          <cell r="L6526" t="str">
            <v>Black Hawk</v>
          </cell>
          <cell r="V6526">
            <v>119900</v>
          </cell>
        </row>
        <row r="6527">
          <cell r="B6527">
            <v>1957</v>
          </cell>
          <cell r="K6527" t="str">
            <v>BREMER</v>
          </cell>
          <cell r="L6527" t="str">
            <v>Bremer</v>
          </cell>
          <cell r="V6527">
            <v>87900</v>
          </cell>
        </row>
        <row r="6528">
          <cell r="B6528">
            <v>1957</v>
          </cell>
          <cell r="K6528" t="str">
            <v>BUCHANAN</v>
          </cell>
          <cell r="L6528" t="str">
            <v>Buchanan</v>
          </cell>
          <cell r="V6528">
            <v>116300</v>
          </cell>
        </row>
        <row r="6529">
          <cell r="B6529">
            <v>1957</v>
          </cell>
          <cell r="K6529" t="str">
            <v>CHICKASAW</v>
          </cell>
          <cell r="L6529" t="str">
            <v>Chickasaw</v>
          </cell>
          <cell r="V6529">
            <v>95400</v>
          </cell>
        </row>
        <row r="6530">
          <cell r="B6530">
            <v>1957</v>
          </cell>
          <cell r="K6530" t="str">
            <v>CLAYTON</v>
          </cell>
          <cell r="L6530" t="str">
            <v>Clayton</v>
          </cell>
          <cell r="V6530">
            <v>92300</v>
          </cell>
        </row>
        <row r="6531">
          <cell r="B6531">
            <v>1957</v>
          </cell>
          <cell r="K6531" t="str">
            <v>DELAWARE</v>
          </cell>
          <cell r="L6531" t="str">
            <v>Delaware</v>
          </cell>
          <cell r="V6531">
            <v>110300</v>
          </cell>
        </row>
        <row r="6532">
          <cell r="B6532">
            <v>1957</v>
          </cell>
          <cell r="K6532" t="str">
            <v>DUBUQUE</v>
          </cell>
          <cell r="L6532" t="str">
            <v>Dubuque</v>
          </cell>
          <cell r="V6532">
            <v>87300</v>
          </cell>
        </row>
        <row r="6533">
          <cell r="B6533">
            <v>1957</v>
          </cell>
          <cell r="K6533" t="str">
            <v>FAYETTE</v>
          </cell>
          <cell r="L6533" t="str">
            <v>Fayette</v>
          </cell>
          <cell r="V6533">
            <v>125000</v>
          </cell>
        </row>
        <row r="6534">
          <cell r="B6534">
            <v>1957</v>
          </cell>
          <cell r="K6534" t="str">
            <v>HOWARD</v>
          </cell>
          <cell r="L6534" t="str">
            <v>Howard</v>
          </cell>
          <cell r="V6534">
            <v>89700</v>
          </cell>
        </row>
        <row r="6535">
          <cell r="B6535">
            <v>1957</v>
          </cell>
          <cell r="K6535" t="str">
            <v>WINNESHIEK</v>
          </cell>
          <cell r="L6535" t="str">
            <v>Winneshiek</v>
          </cell>
          <cell r="V6535">
            <v>96400</v>
          </cell>
        </row>
        <row r="6536">
          <cell r="B6536">
            <v>1957</v>
          </cell>
          <cell r="K6536" t="str">
            <v>BUENA VISTA</v>
          </cell>
          <cell r="L6536" t="str">
            <v>Buena Vista</v>
          </cell>
          <cell r="V6536">
            <v>125400</v>
          </cell>
        </row>
        <row r="6537">
          <cell r="B6537">
            <v>1957</v>
          </cell>
          <cell r="K6537" t="str">
            <v>CHEROKEE</v>
          </cell>
          <cell r="L6537" t="str">
            <v>Cherokee</v>
          </cell>
          <cell r="V6537">
            <v>112800</v>
          </cell>
        </row>
        <row r="6538">
          <cell r="B6538">
            <v>1957</v>
          </cell>
          <cell r="K6538" t="str">
            <v>CLAY</v>
          </cell>
          <cell r="L6538" t="str">
            <v>Clay</v>
          </cell>
          <cell r="V6538">
            <v>124500</v>
          </cell>
        </row>
        <row r="6539">
          <cell r="B6539">
            <v>1957</v>
          </cell>
          <cell r="K6539" t="str">
            <v>DICKINSON</v>
          </cell>
          <cell r="L6539" t="str">
            <v>Dickinson</v>
          </cell>
          <cell r="V6539">
            <v>81200</v>
          </cell>
        </row>
        <row r="6540">
          <cell r="B6540">
            <v>1957</v>
          </cell>
          <cell r="K6540" t="str">
            <v>EMMET</v>
          </cell>
          <cell r="L6540" t="str">
            <v>Emmet</v>
          </cell>
          <cell r="V6540">
            <v>86400</v>
          </cell>
        </row>
        <row r="6541">
          <cell r="B6541">
            <v>1957</v>
          </cell>
          <cell r="K6541" t="str">
            <v>LYON</v>
          </cell>
          <cell r="L6541" t="str">
            <v>Lyon</v>
          </cell>
          <cell r="V6541">
            <v>140500</v>
          </cell>
        </row>
        <row r="6542">
          <cell r="B6542">
            <v>1957</v>
          </cell>
          <cell r="K6542" t="str">
            <v>O BRIEN</v>
          </cell>
          <cell r="L6542" t="str">
            <v>O Brien</v>
          </cell>
          <cell r="V6542">
            <v>122200</v>
          </cell>
        </row>
        <row r="6543">
          <cell r="B6543">
            <v>1957</v>
          </cell>
          <cell r="K6543" t="str">
            <v>OSCEOLA</v>
          </cell>
          <cell r="L6543" t="str">
            <v>Osceola</v>
          </cell>
          <cell r="V6543">
            <v>97000</v>
          </cell>
        </row>
        <row r="6544">
          <cell r="B6544">
            <v>1957</v>
          </cell>
          <cell r="K6544" t="str">
            <v>PALO ALTO</v>
          </cell>
          <cell r="L6544" t="str">
            <v>Palo Alto</v>
          </cell>
          <cell r="V6544">
            <v>134100</v>
          </cell>
        </row>
        <row r="6545">
          <cell r="B6545">
            <v>1957</v>
          </cell>
          <cell r="K6545" t="str">
            <v>PLYMOUTH</v>
          </cell>
          <cell r="L6545" t="str">
            <v>Plymouth</v>
          </cell>
          <cell r="V6545">
            <v>165200</v>
          </cell>
        </row>
        <row r="6546">
          <cell r="B6546">
            <v>1957</v>
          </cell>
          <cell r="K6546" t="str">
            <v>POCAHONTAS</v>
          </cell>
          <cell r="L6546" t="str">
            <v>Pocahontas</v>
          </cell>
          <cell r="V6546">
            <v>125700</v>
          </cell>
        </row>
        <row r="6547">
          <cell r="B6547">
            <v>1957</v>
          </cell>
          <cell r="K6547" t="str">
            <v>SIOUX</v>
          </cell>
          <cell r="L6547" t="str">
            <v>Sioux</v>
          </cell>
          <cell r="V6547">
            <v>190500</v>
          </cell>
        </row>
        <row r="6548">
          <cell r="B6548">
            <v>1957</v>
          </cell>
          <cell r="K6548" t="str">
            <v>APPANOOSE</v>
          </cell>
          <cell r="L6548" t="str">
            <v>Appanoose</v>
          </cell>
          <cell r="V6548">
            <v>33700</v>
          </cell>
        </row>
        <row r="6549">
          <cell r="B6549">
            <v>1957</v>
          </cell>
          <cell r="K6549" t="str">
            <v>CLARKE</v>
          </cell>
          <cell r="L6549" t="str">
            <v>Clarke</v>
          </cell>
          <cell r="V6549">
            <v>40100</v>
          </cell>
        </row>
        <row r="6550">
          <cell r="B6550">
            <v>1957</v>
          </cell>
          <cell r="K6550" t="str">
            <v>DECATUR</v>
          </cell>
          <cell r="L6550" t="str">
            <v>Decatur</v>
          </cell>
          <cell r="V6550">
            <v>44000</v>
          </cell>
        </row>
        <row r="6551">
          <cell r="B6551">
            <v>1957</v>
          </cell>
          <cell r="K6551" t="str">
            <v>LUCAS</v>
          </cell>
          <cell r="L6551" t="str">
            <v>Lucas</v>
          </cell>
          <cell r="V6551">
            <v>38900</v>
          </cell>
        </row>
        <row r="6552">
          <cell r="B6552">
            <v>1957</v>
          </cell>
          <cell r="K6552" t="str">
            <v>MADISON</v>
          </cell>
          <cell r="L6552" t="str">
            <v>Madison</v>
          </cell>
          <cell r="V6552">
            <v>74900</v>
          </cell>
        </row>
        <row r="6553">
          <cell r="B6553">
            <v>1957</v>
          </cell>
          <cell r="K6553" t="str">
            <v>MARION</v>
          </cell>
          <cell r="L6553" t="str">
            <v>Marion</v>
          </cell>
          <cell r="V6553">
            <v>79900</v>
          </cell>
        </row>
        <row r="6554">
          <cell r="B6554">
            <v>1957</v>
          </cell>
          <cell r="K6554" t="str">
            <v>MONROE</v>
          </cell>
          <cell r="L6554" t="str">
            <v>Monroe</v>
          </cell>
          <cell r="V6554">
            <v>38100</v>
          </cell>
        </row>
        <row r="6555">
          <cell r="B6555">
            <v>1957</v>
          </cell>
          <cell r="K6555" t="str">
            <v>RINGGOLD</v>
          </cell>
          <cell r="L6555" t="str">
            <v>Ringgold</v>
          </cell>
          <cell r="V6555">
            <v>51100</v>
          </cell>
        </row>
        <row r="6556">
          <cell r="B6556">
            <v>1957</v>
          </cell>
          <cell r="K6556" t="str">
            <v>UNION</v>
          </cell>
          <cell r="L6556" t="str">
            <v>Union</v>
          </cell>
          <cell r="V6556">
            <v>53600</v>
          </cell>
        </row>
        <row r="6557">
          <cell r="B6557">
            <v>1957</v>
          </cell>
          <cell r="K6557" t="str">
            <v>WARREN</v>
          </cell>
          <cell r="L6557" t="str">
            <v>Warren</v>
          </cell>
          <cell r="V6557">
            <v>72600</v>
          </cell>
        </row>
        <row r="6558">
          <cell r="B6558">
            <v>1957</v>
          </cell>
          <cell r="K6558" t="str">
            <v>WAYNE</v>
          </cell>
          <cell r="L6558" t="str">
            <v>Wayne</v>
          </cell>
          <cell r="V6558">
            <v>55700</v>
          </cell>
        </row>
        <row r="6559">
          <cell r="B6559">
            <v>1957</v>
          </cell>
          <cell r="K6559" t="str">
            <v>DAVIS</v>
          </cell>
          <cell r="L6559" t="str">
            <v>Davis</v>
          </cell>
          <cell r="V6559">
            <v>39500</v>
          </cell>
        </row>
        <row r="6560">
          <cell r="B6560">
            <v>1957</v>
          </cell>
          <cell r="K6560" t="str">
            <v>DES MOINES</v>
          </cell>
          <cell r="L6560" t="str">
            <v>Des Moines</v>
          </cell>
          <cell r="V6560">
            <v>59500</v>
          </cell>
        </row>
        <row r="6561">
          <cell r="B6561">
            <v>1957</v>
          </cell>
          <cell r="K6561" t="str">
            <v>HENRY</v>
          </cell>
          <cell r="L6561" t="str">
            <v>Henry</v>
          </cell>
          <cell r="V6561">
            <v>73600</v>
          </cell>
        </row>
        <row r="6562">
          <cell r="B6562">
            <v>1957</v>
          </cell>
          <cell r="K6562" t="str">
            <v>JEFFERSON</v>
          </cell>
          <cell r="L6562" t="str">
            <v>Jefferson</v>
          </cell>
          <cell r="V6562">
            <v>59400</v>
          </cell>
        </row>
        <row r="6563">
          <cell r="B6563">
            <v>1957</v>
          </cell>
          <cell r="K6563" t="str">
            <v>KEOKUK</v>
          </cell>
          <cell r="L6563" t="str">
            <v>Keokuk</v>
          </cell>
          <cell r="V6563">
            <v>92800</v>
          </cell>
        </row>
        <row r="6564">
          <cell r="B6564">
            <v>1957</v>
          </cell>
          <cell r="K6564" t="str">
            <v>LEE</v>
          </cell>
          <cell r="L6564" t="str">
            <v>Lee</v>
          </cell>
          <cell r="V6564">
            <v>59000</v>
          </cell>
        </row>
        <row r="6565">
          <cell r="B6565">
            <v>1957</v>
          </cell>
          <cell r="K6565" t="str">
            <v>LOUISA</v>
          </cell>
          <cell r="L6565" t="str">
            <v>Louisa</v>
          </cell>
          <cell r="V6565">
            <v>69500</v>
          </cell>
        </row>
        <row r="6566">
          <cell r="B6566">
            <v>1957</v>
          </cell>
          <cell r="K6566" t="str">
            <v>MAHASKA</v>
          </cell>
          <cell r="L6566" t="str">
            <v>Mahaska</v>
          </cell>
          <cell r="V6566">
            <v>105300</v>
          </cell>
        </row>
        <row r="6567">
          <cell r="B6567">
            <v>1957</v>
          </cell>
          <cell r="K6567" t="str">
            <v>VAN BUREN</v>
          </cell>
          <cell r="L6567" t="str">
            <v>Van Buren</v>
          </cell>
          <cell r="V6567">
            <v>35500</v>
          </cell>
        </row>
        <row r="6568">
          <cell r="B6568">
            <v>1957</v>
          </cell>
          <cell r="K6568" t="str">
            <v>WAPELLO</v>
          </cell>
          <cell r="L6568" t="str">
            <v>Wapello</v>
          </cell>
          <cell r="V6568">
            <v>50800</v>
          </cell>
        </row>
        <row r="6569">
          <cell r="B6569">
            <v>1957</v>
          </cell>
          <cell r="K6569" t="str">
            <v>WASHINGTON</v>
          </cell>
          <cell r="L6569" t="str">
            <v>Washington</v>
          </cell>
          <cell r="V6569">
            <v>114300</v>
          </cell>
        </row>
        <row r="6570">
          <cell r="B6570">
            <v>1957</v>
          </cell>
          <cell r="K6570" t="str">
            <v>ADAIR</v>
          </cell>
          <cell r="L6570" t="str">
            <v>Adair</v>
          </cell>
          <cell r="V6570">
            <v>88900</v>
          </cell>
        </row>
        <row r="6571">
          <cell r="B6571">
            <v>1957</v>
          </cell>
          <cell r="K6571" t="str">
            <v>ADAMS</v>
          </cell>
          <cell r="L6571" t="str">
            <v>Adams</v>
          </cell>
          <cell r="V6571">
            <v>58100</v>
          </cell>
        </row>
        <row r="6572">
          <cell r="B6572">
            <v>1957</v>
          </cell>
          <cell r="K6572" t="str">
            <v>CASS</v>
          </cell>
          <cell r="L6572" t="str">
            <v>Cass</v>
          </cell>
          <cell r="V6572">
            <v>108400</v>
          </cell>
        </row>
        <row r="6573">
          <cell r="B6573">
            <v>1957</v>
          </cell>
          <cell r="K6573" t="str">
            <v>FREMONT</v>
          </cell>
          <cell r="L6573" t="str">
            <v>Fremont</v>
          </cell>
          <cell r="V6573">
            <v>98000</v>
          </cell>
        </row>
        <row r="6574">
          <cell r="B6574">
            <v>1957</v>
          </cell>
          <cell r="K6574" t="str">
            <v>MILLS</v>
          </cell>
          <cell r="L6574" t="str">
            <v>Mills</v>
          </cell>
          <cell r="V6574">
            <v>82800</v>
          </cell>
        </row>
        <row r="6575">
          <cell r="B6575">
            <v>1957</v>
          </cell>
          <cell r="K6575" t="str">
            <v>MONTGOMERY</v>
          </cell>
          <cell r="L6575" t="str">
            <v>Montgomery</v>
          </cell>
          <cell r="V6575">
            <v>80900</v>
          </cell>
        </row>
        <row r="6576">
          <cell r="B6576">
            <v>1957</v>
          </cell>
          <cell r="K6576" t="str">
            <v>PAGE</v>
          </cell>
          <cell r="L6576" t="str">
            <v>Page</v>
          </cell>
          <cell r="V6576">
            <v>88600</v>
          </cell>
        </row>
        <row r="6577">
          <cell r="B6577">
            <v>1957</v>
          </cell>
          <cell r="K6577" t="str">
            <v>POTTAWATTAMIE</v>
          </cell>
          <cell r="L6577" t="str">
            <v>Pottawattamie</v>
          </cell>
          <cell r="V6577">
            <v>204000</v>
          </cell>
        </row>
        <row r="6578">
          <cell r="B6578">
            <v>1957</v>
          </cell>
          <cell r="K6578" t="str">
            <v>TAYLOR</v>
          </cell>
          <cell r="L6578" t="str">
            <v>Taylor</v>
          </cell>
          <cell r="V6578">
            <v>67400</v>
          </cell>
        </row>
        <row r="6579">
          <cell r="B6579">
            <v>1957</v>
          </cell>
          <cell r="K6579" t="str">
            <v>AUDUBON</v>
          </cell>
          <cell r="L6579" t="str">
            <v>Audubon</v>
          </cell>
          <cell r="V6579">
            <v>87000</v>
          </cell>
        </row>
        <row r="6580">
          <cell r="B6580">
            <v>1957</v>
          </cell>
          <cell r="K6580" t="str">
            <v>CALHOUN</v>
          </cell>
          <cell r="L6580" t="str">
            <v>Calhoun</v>
          </cell>
          <cell r="V6580">
            <v>116500</v>
          </cell>
        </row>
        <row r="6581">
          <cell r="B6581">
            <v>1957</v>
          </cell>
          <cell r="K6581" t="str">
            <v>CARROLL</v>
          </cell>
          <cell r="L6581" t="str">
            <v>Carroll</v>
          </cell>
          <cell r="V6581">
            <v>122200</v>
          </cell>
        </row>
        <row r="6582">
          <cell r="B6582">
            <v>1957</v>
          </cell>
          <cell r="K6582" t="str">
            <v>CRAWFORD</v>
          </cell>
          <cell r="L6582" t="str">
            <v>Crawford</v>
          </cell>
          <cell r="V6582">
            <v>136900</v>
          </cell>
        </row>
        <row r="6583">
          <cell r="B6583">
            <v>1957</v>
          </cell>
          <cell r="K6583" t="str">
            <v>GREENE</v>
          </cell>
          <cell r="L6583" t="str">
            <v>Greene</v>
          </cell>
          <cell r="V6583">
            <v>124700</v>
          </cell>
        </row>
        <row r="6584">
          <cell r="B6584">
            <v>1957</v>
          </cell>
          <cell r="K6584" t="str">
            <v>GUTHRIE</v>
          </cell>
          <cell r="L6584" t="str">
            <v>Guthrie</v>
          </cell>
          <cell r="V6584">
            <v>96000</v>
          </cell>
        </row>
        <row r="6585">
          <cell r="B6585">
            <v>1957</v>
          </cell>
          <cell r="K6585" t="str">
            <v>HARRISON</v>
          </cell>
          <cell r="L6585" t="str">
            <v>Harrison</v>
          </cell>
          <cell r="V6585">
            <v>126000</v>
          </cell>
        </row>
        <row r="6586">
          <cell r="B6586">
            <v>1957</v>
          </cell>
          <cell r="K6586" t="str">
            <v>IDA</v>
          </cell>
          <cell r="L6586" t="str">
            <v>Ida</v>
          </cell>
          <cell r="V6586">
            <v>83700</v>
          </cell>
        </row>
        <row r="6587">
          <cell r="B6587">
            <v>1957</v>
          </cell>
          <cell r="K6587" t="str">
            <v>MONONA</v>
          </cell>
          <cell r="L6587" t="str">
            <v>Monona</v>
          </cell>
          <cell r="V6587">
            <v>132000</v>
          </cell>
        </row>
        <row r="6588">
          <cell r="B6588">
            <v>1957</v>
          </cell>
          <cell r="K6588" t="str">
            <v>SAC</v>
          </cell>
          <cell r="L6588" t="str">
            <v>Sac</v>
          </cell>
          <cell r="V6588">
            <v>116900</v>
          </cell>
        </row>
        <row r="6589">
          <cell r="B6589">
            <v>1957</v>
          </cell>
          <cell r="K6589" t="str">
            <v>SHELBY</v>
          </cell>
          <cell r="L6589" t="str">
            <v>Shelby</v>
          </cell>
          <cell r="V6589">
            <v>129800</v>
          </cell>
        </row>
        <row r="6590">
          <cell r="B6590">
            <v>1957</v>
          </cell>
          <cell r="K6590" t="str">
            <v>WOODBURY</v>
          </cell>
          <cell r="L6590" t="str">
            <v>Woodbury</v>
          </cell>
          <cell r="V6590">
            <v>133500</v>
          </cell>
        </row>
        <row r="6591">
          <cell r="B6591">
            <v>1956</v>
          </cell>
          <cell r="K6591" t="str">
            <v>BOONE</v>
          </cell>
          <cell r="L6591" t="str">
            <v>Boone</v>
          </cell>
          <cell r="V6591">
            <v>119000</v>
          </cell>
        </row>
        <row r="6592">
          <cell r="B6592">
            <v>1956</v>
          </cell>
          <cell r="K6592" t="str">
            <v>DALLAS</v>
          </cell>
          <cell r="L6592" t="str">
            <v>Dallas</v>
          </cell>
          <cell r="V6592">
            <v>114400</v>
          </cell>
        </row>
        <row r="6593">
          <cell r="B6593">
            <v>1956</v>
          </cell>
          <cell r="K6593" t="str">
            <v>GRUNDY</v>
          </cell>
          <cell r="L6593" t="str">
            <v>Grundy</v>
          </cell>
          <cell r="V6593">
            <v>120800</v>
          </cell>
        </row>
        <row r="6594">
          <cell r="B6594">
            <v>1956</v>
          </cell>
          <cell r="K6594" t="str">
            <v>HAMILTON</v>
          </cell>
          <cell r="L6594" t="str">
            <v>Hamilton</v>
          </cell>
          <cell r="V6594">
            <v>143300</v>
          </cell>
        </row>
        <row r="6595">
          <cell r="B6595">
            <v>1956</v>
          </cell>
          <cell r="K6595" t="str">
            <v>HARDIN</v>
          </cell>
          <cell r="L6595" t="str">
            <v>Hardin</v>
          </cell>
          <cell r="V6595">
            <v>124700</v>
          </cell>
        </row>
        <row r="6596">
          <cell r="B6596">
            <v>1956</v>
          </cell>
          <cell r="K6596" t="str">
            <v>JASPER</v>
          </cell>
          <cell r="L6596" t="str">
            <v>Jasper</v>
          </cell>
          <cell r="V6596">
            <v>140700</v>
          </cell>
        </row>
        <row r="6597">
          <cell r="B6597">
            <v>1956</v>
          </cell>
          <cell r="K6597" t="str">
            <v>MARSHALL</v>
          </cell>
          <cell r="L6597" t="str">
            <v>Marshall</v>
          </cell>
          <cell r="V6597">
            <v>120600</v>
          </cell>
        </row>
        <row r="6598">
          <cell r="B6598">
            <v>1956</v>
          </cell>
          <cell r="K6598" t="str">
            <v>POLK</v>
          </cell>
          <cell r="L6598" t="str">
            <v>Polk</v>
          </cell>
          <cell r="V6598">
            <v>94300</v>
          </cell>
        </row>
        <row r="6599">
          <cell r="B6599">
            <v>1956</v>
          </cell>
          <cell r="K6599" t="str">
            <v>POWESHIEK</v>
          </cell>
          <cell r="L6599" t="str">
            <v>Poweshiek</v>
          </cell>
          <cell r="V6599">
            <v>114000</v>
          </cell>
        </row>
        <row r="6600">
          <cell r="B6600">
            <v>1956</v>
          </cell>
          <cell r="K6600" t="str">
            <v>STORY</v>
          </cell>
          <cell r="L6600" t="str">
            <v>Story</v>
          </cell>
          <cell r="V6600">
            <v>126600</v>
          </cell>
        </row>
        <row r="6601">
          <cell r="B6601">
            <v>1956</v>
          </cell>
          <cell r="K6601" t="str">
            <v>TAMA</v>
          </cell>
          <cell r="L6601" t="str">
            <v>Tama</v>
          </cell>
          <cell r="V6601">
            <v>141900</v>
          </cell>
        </row>
        <row r="6602">
          <cell r="B6602">
            <v>1956</v>
          </cell>
          <cell r="K6602" t="str">
            <v>WEBSTER</v>
          </cell>
          <cell r="L6602" t="str">
            <v>Webster</v>
          </cell>
          <cell r="V6602">
            <v>141800</v>
          </cell>
        </row>
        <row r="6603">
          <cell r="B6603">
            <v>1956</v>
          </cell>
          <cell r="K6603" t="str">
            <v>BENTON</v>
          </cell>
          <cell r="L6603" t="str">
            <v>Benton</v>
          </cell>
          <cell r="V6603">
            <v>155100</v>
          </cell>
        </row>
        <row r="6604">
          <cell r="B6604">
            <v>1956</v>
          </cell>
          <cell r="K6604" t="str">
            <v>CEDAR</v>
          </cell>
          <cell r="L6604" t="str">
            <v>Cedar</v>
          </cell>
          <cell r="V6604">
            <v>127000</v>
          </cell>
        </row>
        <row r="6605">
          <cell r="B6605">
            <v>1956</v>
          </cell>
          <cell r="K6605" t="str">
            <v>CLINTON</v>
          </cell>
          <cell r="L6605" t="str">
            <v>Clinton</v>
          </cell>
          <cell r="V6605">
            <v>152700</v>
          </cell>
        </row>
        <row r="6606">
          <cell r="B6606">
            <v>1956</v>
          </cell>
          <cell r="K6606" t="str">
            <v>IOWA</v>
          </cell>
          <cell r="L6606" t="str">
            <v>Iowa</v>
          </cell>
          <cell r="V6606">
            <v>106600</v>
          </cell>
        </row>
        <row r="6607">
          <cell r="B6607">
            <v>1956</v>
          </cell>
          <cell r="K6607" t="str">
            <v>JACKSON</v>
          </cell>
          <cell r="L6607" t="str">
            <v>Jackson</v>
          </cell>
          <cell r="V6607">
            <v>79600</v>
          </cell>
        </row>
        <row r="6608">
          <cell r="B6608">
            <v>1956</v>
          </cell>
          <cell r="K6608" t="str">
            <v>JOHNSON</v>
          </cell>
          <cell r="L6608" t="str">
            <v>Johnson</v>
          </cell>
          <cell r="V6608">
            <v>113700</v>
          </cell>
        </row>
        <row r="6609">
          <cell r="B6609">
            <v>1956</v>
          </cell>
          <cell r="K6609" t="str">
            <v>JONES</v>
          </cell>
          <cell r="L6609" t="str">
            <v>Jones</v>
          </cell>
          <cell r="V6609">
            <v>105700</v>
          </cell>
        </row>
        <row r="6610">
          <cell r="B6610">
            <v>1956</v>
          </cell>
          <cell r="K6610" t="str">
            <v>LINN</v>
          </cell>
          <cell r="L6610" t="str">
            <v>Linn</v>
          </cell>
          <cell r="V6610">
            <v>134100</v>
          </cell>
        </row>
        <row r="6611">
          <cell r="B6611">
            <v>1956</v>
          </cell>
          <cell r="K6611" t="str">
            <v>MUSCATINE</v>
          </cell>
          <cell r="L6611" t="str">
            <v>Muscatine</v>
          </cell>
          <cell r="V6611">
            <v>79400</v>
          </cell>
        </row>
        <row r="6612">
          <cell r="B6612">
            <v>1956</v>
          </cell>
          <cell r="K6612" t="str">
            <v>SCOTT</v>
          </cell>
          <cell r="L6612" t="str">
            <v>Scott</v>
          </cell>
          <cell r="V6612">
            <v>96000</v>
          </cell>
        </row>
        <row r="6613">
          <cell r="B6613">
            <v>1956</v>
          </cell>
          <cell r="K6613" t="str">
            <v>BUTLER</v>
          </cell>
          <cell r="L6613" t="str">
            <v>Butler</v>
          </cell>
          <cell r="V6613">
            <v>132600</v>
          </cell>
        </row>
        <row r="6614">
          <cell r="B6614">
            <v>1956</v>
          </cell>
          <cell r="K6614" t="str">
            <v>CERRO GORDO</v>
          </cell>
          <cell r="L6614" t="str">
            <v>Cerro Gordo</v>
          </cell>
          <cell r="V6614">
            <v>132900</v>
          </cell>
        </row>
        <row r="6615">
          <cell r="B6615">
            <v>1956</v>
          </cell>
          <cell r="K6615" t="str">
            <v>FLOYD</v>
          </cell>
          <cell r="L6615" t="str">
            <v>Floyd</v>
          </cell>
          <cell r="V6615">
            <v>113700</v>
          </cell>
        </row>
        <row r="6616">
          <cell r="B6616">
            <v>1956</v>
          </cell>
          <cell r="K6616" t="str">
            <v>FRANKLIN</v>
          </cell>
          <cell r="L6616" t="str">
            <v>Franklin</v>
          </cell>
          <cell r="V6616">
            <v>146600</v>
          </cell>
        </row>
        <row r="6617">
          <cell r="B6617">
            <v>1956</v>
          </cell>
          <cell r="K6617" t="str">
            <v>HANCOCK</v>
          </cell>
          <cell r="L6617" t="str">
            <v>Hancock</v>
          </cell>
          <cell r="V6617">
            <v>131200</v>
          </cell>
        </row>
        <row r="6618">
          <cell r="B6618">
            <v>1956</v>
          </cell>
          <cell r="K6618" t="str">
            <v>HUMBOLDT</v>
          </cell>
          <cell r="L6618" t="str">
            <v>Humboldt</v>
          </cell>
          <cell r="V6618">
            <v>96600</v>
          </cell>
        </row>
        <row r="6619">
          <cell r="B6619">
            <v>1956</v>
          </cell>
          <cell r="K6619" t="str">
            <v>KOSSUTH</v>
          </cell>
          <cell r="L6619" t="str">
            <v>Kossuth</v>
          </cell>
          <cell r="V6619">
            <v>214300</v>
          </cell>
        </row>
        <row r="6620">
          <cell r="B6620">
            <v>1956</v>
          </cell>
          <cell r="K6620" t="str">
            <v>MITCHELL</v>
          </cell>
          <cell r="L6620" t="str">
            <v>Mitchell</v>
          </cell>
          <cell r="V6620">
            <v>110100</v>
          </cell>
        </row>
        <row r="6621">
          <cell r="B6621">
            <v>1956</v>
          </cell>
          <cell r="K6621" t="str">
            <v>WINNEBAGO</v>
          </cell>
          <cell r="L6621" t="str">
            <v>Winnebago</v>
          </cell>
          <cell r="V6621">
            <v>91900</v>
          </cell>
        </row>
        <row r="6622">
          <cell r="B6622">
            <v>1956</v>
          </cell>
          <cell r="K6622" t="str">
            <v>WORTH</v>
          </cell>
          <cell r="L6622" t="str">
            <v>Worth</v>
          </cell>
          <cell r="V6622">
            <v>85900</v>
          </cell>
        </row>
        <row r="6623">
          <cell r="B6623">
            <v>1956</v>
          </cell>
          <cell r="K6623" t="str">
            <v>WRIGHT</v>
          </cell>
          <cell r="L6623" t="str">
            <v>Wright</v>
          </cell>
          <cell r="V6623">
            <v>133300</v>
          </cell>
        </row>
        <row r="6624">
          <cell r="B6624">
            <v>1956</v>
          </cell>
          <cell r="K6624" t="str">
            <v>ALLAMAKEE</v>
          </cell>
          <cell r="L6624" t="str">
            <v>Allamakee</v>
          </cell>
          <cell r="V6624">
            <v>59700</v>
          </cell>
        </row>
        <row r="6625">
          <cell r="B6625">
            <v>1956</v>
          </cell>
          <cell r="K6625" t="str">
            <v>BLACK HAWK</v>
          </cell>
          <cell r="L6625" t="str">
            <v>Black Hawk</v>
          </cell>
          <cell r="V6625">
            <v>120300</v>
          </cell>
        </row>
        <row r="6626">
          <cell r="B6626">
            <v>1956</v>
          </cell>
          <cell r="K6626" t="str">
            <v>BREMER</v>
          </cell>
          <cell r="L6626" t="str">
            <v>Bremer</v>
          </cell>
          <cell r="V6626">
            <v>85800</v>
          </cell>
        </row>
        <row r="6627">
          <cell r="B6627">
            <v>1956</v>
          </cell>
          <cell r="K6627" t="str">
            <v>BUCHANAN</v>
          </cell>
          <cell r="L6627" t="str">
            <v>Buchanan</v>
          </cell>
          <cell r="V6627">
            <v>118300</v>
          </cell>
        </row>
        <row r="6628">
          <cell r="B6628">
            <v>1956</v>
          </cell>
          <cell r="K6628" t="str">
            <v>CHICKASAW</v>
          </cell>
          <cell r="L6628" t="str">
            <v>Chickasaw</v>
          </cell>
          <cell r="V6628">
            <v>94600</v>
          </cell>
        </row>
        <row r="6629">
          <cell r="B6629">
            <v>1956</v>
          </cell>
          <cell r="K6629" t="str">
            <v>CLAYTON</v>
          </cell>
          <cell r="L6629" t="str">
            <v>Clayton</v>
          </cell>
          <cell r="V6629">
            <v>92700</v>
          </cell>
        </row>
        <row r="6630">
          <cell r="B6630">
            <v>1956</v>
          </cell>
          <cell r="K6630" t="str">
            <v>DELAWARE</v>
          </cell>
          <cell r="L6630" t="str">
            <v>Delaware</v>
          </cell>
          <cell r="V6630">
            <v>112300</v>
          </cell>
        </row>
        <row r="6631">
          <cell r="B6631">
            <v>1956</v>
          </cell>
          <cell r="K6631" t="str">
            <v>DUBUQUE</v>
          </cell>
          <cell r="L6631" t="str">
            <v>Dubuque</v>
          </cell>
          <cell r="V6631">
            <v>86400</v>
          </cell>
        </row>
        <row r="6632">
          <cell r="B6632">
            <v>1956</v>
          </cell>
          <cell r="K6632" t="str">
            <v>FAYETTE</v>
          </cell>
          <cell r="L6632" t="str">
            <v>Fayette</v>
          </cell>
          <cell r="V6632">
            <v>127200</v>
          </cell>
        </row>
        <row r="6633">
          <cell r="B6633">
            <v>1956</v>
          </cell>
          <cell r="K6633" t="str">
            <v>HOWARD</v>
          </cell>
          <cell r="L6633" t="str">
            <v>Howard</v>
          </cell>
          <cell r="V6633">
            <v>89500</v>
          </cell>
        </row>
        <row r="6634">
          <cell r="B6634">
            <v>1956</v>
          </cell>
          <cell r="K6634" t="str">
            <v>WINNESHIEK</v>
          </cell>
          <cell r="L6634" t="str">
            <v>Winneshiek</v>
          </cell>
          <cell r="V6634">
            <v>100200</v>
          </cell>
        </row>
        <row r="6635">
          <cell r="B6635">
            <v>1956</v>
          </cell>
          <cell r="K6635" t="str">
            <v>BUENA VISTA</v>
          </cell>
          <cell r="L6635" t="str">
            <v>Buena Vista</v>
          </cell>
          <cell r="V6635">
            <v>128400</v>
          </cell>
        </row>
        <row r="6636">
          <cell r="B6636">
            <v>1956</v>
          </cell>
          <cell r="K6636" t="str">
            <v>CHEROKEE</v>
          </cell>
          <cell r="L6636" t="str">
            <v>Cherokee</v>
          </cell>
          <cell r="V6636">
            <v>121000</v>
          </cell>
        </row>
        <row r="6637">
          <cell r="B6637">
            <v>1956</v>
          </cell>
          <cell r="K6637" t="str">
            <v>CLAY</v>
          </cell>
          <cell r="L6637" t="str">
            <v>Clay</v>
          </cell>
          <cell r="V6637">
            <v>126900</v>
          </cell>
        </row>
        <row r="6638">
          <cell r="B6638">
            <v>1956</v>
          </cell>
          <cell r="K6638" t="str">
            <v>DICKINSON</v>
          </cell>
          <cell r="L6638" t="str">
            <v>Dickinson</v>
          </cell>
          <cell r="V6638">
            <v>76900</v>
          </cell>
        </row>
        <row r="6639">
          <cell r="B6639">
            <v>1956</v>
          </cell>
          <cell r="K6639" t="str">
            <v>EMMET</v>
          </cell>
          <cell r="L6639" t="str">
            <v>Emmet</v>
          </cell>
          <cell r="V6639">
            <v>86900</v>
          </cell>
        </row>
        <row r="6640">
          <cell r="B6640">
            <v>1956</v>
          </cell>
          <cell r="K6640" t="str">
            <v>LYON</v>
          </cell>
          <cell r="L6640" t="str">
            <v>Lyon</v>
          </cell>
          <cell r="V6640">
            <v>138300</v>
          </cell>
        </row>
        <row r="6641">
          <cell r="B6641">
            <v>1956</v>
          </cell>
          <cell r="K6641" t="str">
            <v>O BRIEN</v>
          </cell>
          <cell r="L6641" t="str">
            <v>O Brien</v>
          </cell>
          <cell r="V6641">
            <v>123500</v>
          </cell>
        </row>
        <row r="6642">
          <cell r="B6642">
            <v>1956</v>
          </cell>
          <cell r="K6642" t="str">
            <v>OSCEOLA</v>
          </cell>
          <cell r="L6642" t="str">
            <v>Osceola</v>
          </cell>
          <cell r="V6642">
            <v>91900</v>
          </cell>
        </row>
        <row r="6643">
          <cell r="B6643">
            <v>1956</v>
          </cell>
          <cell r="K6643" t="str">
            <v>PALO ALTO</v>
          </cell>
          <cell r="L6643" t="str">
            <v>Palo Alto</v>
          </cell>
          <cell r="V6643">
            <v>131500</v>
          </cell>
        </row>
        <row r="6644">
          <cell r="B6644">
            <v>1956</v>
          </cell>
          <cell r="K6644" t="str">
            <v>PLYMOUTH</v>
          </cell>
          <cell r="L6644" t="str">
            <v>Plymouth</v>
          </cell>
          <cell r="V6644">
            <v>197100</v>
          </cell>
        </row>
        <row r="6645">
          <cell r="B6645">
            <v>1956</v>
          </cell>
          <cell r="K6645" t="str">
            <v>POCAHONTAS</v>
          </cell>
          <cell r="L6645" t="str">
            <v>Pocahontas</v>
          </cell>
          <cell r="V6645">
            <v>124500</v>
          </cell>
        </row>
        <row r="6646">
          <cell r="B6646">
            <v>1956</v>
          </cell>
          <cell r="K6646" t="str">
            <v>SIOUX</v>
          </cell>
          <cell r="L6646" t="str">
            <v>Sioux</v>
          </cell>
          <cell r="V6646">
            <v>185700</v>
          </cell>
        </row>
        <row r="6647">
          <cell r="B6647">
            <v>1956</v>
          </cell>
          <cell r="K6647" t="str">
            <v>APPANOOSE</v>
          </cell>
          <cell r="L6647" t="str">
            <v>Appanoose</v>
          </cell>
          <cell r="V6647">
            <v>39400</v>
          </cell>
        </row>
        <row r="6648">
          <cell r="B6648">
            <v>1956</v>
          </cell>
          <cell r="K6648" t="str">
            <v>CLARKE</v>
          </cell>
          <cell r="L6648" t="str">
            <v>Clarke</v>
          </cell>
          <cell r="V6648">
            <v>48300</v>
          </cell>
        </row>
        <row r="6649">
          <cell r="B6649">
            <v>1956</v>
          </cell>
          <cell r="K6649" t="str">
            <v>DECATUR</v>
          </cell>
          <cell r="L6649" t="str">
            <v>Decatur</v>
          </cell>
          <cell r="V6649">
            <v>50600</v>
          </cell>
        </row>
        <row r="6650">
          <cell r="B6650">
            <v>1956</v>
          </cell>
          <cell r="K6650" t="str">
            <v>LUCAS</v>
          </cell>
          <cell r="L6650" t="str">
            <v>Lucas</v>
          </cell>
          <cell r="V6650">
            <v>44000</v>
          </cell>
        </row>
        <row r="6651">
          <cell r="B6651">
            <v>1956</v>
          </cell>
          <cell r="K6651" t="str">
            <v>MADISON</v>
          </cell>
          <cell r="L6651" t="str">
            <v>Madison</v>
          </cell>
          <cell r="V6651">
            <v>81700</v>
          </cell>
        </row>
        <row r="6652">
          <cell r="B6652">
            <v>1956</v>
          </cell>
          <cell r="K6652" t="str">
            <v>MARION</v>
          </cell>
          <cell r="L6652" t="str">
            <v>Marion</v>
          </cell>
          <cell r="V6652">
            <v>86700</v>
          </cell>
        </row>
        <row r="6653">
          <cell r="B6653">
            <v>1956</v>
          </cell>
          <cell r="K6653" t="str">
            <v>MONROE</v>
          </cell>
          <cell r="L6653" t="str">
            <v>Monroe</v>
          </cell>
          <cell r="V6653">
            <v>40000</v>
          </cell>
        </row>
        <row r="6654">
          <cell r="B6654">
            <v>1956</v>
          </cell>
          <cell r="K6654" t="str">
            <v>RINGGOLD</v>
          </cell>
          <cell r="L6654" t="str">
            <v>Ringgold</v>
          </cell>
          <cell r="V6654">
            <v>60300</v>
          </cell>
        </row>
        <row r="6655">
          <cell r="B6655">
            <v>1956</v>
          </cell>
          <cell r="K6655" t="str">
            <v>UNION</v>
          </cell>
          <cell r="L6655" t="str">
            <v>Union</v>
          </cell>
          <cell r="V6655">
            <v>59800</v>
          </cell>
        </row>
        <row r="6656">
          <cell r="B6656">
            <v>1956</v>
          </cell>
          <cell r="K6656" t="str">
            <v>WARREN</v>
          </cell>
          <cell r="L6656" t="str">
            <v>Warren</v>
          </cell>
          <cell r="V6656">
            <v>82500</v>
          </cell>
        </row>
        <row r="6657">
          <cell r="B6657">
            <v>1956</v>
          </cell>
          <cell r="K6657" t="str">
            <v>WAYNE</v>
          </cell>
          <cell r="L6657" t="str">
            <v>Wayne</v>
          </cell>
          <cell r="V6657">
            <v>59900</v>
          </cell>
        </row>
        <row r="6658">
          <cell r="B6658">
            <v>1956</v>
          </cell>
          <cell r="K6658" t="str">
            <v>DAVIS</v>
          </cell>
          <cell r="L6658" t="str">
            <v>Davis</v>
          </cell>
          <cell r="V6658">
            <v>41400</v>
          </cell>
        </row>
        <row r="6659">
          <cell r="B6659">
            <v>1956</v>
          </cell>
          <cell r="K6659" t="str">
            <v>DES MOINES</v>
          </cell>
          <cell r="L6659" t="str">
            <v>Des Moines</v>
          </cell>
          <cell r="V6659">
            <v>60200</v>
          </cell>
        </row>
        <row r="6660">
          <cell r="B6660">
            <v>1956</v>
          </cell>
          <cell r="K6660" t="str">
            <v>HENRY</v>
          </cell>
          <cell r="L6660" t="str">
            <v>Henry</v>
          </cell>
          <cell r="V6660">
            <v>71500</v>
          </cell>
        </row>
        <row r="6661">
          <cell r="B6661">
            <v>1956</v>
          </cell>
          <cell r="K6661" t="str">
            <v>JEFFERSON</v>
          </cell>
          <cell r="L6661" t="str">
            <v>Jefferson</v>
          </cell>
          <cell r="V6661">
            <v>58600</v>
          </cell>
        </row>
        <row r="6662">
          <cell r="B6662">
            <v>1956</v>
          </cell>
          <cell r="K6662" t="str">
            <v>KEOKUK</v>
          </cell>
          <cell r="L6662" t="str">
            <v>Keokuk</v>
          </cell>
          <cell r="V6662">
            <v>98500</v>
          </cell>
        </row>
        <row r="6663">
          <cell r="B6663">
            <v>1956</v>
          </cell>
          <cell r="K6663" t="str">
            <v>LEE</v>
          </cell>
          <cell r="L6663" t="str">
            <v>Lee</v>
          </cell>
          <cell r="V6663">
            <v>62100</v>
          </cell>
        </row>
        <row r="6664">
          <cell r="B6664">
            <v>1956</v>
          </cell>
          <cell r="K6664" t="str">
            <v>LOUISA</v>
          </cell>
          <cell r="L6664" t="str">
            <v>Louisa</v>
          </cell>
          <cell r="V6664">
            <v>70000</v>
          </cell>
        </row>
        <row r="6665">
          <cell r="B6665">
            <v>1956</v>
          </cell>
          <cell r="K6665" t="str">
            <v>MAHASKA</v>
          </cell>
          <cell r="L6665" t="str">
            <v>Mahaska</v>
          </cell>
          <cell r="V6665">
            <v>105900</v>
          </cell>
        </row>
        <row r="6666">
          <cell r="B6666">
            <v>1956</v>
          </cell>
          <cell r="K6666" t="str">
            <v>VAN BUREN</v>
          </cell>
          <cell r="L6666" t="str">
            <v>Van Buren</v>
          </cell>
          <cell r="V6666">
            <v>40300</v>
          </cell>
        </row>
        <row r="6667">
          <cell r="B6667">
            <v>1956</v>
          </cell>
          <cell r="K6667" t="str">
            <v>WAPELLO</v>
          </cell>
          <cell r="L6667" t="str">
            <v>Wapello</v>
          </cell>
          <cell r="V6667">
            <v>52200</v>
          </cell>
        </row>
        <row r="6668">
          <cell r="B6668">
            <v>1956</v>
          </cell>
          <cell r="K6668" t="str">
            <v>WASHINGTON</v>
          </cell>
          <cell r="L6668" t="str">
            <v>Washington</v>
          </cell>
          <cell r="V6668">
            <v>112200</v>
          </cell>
        </row>
        <row r="6669">
          <cell r="B6669">
            <v>1956</v>
          </cell>
          <cell r="K6669" t="str">
            <v>ADAIR</v>
          </cell>
          <cell r="L6669" t="str">
            <v>Adair</v>
          </cell>
          <cell r="V6669">
            <v>95000</v>
          </cell>
        </row>
        <row r="6670">
          <cell r="B6670">
            <v>1956</v>
          </cell>
          <cell r="K6670" t="str">
            <v>ADAMS</v>
          </cell>
          <cell r="L6670" t="str">
            <v>Adams</v>
          </cell>
          <cell r="V6670">
            <v>69700</v>
          </cell>
        </row>
        <row r="6671">
          <cell r="B6671">
            <v>1956</v>
          </cell>
          <cell r="K6671" t="str">
            <v>CASS</v>
          </cell>
          <cell r="L6671" t="str">
            <v>Cass</v>
          </cell>
          <cell r="V6671">
            <v>113800</v>
          </cell>
        </row>
        <row r="6672">
          <cell r="B6672">
            <v>1956</v>
          </cell>
          <cell r="K6672" t="str">
            <v>FREMONT</v>
          </cell>
          <cell r="L6672" t="str">
            <v>Fremont</v>
          </cell>
          <cell r="V6672">
            <v>125100</v>
          </cell>
        </row>
        <row r="6673">
          <cell r="B6673">
            <v>1956</v>
          </cell>
          <cell r="K6673" t="str">
            <v>MILLS</v>
          </cell>
          <cell r="L6673" t="str">
            <v>Mills</v>
          </cell>
          <cell r="V6673">
            <v>100600</v>
          </cell>
        </row>
        <row r="6674">
          <cell r="B6674">
            <v>1956</v>
          </cell>
          <cell r="K6674" t="str">
            <v>MONTGOMERY</v>
          </cell>
          <cell r="L6674" t="str">
            <v>Montgomery</v>
          </cell>
          <cell r="V6674">
            <v>86200</v>
          </cell>
        </row>
        <row r="6675">
          <cell r="B6675">
            <v>1956</v>
          </cell>
          <cell r="K6675" t="str">
            <v>PAGE</v>
          </cell>
          <cell r="L6675" t="str">
            <v>Page</v>
          </cell>
          <cell r="V6675">
            <v>101500</v>
          </cell>
        </row>
        <row r="6676">
          <cell r="B6676">
            <v>1956</v>
          </cell>
          <cell r="K6676" t="str">
            <v>POTTAWATTAMIE</v>
          </cell>
          <cell r="L6676" t="str">
            <v>Pottawattamie</v>
          </cell>
          <cell r="V6676">
            <v>202200</v>
          </cell>
        </row>
        <row r="6677">
          <cell r="B6677">
            <v>1956</v>
          </cell>
          <cell r="K6677" t="str">
            <v>TAYLOR</v>
          </cell>
          <cell r="L6677" t="str">
            <v>Taylor</v>
          </cell>
          <cell r="V6677">
            <v>81500</v>
          </cell>
        </row>
        <row r="6678">
          <cell r="B6678">
            <v>1956</v>
          </cell>
          <cell r="K6678" t="str">
            <v>AUDUBON</v>
          </cell>
          <cell r="L6678" t="str">
            <v>Audubon</v>
          </cell>
          <cell r="V6678">
            <v>93000</v>
          </cell>
        </row>
        <row r="6679">
          <cell r="B6679">
            <v>1956</v>
          </cell>
          <cell r="K6679" t="str">
            <v>CALHOUN</v>
          </cell>
          <cell r="L6679" t="str">
            <v>Calhoun</v>
          </cell>
          <cell r="V6679">
            <v>116900</v>
          </cell>
        </row>
        <row r="6680">
          <cell r="B6680">
            <v>1956</v>
          </cell>
          <cell r="K6680" t="str">
            <v>CARROLL</v>
          </cell>
          <cell r="L6680" t="str">
            <v>Carroll</v>
          </cell>
          <cell r="V6680">
            <v>131400</v>
          </cell>
        </row>
        <row r="6681">
          <cell r="B6681">
            <v>1956</v>
          </cell>
          <cell r="K6681" t="str">
            <v>CRAWFORD</v>
          </cell>
          <cell r="L6681" t="str">
            <v>Crawford</v>
          </cell>
          <cell r="V6681">
            <v>144500</v>
          </cell>
        </row>
        <row r="6682">
          <cell r="B6682">
            <v>1956</v>
          </cell>
          <cell r="K6682" t="str">
            <v>GREENE</v>
          </cell>
          <cell r="L6682" t="str">
            <v>Greene</v>
          </cell>
          <cell r="V6682">
            <v>133700</v>
          </cell>
        </row>
        <row r="6683">
          <cell r="B6683">
            <v>1956</v>
          </cell>
          <cell r="K6683" t="str">
            <v>GUTHRIE</v>
          </cell>
          <cell r="L6683" t="str">
            <v>Guthrie</v>
          </cell>
          <cell r="V6683">
            <v>99200</v>
          </cell>
        </row>
        <row r="6684">
          <cell r="B6684">
            <v>1956</v>
          </cell>
          <cell r="K6684" t="str">
            <v>HARRISON</v>
          </cell>
          <cell r="L6684" t="str">
            <v>Harrison</v>
          </cell>
          <cell r="V6684">
            <v>137700</v>
          </cell>
        </row>
        <row r="6685">
          <cell r="B6685">
            <v>1956</v>
          </cell>
          <cell r="K6685" t="str">
            <v>IDA</v>
          </cell>
          <cell r="L6685" t="str">
            <v>Ida</v>
          </cell>
          <cell r="V6685">
            <v>94500</v>
          </cell>
        </row>
        <row r="6686">
          <cell r="B6686">
            <v>1956</v>
          </cell>
          <cell r="K6686" t="str">
            <v>MONONA</v>
          </cell>
          <cell r="L6686" t="str">
            <v>Monona</v>
          </cell>
          <cell r="V6686">
            <v>135800</v>
          </cell>
        </row>
        <row r="6687">
          <cell r="B6687">
            <v>1956</v>
          </cell>
          <cell r="K6687" t="str">
            <v>SAC</v>
          </cell>
          <cell r="L6687" t="str">
            <v>Sac</v>
          </cell>
          <cell r="V6687">
            <v>129500</v>
          </cell>
        </row>
        <row r="6688">
          <cell r="B6688">
            <v>1956</v>
          </cell>
          <cell r="K6688" t="str">
            <v>SHELBY</v>
          </cell>
          <cell r="L6688" t="str">
            <v>Shelby</v>
          </cell>
          <cell r="V6688">
            <v>128700</v>
          </cell>
        </row>
        <row r="6689">
          <cell r="B6689">
            <v>1956</v>
          </cell>
          <cell r="K6689" t="str">
            <v>WOODBURY</v>
          </cell>
          <cell r="L6689" t="str">
            <v>Woodbury</v>
          </cell>
          <cell r="V6689">
            <v>175700</v>
          </cell>
        </row>
        <row r="6690">
          <cell r="B6690">
            <v>1955</v>
          </cell>
          <cell r="K6690" t="str">
            <v>BOONE</v>
          </cell>
          <cell r="L6690" t="str">
            <v>Boone</v>
          </cell>
          <cell r="V6690">
            <v>125700</v>
          </cell>
        </row>
        <row r="6691">
          <cell r="B6691">
            <v>1955</v>
          </cell>
          <cell r="K6691" t="str">
            <v>DALLAS</v>
          </cell>
          <cell r="L6691" t="str">
            <v>Dallas</v>
          </cell>
          <cell r="V6691">
            <v>121100</v>
          </cell>
        </row>
        <row r="6692">
          <cell r="B6692">
            <v>1955</v>
          </cell>
          <cell r="K6692" t="str">
            <v>GRUNDY</v>
          </cell>
          <cell r="L6692" t="str">
            <v>Grundy</v>
          </cell>
          <cell r="V6692">
            <v>116900</v>
          </cell>
        </row>
        <row r="6693">
          <cell r="B6693">
            <v>1955</v>
          </cell>
          <cell r="K6693" t="str">
            <v>HAMILTON</v>
          </cell>
          <cell r="L6693" t="str">
            <v>Hamilton</v>
          </cell>
          <cell r="V6693">
            <v>148100</v>
          </cell>
        </row>
        <row r="6694">
          <cell r="B6694">
            <v>1955</v>
          </cell>
          <cell r="K6694" t="str">
            <v>HARDIN</v>
          </cell>
          <cell r="L6694" t="str">
            <v>Hardin</v>
          </cell>
          <cell r="V6694">
            <v>132200</v>
          </cell>
        </row>
        <row r="6695">
          <cell r="B6695">
            <v>1955</v>
          </cell>
          <cell r="K6695" t="str">
            <v>JASPER</v>
          </cell>
          <cell r="L6695" t="str">
            <v>Jasper</v>
          </cell>
          <cell r="V6695">
            <v>141200</v>
          </cell>
        </row>
        <row r="6696">
          <cell r="B6696">
            <v>1955</v>
          </cell>
          <cell r="K6696" t="str">
            <v>MARSHALL</v>
          </cell>
          <cell r="L6696" t="str">
            <v>Marshall</v>
          </cell>
          <cell r="V6696">
            <v>120600</v>
          </cell>
        </row>
        <row r="6697">
          <cell r="B6697">
            <v>1955</v>
          </cell>
          <cell r="K6697" t="str">
            <v>POLK</v>
          </cell>
          <cell r="L6697" t="str">
            <v>Polk</v>
          </cell>
          <cell r="V6697">
            <v>105100</v>
          </cell>
        </row>
        <row r="6698">
          <cell r="B6698">
            <v>1955</v>
          </cell>
          <cell r="K6698" t="str">
            <v>POWESHIEK</v>
          </cell>
          <cell r="L6698" t="str">
            <v>Poweshiek</v>
          </cell>
          <cell r="V6698">
            <v>112900</v>
          </cell>
        </row>
        <row r="6699">
          <cell r="B6699">
            <v>1955</v>
          </cell>
          <cell r="K6699" t="str">
            <v>STORY</v>
          </cell>
          <cell r="L6699" t="str">
            <v>Story</v>
          </cell>
          <cell r="V6699">
            <v>138400</v>
          </cell>
        </row>
        <row r="6700">
          <cell r="B6700">
            <v>1955</v>
          </cell>
          <cell r="K6700" t="str">
            <v>TAMA</v>
          </cell>
          <cell r="L6700" t="str">
            <v>Tama</v>
          </cell>
          <cell r="V6700">
            <v>138100</v>
          </cell>
        </row>
        <row r="6701">
          <cell r="B6701">
            <v>1955</v>
          </cell>
          <cell r="K6701" t="str">
            <v>WEBSTER</v>
          </cell>
          <cell r="L6701" t="str">
            <v>Webster</v>
          </cell>
          <cell r="V6701">
            <v>158600</v>
          </cell>
        </row>
        <row r="6702">
          <cell r="B6702">
            <v>1955</v>
          </cell>
          <cell r="K6702" t="str">
            <v>BENTON</v>
          </cell>
          <cell r="L6702" t="str">
            <v>Benton</v>
          </cell>
          <cell r="V6702">
            <v>151200</v>
          </cell>
        </row>
        <row r="6703">
          <cell r="B6703">
            <v>1955</v>
          </cell>
          <cell r="K6703" t="str">
            <v>CEDAR</v>
          </cell>
          <cell r="L6703" t="str">
            <v>Cedar</v>
          </cell>
          <cell r="V6703">
            <v>126700</v>
          </cell>
        </row>
        <row r="6704">
          <cell r="B6704">
            <v>1955</v>
          </cell>
          <cell r="K6704" t="str">
            <v>CLINTON</v>
          </cell>
          <cell r="L6704" t="str">
            <v>Clinton</v>
          </cell>
          <cell r="V6704">
            <v>149600</v>
          </cell>
        </row>
        <row r="6705">
          <cell r="B6705">
            <v>1955</v>
          </cell>
          <cell r="K6705" t="str">
            <v>IOWA</v>
          </cell>
          <cell r="L6705" t="str">
            <v>Iowa</v>
          </cell>
          <cell r="V6705">
            <v>110200</v>
          </cell>
        </row>
        <row r="6706">
          <cell r="B6706">
            <v>1955</v>
          </cell>
          <cell r="K6706" t="str">
            <v>JACKSON</v>
          </cell>
          <cell r="L6706" t="str">
            <v>Jackson</v>
          </cell>
          <cell r="V6706">
            <v>79400</v>
          </cell>
        </row>
        <row r="6707">
          <cell r="B6707">
            <v>1955</v>
          </cell>
          <cell r="K6707" t="str">
            <v>JOHNSON</v>
          </cell>
          <cell r="L6707" t="str">
            <v>Johnson</v>
          </cell>
          <cell r="V6707">
            <v>115800</v>
          </cell>
        </row>
        <row r="6708">
          <cell r="B6708">
            <v>1955</v>
          </cell>
          <cell r="K6708" t="str">
            <v>JONES</v>
          </cell>
          <cell r="L6708" t="str">
            <v>Jones</v>
          </cell>
          <cell r="V6708">
            <v>104100</v>
          </cell>
        </row>
        <row r="6709">
          <cell r="B6709">
            <v>1955</v>
          </cell>
          <cell r="K6709" t="str">
            <v>LINN</v>
          </cell>
          <cell r="L6709" t="str">
            <v>Linn</v>
          </cell>
          <cell r="V6709">
            <v>133400</v>
          </cell>
        </row>
        <row r="6710">
          <cell r="B6710">
            <v>1955</v>
          </cell>
          <cell r="K6710" t="str">
            <v>MUSCATINE</v>
          </cell>
          <cell r="L6710" t="str">
            <v>Muscatine</v>
          </cell>
          <cell r="V6710">
            <v>82200</v>
          </cell>
        </row>
        <row r="6711">
          <cell r="B6711">
            <v>1955</v>
          </cell>
          <cell r="K6711" t="str">
            <v>SCOTT</v>
          </cell>
          <cell r="L6711" t="str">
            <v>Scott</v>
          </cell>
          <cell r="V6711">
            <v>92400</v>
          </cell>
        </row>
        <row r="6712">
          <cell r="B6712">
            <v>1955</v>
          </cell>
          <cell r="K6712" t="str">
            <v>BUTLER</v>
          </cell>
          <cell r="L6712" t="str">
            <v>Butler</v>
          </cell>
          <cell r="V6712">
            <v>129300</v>
          </cell>
        </row>
        <row r="6713">
          <cell r="B6713">
            <v>1955</v>
          </cell>
          <cell r="K6713" t="str">
            <v>CERRO GORDO</v>
          </cell>
          <cell r="L6713" t="str">
            <v>Cerro Gordo</v>
          </cell>
          <cell r="V6713">
            <v>132600</v>
          </cell>
        </row>
        <row r="6714">
          <cell r="B6714">
            <v>1955</v>
          </cell>
          <cell r="K6714" t="str">
            <v>FLOYD</v>
          </cell>
          <cell r="L6714" t="str">
            <v>Floyd</v>
          </cell>
          <cell r="V6714">
            <v>111000</v>
          </cell>
        </row>
        <row r="6715">
          <cell r="B6715">
            <v>1955</v>
          </cell>
          <cell r="K6715" t="str">
            <v>FRANKLIN</v>
          </cell>
          <cell r="L6715" t="str">
            <v>Franklin</v>
          </cell>
          <cell r="V6715">
            <v>144500</v>
          </cell>
        </row>
        <row r="6716">
          <cell r="B6716">
            <v>1955</v>
          </cell>
          <cell r="K6716" t="str">
            <v>HANCOCK</v>
          </cell>
          <cell r="L6716" t="str">
            <v>Hancock</v>
          </cell>
          <cell r="V6716">
            <v>136500</v>
          </cell>
        </row>
        <row r="6717">
          <cell r="B6717">
            <v>1955</v>
          </cell>
          <cell r="K6717" t="str">
            <v>HUMBOLDT</v>
          </cell>
          <cell r="L6717" t="str">
            <v>Humboldt</v>
          </cell>
          <cell r="V6717">
            <v>104100</v>
          </cell>
        </row>
        <row r="6718">
          <cell r="B6718">
            <v>1955</v>
          </cell>
          <cell r="K6718" t="str">
            <v>KOSSUTH</v>
          </cell>
          <cell r="L6718" t="str">
            <v>Kossuth</v>
          </cell>
          <cell r="V6718">
            <v>228000</v>
          </cell>
        </row>
        <row r="6719">
          <cell r="B6719">
            <v>1955</v>
          </cell>
          <cell r="K6719" t="str">
            <v>MITCHELL</v>
          </cell>
          <cell r="L6719" t="str">
            <v>Mitchell</v>
          </cell>
          <cell r="V6719">
            <v>108500</v>
          </cell>
        </row>
        <row r="6720">
          <cell r="B6720">
            <v>1955</v>
          </cell>
          <cell r="K6720" t="str">
            <v>WINNEBAGO</v>
          </cell>
          <cell r="L6720" t="str">
            <v>Winnebago</v>
          </cell>
          <cell r="V6720">
            <v>92900</v>
          </cell>
        </row>
        <row r="6721">
          <cell r="B6721">
            <v>1955</v>
          </cell>
          <cell r="K6721" t="str">
            <v>WORTH</v>
          </cell>
          <cell r="L6721" t="str">
            <v>Worth</v>
          </cell>
          <cell r="V6721">
            <v>87700</v>
          </cell>
        </row>
        <row r="6722">
          <cell r="B6722">
            <v>1955</v>
          </cell>
          <cell r="K6722" t="str">
            <v>WRIGHT</v>
          </cell>
          <cell r="L6722" t="str">
            <v>Wright</v>
          </cell>
          <cell r="V6722">
            <v>139100</v>
          </cell>
        </row>
        <row r="6723">
          <cell r="B6723">
            <v>1955</v>
          </cell>
          <cell r="K6723" t="str">
            <v>ALLAMAKEE</v>
          </cell>
          <cell r="L6723" t="str">
            <v>Allamakee</v>
          </cell>
          <cell r="V6723">
            <v>59800</v>
          </cell>
        </row>
        <row r="6724">
          <cell r="B6724">
            <v>1955</v>
          </cell>
          <cell r="K6724" t="str">
            <v>BLACK HAWK</v>
          </cell>
          <cell r="L6724" t="str">
            <v>Black Hawk</v>
          </cell>
          <cell r="V6724">
            <v>115900</v>
          </cell>
        </row>
        <row r="6725">
          <cell r="B6725">
            <v>1955</v>
          </cell>
          <cell r="K6725" t="str">
            <v>BREMER</v>
          </cell>
          <cell r="L6725" t="str">
            <v>Bremer</v>
          </cell>
          <cell r="V6725">
            <v>83300</v>
          </cell>
        </row>
        <row r="6726">
          <cell r="B6726">
            <v>1955</v>
          </cell>
          <cell r="K6726" t="str">
            <v>BUCHANAN</v>
          </cell>
          <cell r="L6726" t="str">
            <v>Buchanan</v>
          </cell>
          <cell r="V6726">
            <v>114800</v>
          </cell>
        </row>
        <row r="6727">
          <cell r="B6727">
            <v>1955</v>
          </cell>
          <cell r="K6727" t="str">
            <v>CHICKASAW</v>
          </cell>
          <cell r="L6727" t="str">
            <v>Chickasaw</v>
          </cell>
          <cell r="V6727">
            <v>93800</v>
          </cell>
        </row>
        <row r="6728">
          <cell r="B6728">
            <v>1955</v>
          </cell>
          <cell r="K6728" t="str">
            <v>CLAYTON</v>
          </cell>
          <cell r="L6728" t="str">
            <v>Clayton</v>
          </cell>
          <cell r="V6728">
            <v>91900</v>
          </cell>
        </row>
        <row r="6729">
          <cell r="B6729">
            <v>1955</v>
          </cell>
          <cell r="K6729" t="str">
            <v>DELAWARE</v>
          </cell>
          <cell r="L6729" t="str">
            <v>Delaware</v>
          </cell>
          <cell r="V6729">
            <v>109700</v>
          </cell>
        </row>
        <row r="6730">
          <cell r="B6730">
            <v>1955</v>
          </cell>
          <cell r="K6730" t="str">
            <v>DUBUQUE</v>
          </cell>
          <cell r="L6730" t="str">
            <v>Dubuque</v>
          </cell>
          <cell r="V6730">
            <v>84000</v>
          </cell>
        </row>
        <row r="6731">
          <cell r="B6731">
            <v>1955</v>
          </cell>
          <cell r="K6731" t="str">
            <v>FAYETTE</v>
          </cell>
          <cell r="L6731" t="str">
            <v>Fayette</v>
          </cell>
          <cell r="V6731">
            <v>122900</v>
          </cell>
        </row>
        <row r="6732">
          <cell r="B6732">
            <v>1955</v>
          </cell>
          <cell r="K6732" t="str">
            <v>HOWARD</v>
          </cell>
          <cell r="L6732" t="str">
            <v>Howard</v>
          </cell>
          <cell r="V6732">
            <v>85600</v>
          </cell>
        </row>
        <row r="6733">
          <cell r="B6733">
            <v>1955</v>
          </cell>
          <cell r="K6733" t="str">
            <v>WINNESHIEK</v>
          </cell>
          <cell r="L6733" t="str">
            <v>Winneshiek</v>
          </cell>
          <cell r="V6733">
            <v>99900</v>
          </cell>
        </row>
        <row r="6734">
          <cell r="B6734">
            <v>1955</v>
          </cell>
          <cell r="K6734" t="str">
            <v>BUENA VISTA</v>
          </cell>
          <cell r="L6734" t="str">
            <v>Buena Vista</v>
          </cell>
          <cell r="V6734">
            <v>134600</v>
          </cell>
        </row>
        <row r="6735">
          <cell r="B6735">
            <v>1955</v>
          </cell>
          <cell r="K6735" t="str">
            <v>CHEROKEE</v>
          </cell>
          <cell r="L6735" t="str">
            <v>Cherokee</v>
          </cell>
          <cell r="V6735">
            <v>125500</v>
          </cell>
        </row>
        <row r="6736">
          <cell r="B6736">
            <v>1955</v>
          </cell>
          <cell r="K6736" t="str">
            <v>CLAY</v>
          </cell>
          <cell r="L6736" t="str">
            <v>Clay</v>
          </cell>
          <cell r="V6736">
            <v>126900</v>
          </cell>
        </row>
        <row r="6737">
          <cell r="B6737">
            <v>1955</v>
          </cell>
          <cell r="K6737" t="str">
            <v>DICKINSON</v>
          </cell>
          <cell r="L6737" t="str">
            <v>Dickinson</v>
          </cell>
          <cell r="V6737">
            <v>81600</v>
          </cell>
        </row>
        <row r="6738">
          <cell r="B6738">
            <v>1955</v>
          </cell>
          <cell r="K6738" t="str">
            <v>EMMET</v>
          </cell>
          <cell r="L6738" t="str">
            <v>Emmet</v>
          </cell>
          <cell r="V6738">
            <v>91300</v>
          </cell>
        </row>
        <row r="6739">
          <cell r="B6739">
            <v>1955</v>
          </cell>
          <cell r="K6739" t="str">
            <v>LYON</v>
          </cell>
          <cell r="L6739" t="str">
            <v>Lyon</v>
          </cell>
          <cell r="V6739">
            <v>137400</v>
          </cell>
        </row>
        <row r="6740">
          <cell r="B6740">
            <v>1955</v>
          </cell>
          <cell r="K6740" t="str">
            <v>O BRIEN</v>
          </cell>
          <cell r="L6740" t="str">
            <v>O Brien</v>
          </cell>
          <cell r="V6740">
            <v>128300</v>
          </cell>
        </row>
        <row r="6741">
          <cell r="B6741">
            <v>1955</v>
          </cell>
          <cell r="K6741" t="str">
            <v>OSCEOLA</v>
          </cell>
          <cell r="L6741" t="str">
            <v>Osceola</v>
          </cell>
          <cell r="V6741">
            <v>94400</v>
          </cell>
        </row>
        <row r="6742">
          <cell r="B6742">
            <v>1955</v>
          </cell>
          <cell r="K6742" t="str">
            <v>PALO ALTO</v>
          </cell>
          <cell r="L6742" t="str">
            <v>Palo Alto</v>
          </cell>
          <cell r="V6742">
            <v>133800</v>
          </cell>
        </row>
        <row r="6743">
          <cell r="B6743">
            <v>1955</v>
          </cell>
          <cell r="K6743" t="str">
            <v>PLYMOUTH</v>
          </cell>
          <cell r="L6743" t="str">
            <v>Plymouth</v>
          </cell>
          <cell r="V6743">
            <v>203600</v>
          </cell>
        </row>
        <row r="6744">
          <cell r="B6744">
            <v>1955</v>
          </cell>
          <cell r="K6744" t="str">
            <v>POCAHONTAS</v>
          </cell>
          <cell r="L6744" t="str">
            <v>Pocahontas</v>
          </cell>
          <cell r="V6744">
            <v>137500</v>
          </cell>
        </row>
        <row r="6745">
          <cell r="B6745">
            <v>1955</v>
          </cell>
          <cell r="K6745" t="str">
            <v>SIOUX</v>
          </cell>
          <cell r="L6745" t="str">
            <v>Sioux</v>
          </cell>
          <cell r="V6745">
            <v>190800</v>
          </cell>
        </row>
        <row r="6746">
          <cell r="B6746">
            <v>1955</v>
          </cell>
          <cell r="K6746" t="str">
            <v>APPANOOSE</v>
          </cell>
          <cell r="L6746" t="str">
            <v>Appanoose</v>
          </cell>
          <cell r="V6746">
            <v>44000</v>
          </cell>
        </row>
        <row r="6747">
          <cell r="B6747">
            <v>1955</v>
          </cell>
          <cell r="K6747" t="str">
            <v>CLARKE</v>
          </cell>
          <cell r="L6747" t="str">
            <v>Clarke</v>
          </cell>
          <cell r="V6747">
            <v>49700</v>
          </cell>
        </row>
        <row r="6748">
          <cell r="B6748">
            <v>1955</v>
          </cell>
          <cell r="K6748" t="str">
            <v>DECATUR</v>
          </cell>
          <cell r="L6748" t="str">
            <v>Decatur</v>
          </cell>
          <cell r="V6748">
            <v>53600</v>
          </cell>
        </row>
        <row r="6749">
          <cell r="B6749">
            <v>1955</v>
          </cell>
          <cell r="K6749" t="str">
            <v>LUCAS</v>
          </cell>
          <cell r="L6749" t="str">
            <v>Lucas</v>
          </cell>
          <cell r="V6749">
            <v>45100</v>
          </cell>
        </row>
        <row r="6750">
          <cell r="B6750">
            <v>1955</v>
          </cell>
          <cell r="K6750" t="str">
            <v>MADISON</v>
          </cell>
          <cell r="L6750" t="str">
            <v>Madison</v>
          </cell>
          <cell r="V6750">
            <v>76400</v>
          </cell>
        </row>
        <row r="6751">
          <cell r="B6751">
            <v>1955</v>
          </cell>
          <cell r="K6751" t="str">
            <v>MARION</v>
          </cell>
          <cell r="L6751" t="str">
            <v>Marion</v>
          </cell>
          <cell r="V6751">
            <v>89300</v>
          </cell>
        </row>
        <row r="6752">
          <cell r="B6752">
            <v>1955</v>
          </cell>
          <cell r="K6752" t="str">
            <v>MONROE</v>
          </cell>
          <cell r="L6752" t="str">
            <v>Monroe</v>
          </cell>
          <cell r="V6752">
            <v>43400</v>
          </cell>
        </row>
        <row r="6753">
          <cell r="B6753">
            <v>1955</v>
          </cell>
          <cell r="K6753" t="str">
            <v>RINGGOLD</v>
          </cell>
          <cell r="L6753" t="str">
            <v>Ringgold</v>
          </cell>
          <cell r="V6753">
            <v>63400</v>
          </cell>
        </row>
        <row r="6754">
          <cell r="B6754">
            <v>1955</v>
          </cell>
          <cell r="K6754" t="str">
            <v>UNION</v>
          </cell>
          <cell r="L6754" t="str">
            <v>Union</v>
          </cell>
          <cell r="V6754">
            <v>56300</v>
          </cell>
        </row>
        <row r="6755">
          <cell r="B6755">
            <v>1955</v>
          </cell>
          <cell r="K6755" t="str">
            <v>WARREN</v>
          </cell>
          <cell r="L6755" t="str">
            <v>Warren</v>
          </cell>
          <cell r="V6755">
            <v>80800</v>
          </cell>
        </row>
        <row r="6756">
          <cell r="B6756">
            <v>1955</v>
          </cell>
          <cell r="K6756" t="str">
            <v>WAYNE</v>
          </cell>
          <cell r="L6756" t="str">
            <v>Wayne</v>
          </cell>
          <cell r="V6756">
            <v>61800</v>
          </cell>
        </row>
        <row r="6757">
          <cell r="B6757">
            <v>1955</v>
          </cell>
          <cell r="K6757" t="str">
            <v>DAVIS</v>
          </cell>
          <cell r="L6757" t="str">
            <v>Davis</v>
          </cell>
          <cell r="V6757">
            <v>45600</v>
          </cell>
        </row>
        <row r="6758">
          <cell r="B6758">
            <v>1955</v>
          </cell>
          <cell r="K6758" t="str">
            <v>DES MOINES</v>
          </cell>
          <cell r="L6758" t="str">
            <v>Des Moines</v>
          </cell>
          <cell r="V6758">
            <v>62800</v>
          </cell>
        </row>
        <row r="6759">
          <cell r="B6759">
            <v>1955</v>
          </cell>
          <cell r="K6759" t="str">
            <v>HENRY</v>
          </cell>
          <cell r="L6759" t="str">
            <v>Henry</v>
          </cell>
          <cell r="V6759">
            <v>74400</v>
          </cell>
        </row>
        <row r="6760">
          <cell r="B6760">
            <v>1955</v>
          </cell>
          <cell r="K6760" t="str">
            <v>JEFFERSON</v>
          </cell>
          <cell r="L6760" t="str">
            <v>Jefferson</v>
          </cell>
          <cell r="V6760">
            <v>63200</v>
          </cell>
        </row>
        <row r="6761">
          <cell r="B6761">
            <v>1955</v>
          </cell>
          <cell r="K6761" t="str">
            <v>KEOKUK</v>
          </cell>
          <cell r="L6761" t="str">
            <v>Keokuk</v>
          </cell>
          <cell r="V6761">
            <v>105800</v>
          </cell>
        </row>
        <row r="6762">
          <cell r="B6762">
            <v>1955</v>
          </cell>
          <cell r="K6762" t="str">
            <v>LEE</v>
          </cell>
          <cell r="L6762" t="str">
            <v>Lee</v>
          </cell>
          <cell r="V6762">
            <v>65300</v>
          </cell>
        </row>
        <row r="6763">
          <cell r="B6763">
            <v>1955</v>
          </cell>
          <cell r="K6763" t="str">
            <v>LOUISA</v>
          </cell>
          <cell r="L6763" t="str">
            <v>Louisa</v>
          </cell>
          <cell r="V6763">
            <v>72500</v>
          </cell>
        </row>
        <row r="6764">
          <cell r="B6764">
            <v>1955</v>
          </cell>
          <cell r="K6764" t="str">
            <v>MAHASKA</v>
          </cell>
          <cell r="L6764" t="str">
            <v>Mahaska</v>
          </cell>
          <cell r="V6764">
            <v>113800</v>
          </cell>
        </row>
        <row r="6765">
          <cell r="B6765">
            <v>1955</v>
          </cell>
          <cell r="K6765" t="str">
            <v>VAN BUREN</v>
          </cell>
          <cell r="L6765" t="str">
            <v>Van Buren</v>
          </cell>
          <cell r="V6765">
            <v>45400</v>
          </cell>
        </row>
        <row r="6766">
          <cell r="B6766">
            <v>1955</v>
          </cell>
          <cell r="K6766" t="str">
            <v>WAPELLO</v>
          </cell>
          <cell r="L6766" t="str">
            <v>Wapello</v>
          </cell>
          <cell r="V6766">
            <v>57000</v>
          </cell>
        </row>
        <row r="6767">
          <cell r="B6767">
            <v>1955</v>
          </cell>
          <cell r="K6767" t="str">
            <v>WASHINGTON</v>
          </cell>
          <cell r="L6767" t="str">
            <v>Washington</v>
          </cell>
          <cell r="V6767">
            <v>116500</v>
          </cell>
        </row>
        <row r="6768">
          <cell r="B6768">
            <v>1955</v>
          </cell>
          <cell r="K6768" t="str">
            <v>ADAIR</v>
          </cell>
          <cell r="L6768" t="str">
            <v>Adair</v>
          </cell>
          <cell r="V6768">
            <v>93400</v>
          </cell>
        </row>
        <row r="6769">
          <cell r="B6769">
            <v>1955</v>
          </cell>
          <cell r="K6769" t="str">
            <v>ADAMS</v>
          </cell>
          <cell r="L6769" t="str">
            <v>Adams</v>
          </cell>
          <cell r="V6769">
            <v>68800</v>
          </cell>
        </row>
        <row r="6770">
          <cell r="B6770">
            <v>1955</v>
          </cell>
          <cell r="K6770" t="str">
            <v>CASS</v>
          </cell>
          <cell r="L6770" t="str">
            <v>Cass</v>
          </cell>
          <cell r="V6770">
            <v>107400</v>
          </cell>
        </row>
        <row r="6771">
          <cell r="B6771">
            <v>1955</v>
          </cell>
          <cell r="K6771" t="str">
            <v>FREMONT</v>
          </cell>
          <cell r="L6771" t="str">
            <v>Fremont</v>
          </cell>
          <cell r="V6771">
            <v>130100</v>
          </cell>
        </row>
        <row r="6772">
          <cell r="B6772">
            <v>1955</v>
          </cell>
          <cell r="K6772" t="str">
            <v>MILLS</v>
          </cell>
          <cell r="L6772" t="str">
            <v>Mills</v>
          </cell>
          <cell r="V6772">
            <v>106800</v>
          </cell>
        </row>
        <row r="6773">
          <cell r="B6773">
            <v>1955</v>
          </cell>
          <cell r="K6773" t="str">
            <v>MONTGOMERY</v>
          </cell>
          <cell r="L6773" t="str">
            <v>Montgomery</v>
          </cell>
          <cell r="V6773">
            <v>86900</v>
          </cell>
        </row>
        <row r="6774">
          <cell r="B6774">
            <v>1955</v>
          </cell>
          <cell r="K6774" t="str">
            <v>PAGE</v>
          </cell>
          <cell r="L6774" t="str">
            <v>Page</v>
          </cell>
          <cell r="V6774">
            <v>104500</v>
          </cell>
        </row>
        <row r="6775">
          <cell r="B6775">
            <v>1955</v>
          </cell>
          <cell r="K6775" t="str">
            <v>POTTAWATTAMIE</v>
          </cell>
          <cell r="L6775" t="str">
            <v>Pottawattamie</v>
          </cell>
          <cell r="V6775">
            <v>215100</v>
          </cell>
        </row>
        <row r="6776">
          <cell r="B6776">
            <v>1955</v>
          </cell>
          <cell r="K6776" t="str">
            <v>TAYLOR</v>
          </cell>
          <cell r="L6776" t="str">
            <v>Taylor</v>
          </cell>
          <cell r="V6776">
            <v>79000</v>
          </cell>
        </row>
        <row r="6777">
          <cell r="B6777">
            <v>1955</v>
          </cell>
          <cell r="K6777" t="str">
            <v>AUDUBON</v>
          </cell>
          <cell r="L6777" t="str">
            <v>Audubon</v>
          </cell>
          <cell r="V6777">
            <v>89000</v>
          </cell>
        </row>
        <row r="6778">
          <cell r="B6778">
            <v>1955</v>
          </cell>
          <cell r="K6778" t="str">
            <v>CALHOUN</v>
          </cell>
          <cell r="L6778" t="str">
            <v>Calhoun</v>
          </cell>
          <cell r="V6778">
            <v>131600</v>
          </cell>
        </row>
        <row r="6779">
          <cell r="B6779">
            <v>1955</v>
          </cell>
          <cell r="K6779" t="str">
            <v>CARROLL</v>
          </cell>
          <cell r="L6779" t="str">
            <v>Carroll</v>
          </cell>
          <cell r="V6779">
            <v>127900</v>
          </cell>
        </row>
        <row r="6780">
          <cell r="B6780">
            <v>1955</v>
          </cell>
          <cell r="K6780" t="str">
            <v>CRAWFORD</v>
          </cell>
          <cell r="L6780" t="str">
            <v>Crawford</v>
          </cell>
          <cell r="V6780">
            <v>141300</v>
          </cell>
        </row>
        <row r="6781">
          <cell r="B6781">
            <v>1955</v>
          </cell>
          <cell r="K6781" t="str">
            <v>GREENE</v>
          </cell>
          <cell r="L6781" t="str">
            <v>Greene</v>
          </cell>
          <cell r="V6781">
            <v>131300</v>
          </cell>
        </row>
        <row r="6782">
          <cell r="B6782">
            <v>1955</v>
          </cell>
          <cell r="K6782" t="str">
            <v>GUTHRIE</v>
          </cell>
          <cell r="L6782" t="str">
            <v>Guthrie</v>
          </cell>
          <cell r="V6782">
            <v>100700</v>
          </cell>
        </row>
        <row r="6783">
          <cell r="B6783">
            <v>1955</v>
          </cell>
          <cell r="K6783" t="str">
            <v>HARRISON</v>
          </cell>
          <cell r="L6783" t="str">
            <v>Harrison</v>
          </cell>
          <cell r="V6783">
            <v>148500</v>
          </cell>
        </row>
        <row r="6784">
          <cell r="B6784">
            <v>1955</v>
          </cell>
          <cell r="K6784" t="str">
            <v>IDA</v>
          </cell>
          <cell r="L6784" t="str">
            <v>Ida</v>
          </cell>
          <cell r="V6784">
            <v>93700</v>
          </cell>
        </row>
        <row r="6785">
          <cell r="B6785">
            <v>1955</v>
          </cell>
          <cell r="K6785" t="str">
            <v>MONONA</v>
          </cell>
          <cell r="L6785" t="str">
            <v>Monona</v>
          </cell>
          <cell r="V6785">
            <v>138400</v>
          </cell>
        </row>
        <row r="6786">
          <cell r="B6786">
            <v>1955</v>
          </cell>
          <cell r="K6786" t="str">
            <v>SAC</v>
          </cell>
          <cell r="L6786" t="str">
            <v>Sac</v>
          </cell>
          <cell r="V6786">
            <v>131000</v>
          </cell>
        </row>
        <row r="6787">
          <cell r="B6787">
            <v>1955</v>
          </cell>
          <cell r="K6787" t="str">
            <v>SHELBY</v>
          </cell>
          <cell r="L6787" t="str">
            <v>Shelby</v>
          </cell>
          <cell r="V6787">
            <v>132300</v>
          </cell>
        </row>
        <row r="6788">
          <cell r="B6788">
            <v>1955</v>
          </cell>
          <cell r="K6788" t="str">
            <v>WOODBURY</v>
          </cell>
          <cell r="L6788" t="str">
            <v>Woodbury</v>
          </cell>
          <cell r="V6788">
            <v>189800</v>
          </cell>
        </row>
        <row r="6789">
          <cell r="B6789">
            <v>1954</v>
          </cell>
          <cell r="K6789" t="str">
            <v>BOONE</v>
          </cell>
          <cell r="L6789" t="str">
            <v>Boone</v>
          </cell>
          <cell r="V6789">
            <v>123100</v>
          </cell>
        </row>
        <row r="6790">
          <cell r="B6790">
            <v>1954</v>
          </cell>
          <cell r="K6790" t="str">
            <v>DALLAS</v>
          </cell>
          <cell r="L6790" t="str">
            <v>Dallas</v>
          </cell>
          <cell r="V6790">
            <v>121100</v>
          </cell>
        </row>
        <row r="6791">
          <cell r="B6791">
            <v>1954</v>
          </cell>
          <cell r="K6791" t="str">
            <v>GRUNDY</v>
          </cell>
          <cell r="L6791" t="str">
            <v>Grundy</v>
          </cell>
          <cell r="V6791">
            <v>113900</v>
          </cell>
        </row>
        <row r="6792">
          <cell r="B6792">
            <v>1954</v>
          </cell>
          <cell r="K6792" t="str">
            <v>HAMILTON</v>
          </cell>
          <cell r="L6792" t="str">
            <v>Hamilton</v>
          </cell>
          <cell r="V6792">
            <v>141400</v>
          </cell>
        </row>
        <row r="6793">
          <cell r="B6793">
            <v>1954</v>
          </cell>
          <cell r="K6793" t="str">
            <v>HARDIN</v>
          </cell>
          <cell r="L6793" t="str">
            <v>Hardin</v>
          </cell>
          <cell r="V6793">
            <v>125600</v>
          </cell>
        </row>
        <row r="6794">
          <cell r="B6794">
            <v>1954</v>
          </cell>
          <cell r="K6794" t="str">
            <v>JASPER</v>
          </cell>
          <cell r="L6794" t="str">
            <v>Jasper</v>
          </cell>
          <cell r="V6794">
            <v>136600</v>
          </cell>
        </row>
        <row r="6795">
          <cell r="B6795">
            <v>1954</v>
          </cell>
          <cell r="K6795" t="str">
            <v>MARSHALL</v>
          </cell>
          <cell r="L6795" t="str">
            <v>Marshall</v>
          </cell>
          <cell r="V6795">
            <v>116000</v>
          </cell>
        </row>
        <row r="6796">
          <cell r="B6796">
            <v>1954</v>
          </cell>
          <cell r="K6796" t="str">
            <v>POLK</v>
          </cell>
          <cell r="L6796" t="str">
            <v>Polk</v>
          </cell>
          <cell r="V6796">
            <v>97900</v>
          </cell>
        </row>
        <row r="6797">
          <cell r="B6797">
            <v>1954</v>
          </cell>
          <cell r="K6797" t="str">
            <v>POWESHIEK</v>
          </cell>
          <cell r="L6797" t="str">
            <v>Poweshiek</v>
          </cell>
          <cell r="V6797">
            <v>110000</v>
          </cell>
        </row>
        <row r="6798">
          <cell r="B6798">
            <v>1954</v>
          </cell>
          <cell r="K6798" t="str">
            <v>STORY</v>
          </cell>
          <cell r="L6798" t="str">
            <v>Story</v>
          </cell>
          <cell r="V6798">
            <v>132900</v>
          </cell>
        </row>
        <row r="6799">
          <cell r="B6799">
            <v>1954</v>
          </cell>
          <cell r="K6799" t="str">
            <v>TAMA</v>
          </cell>
          <cell r="L6799" t="str">
            <v>Tama</v>
          </cell>
          <cell r="V6799">
            <v>132200</v>
          </cell>
        </row>
        <row r="6800">
          <cell r="B6800">
            <v>1954</v>
          </cell>
          <cell r="K6800" t="str">
            <v>WEBSTER</v>
          </cell>
          <cell r="L6800" t="str">
            <v>Webster</v>
          </cell>
          <cell r="V6800">
            <v>153600</v>
          </cell>
        </row>
        <row r="6801">
          <cell r="B6801">
            <v>1954</v>
          </cell>
          <cell r="K6801" t="str">
            <v>BENTON</v>
          </cell>
          <cell r="L6801" t="str">
            <v>Benton</v>
          </cell>
          <cell r="V6801">
            <v>146500</v>
          </cell>
        </row>
        <row r="6802">
          <cell r="B6802">
            <v>1954</v>
          </cell>
          <cell r="K6802" t="str">
            <v>CEDAR</v>
          </cell>
          <cell r="L6802" t="str">
            <v>Cedar</v>
          </cell>
          <cell r="V6802">
            <v>122400</v>
          </cell>
        </row>
        <row r="6803">
          <cell r="B6803">
            <v>1954</v>
          </cell>
          <cell r="K6803" t="str">
            <v>CLINTON</v>
          </cell>
          <cell r="L6803" t="str">
            <v>Clinton</v>
          </cell>
          <cell r="V6803">
            <v>143900</v>
          </cell>
        </row>
        <row r="6804">
          <cell r="B6804">
            <v>1954</v>
          </cell>
          <cell r="K6804" t="str">
            <v>IOWA</v>
          </cell>
          <cell r="L6804" t="str">
            <v>Iowa</v>
          </cell>
          <cell r="V6804">
            <v>107600</v>
          </cell>
        </row>
        <row r="6805">
          <cell r="B6805">
            <v>1954</v>
          </cell>
          <cell r="K6805" t="str">
            <v>JACKSON</v>
          </cell>
          <cell r="L6805" t="str">
            <v>Jackson</v>
          </cell>
          <cell r="V6805">
            <v>77500</v>
          </cell>
        </row>
        <row r="6806">
          <cell r="B6806">
            <v>1954</v>
          </cell>
          <cell r="K6806" t="str">
            <v>JOHNSON</v>
          </cell>
          <cell r="L6806" t="str">
            <v>Johnson</v>
          </cell>
          <cell r="V6806">
            <v>112200</v>
          </cell>
        </row>
        <row r="6807">
          <cell r="B6807">
            <v>1954</v>
          </cell>
          <cell r="K6807" t="str">
            <v>JONES</v>
          </cell>
          <cell r="L6807" t="str">
            <v>Jones</v>
          </cell>
          <cell r="V6807">
            <v>99000</v>
          </cell>
        </row>
        <row r="6808">
          <cell r="B6808">
            <v>1954</v>
          </cell>
          <cell r="K6808" t="str">
            <v>LINN</v>
          </cell>
          <cell r="L6808" t="str">
            <v>Linn</v>
          </cell>
          <cell r="V6808">
            <v>130000</v>
          </cell>
        </row>
        <row r="6809">
          <cell r="B6809">
            <v>1954</v>
          </cell>
          <cell r="K6809" t="str">
            <v>MUSCATINE</v>
          </cell>
          <cell r="L6809" t="str">
            <v>Muscatine</v>
          </cell>
          <cell r="V6809">
            <v>80400</v>
          </cell>
        </row>
        <row r="6810">
          <cell r="B6810">
            <v>1954</v>
          </cell>
          <cell r="K6810" t="str">
            <v>SCOTT</v>
          </cell>
          <cell r="L6810" t="str">
            <v>Scott</v>
          </cell>
          <cell r="V6810">
            <v>89500</v>
          </cell>
        </row>
        <row r="6811">
          <cell r="B6811">
            <v>1954</v>
          </cell>
          <cell r="K6811" t="str">
            <v>BUTLER</v>
          </cell>
          <cell r="L6811" t="str">
            <v>Butler</v>
          </cell>
          <cell r="V6811">
            <v>126300</v>
          </cell>
        </row>
        <row r="6812">
          <cell r="B6812">
            <v>1954</v>
          </cell>
          <cell r="K6812" t="str">
            <v>CERRO GORDO</v>
          </cell>
          <cell r="L6812" t="str">
            <v>Cerro Gordo</v>
          </cell>
          <cell r="V6812">
            <v>128000</v>
          </cell>
        </row>
        <row r="6813">
          <cell r="B6813">
            <v>1954</v>
          </cell>
          <cell r="K6813" t="str">
            <v>FLOYD</v>
          </cell>
          <cell r="L6813" t="str">
            <v>Floyd</v>
          </cell>
          <cell r="V6813">
            <v>108400</v>
          </cell>
        </row>
        <row r="6814">
          <cell r="B6814">
            <v>1954</v>
          </cell>
          <cell r="K6814" t="str">
            <v>FRANKLIN</v>
          </cell>
          <cell r="L6814" t="str">
            <v>Franklin</v>
          </cell>
          <cell r="V6814">
            <v>140700</v>
          </cell>
        </row>
        <row r="6815">
          <cell r="B6815">
            <v>1954</v>
          </cell>
          <cell r="K6815" t="str">
            <v>HANCOCK</v>
          </cell>
          <cell r="L6815" t="str">
            <v>Hancock</v>
          </cell>
          <cell r="V6815">
            <v>130300</v>
          </cell>
        </row>
        <row r="6816">
          <cell r="B6816">
            <v>1954</v>
          </cell>
          <cell r="K6816" t="str">
            <v>HUMBOLDT</v>
          </cell>
          <cell r="L6816" t="str">
            <v>Humboldt</v>
          </cell>
          <cell r="V6816">
            <v>102000</v>
          </cell>
        </row>
        <row r="6817">
          <cell r="B6817">
            <v>1954</v>
          </cell>
          <cell r="K6817" t="str">
            <v>KOSSUTH</v>
          </cell>
          <cell r="L6817" t="str">
            <v>Kossuth</v>
          </cell>
          <cell r="V6817">
            <v>222500</v>
          </cell>
        </row>
        <row r="6818">
          <cell r="B6818">
            <v>1954</v>
          </cell>
          <cell r="K6818" t="str">
            <v>MITCHELL</v>
          </cell>
          <cell r="L6818" t="str">
            <v>Mitchell</v>
          </cell>
          <cell r="V6818">
            <v>104300</v>
          </cell>
        </row>
        <row r="6819">
          <cell r="B6819">
            <v>1954</v>
          </cell>
          <cell r="K6819" t="str">
            <v>WINNEBAGO</v>
          </cell>
          <cell r="L6819" t="str">
            <v>Winnebago</v>
          </cell>
          <cell r="V6819">
            <v>92200</v>
          </cell>
        </row>
        <row r="6820">
          <cell r="B6820">
            <v>1954</v>
          </cell>
          <cell r="K6820" t="str">
            <v>WORTH</v>
          </cell>
          <cell r="L6820" t="str">
            <v>Worth</v>
          </cell>
          <cell r="V6820">
            <v>85500</v>
          </cell>
        </row>
        <row r="6821">
          <cell r="B6821">
            <v>1954</v>
          </cell>
          <cell r="K6821" t="str">
            <v>WRIGHT</v>
          </cell>
          <cell r="L6821" t="str">
            <v>Wright</v>
          </cell>
          <cell r="V6821">
            <v>135200</v>
          </cell>
        </row>
        <row r="6822">
          <cell r="B6822">
            <v>1954</v>
          </cell>
          <cell r="K6822" t="str">
            <v>ALLAMAKEE</v>
          </cell>
          <cell r="L6822" t="str">
            <v>Allamakee</v>
          </cell>
          <cell r="V6822">
            <v>59600</v>
          </cell>
        </row>
        <row r="6823">
          <cell r="B6823">
            <v>1954</v>
          </cell>
          <cell r="K6823" t="str">
            <v>BLACK HAWK</v>
          </cell>
          <cell r="L6823" t="str">
            <v>Black Hawk</v>
          </cell>
          <cell r="V6823">
            <v>112700</v>
          </cell>
        </row>
        <row r="6824">
          <cell r="B6824">
            <v>1954</v>
          </cell>
          <cell r="K6824" t="str">
            <v>BREMER</v>
          </cell>
          <cell r="L6824" t="str">
            <v>Bremer</v>
          </cell>
          <cell r="V6824">
            <v>82200</v>
          </cell>
        </row>
        <row r="6825">
          <cell r="B6825">
            <v>1954</v>
          </cell>
          <cell r="K6825" t="str">
            <v>BUCHANAN</v>
          </cell>
          <cell r="L6825" t="str">
            <v>Buchanan</v>
          </cell>
          <cell r="V6825">
            <v>112100</v>
          </cell>
        </row>
        <row r="6826">
          <cell r="B6826">
            <v>1954</v>
          </cell>
          <cell r="K6826" t="str">
            <v>CHICKASAW</v>
          </cell>
          <cell r="L6826" t="str">
            <v>Chickasaw</v>
          </cell>
          <cell r="V6826">
            <v>93600</v>
          </cell>
        </row>
        <row r="6827">
          <cell r="B6827">
            <v>1954</v>
          </cell>
          <cell r="K6827" t="str">
            <v>CLAYTON</v>
          </cell>
          <cell r="L6827" t="str">
            <v>Clayton</v>
          </cell>
          <cell r="V6827">
            <v>89200</v>
          </cell>
        </row>
        <row r="6828">
          <cell r="B6828">
            <v>1954</v>
          </cell>
          <cell r="K6828" t="str">
            <v>DELAWARE</v>
          </cell>
          <cell r="L6828" t="str">
            <v>Delaware</v>
          </cell>
          <cell r="V6828">
            <v>105600</v>
          </cell>
        </row>
        <row r="6829">
          <cell r="B6829">
            <v>1954</v>
          </cell>
          <cell r="K6829" t="str">
            <v>DUBUQUE</v>
          </cell>
          <cell r="L6829" t="str">
            <v>Dubuque</v>
          </cell>
          <cell r="V6829">
            <v>81200</v>
          </cell>
        </row>
        <row r="6830">
          <cell r="B6830">
            <v>1954</v>
          </cell>
          <cell r="K6830" t="str">
            <v>FAYETTE</v>
          </cell>
          <cell r="L6830" t="str">
            <v>Fayette</v>
          </cell>
          <cell r="V6830">
            <v>119800</v>
          </cell>
        </row>
        <row r="6831">
          <cell r="B6831">
            <v>1954</v>
          </cell>
          <cell r="K6831" t="str">
            <v>HOWARD</v>
          </cell>
          <cell r="L6831" t="str">
            <v>Howard</v>
          </cell>
          <cell r="V6831">
            <v>84500</v>
          </cell>
        </row>
        <row r="6832">
          <cell r="B6832">
            <v>1954</v>
          </cell>
          <cell r="K6832" t="str">
            <v>WINNESHIEK</v>
          </cell>
          <cell r="L6832" t="str">
            <v>Winneshiek</v>
          </cell>
          <cell r="V6832">
            <v>97800</v>
          </cell>
        </row>
        <row r="6833">
          <cell r="B6833">
            <v>1954</v>
          </cell>
          <cell r="K6833" t="str">
            <v>BUENA VISTA</v>
          </cell>
          <cell r="L6833" t="str">
            <v>Buena Vista</v>
          </cell>
          <cell r="V6833">
            <v>125800</v>
          </cell>
        </row>
        <row r="6834">
          <cell r="B6834">
            <v>1954</v>
          </cell>
          <cell r="K6834" t="str">
            <v>CHEROKEE</v>
          </cell>
          <cell r="L6834" t="str">
            <v>Cherokee</v>
          </cell>
          <cell r="V6834">
            <v>115500</v>
          </cell>
        </row>
        <row r="6835">
          <cell r="B6835">
            <v>1954</v>
          </cell>
          <cell r="K6835" t="str">
            <v>CLAY</v>
          </cell>
          <cell r="L6835" t="str">
            <v>Clay</v>
          </cell>
          <cell r="V6835">
            <v>119100</v>
          </cell>
        </row>
        <row r="6836">
          <cell r="B6836">
            <v>1954</v>
          </cell>
          <cell r="K6836" t="str">
            <v>DICKINSON</v>
          </cell>
          <cell r="L6836" t="str">
            <v>Dickinson</v>
          </cell>
          <cell r="V6836">
            <v>76300</v>
          </cell>
        </row>
        <row r="6837">
          <cell r="B6837">
            <v>1954</v>
          </cell>
          <cell r="K6837" t="str">
            <v>EMMET</v>
          </cell>
          <cell r="L6837" t="str">
            <v>Emmet</v>
          </cell>
          <cell r="V6837">
            <v>85900</v>
          </cell>
        </row>
        <row r="6838">
          <cell r="B6838">
            <v>1954</v>
          </cell>
          <cell r="K6838" t="str">
            <v>LYON</v>
          </cell>
          <cell r="L6838" t="str">
            <v>Lyon</v>
          </cell>
          <cell r="V6838">
            <v>131100</v>
          </cell>
        </row>
        <row r="6839">
          <cell r="B6839">
            <v>1954</v>
          </cell>
          <cell r="K6839" t="str">
            <v>O BRIEN</v>
          </cell>
          <cell r="L6839" t="str">
            <v>O Brien</v>
          </cell>
          <cell r="V6839">
            <v>121600</v>
          </cell>
        </row>
        <row r="6840">
          <cell r="B6840">
            <v>1954</v>
          </cell>
          <cell r="K6840" t="str">
            <v>OSCEOLA</v>
          </cell>
          <cell r="L6840" t="str">
            <v>Osceola</v>
          </cell>
          <cell r="V6840">
            <v>90100</v>
          </cell>
        </row>
        <row r="6841">
          <cell r="B6841">
            <v>1954</v>
          </cell>
          <cell r="K6841" t="str">
            <v>PALO ALTO</v>
          </cell>
          <cell r="L6841" t="str">
            <v>Palo Alto</v>
          </cell>
          <cell r="V6841">
            <v>130800</v>
          </cell>
        </row>
        <row r="6842">
          <cell r="B6842">
            <v>1954</v>
          </cell>
          <cell r="K6842" t="str">
            <v>PLYMOUTH</v>
          </cell>
          <cell r="L6842" t="str">
            <v>Plymouth</v>
          </cell>
          <cell r="V6842">
            <v>192100</v>
          </cell>
        </row>
        <row r="6843">
          <cell r="B6843">
            <v>1954</v>
          </cell>
          <cell r="K6843" t="str">
            <v>POCAHONTAS</v>
          </cell>
          <cell r="L6843" t="str">
            <v>Pocahontas</v>
          </cell>
          <cell r="V6843">
            <v>132300</v>
          </cell>
        </row>
        <row r="6844">
          <cell r="B6844">
            <v>1954</v>
          </cell>
          <cell r="K6844" t="str">
            <v>SIOUX</v>
          </cell>
          <cell r="L6844" t="str">
            <v>Sioux</v>
          </cell>
          <cell r="V6844">
            <v>184200</v>
          </cell>
        </row>
        <row r="6845">
          <cell r="B6845">
            <v>1954</v>
          </cell>
          <cell r="K6845" t="str">
            <v>APPANOOSE</v>
          </cell>
          <cell r="L6845" t="str">
            <v>Appanoose</v>
          </cell>
          <cell r="V6845">
            <v>44900</v>
          </cell>
        </row>
        <row r="6846">
          <cell r="B6846">
            <v>1954</v>
          </cell>
          <cell r="K6846" t="str">
            <v>CLARKE</v>
          </cell>
          <cell r="L6846" t="str">
            <v>Clarke</v>
          </cell>
          <cell r="V6846">
            <v>51600</v>
          </cell>
        </row>
        <row r="6847">
          <cell r="B6847">
            <v>1954</v>
          </cell>
          <cell r="K6847" t="str">
            <v>DECATUR</v>
          </cell>
          <cell r="L6847" t="str">
            <v>Decatur</v>
          </cell>
          <cell r="V6847">
            <v>59200</v>
          </cell>
        </row>
        <row r="6848">
          <cell r="B6848">
            <v>1954</v>
          </cell>
          <cell r="K6848" t="str">
            <v>LUCAS</v>
          </cell>
          <cell r="L6848" t="str">
            <v>Lucas</v>
          </cell>
          <cell r="V6848">
            <v>48300</v>
          </cell>
        </row>
        <row r="6849">
          <cell r="B6849">
            <v>1954</v>
          </cell>
          <cell r="K6849" t="str">
            <v>MADISON</v>
          </cell>
          <cell r="L6849" t="str">
            <v>Madison</v>
          </cell>
          <cell r="V6849">
            <v>79500</v>
          </cell>
        </row>
        <row r="6850">
          <cell r="B6850">
            <v>1954</v>
          </cell>
          <cell r="K6850" t="str">
            <v>MARION</v>
          </cell>
          <cell r="L6850" t="str">
            <v>Marion</v>
          </cell>
          <cell r="V6850">
            <v>86600</v>
          </cell>
        </row>
        <row r="6851">
          <cell r="B6851">
            <v>1954</v>
          </cell>
          <cell r="K6851" t="str">
            <v>MONROE</v>
          </cell>
          <cell r="L6851" t="str">
            <v>Monroe</v>
          </cell>
          <cell r="V6851">
            <v>43700</v>
          </cell>
        </row>
        <row r="6852">
          <cell r="B6852">
            <v>1954</v>
          </cell>
          <cell r="K6852" t="str">
            <v>RINGGOLD</v>
          </cell>
          <cell r="L6852" t="str">
            <v>Ringgold</v>
          </cell>
          <cell r="V6852">
            <v>64500</v>
          </cell>
        </row>
        <row r="6853">
          <cell r="B6853">
            <v>1954</v>
          </cell>
          <cell r="K6853" t="str">
            <v>UNION</v>
          </cell>
          <cell r="L6853" t="str">
            <v>Union</v>
          </cell>
          <cell r="V6853">
            <v>57600</v>
          </cell>
        </row>
        <row r="6854">
          <cell r="B6854">
            <v>1954</v>
          </cell>
          <cell r="K6854" t="str">
            <v>WARREN</v>
          </cell>
          <cell r="L6854" t="str">
            <v>Warren</v>
          </cell>
          <cell r="V6854">
            <v>84200</v>
          </cell>
        </row>
        <row r="6855">
          <cell r="B6855">
            <v>1954</v>
          </cell>
          <cell r="K6855" t="str">
            <v>WAYNE</v>
          </cell>
          <cell r="L6855" t="str">
            <v>Wayne</v>
          </cell>
          <cell r="V6855">
            <v>64900</v>
          </cell>
        </row>
        <row r="6856">
          <cell r="B6856">
            <v>1954</v>
          </cell>
          <cell r="K6856" t="str">
            <v>DAVIS</v>
          </cell>
          <cell r="L6856" t="str">
            <v>Davis</v>
          </cell>
          <cell r="V6856">
            <v>46400</v>
          </cell>
        </row>
        <row r="6857">
          <cell r="B6857">
            <v>1954</v>
          </cell>
          <cell r="K6857" t="str">
            <v>DES MOINES</v>
          </cell>
          <cell r="L6857" t="str">
            <v>Des Moines</v>
          </cell>
          <cell r="V6857">
            <v>61400</v>
          </cell>
        </row>
        <row r="6858">
          <cell r="B6858">
            <v>1954</v>
          </cell>
          <cell r="K6858" t="str">
            <v>HENRY</v>
          </cell>
          <cell r="L6858" t="str">
            <v>Henry</v>
          </cell>
          <cell r="V6858">
            <v>73100</v>
          </cell>
        </row>
        <row r="6859">
          <cell r="B6859">
            <v>1954</v>
          </cell>
          <cell r="K6859" t="str">
            <v>JEFFERSON</v>
          </cell>
          <cell r="L6859" t="str">
            <v>Jefferson</v>
          </cell>
          <cell r="V6859">
            <v>63800</v>
          </cell>
        </row>
        <row r="6860">
          <cell r="B6860">
            <v>1954</v>
          </cell>
          <cell r="K6860" t="str">
            <v>KEOKUK</v>
          </cell>
          <cell r="L6860" t="str">
            <v>Keokuk</v>
          </cell>
          <cell r="V6860">
            <v>100500</v>
          </cell>
        </row>
        <row r="6861">
          <cell r="B6861">
            <v>1954</v>
          </cell>
          <cell r="K6861" t="str">
            <v>LEE</v>
          </cell>
          <cell r="L6861" t="str">
            <v>Lee</v>
          </cell>
          <cell r="V6861">
            <v>62000</v>
          </cell>
        </row>
        <row r="6862">
          <cell r="B6862">
            <v>1954</v>
          </cell>
          <cell r="K6862" t="str">
            <v>LOUISA</v>
          </cell>
          <cell r="L6862" t="str">
            <v>Louisa</v>
          </cell>
          <cell r="V6862">
            <v>72100</v>
          </cell>
        </row>
        <row r="6863">
          <cell r="B6863">
            <v>1954</v>
          </cell>
          <cell r="K6863" t="str">
            <v>MAHASKA</v>
          </cell>
          <cell r="L6863" t="str">
            <v>Mahaska</v>
          </cell>
          <cell r="V6863">
            <v>107100</v>
          </cell>
        </row>
        <row r="6864">
          <cell r="B6864">
            <v>1954</v>
          </cell>
          <cell r="K6864" t="str">
            <v>VAN BUREN</v>
          </cell>
          <cell r="L6864" t="str">
            <v>Van Buren</v>
          </cell>
          <cell r="V6864">
            <v>45800</v>
          </cell>
        </row>
        <row r="6865">
          <cell r="B6865">
            <v>1954</v>
          </cell>
          <cell r="K6865" t="str">
            <v>WAPELLO</v>
          </cell>
          <cell r="L6865" t="str">
            <v>Wapello</v>
          </cell>
          <cell r="V6865">
            <v>54400</v>
          </cell>
        </row>
        <row r="6866">
          <cell r="B6866">
            <v>1954</v>
          </cell>
          <cell r="K6866" t="str">
            <v>WASHINGTON</v>
          </cell>
          <cell r="L6866" t="str">
            <v>Washington</v>
          </cell>
          <cell r="V6866">
            <v>113700</v>
          </cell>
        </row>
        <row r="6867">
          <cell r="B6867">
            <v>1954</v>
          </cell>
          <cell r="K6867" t="str">
            <v>ADAIR</v>
          </cell>
          <cell r="L6867" t="str">
            <v>Adair</v>
          </cell>
          <cell r="V6867">
            <v>91100</v>
          </cell>
        </row>
        <row r="6868">
          <cell r="B6868">
            <v>1954</v>
          </cell>
          <cell r="K6868" t="str">
            <v>ADAMS</v>
          </cell>
          <cell r="L6868" t="str">
            <v>Adams</v>
          </cell>
          <cell r="V6868">
            <v>65600</v>
          </cell>
        </row>
        <row r="6869">
          <cell r="B6869">
            <v>1954</v>
          </cell>
          <cell r="K6869" t="str">
            <v>CASS</v>
          </cell>
          <cell r="L6869" t="str">
            <v>Cass</v>
          </cell>
          <cell r="V6869">
            <v>106300</v>
          </cell>
        </row>
        <row r="6870">
          <cell r="B6870">
            <v>1954</v>
          </cell>
          <cell r="K6870" t="str">
            <v>FREMONT</v>
          </cell>
          <cell r="L6870" t="str">
            <v>Fremont</v>
          </cell>
          <cell r="V6870">
            <v>130400</v>
          </cell>
        </row>
        <row r="6871">
          <cell r="B6871">
            <v>1954</v>
          </cell>
          <cell r="K6871" t="str">
            <v>MILLS</v>
          </cell>
          <cell r="L6871" t="str">
            <v>Mills</v>
          </cell>
          <cell r="V6871">
            <v>108700</v>
          </cell>
        </row>
        <row r="6872">
          <cell r="B6872">
            <v>1954</v>
          </cell>
          <cell r="K6872" t="str">
            <v>MONTGOMERY</v>
          </cell>
          <cell r="L6872" t="str">
            <v>Montgomery</v>
          </cell>
          <cell r="V6872">
            <v>89300</v>
          </cell>
        </row>
        <row r="6873">
          <cell r="B6873">
            <v>1954</v>
          </cell>
          <cell r="K6873" t="str">
            <v>PAGE</v>
          </cell>
          <cell r="L6873" t="str">
            <v>Page</v>
          </cell>
          <cell r="V6873">
            <v>107100</v>
          </cell>
        </row>
        <row r="6874">
          <cell r="B6874">
            <v>1954</v>
          </cell>
          <cell r="K6874" t="str">
            <v>POTTAWATTAMIE</v>
          </cell>
          <cell r="L6874" t="str">
            <v>Pottawattamie</v>
          </cell>
          <cell r="V6874">
            <v>217100</v>
          </cell>
        </row>
        <row r="6875">
          <cell r="B6875">
            <v>1954</v>
          </cell>
          <cell r="K6875" t="str">
            <v>TAYLOR</v>
          </cell>
          <cell r="L6875" t="str">
            <v>Taylor</v>
          </cell>
          <cell r="V6875">
            <v>79200</v>
          </cell>
        </row>
        <row r="6876">
          <cell r="B6876">
            <v>1954</v>
          </cell>
          <cell r="K6876" t="str">
            <v>AUDUBON</v>
          </cell>
          <cell r="L6876" t="str">
            <v>Audubon</v>
          </cell>
          <cell r="V6876">
            <v>86900</v>
          </cell>
        </row>
        <row r="6877">
          <cell r="B6877">
            <v>1954</v>
          </cell>
          <cell r="K6877" t="str">
            <v>CALHOUN</v>
          </cell>
          <cell r="L6877" t="str">
            <v>Calhoun</v>
          </cell>
          <cell r="V6877">
            <v>129500</v>
          </cell>
        </row>
        <row r="6878">
          <cell r="B6878">
            <v>1954</v>
          </cell>
          <cell r="K6878" t="str">
            <v>CARROLL</v>
          </cell>
          <cell r="L6878" t="str">
            <v>Carroll</v>
          </cell>
          <cell r="V6878">
            <v>124900</v>
          </cell>
        </row>
        <row r="6879">
          <cell r="B6879">
            <v>1954</v>
          </cell>
          <cell r="K6879" t="str">
            <v>CRAWFORD</v>
          </cell>
          <cell r="L6879" t="str">
            <v>Crawford</v>
          </cell>
          <cell r="V6879">
            <v>137300</v>
          </cell>
        </row>
        <row r="6880">
          <cell r="B6880">
            <v>1954</v>
          </cell>
          <cell r="K6880" t="str">
            <v>GREENE</v>
          </cell>
          <cell r="L6880" t="str">
            <v>Greene</v>
          </cell>
          <cell r="V6880">
            <v>140700</v>
          </cell>
        </row>
        <row r="6881">
          <cell r="B6881">
            <v>1954</v>
          </cell>
          <cell r="K6881" t="str">
            <v>GUTHRIE</v>
          </cell>
          <cell r="L6881" t="str">
            <v>Guthrie</v>
          </cell>
          <cell r="V6881">
            <v>100100</v>
          </cell>
        </row>
        <row r="6882">
          <cell r="B6882">
            <v>1954</v>
          </cell>
          <cell r="K6882" t="str">
            <v>HARRISON</v>
          </cell>
          <cell r="L6882" t="str">
            <v>Harrison</v>
          </cell>
          <cell r="V6882">
            <v>147400</v>
          </cell>
        </row>
        <row r="6883">
          <cell r="B6883">
            <v>1954</v>
          </cell>
          <cell r="K6883" t="str">
            <v>IDA</v>
          </cell>
          <cell r="L6883" t="str">
            <v>Ida</v>
          </cell>
          <cell r="V6883">
            <v>91100</v>
          </cell>
        </row>
        <row r="6884">
          <cell r="B6884">
            <v>1954</v>
          </cell>
          <cell r="K6884" t="str">
            <v>MONONA</v>
          </cell>
          <cell r="L6884" t="str">
            <v>Monona</v>
          </cell>
          <cell r="V6884">
            <v>136500</v>
          </cell>
        </row>
        <row r="6885">
          <cell r="B6885">
            <v>1954</v>
          </cell>
          <cell r="K6885" t="str">
            <v>SAC</v>
          </cell>
          <cell r="L6885" t="str">
            <v>Sac</v>
          </cell>
          <cell r="V6885">
            <v>123900</v>
          </cell>
        </row>
        <row r="6886">
          <cell r="B6886">
            <v>1954</v>
          </cell>
          <cell r="K6886" t="str">
            <v>SHELBY</v>
          </cell>
          <cell r="L6886" t="str">
            <v>Shelby</v>
          </cell>
          <cell r="V6886">
            <v>130300</v>
          </cell>
        </row>
        <row r="6887">
          <cell r="B6887">
            <v>1954</v>
          </cell>
          <cell r="K6887" t="str">
            <v>WOODBURY</v>
          </cell>
          <cell r="L6887" t="str">
            <v>Woodbury</v>
          </cell>
          <cell r="V6887">
            <v>179500</v>
          </cell>
        </row>
        <row r="6888">
          <cell r="B6888">
            <v>1953</v>
          </cell>
          <cell r="K6888" t="str">
            <v>BOONE</v>
          </cell>
          <cell r="L6888" t="str">
            <v>Boone</v>
          </cell>
          <cell r="V6888">
            <v>137100</v>
          </cell>
        </row>
        <row r="6889">
          <cell r="B6889">
            <v>1953</v>
          </cell>
          <cell r="K6889" t="str">
            <v>DALLAS</v>
          </cell>
          <cell r="L6889" t="str">
            <v>Dallas</v>
          </cell>
          <cell r="V6889">
            <v>130500</v>
          </cell>
        </row>
        <row r="6890">
          <cell r="B6890">
            <v>1953</v>
          </cell>
          <cell r="K6890" t="str">
            <v>GRUNDY</v>
          </cell>
          <cell r="L6890" t="str">
            <v>Grundy</v>
          </cell>
          <cell r="V6890">
            <v>119800</v>
          </cell>
        </row>
        <row r="6891">
          <cell r="B6891">
            <v>1953</v>
          </cell>
          <cell r="K6891" t="str">
            <v>HAMILTON</v>
          </cell>
          <cell r="L6891" t="str">
            <v>Hamilton</v>
          </cell>
          <cell r="V6891">
            <v>155600</v>
          </cell>
        </row>
        <row r="6892">
          <cell r="B6892">
            <v>1953</v>
          </cell>
          <cell r="K6892" t="str">
            <v>HARDIN</v>
          </cell>
          <cell r="L6892" t="str">
            <v>Hardin</v>
          </cell>
          <cell r="V6892">
            <v>139700</v>
          </cell>
        </row>
        <row r="6893">
          <cell r="B6893">
            <v>1953</v>
          </cell>
          <cell r="K6893" t="str">
            <v>JASPER</v>
          </cell>
          <cell r="L6893" t="str">
            <v>Jasper</v>
          </cell>
          <cell r="V6893">
            <v>146000</v>
          </cell>
        </row>
        <row r="6894">
          <cell r="B6894">
            <v>1953</v>
          </cell>
          <cell r="K6894" t="str">
            <v>MARSHALL</v>
          </cell>
          <cell r="L6894" t="str">
            <v>Marshall</v>
          </cell>
          <cell r="V6894">
            <v>129900</v>
          </cell>
        </row>
        <row r="6895">
          <cell r="B6895">
            <v>1953</v>
          </cell>
          <cell r="K6895" t="str">
            <v>POLK</v>
          </cell>
          <cell r="L6895" t="str">
            <v>Polk</v>
          </cell>
          <cell r="V6895">
            <v>114600</v>
          </cell>
        </row>
        <row r="6896">
          <cell r="B6896">
            <v>1953</v>
          </cell>
          <cell r="K6896" t="str">
            <v>POWESHIEK</v>
          </cell>
          <cell r="L6896" t="str">
            <v>Poweshiek</v>
          </cell>
          <cell r="V6896">
            <v>117200</v>
          </cell>
        </row>
        <row r="6897">
          <cell r="B6897">
            <v>1953</v>
          </cell>
          <cell r="K6897" t="str">
            <v>STORY</v>
          </cell>
          <cell r="L6897" t="str">
            <v>Story</v>
          </cell>
          <cell r="V6897">
            <v>153000</v>
          </cell>
        </row>
        <row r="6898">
          <cell r="B6898">
            <v>1953</v>
          </cell>
          <cell r="K6898" t="str">
            <v>TAMA</v>
          </cell>
          <cell r="L6898" t="str">
            <v>Tama</v>
          </cell>
          <cell r="V6898">
            <v>141800</v>
          </cell>
        </row>
        <row r="6899">
          <cell r="B6899">
            <v>1953</v>
          </cell>
          <cell r="K6899" t="str">
            <v>WEBSTER</v>
          </cell>
          <cell r="L6899" t="str">
            <v>Webster</v>
          </cell>
          <cell r="V6899">
            <v>174900</v>
          </cell>
        </row>
        <row r="6900">
          <cell r="B6900">
            <v>1953</v>
          </cell>
          <cell r="K6900" t="str">
            <v>BENTON</v>
          </cell>
          <cell r="L6900" t="str">
            <v>Benton</v>
          </cell>
          <cell r="V6900">
            <v>156300</v>
          </cell>
        </row>
        <row r="6901">
          <cell r="B6901">
            <v>1953</v>
          </cell>
          <cell r="K6901" t="str">
            <v>CEDAR</v>
          </cell>
          <cell r="L6901" t="str">
            <v>Cedar</v>
          </cell>
          <cell r="V6901">
            <v>125400</v>
          </cell>
        </row>
        <row r="6902">
          <cell r="B6902">
            <v>1953</v>
          </cell>
          <cell r="K6902" t="str">
            <v>CLINTON</v>
          </cell>
          <cell r="L6902" t="str">
            <v>Clinton</v>
          </cell>
          <cell r="V6902">
            <v>147200</v>
          </cell>
        </row>
        <row r="6903">
          <cell r="B6903">
            <v>1953</v>
          </cell>
          <cell r="K6903" t="str">
            <v>IOWA</v>
          </cell>
          <cell r="L6903" t="str">
            <v>Iowa</v>
          </cell>
          <cell r="V6903">
            <v>109600</v>
          </cell>
        </row>
        <row r="6904">
          <cell r="B6904">
            <v>1953</v>
          </cell>
          <cell r="K6904" t="str">
            <v>JACKSON</v>
          </cell>
          <cell r="L6904" t="str">
            <v>Jackson</v>
          </cell>
          <cell r="V6904">
            <v>74200</v>
          </cell>
        </row>
        <row r="6905">
          <cell r="B6905">
            <v>1953</v>
          </cell>
          <cell r="K6905" t="str">
            <v>JOHNSON</v>
          </cell>
          <cell r="L6905" t="str">
            <v>Johnson</v>
          </cell>
          <cell r="V6905">
            <v>115600</v>
          </cell>
        </row>
        <row r="6906">
          <cell r="B6906">
            <v>1953</v>
          </cell>
          <cell r="K6906" t="str">
            <v>JONES</v>
          </cell>
          <cell r="L6906" t="str">
            <v>Jones</v>
          </cell>
          <cell r="V6906">
            <v>97700</v>
          </cell>
        </row>
        <row r="6907">
          <cell r="B6907">
            <v>1953</v>
          </cell>
          <cell r="K6907" t="str">
            <v>LINN</v>
          </cell>
          <cell r="L6907" t="str">
            <v>Linn</v>
          </cell>
          <cell r="V6907">
            <v>137300</v>
          </cell>
        </row>
        <row r="6908">
          <cell r="B6908">
            <v>1953</v>
          </cell>
          <cell r="K6908" t="str">
            <v>MUSCATINE</v>
          </cell>
          <cell r="L6908" t="str">
            <v>Muscatine</v>
          </cell>
          <cell r="V6908">
            <v>82700</v>
          </cell>
        </row>
        <row r="6909">
          <cell r="B6909">
            <v>1953</v>
          </cell>
          <cell r="K6909" t="str">
            <v>SCOTT</v>
          </cell>
          <cell r="L6909" t="str">
            <v>Scott</v>
          </cell>
          <cell r="V6909">
            <v>90500</v>
          </cell>
        </row>
        <row r="6910">
          <cell r="B6910">
            <v>1953</v>
          </cell>
          <cell r="K6910" t="str">
            <v>BUTLER</v>
          </cell>
          <cell r="L6910" t="str">
            <v>Butler</v>
          </cell>
          <cell r="V6910">
            <v>130500</v>
          </cell>
        </row>
        <row r="6911">
          <cell r="B6911">
            <v>1953</v>
          </cell>
          <cell r="K6911" t="str">
            <v>CERRO GORDO</v>
          </cell>
          <cell r="L6911" t="str">
            <v>Cerro Gordo</v>
          </cell>
          <cell r="V6911">
            <v>138200</v>
          </cell>
        </row>
        <row r="6912">
          <cell r="B6912">
            <v>1953</v>
          </cell>
          <cell r="K6912" t="str">
            <v>FLOYD</v>
          </cell>
          <cell r="L6912" t="str">
            <v>Floyd</v>
          </cell>
          <cell r="V6912">
            <v>115400</v>
          </cell>
        </row>
        <row r="6913">
          <cell r="B6913">
            <v>1953</v>
          </cell>
          <cell r="K6913" t="str">
            <v>FRANKLIN</v>
          </cell>
          <cell r="L6913" t="str">
            <v>Franklin</v>
          </cell>
          <cell r="V6913">
            <v>151100</v>
          </cell>
        </row>
        <row r="6914">
          <cell r="B6914">
            <v>1953</v>
          </cell>
          <cell r="K6914" t="str">
            <v>HANCOCK</v>
          </cell>
          <cell r="L6914" t="str">
            <v>Hancock</v>
          </cell>
          <cell r="V6914">
            <v>143000</v>
          </cell>
        </row>
        <row r="6915">
          <cell r="B6915">
            <v>1953</v>
          </cell>
          <cell r="K6915" t="str">
            <v>HUMBOLDT</v>
          </cell>
          <cell r="L6915" t="str">
            <v>Humboldt</v>
          </cell>
          <cell r="V6915">
            <v>114500</v>
          </cell>
        </row>
        <row r="6916">
          <cell r="B6916">
            <v>1953</v>
          </cell>
          <cell r="K6916" t="str">
            <v>KOSSUTH</v>
          </cell>
          <cell r="L6916" t="str">
            <v>Kossuth</v>
          </cell>
          <cell r="V6916">
            <v>249700</v>
          </cell>
        </row>
        <row r="6917">
          <cell r="B6917">
            <v>1953</v>
          </cell>
          <cell r="K6917" t="str">
            <v>MITCHELL</v>
          </cell>
          <cell r="L6917" t="str">
            <v>Mitchell</v>
          </cell>
          <cell r="V6917">
            <v>110700</v>
          </cell>
        </row>
        <row r="6918">
          <cell r="B6918">
            <v>1953</v>
          </cell>
          <cell r="K6918" t="str">
            <v>WINNEBAGO</v>
          </cell>
          <cell r="L6918" t="str">
            <v>Winnebago</v>
          </cell>
          <cell r="V6918">
            <v>101900</v>
          </cell>
        </row>
        <row r="6919">
          <cell r="B6919">
            <v>1953</v>
          </cell>
          <cell r="K6919" t="str">
            <v>WORTH</v>
          </cell>
          <cell r="L6919" t="str">
            <v>Worth</v>
          </cell>
          <cell r="V6919">
            <v>90400</v>
          </cell>
        </row>
        <row r="6920">
          <cell r="B6920">
            <v>1953</v>
          </cell>
          <cell r="K6920" t="str">
            <v>WRIGHT</v>
          </cell>
          <cell r="L6920" t="str">
            <v>Wright</v>
          </cell>
          <cell r="V6920">
            <v>152900</v>
          </cell>
        </row>
        <row r="6921">
          <cell r="B6921">
            <v>1953</v>
          </cell>
          <cell r="K6921" t="str">
            <v>ALLAMAKEE</v>
          </cell>
          <cell r="L6921" t="str">
            <v>Allamakee</v>
          </cell>
          <cell r="V6921">
            <v>58700</v>
          </cell>
        </row>
        <row r="6922">
          <cell r="B6922">
            <v>1953</v>
          </cell>
          <cell r="K6922" t="str">
            <v>BLACK HAWK</v>
          </cell>
          <cell r="L6922" t="str">
            <v>Black Hawk</v>
          </cell>
          <cell r="V6922">
            <v>116400</v>
          </cell>
        </row>
        <row r="6923">
          <cell r="B6923">
            <v>1953</v>
          </cell>
          <cell r="K6923" t="str">
            <v>BREMER</v>
          </cell>
          <cell r="L6923" t="str">
            <v>Bremer</v>
          </cell>
          <cell r="V6923">
            <v>82800</v>
          </cell>
        </row>
        <row r="6924">
          <cell r="B6924">
            <v>1953</v>
          </cell>
          <cell r="K6924" t="str">
            <v>BUCHANAN</v>
          </cell>
          <cell r="L6924" t="str">
            <v>Buchanan</v>
          </cell>
          <cell r="V6924">
            <v>117900</v>
          </cell>
        </row>
        <row r="6925">
          <cell r="B6925">
            <v>1953</v>
          </cell>
          <cell r="K6925" t="str">
            <v>CHICKASAW</v>
          </cell>
          <cell r="L6925" t="str">
            <v>Chickasaw</v>
          </cell>
          <cell r="V6925">
            <v>93300</v>
          </cell>
        </row>
        <row r="6926">
          <cell r="B6926">
            <v>1953</v>
          </cell>
          <cell r="K6926" t="str">
            <v>CLAYTON</v>
          </cell>
          <cell r="L6926" t="str">
            <v>Clayton</v>
          </cell>
          <cell r="V6926">
            <v>88000</v>
          </cell>
        </row>
        <row r="6927">
          <cell r="B6927">
            <v>1953</v>
          </cell>
          <cell r="K6927" t="str">
            <v>DELAWARE</v>
          </cell>
          <cell r="L6927" t="str">
            <v>Delaware</v>
          </cell>
          <cell r="V6927">
            <v>104800</v>
          </cell>
        </row>
        <row r="6928">
          <cell r="B6928">
            <v>1953</v>
          </cell>
          <cell r="K6928" t="str">
            <v>DUBUQUE</v>
          </cell>
          <cell r="L6928" t="str">
            <v>Dubuque</v>
          </cell>
          <cell r="V6928">
            <v>79200</v>
          </cell>
        </row>
        <row r="6929">
          <cell r="B6929">
            <v>1953</v>
          </cell>
          <cell r="K6929" t="str">
            <v>FAYETTE</v>
          </cell>
          <cell r="L6929" t="str">
            <v>Fayette</v>
          </cell>
          <cell r="V6929">
            <v>122200</v>
          </cell>
        </row>
        <row r="6930">
          <cell r="B6930">
            <v>1953</v>
          </cell>
          <cell r="K6930" t="str">
            <v>HOWARD</v>
          </cell>
          <cell r="L6930" t="str">
            <v>Howard</v>
          </cell>
          <cell r="V6930">
            <v>84000</v>
          </cell>
        </row>
        <row r="6931">
          <cell r="B6931">
            <v>1953</v>
          </cell>
          <cell r="K6931" t="str">
            <v>WINNESHIEK</v>
          </cell>
          <cell r="L6931" t="str">
            <v>Winneshiek</v>
          </cell>
          <cell r="V6931">
            <v>98600</v>
          </cell>
        </row>
        <row r="6932">
          <cell r="B6932">
            <v>1953</v>
          </cell>
          <cell r="K6932" t="str">
            <v>BUENA VISTA</v>
          </cell>
          <cell r="L6932" t="str">
            <v>Buena Vista</v>
          </cell>
          <cell r="V6932">
            <v>140000</v>
          </cell>
        </row>
        <row r="6933">
          <cell r="B6933">
            <v>1953</v>
          </cell>
          <cell r="K6933" t="str">
            <v>CHEROKEE</v>
          </cell>
          <cell r="L6933" t="str">
            <v>Cherokee</v>
          </cell>
          <cell r="V6933">
            <v>128400</v>
          </cell>
        </row>
        <row r="6934">
          <cell r="B6934">
            <v>1953</v>
          </cell>
          <cell r="K6934" t="str">
            <v>CLAY</v>
          </cell>
          <cell r="L6934" t="str">
            <v>Clay</v>
          </cell>
          <cell r="V6934">
            <v>134300</v>
          </cell>
        </row>
        <row r="6935">
          <cell r="B6935">
            <v>1953</v>
          </cell>
          <cell r="K6935" t="str">
            <v>DICKINSON</v>
          </cell>
          <cell r="L6935" t="str">
            <v>Dickinson</v>
          </cell>
          <cell r="V6935">
            <v>88000</v>
          </cell>
        </row>
        <row r="6936">
          <cell r="B6936">
            <v>1953</v>
          </cell>
          <cell r="K6936" t="str">
            <v>EMMET</v>
          </cell>
          <cell r="L6936" t="str">
            <v>Emmet</v>
          </cell>
          <cell r="V6936">
            <v>98600</v>
          </cell>
        </row>
        <row r="6937">
          <cell r="B6937">
            <v>1953</v>
          </cell>
          <cell r="K6937" t="str">
            <v>LYON</v>
          </cell>
          <cell r="L6937" t="str">
            <v>Lyon</v>
          </cell>
          <cell r="V6937">
            <v>142800</v>
          </cell>
        </row>
        <row r="6938">
          <cell r="B6938">
            <v>1953</v>
          </cell>
          <cell r="K6938" t="str">
            <v>O BRIEN</v>
          </cell>
          <cell r="L6938" t="str">
            <v>O Brien</v>
          </cell>
          <cell r="V6938">
            <v>137800</v>
          </cell>
        </row>
        <row r="6939">
          <cell r="B6939">
            <v>1953</v>
          </cell>
          <cell r="K6939" t="str">
            <v>OSCEOLA</v>
          </cell>
          <cell r="L6939" t="str">
            <v>Osceola</v>
          </cell>
          <cell r="V6939">
            <v>99900</v>
          </cell>
        </row>
        <row r="6940">
          <cell r="B6940">
            <v>1953</v>
          </cell>
          <cell r="K6940" t="str">
            <v>PALO ALTO</v>
          </cell>
          <cell r="L6940" t="str">
            <v>Palo Alto</v>
          </cell>
          <cell r="V6940">
            <v>145000</v>
          </cell>
        </row>
        <row r="6941">
          <cell r="B6941">
            <v>1953</v>
          </cell>
          <cell r="K6941" t="str">
            <v>PLYMOUTH</v>
          </cell>
          <cell r="L6941" t="str">
            <v>Plymouth</v>
          </cell>
          <cell r="V6941">
            <v>209900</v>
          </cell>
        </row>
        <row r="6942">
          <cell r="B6942">
            <v>1953</v>
          </cell>
          <cell r="K6942" t="str">
            <v>POCAHONTAS</v>
          </cell>
          <cell r="L6942" t="str">
            <v>Pocahontas</v>
          </cell>
          <cell r="V6942">
            <v>153400</v>
          </cell>
        </row>
        <row r="6943">
          <cell r="B6943">
            <v>1953</v>
          </cell>
          <cell r="K6943" t="str">
            <v>SIOUX</v>
          </cell>
          <cell r="L6943" t="str">
            <v>Sioux</v>
          </cell>
          <cell r="V6943">
            <v>197100</v>
          </cell>
        </row>
        <row r="6944">
          <cell r="B6944">
            <v>1953</v>
          </cell>
          <cell r="K6944" t="str">
            <v>APPANOOSE</v>
          </cell>
          <cell r="L6944" t="str">
            <v>Appanoose</v>
          </cell>
          <cell r="V6944">
            <v>40800</v>
          </cell>
        </row>
        <row r="6945">
          <cell r="B6945">
            <v>1953</v>
          </cell>
          <cell r="K6945" t="str">
            <v>CLARKE</v>
          </cell>
          <cell r="L6945" t="str">
            <v>Clarke</v>
          </cell>
          <cell r="V6945">
            <v>50400</v>
          </cell>
        </row>
        <row r="6946">
          <cell r="B6946">
            <v>1953</v>
          </cell>
          <cell r="K6946" t="str">
            <v>DECATUR</v>
          </cell>
          <cell r="L6946" t="str">
            <v>Decatur</v>
          </cell>
          <cell r="V6946">
            <v>52800</v>
          </cell>
        </row>
        <row r="6947">
          <cell r="B6947">
            <v>1953</v>
          </cell>
          <cell r="K6947" t="str">
            <v>LUCAS</v>
          </cell>
          <cell r="L6947" t="str">
            <v>Lucas</v>
          </cell>
          <cell r="V6947">
            <v>45400</v>
          </cell>
        </row>
        <row r="6948">
          <cell r="B6948">
            <v>1953</v>
          </cell>
          <cell r="K6948" t="str">
            <v>MADISON</v>
          </cell>
          <cell r="L6948" t="str">
            <v>Madison</v>
          </cell>
          <cell r="V6948">
            <v>82500</v>
          </cell>
        </row>
        <row r="6949">
          <cell r="B6949">
            <v>1953</v>
          </cell>
          <cell r="K6949" t="str">
            <v>MARION</v>
          </cell>
          <cell r="L6949" t="str">
            <v>Marion</v>
          </cell>
          <cell r="V6949">
            <v>92700</v>
          </cell>
        </row>
        <row r="6950">
          <cell r="B6950">
            <v>1953</v>
          </cell>
          <cell r="K6950" t="str">
            <v>MONROE</v>
          </cell>
          <cell r="L6950" t="str">
            <v>Monroe</v>
          </cell>
          <cell r="V6950">
            <v>41800</v>
          </cell>
        </row>
        <row r="6951">
          <cell r="B6951">
            <v>1953</v>
          </cell>
          <cell r="K6951" t="str">
            <v>RINGGOLD</v>
          </cell>
          <cell r="L6951" t="str">
            <v>Ringgold</v>
          </cell>
          <cell r="V6951">
            <v>62300</v>
          </cell>
        </row>
        <row r="6952">
          <cell r="B6952">
            <v>1953</v>
          </cell>
          <cell r="K6952" t="str">
            <v>UNION</v>
          </cell>
          <cell r="L6952" t="str">
            <v>Union</v>
          </cell>
          <cell r="V6952">
            <v>57700</v>
          </cell>
        </row>
        <row r="6953">
          <cell r="B6953">
            <v>1953</v>
          </cell>
          <cell r="K6953" t="str">
            <v>WARREN</v>
          </cell>
          <cell r="L6953" t="str">
            <v>Warren</v>
          </cell>
          <cell r="V6953">
            <v>84400</v>
          </cell>
        </row>
        <row r="6954">
          <cell r="B6954">
            <v>1953</v>
          </cell>
          <cell r="K6954" t="str">
            <v>WAYNE</v>
          </cell>
          <cell r="L6954" t="str">
            <v>Wayne</v>
          </cell>
          <cell r="V6954">
            <v>60600</v>
          </cell>
        </row>
        <row r="6955">
          <cell r="B6955">
            <v>1953</v>
          </cell>
          <cell r="K6955" t="str">
            <v>DAVIS</v>
          </cell>
          <cell r="L6955" t="str">
            <v>Davis</v>
          </cell>
          <cell r="V6955">
            <v>39600</v>
          </cell>
        </row>
        <row r="6956">
          <cell r="B6956">
            <v>1953</v>
          </cell>
          <cell r="K6956" t="str">
            <v>DES MOINES</v>
          </cell>
          <cell r="L6956" t="str">
            <v>Des Moines</v>
          </cell>
          <cell r="V6956">
            <v>65200</v>
          </cell>
        </row>
        <row r="6957">
          <cell r="B6957">
            <v>1953</v>
          </cell>
          <cell r="K6957" t="str">
            <v>HENRY</v>
          </cell>
          <cell r="L6957" t="str">
            <v>Henry</v>
          </cell>
          <cell r="V6957">
            <v>75500</v>
          </cell>
        </row>
        <row r="6958">
          <cell r="B6958">
            <v>1953</v>
          </cell>
          <cell r="K6958" t="str">
            <v>JEFFERSON</v>
          </cell>
          <cell r="L6958" t="str">
            <v>Jefferson</v>
          </cell>
          <cell r="V6958">
            <v>63600</v>
          </cell>
        </row>
        <row r="6959">
          <cell r="B6959">
            <v>1953</v>
          </cell>
          <cell r="K6959" t="str">
            <v>KEOKUK</v>
          </cell>
          <cell r="L6959" t="str">
            <v>Keokuk</v>
          </cell>
          <cell r="V6959">
            <v>101900</v>
          </cell>
        </row>
        <row r="6960">
          <cell r="B6960">
            <v>1953</v>
          </cell>
          <cell r="K6960" t="str">
            <v>LEE</v>
          </cell>
          <cell r="L6960" t="str">
            <v>Lee</v>
          </cell>
          <cell r="V6960">
            <v>60400</v>
          </cell>
        </row>
        <row r="6961">
          <cell r="B6961">
            <v>1953</v>
          </cell>
          <cell r="K6961" t="str">
            <v>LOUISA</v>
          </cell>
          <cell r="L6961" t="str">
            <v>Louisa</v>
          </cell>
          <cell r="V6961">
            <v>72700</v>
          </cell>
        </row>
        <row r="6962">
          <cell r="B6962">
            <v>1953</v>
          </cell>
          <cell r="K6962" t="str">
            <v>MAHASKA</v>
          </cell>
          <cell r="L6962" t="str">
            <v>Mahaska</v>
          </cell>
          <cell r="V6962">
            <v>111400</v>
          </cell>
        </row>
        <row r="6963">
          <cell r="B6963">
            <v>1953</v>
          </cell>
          <cell r="K6963" t="str">
            <v>VAN BUREN</v>
          </cell>
          <cell r="L6963" t="str">
            <v>Van Buren</v>
          </cell>
          <cell r="V6963">
            <v>40400</v>
          </cell>
        </row>
        <row r="6964">
          <cell r="B6964">
            <v>1953</v>
          </cell>
          <cell r="K6964" t="str">
            <v>WAPELLO</v>
          </cell>
          <cell r="L6964" t="str">
            <v>Wapello</v>
          </cell>
          <cell r="V6964">
            <v>55600</v>
          </cell>
        </row>
        <row r="6965">
          <cell r="B6965">
            <v>1953</v>
          </cell>
          <cell r="K6965" t="str">
            <v>WASHINGTON</v>
          </cell>
          <cell r="L6965" t="str">
            <v>Washington</v>
          </cell>
          <cell r="V6965">
            <v>113300</v>
          </cell>
        </row>
        <row r="6966">
          <cell r="B6966">
            <v>1953</v>
          </cell>
          <cell r="K6966" t="str">
            <v>ADAIR</v>
          </cell>
          <cell r="L6966" t="str">
            <v>Adair</v>
          </cell>
          <cell r="V6966">
            <v>96600</v>
          </cell>
        </row>
        <row r="6967">
          <cell r="B6967">
            <v>1953</v>
          </cell>
          <cell r="K6967" t="str">
            <v>ADAMS</v>
          </cell>
          <cell r="L6967" t="str">
            <v>Adams</v>
          </cell>
          <cell r="V6967">
            <v>68100</v>
          </cell>
        </row>
        <row r="6968">
          <cell r="B6968">
            <v>1953</v>
          </cell>
          <cell r="K6968" t="str">
            <v>CASS</v>
          </cell>
          <cell r="L6968" t="str">
            <v>Cass</v>
          </cell>
          <cell r="V6968">
            <v>108700</v>
          </cell>
        </row>
        <row r="6969">
          <cell r="B6969">
            <v>1953</v>
          </cell>
          <cell r="K6969" t="str">
            <v>FREMONT</v>
          </cell>
          <cell r="L6969" t="str">
            <v>Fremont</v>
          </cell>
          <cell r="V6969">
            <v>151400</v>
          </cell>
        </row>
        <row r="6970">
          <cell r="B6970">
            <v>1953</v>
          </cell>
          <cell r="K6970" t="str">
            <v>MILLS</v>
          </cell>
          <cell r="L6970" t="str">
            <v>Mills</v>
          </cell>
          <cell r="V6970">
            <v>114400</v>
          </cell>
        </row>
        <row r="6971">
          <cell r="B6971">
            <v>1953</v>
          </cell>
          <cell r="K6971" t="str">
            <v>MONTGOMERY</v>
          </cell>
          <cell r="L6971" t="str">
            <v>Montgomery</v>
          </cell>
          <cell r="V6971">
            <v>94800</v>
          </cell>
        </row>
        <row r="6972">
          <cell r="B6972">
            <v>1953</v>
          </cell>
          <cell r="K6972" t="str">
            <v>PAGE</v>
          </cell>
          <cell r="L6972" t="str">
            <v>Page</v>
          </cell>
          <cell r="V6972">
            <v>112000</v>
          </cell>
        </row>
        <row r="6973">
          <cell r="B6973">
            <v>1953</v>
          </cell>
          <cell r="K6973" t="str">
            <v>POTTAWATTAMIE</v>
          </cell>
          <cell r="L6973" t="str">
            <v>Pottawattamie</v>
          </cell>
          <cell r="V6973">
            <v>228200</v>
          </cell>
        </row>
        <row r="6974">
          <cell r="B6974">
            <v>1953</v>
          </cell>
          <cell r="K6974" t="str">
            <v>TAYLOR</v>
          </cell>
          <cell r="L6974" t="str">
            <v>Taylor</v>
          </cell>
          <cell r="V6974">
            <v>82700</v>
          </cell>
        </row>
        <row r="6975">
          <cell r="B6975">
            <v>1953</v>
          </cell>
          <cell r="K6975" t="str">
            <v>AUDUBON</v>
          </cell>
          <cell r="L6975" t="str">
            <v>Audubon</v>
          </cell>
          <cell r="V6975">
            <v>90400</v>
          </cell>
        </row>
        <row r="6976">
          <cell r="B6976">
            <v>1953</v>
          </cell>
          <cell r="K6976" t="str">
            <v>CALHOUN</v>
          </cell>
          <cell r="L6976" t="str">
            <v>Calhoun</v>
          </cell>
          <cell r="V6976">
            <v>144900</v>
          </cell>
        </row>
        <row r="6977">
          <cell r="B6977">
            <v>1953</v>
          </cell>
          <cell r="K6977" t="str">
            <v>CARROLL</v>
          </cell>
          <cell r="L6977" t="str">
            <v>Carroll</v>
          </cell>
          <cell r="V6977">
            <v>134400</v>
          </cell>
        </row>
        <row r="6978">
          <cell r="B6978">
            <v>1953</v>
          </cell>
          <cell r="K6978" t="str">
            <v>CRAWFORD</v>
          </cell>
          <cell r="L6978" t="str">
            <v>Crawford</v>
          </cell>
          <cell r="V6978">
            <v>147400</v>
          </cell>
        </row>
        <row r="6979">
          <cell r="B6979">
            <v>1953</v>
          </cell>
          <cell r="K6979" t="str">
            <v>GREENE</v>
          </cell>
          <cell r="L6979" t="str">
            <v>Greene</v>
          </cell>
          <cell r="V6979">
            <v>150800</v>
          </cell>
        </row>
        <row r="6980">
          <cell r="B6980">
            <v>1953</v>
          </cell>
          <cell r="K6980" t="str">
            <v>GUTHRIE</v>
          </cell>
          <cell r="L6980" t="str">
            <v>Guthrie</v>
          </cell>
          <cell r="V6980">
            <v>107700</v>
          </cell>
        </row>
        <row r="6981">
          <cell r="B6981">
            <v>1953</v>
          </cell>
          <cell r="K6981" t="str">
            <v>HARRISON</v>
          </cell>
          <cell r="L6981" t="str">
            <v>Harrison</v>
          </cell>
          <cell r="V6981">
            <v>168300</v>
          </cell>
        </row>
        <row r="6982">
          <cell r="B6982">
            <v>1953</v>
          </cell>
          <cell r="K6982" t="str">
            <v>IDA</v>
          </cell>
          <cell r="L6982" t="str">
            <v>Ida</v>
          </cell>
          <cell r="V6982">
            <v>97400</v>
          </cell>
        </row>
        <row r="6983">
          <cell r="B6983">
            <v>1953</v>
          </cell>
          <cell r="K6983" t="str">
            <v>MONONA</v>
          </cell>
          <cell r="L6983" t="str">
            <v>Monona</v>
          </cell>
          <cell r="V6983">
            <v>152400</v>
          </cell>
        </row>
        <row r="6984">
          <cell r="B6984">
            <v>1953</v>
          </cell>
          <cell r="K6984" t="str">
            <v>SAC</v>
          </cell>
          <cell r="L6984" t="str">
            <v>Sac</v>
          </cell>
          <cell r="V6984">
            <v>135000</v>
          </cell>
        </row>
        <row r="6985">
          <cell r="B6985">
            <v>1953</v>
          </cell>
          <cell r="K6985" t="str">
            <v>SHELBY</v>
          </cell>
          <cell r="L6985" t="str">
            <v>Shelby</v>
          </cell>
          <cell r="V6985">
            <v>139400</v>
          </cell>
        </row>
        <row r="6986">
          <cell r="B6986">
            <v>1953</v>
          </cell>
          <cell r="K6986" t="str">
            <v>WOODBURY</v>
          </cell>
          <cell r="L6986" t="str">
            <v>Woodbury</v>
          </cell>
          <cell r="V6986">
            <v>201000</v>
          </cell>
        </row>
        <row r="6987">
          <cell r="B6987">
            <v>1952</v>
          </cell>
          <cell r="K6987" t="str">
            <v>BOONE</v>
          </cell>
          <cell r="L6987" t="str">
            <v>Boone</v>
          </cell>
          <cell r="V6987">
            <v>129700</v>
          </cell>
        </row>
        <row r="6988">
          <cell r="B6988">
            <v>1952</v>
          </cell>
          <cell r="K6988" t="str">
            <v>DALLAS</v>
          </cell>
          <cell r="L6988" t="str">
            <v>Dallas</v>
          </cell>
          <cell r="V6988">
            <v>130200</v>
          </cell>
        </row>
        <row r="6989">
          <cell r="B6989">
            <v>1952</v>
          </cell>
          <cell r="K6989" t="str">
            <v>GRUNDY</v>
          </cell>
          <cell r="L6989" t="str">
            <v>Grundy</v>
          </cell>
          <cell r="V6989">
            <v>116300</v>
          </cell>
        </row>
        <row r="6990">
          <cell r="B6990">
            <v>1952</v>
          </cell>
          <cell r="K6990" t="str">
            <v>HAMILTON</v>
          </cell>
          <cell r="L6990" t="str">
            <v>Hamilton</v>
          </cell>
          <cell r="V6990">
            <v>148800</v>
          </cell>
        </row>
        <row r="6991">
          <cell r="B6991">
            <v>1952</v>
          </cell>
          <cell r="K6991" t="str">
            <v>HARDIN</v>
          </cell>
          <cell r="L6991" t="str">
            <v>Hardin</v>
          </cell>
          <cell r="V6991">
            <v>133400</v>
          </cell>
        </row>
        <row r="6992">
          <cell r="B6992">
            <v>1952</v>
          </cell>
          <cell r="K6992" t="str">
            <v>JASPER</v>
          </cell>
          <cell r="L6992" t="str">
            <v>Jasper</v>
          </cell>
          <cell r="V6992">
            <v>140300</v>
          </cell>
        </row>
        <row r="6993">
          <cell r="B6993">
            <v>1952</v>
          </cell>
          <cell r="K6993" t="str">
            <v>MARSHALL</v>
          </cell>
          <cell r="L6993" t="str">
            <v>Marshall</v>
          </cell>
          <cell r="V6993">
            <v>124600</v>
          </cell>
        </row>
        <row r="6994">
          <cell r="B6994">
            <v>1952</v>
          </cell>
          <cell r="K6994" t="str">
            <v>POLK</v>
          </cell>
          <cell r="L6994" t="str">
            <v>Polk</v>
          </cell>
          <cell r="V6994">
            <v>109600</v>
          </cell>
        </row>
        <row r="6995">
          <cell r="B6995">
            <v>1952</v>
          </cell>
          <cell r="K6995" t="str">
            <v>POWESHIEK</v>
          </cell>
          <cell r="L6995" t="str">
            <v>Poweshiek</v>
          </cell>
          <cell r="V6995">
            <v>112500</v>
          </cell>
        </row>
        <row r="6996">
          <cell r="B6996">
            <v>1952</v>
          </cell>
          <cell r="K6996" t="str">
            <v>STORY</v>
          </cell>
          <cell r="L6996" t="str">
            <v>Story</v>
          </cell>
          <cell r="V6996">
            <v>149500</v>
          </cell>
        </row>
        <row r="6997">
          <cell r="B6997">
            <v>1952</v>
          </cell>
          <cell r="K6997" t="str">
            <v>TAMA</v>
          </cell>
          <cell r="L6997" t="str">
            <v>Tama</v>
          </cell>
          <cell r="V6997">
            <v>135600</v>
          </cell>
        </row>
        <row r="6998">
          <cell r="B6998">
            <v>1952</v>
          </cell>
          <cell r="K6998" t="str">
            <v>WEBSTER</v>
          </cell>
          <cell r="L6998" t="str">
            <v>Webster</v>
          </cell>
          <cell r="V6998">
            <v>168700</v>
          </cell>
        </row>
        <row r="6999">
          <cell r="B6999">
            <v>1952</v>
          </cell>
          <cell r="K6999" t="str">
            <v>BENTON</v>
          </cell>
          <cell r="L6999" t="str">
            <v>Benton</v>
          </cell>
          <cell r="V6999">
            <v>151900</v>
          </cell>
        </row>
        <row r="7000">
          <cell r="B7000">
            <v>1952</v>
          </cell>
          <cell r="K7000" t="str">
            <v>CEDAR</v>
          </cell>
          <cell r="L7000" t="str">
            <v>Cedar</v>
          </cell>
          <cell r="V7000">
            <v>121600</v>
          </cell>
        </row>
        <row r="7001">
          <cell r="B7001">
            <v>1952</v>
          </cell>
          <cell r="K7001" t="str">
            <v>CLINTON</v>
          </cell>
          <cell r="L7001" t="str">
            <v>Clinton</v>
          </cell>
          <cell r="V7001">
            <v>142400</v>
          </cell>
        </row>
        <row r="7002">
          <cell r="B7002">
            <v>1952</v>
          </cell>
          <cell r="K7002" t="str">
            <v>IOWA</v>
          </cell>
          <cell r="L7002" t="str">
            <v>Iowa</v>
          </cell>
          <cell r="V7002">
            <v>107200</v>
          </cell>
        </row>
        <row r="7003">
          <cell r="B7003">
            <v>1952</v>
          </cell>
          <cell r="K7003" t="str">
            <v>JACKSON</v>
          </cell>
          <cell r="L7003" t="str">
            <v>Jackson</v>
          </cell>
          <cell r="V7003">
            <v>73100</v>
          </cell>
        </row>
        <row r="7004">
          <cell r="B7004">
            <v>1952</v>
          </cell>
          <cell r="K7004" t="str">
            <v>JOHNSON</v>
          </cell>
          <cell r="L7004" t="str">
            <v>Johnson</v>
          </cell>
          <cell r="V7004">
            <v>115100</v>
          </cell>
        </row>
        <row r="7005">
          <cell r="B7005">
            <v>1952</v>
          </cell>
          <cell r="K7005" t="str">
            <v>JONES</v>
          </cell>
          <cell r="L7005" t="str">
            <v>Jones</v>
          </cell>
          <cell r="V7005">
            <v>95600</v>
          </cell>
        </row>
        <row r="7006">
          <cell r="B7006">
            <v>1952</v>
          </cell>
          <cell r="K7006" t="str">
            <v>LINN</v>
          </cell>
          <cell r="L7006" t="str">
            <v>Linn</v>
          </cell>
          <cell r="V7006">
            <v>133000</v>
          </cell>
        </row>
        <row r="7007">
          <cell r="B7007">
            <v>1952</v>
          </cell>
          <cell r="K7007" t="str">
            <v>MUSCATINE</v>
          </cell>
          <cell r="L7007" t="str">
            <v>Muscatine</v>
          </cell>
          <cell r="V7007">
            <v>81400</v>
          </cell>
        </row>
        <row r="7008">
          <cell r="B7008">
            <v>1952</v>
          </cell>
          <cell r="K7008" t="str">
            <v>SCOTT</v>
          </cell>
          <cell r="L7008" t="str">
            <v>Scott</v>
          </cell>
          <cell r="V7008">
            <v>89200</v>
          </cell>
        </row>
        <row r="7009">
          <cell r="B7009">
            <v>1952</v>
          </cell>
          <cell r="K7009" t="str">
            <v>BUTLER</v>
          </cell>
          <cell r="L7009" t="str">
            <v>Butler</v>
          </cell>
          <cell r="V7009">
            <v>122900</v>
          </cell>
        </row>
        <row r="7010">
          <cell r="B7010">
            <v>1952</v>
          </cell>
          <cell r="K7010" t="str">
            <v>CERRO GORDO</v>
          </cell>
          <cell r="L7010" t="str">
            <v>Cerro Gordo</v>
          </cell>
          <cell r="V7010">
            <v>132700</v>
          </cell>
        </row>
        <row r="7011">
          <cell r="B7011">
            <v>1952</v>
          </cell>
          <cell r="K7011" t="str">
            <v>FLOYD</v>
          </cell>
          <cell r="L7011" t="str">
            <v>Floyd</v>
          </cell>
          <cell r="V7011">
            <v>112600</v>
          </cell>
        </row>
        <row r="7012">
          <cell r="B7012">
            <v>1952</v>
          </cell>
          <cell r="K7012" t="str">
            <v>FRANKLIN</v>
          </cell>
          <cell r="L7012" t="str">
            <v>Franklin</v>
          </cell>
          <cell r="V7012">
            <v>145100</v>
          </cell>
        </row>
        <row r="7013">
          <cell r="B7013">
            <v>1952</v>
          </cell>
          <cell r="K7013" t="str">
            <v>HANCOCK</v>
          </cell>
          <cell r="L7013" t="str">
            <v>Hancock</v>
          </cell>
          <cell r="V7013">
            <v>137100</v>
          </cell>
        </row>
        <row r="7014">
          <cell r="B7014">
            <v>1952</v>
          </cell>
          <cell r="K7014" t="str">
            <v>HUMBOLDT</v>
          </cell>
          <cell r="L7014" t="str">
            <v>Humboldt</v>
          </cell>
          <cell r="V7014">
            <v>110900</v>
          </cell>
        </row>
        <row r="7015">
          <cell r="B7015">
            <v>1952</v>
          </cell>
          <cell r="K7015" t="str">
            <v>KOSSUTH</v>
          </cell>
          <cell r="L7015" t="str">
            <v>Kossuth</v>
          </cell>
          <cell r="V7015">
            <v>237200</v>
          </cell>
        </row>
        <row r="7016">
          <cell r="B7016">
            <v>1952</v>
          </cell>
          <cell r="K7016" t="str">
            <v>MITCHELL</v>
          </cell>
          <cell r="L7016" t="str">
            <v>Mitchell</v>
          </cell>
          <cell r="V7016">
            <v>103300</v>
          </cell>
        </row>
        <row r="7017">
          <cell r="B7017">
            <v>1952</v>
          </cell>
          <cell r="K7017" t="str">
            <v>WINNEBAGO</v>
          </cell>
          <cell r="L7017" t="str">
            <v>Winnebago</v>
          </cell>
          <cell r="V7017">
            <v>93900</v>
          </cell>
        </row>
        <row r="7018">
          <cell r="B7018">
            <v>1952</v>
          </cell>
          <cell r="K7018" t="str">
            <v>WORTH</v>
          </cell>
          <cell r="L7018" t="str">
            <v>Worth</v>
          </cell>
          <cell r="V7018">
            <v>84600</v>
          </cell>
        </row>
        <row r="7019">
          <cell r="B7019">
            <v>1952</v>
          </cell>
          <cell r="K7019" t="str">
            <v>WRIGHT</v>
          </cell>
          <cell r="L7019" t="str">
            <v>Wright</v>
          </cell>
          <cell r="V7019">
            <v>148300</v>
          </cell>
        </row>
        <row r="7020">
          <cell r="B7020">
            <v>1952</v>
          </cell>
          <cell r="K7020" t="str">
            <v>ALLAMAKEE</v>
          </cell>
          <cell r="L7020" t="str">
            <v>Allamakee</v>
          </cell>
          <cell r="V7020">
            <v>58200</v>
          </cell>
        </row>
        <row r="7021">
          <cell r="B7021">
            <v>1952</v>
          </cell>
          <cell r="K7021" t="str">
            <v>BLACK HAWK</v>
          </cell>
          <cell r="L7021" t="str">
            <v>Black Hawk</v>
          </cell>
          <cell r="V7021">
            <v>111400</v>
          </cell>
        </row>
        <row r="7022">
          <cell r="B7022">
            <v>1952</v>
          </cell>
          <cell r="K7022" t="str">
            <v>BREMER</v>
          </cell>
          <cell r="L7022" t="str">
            <v>Bremer</v>
          </cell>
          <cell r="V7022">
            <v>80600</v>
          </cell>
        </row>
        <row r="7023">
          <cell r="B7023">
            <v>1952</v>
          </cell>
          <cell r="K7023" t="str">
            <v>BUCHANAN</v>
          </cell>
          <cell r="L7023" t="str">
            <v>Buchanan</v>
          </cell>
          <cell r="V7023">
            <v>111000</v>
          </cell>
        </row>
        <row r="7024">
          <cell r="B7024">
            <v>1952</v>
          </cell>
          <cell r="K7024" t="str">
            <v>CHICKASAW</v>
          </cell>
          <cell r="L7024" t="str">
            <v>Chickasaw</v>
          </cell>
          <cell r="V7024">
            <v>88300</v>
          </cell>
        </row>
        <row r="7025">
          <cell r="B7025">
            <v>1952</v>
          </cell>
          <cell r="K7025" t="str">
            <v>CLAYTON</v>
          </cell>
          <cell r="L7025" t="str">
            <v>Clayton</v>
          </cell>
          <cell r="V7025">
            <v>87800</v>
          </cell>
        </row>
        <row r="7026">
          <cell r="B7026">
            <v>1952</v>
          </cell>
          <cell r="K7026" t="str">
            <v>DELAWARE</v>
          </cell>
          <cell r="L7026" t="str">
            <v>Delaware</v>
          </cell>
          <cell r="V7026">
            <v>102900</v>
          </cell>
        </row>
        <row r="7027">
          <cell r="B7027">
            <v>1952</v>
          </cell>
          <cell r="K7027" t="str">
            <v>DUBUQUE</v>
          </cell>
          <cell r="L7027" t="str">
            <v>Dubuque</v>
          </cell>
          <cell r="V7027">
            <v>78600</v>
          </cell>
        </row>
        <row r="7028">
          <cell r="B7028">
            <v>1952</v>
          </cell>
          <cell r="K7028" t="str">
            <v>FAYETTE</v>
          </cell>
          <cell r="L7028" t="str">
            <v>Fayette</v>
          </cell>
          <cell r="V7028">
            <v>118200</v>
          </cell>
        </row>
        <row r="7029">
          <cell r="B7029">
            <v>1952</v>
          </cell>
          <cell r="K7029" t="str">
            <v>HOWARD</v>
          </cell>
          <cell r="L7029" t="str">
            <v>Howard</v>
          </cell>
          <cell r="V7029">
            <v>82800</v>
          </cell>
        </row>
        <row r="7030">
          <cell r="B7030">
            <v>1952</v>
          </cell>
          <cell r="K7030" t="str">
            <v>WINNESHIEK</v>
          </cell>
          <cell r="L7030" t="str">
            <v>Winneshiek</v>
          </cell>
          <cell r="V7030">
            <v>97400</v>
          </cell>
        </row>
        <row r="7031">
          <cell r="B7031">
            <v>1952</v>
          </cell>
          <cell r="K7031" t="str">
            <v>BUENA VISTA</v>
          </cell>
          <cell r="L7031" t="str">
            <v>Buena Vista</v>
          </cell>
          <cell r="V7031">
            <v>136900</v>
          </cell>
        </row>
        <row r="7032">
          <cell r="B7032">
            <v>1952</v>
          </cell>
          <cell r="K7032" t="str">
            <v>CHEROKEE</v>
          </cell>
          <cell r="L7032" t="str">
            <v>Cherokee</v>
          </cell>
          <cell r="V7032">
            <v>121000</v>
          </cell>
        </row>
        <row r="7033">
          <cell r="B7033">
            <v>1952</v>
          </cell>
          <cell r="K7033" t="str">
            <v>CLAY</v>
          </cell>
          <cell r="L7033" t="str">
            <v>Clay</v>
          </cell>
          <cell r="V7033">
            <v>128800</v>
          </cell>
        </row>
        <row r="7034">
          <cell r="B7034">
            <v>1952</v>
          </cell>
          <cell r="K7034" t="str">
            <v>DICKINSON</v>
          </cell>
          <cell r="L7034" t="str">
            <v>Dickinson</v>
          </cell>
          <cell r="V7034">
            <v>81800</v>
          </cell>
        </row>
        <row r="7035">
          <cell r="B7035">
            <v>1952</v>
          </cell>
          <cell r="K7035" t="str">
            <v>EMMET</v>
          </cell>
          <cell r="L7035" t="str">
            <v>Emmet</v>
          </cell>
          <cell r="V7035">
            <v>92300</v>
          </cell>
        </row>
        <row r="7036">
          <cell r="B7036">
            <v>1952</v>
          </cell>
          <cell r="K7036" t="str">
            <v>LYON</v>
          </cell>
          <cell r="L7036" t="str">
            <v>Lyon</v>
          </cell>
          <cell r="V7036">
            <v>133500</v>
          </cell>
        </row>
        <row r="7037">
          <cell r="B7037">
            <v>1952</v>
          </cell>
          <cell r="K7037" t="str">
            <v>O BRIEN</v>
          </cell>
          <cell r="L7037" t="str">
            <v>O Brien</v>
          </cell>
          <cell r="V7037">
            <v>129700</v>
          </cell>
        </row>
        <row r="7038">
          <cell r="B7038">
            <v>1952</v>
          </cell>
          <cell r="K7038" t="str">
            <v>OSCEOLA</v>
          </cell>
          <cell r="L7038" t="str">
            <v>Osceola</v>
          </cell>
          <cell r="V7038">
            <v>92000</v>
          </cell>
        </row>
        <row r="7039">
          <cell r="B7039">
            <v>1952</v>
          </cell>
          <cell r="K7039" t="str">
            <v>PALO ALTO</v>
          </cell>
          <cell r="L7039" t="str">
            <v>Palo Alto</v>
          </cell>
          <cell r="V7039">
            <v>140100</v>
          </cell>
        </row>
        <row r="7040">
          <cell r="B7040">
            <v>1952</v>
          </cell>
          <cell r="K7040" t="str">
            <v>PLYMOUTH</v>
          </cell>
          <cell r="L7040" t="str">
            <v>Plymouth</v>
          </cell>
          <cell r="V7040">
            <v>202000</v>
          </cell>
        </row>
        <row r="7041">
          <cell r="B7041">
            <v>1952</v>
          </cell>
          <cell r="K7041" t="str">
            <v>POCAHONTAS</v>
          </cell>
          <cell r="L7041" t="str">
            <v>Pocahontas</v>
          </cell>
          <cell r="V7041">
            <v>144700</v>
          </cell>
        </row>
        <row r="7042">
          <cell r="B7042">
            <v>1952</v>
          </cell>
          <cell r="K7042" t="str">
            <v>SIOUX</v>
          </cell>
          <cell r="L7042" t="str">
            <v>Sioux</v>
          </cell>
          <cell r="V7042">
            <v>186700</v>
          </cell>
        </row>
        <row r="7043">
          <cell r="B7043">
            <v>1952</v>
          </cell>
          <cell r="K7043" t="str">
            <v>APPANOOSE</v>
          </cell>
          <cell r="L7043" t="str">
            <v>Appanoose</v>
          </cell>
          <cell r="V7043">
            <v>42500</v>
          </cell>
        </row>
        <row r="7044">
          <cell r="B7044">
            <v>1952</v>
          </cell>
          <cell r="K7044" t="str">
            <v>CLARKE</v>
          </cell>
          <cell r="L7044" t="str">
            <v>Clarke</v>
          </cell>
          <cell r="V7044">
            <v>50700</v>
          </cell>
        </row>
        <row r="7045">
          <cell r="B7045">
            <v>1952</v>
          </cell>
          <cell r="K7045" t="str">
            <v>DECATUR</v>
          </cell>
          <cell r="L7045" t="str">
            <v>Decatur</v>
          </cell>
          <cell r="V7045">
            <v>54000</v>
          </cell>
        </row>
        <row r="7046">
          <cell r="B7046">
            <v>1952</v>
          </cell>
          <cell r="K7046" t="str">
            <v>LUCAS</v>
          </cell>
          <cell r="L7046" t="str">
            <v>Lucas</v>
          </cell>
          <cell r="V7046">
            <v>46200</v>
          </cell>
        </row>
        <row r="7047">
          <cell r="B7047">
            <v>1952</v>
          </cell>
          <cell r="K7047" t="str">
            <v>MADISON</v>
          </cell>
          <cell r="L7047" t="str">
            <v>Madison</v>
          </cell>
          <cell r="V7047">
            <v>81900</v>
          </cell>
        </row>
        <row r="7048">
          <cell r="B7048">
            <v>1952</v>
          </cell>
          <cell r="K7048" t="str">
            <v>MARION</v>
          </cell>
          <cell r="L7048" t="str">
            <v>Marion</v>
          </cell>
          <cell r="V7048">
            <v>90600</v>
          </cell>
        </row>
        <row r="7049">
          <cell r="B7049">
            <v>1952</v>
          </cell>
          <cell r="K7049" t="str">
            <v>MONROE</v>
          </cell>
          <cell r="L7049" t="str">
            <v>Monroe</v>
          </cell>
          <cell r="V7049">
            <v>39400</v>
          </cell>
        </row>
        <row r="7050">
          <cell r="B7050">
            <v>1952</v>
          </cell>
          <cell r="K7050" t="str">
            <v>RINGGOLD</v>
          </cell>
          <cell r="L7050" t="str">
            <v>Ringgold</v>
          </cell>
          <cell r="V7050">
            <v>61800</v>
          </cell>
        </row>
        <row r="7051">
          <cell r="B7051">
            <v>1952</v>
          </cell>
          <cell r="K7051" t="str">
            <v>UNION</v>
          </cell>
          <cell r="L7051" t="str">
            <v>Union</v>
          </cell>
          <cell r="V7051">
            <v>57800</v>
          </cell>
        </row>
        <row r="7052">
          <cell r="B7052">
            <v>1952</v>
          </cell>
          <cell r="K7052" t="str">
            <v>WARREN</v>
          </cell>
          <cell r="L7052" t="str">
            <v>Warren</v>
          </cell>
          <cell r="V7052">
            <v>82300</v>
          </cell>
        </row>
        <row r="7053">
          <cell r="B7053">
            <v>1952</v>
          </cell>
          <cell r="K7053" t="str">
            <v>WAYNE</v>
          </cell>
          <cell r="L7053" t="str">
            <v>Wayne</v>
          </cell>
          <cell r="V7053">
            <v>61100</v>
          </cell>
        </row>
        <row r="7054">
          <cell r="B7054">
            <v>1952</v>
          </cell>
          <cell r="K7054" t="str">
            <v>DAVIS</v>
          </cell>
          <cell r="L7054" t="str">
            <v>Davis</v>
          </cell>
          <cell r="V7054">
            <v>40700</v>
          </cell>
        </row>
        <row r="7055">
          <cell r="B7055">
            <v>1952</v>
          </cell>
          <cell r="K7055" t="str">
            <v>DES MOINES</v>
          </cell>
          <cell r="L7055" t="str">
            <v>Des Moines</v>
          </cell>
          <cell r="V7055">
            <v>63800</v>
          </cell>
        </row>
        <row r="7056">
          <cell r="B7056">
            <v>1952</v>
          </cell>
          <cell r="K7056" t="str">
            <v>HENRY</v>
          </cell>
          <cell r="L7056" t="str">
            <v>Henry</v>
          </cell>
          <cell r="V7056">
            <v>75100</v>
          </cell>
        </row>
        <row r="7057">
          <cell r="B7057">
            <v>1952</v>
          </cell>
          <cell r="K7057" t="str">
            <v>JEFFERSON</v>
          </cell>
          <cell r="L7057" t="str">
            <v>Jefferson</v>
          </cell>
          <cell r="V7057">
            <v>63600</v>
          </cell>
        </row>
        <row r="7058">
          <cell r="B7058">
            <v>1952</v>
          </cell>
          <cell r="K7058" t="str">
            <v>KEOKUK</v>
          </cell>
          <cell r="L7058" t="str">
            <v>Keokuk</v>
          </cell>
          <cell r="V7058">
            <v>100400</v>
          </cell>
        </row>
        <row r="7059">
          <cell r="B7059">
            <v>1952</v>
          </cell>
          <cell r="K7059" t="str">
            <v>LEE</v>
          </cell>
          <cell r="L7059" t="str">
            <v>Lee</v>
          </cell>
          <cell r="V7059">
            <v>58300</v>
          </cell>
        </row>
        <row r="7060">
          <cell r="B7060">
            <v>1952</v>
          </cell>
          <cell r="K7060" t="str">
            <v>LOUISA</v>
          </cell>
          <cell r="L7060" t="str">
            <v>Louisa</v>
          </cell>
          <cell r="V7060">
            <v>70000</v>
          </cell>
        </row>
        <row r="7061">
          <cell r="B7061">
            <v>1952</v>
          </cell>
          <cell r="K7061" t="str">
            <v>MAHASKA</v>
          </cell>
          <cell r="L7061" t="str">
            <v>Mahaska</v>
          </cell>
          <cell r="V7061">
            <v>108600</v>
          </cell>
        </row>
        <row r="7062">
          <cell r="B7062">
            <v>1952</v>
          </cell>
          <cell r="K7062" t="str">
            <v>VAN BUREN</v>
          </cell>
          <cell r="L7062" t="str">
            <v>Van Buren</v>
          </cell>
          <cell r="V7062">
            <v>42000</v>
          </cell>
        </row>
        <row r="7063">
          <cell r="B7063">
            <v>1952</v>
          </cell>
          <cell r="K7063" t="str">
            <v>WAPELLO</v>
          </cell>
          <cell r="L7063" t="str">
            <v>Wapello</v>
          </cell>
          <cell r="V7063">
            <v>53600</v>
          </cell>
        </row>
        <row r="7064">
          <cell r="B7064">
            <v>1952</v>
          </cell>
          <cell r="K7064" t="str">
            <v>WASHINGTON</v>
          </cell>
          <cell r="L7064" t="str">
            <v>Washington</v>
          </cell>
          <cell r="V7064">
            <v>113400</v>
          </cell>
        </row>
        <row r="7065">
          <cell r="B7065">
            <v>1952</v>
          </cell>
          <cell r="K7065" t="str">
            <v>ADAIR</v>
          </cell>
          <cell r="L7065" t="str">
            <v>Adair</v>
          </cell>
          <cell r="V7065">
            <v>94200</v>
          </cell>
        </row>
        <row r="7066">
          <cell r="B7066">
            <v>1952</v>
          </cell>
          <cell r="K7066" t="str">
            <v>ADAMS</v>
          </cell>
          <cell r="L7066" t="str">
            <v>Adams</v>
          </cell>
          <cell r="V7066">
            <v>67000</v>
          </cell>
        </row>
        <row r="7067">
          <cell r="B7067">
            <v>1952</v>
          </cell>
          <cell r="K7067" t="str">
            <v>CASS</v>
          </cell>
          <cell r="L7067" t="str">
            <v>Cass</v>
          </cell>
          <cell r="V7067">
            <v>105100</v>
          </cell>
        </row>
        <row r="7068">
          <cell r="B7068">
            <v>1952</v>
          </cell>
          <cell r="K7068" t="str">
            <v>FREMONT</v>
          </cell>
          <cell r="L7068" t="str">
            <v>Fremont</v>
          </cell>
          <cell r="V7068">
            <v>130300</v>
          </cell>
        </row>
        <row r="7069">
          <cell r="B7069">
            <v>1952</v>
          </cell>
          <cell r="K7069" t="str">
            <v>MILLS</v>
          </cell>
          <cell r="L7069" t="str">
            <v>Mills</v>
          </cell>
          <cell r="V7069">
            <v>101700</v>
          </cell>
        </row>
        <row r="7070">
          <cell r="B7070">
            <v>1952</v>
          </cell>
          <cell r="K7070" t="str">
            <v>MONTGOMERY</v>
          </cell>
          <cell r="L7070" t="str">
            <v>Montgomery</v>
          </cell>
          <cell r="V7070">
            <v>88800</v>
          </cell>
        </row>
        <row r="7071">
          <cell r="B7071">
            <v>1952</v>
          </cell>
          <cell r="K7071" t="str">
            <v>PAGE</v>
          </cell>
          <cell r="L7071" t="str">
            <v>Page</v>
          </cell>
          <cell r="V7071">
            <v>105500</v>
          </cell>
        </row>
        <row r="7072">
          <cell r="B7072">
            <v>1952</v>
          </cell>
          <cell r="K7072" t="str">
            <v>POTTAWATTAMIE</v>
          </cell>
          <cell r="L7072" t="str">
            <v>Pottawattamie</v>
          </cell>
          <cell r="V7072">
            <v>212500</v>
          </cell>
        </row>
        <row r="7073">
          <cell r="B7073">
            <v>1952</v>
          </cell>
          <cell r="K7073" t="str">
            <v>TAYLOR</v>
          </cell>
          <cell r="L7073" t="str">
            <v>Taylor</v>
          </cell>
          <cell r="V7073">
            <v>81700</v>
          </cell>
        </row>
        <row r="7074">
          <cell r="B7074">
            <v>1952</v>
          </cell>
          <cell r="K7074" t="str">
            <v>AUDUBON</v>
          </cell>
          <cell r="L7074" t="str">
            <v>Audubon</v>
          </cell>
          <cell r="V7074">
            <v>86700</v>
          </cell>
        </row>
        <row r="7075">
          <cell r="B7075">
            <v>1952</v>
          </cell>
          <cell r="K7075" t="str">
            <v>CALHOUN</v>
          </cell>
          <cell r="L7075" t="str">
            <v>Calhoun</v>
          </cell>
          <cell r="V7075">
            <v>141100</v>
          </cell>
        </row>
        <row r="7076">
          <cell r="B7076">
            <v>1952</v>
          </cell>
          <cell r="K7076" t="str">
            <v>CARROLL</v>
          </cell>
          <cell r="L7076" t="str">
            <v>Carroll</v>
          </cell>
          <cell r="V7076">
            <v>132200</v>
          </cell>
        </row>
        <row r="7077">
          <cell r="B7077">
            <v>1952</v>
          </cell>
          <cell r="K7077" t="str">
            <v>CRAWFORD</v>
          </cell>
          <cell r="L7077" t="str">
            <v>Crawford</v>
          </cell>
          <cell r="V7077">
            <v>139200</v>
          </cell>
        </row>
        <row r="7078">
          <cell r="B7078">
            <v>1952</v>
          </cell>
          <cell r="K7078" t="str">
            <v>GREENE</v>
          </cell>
          <cell r="L7078" t="str">
            <v>Greene</v>
          </cell>
          <cell r="V7078">
            <v>149000</v>
          </cell>
        </row>
        <row r="7079">
          <cell r="B7079">
            <v>1952</v>
          </cell>
          <cell r="K7079" t="str">
            <v>GUTHRIE</v>
          </cell>
          <cell r="L7079" t="str">
            <v>Guthrie</v>
          </cell>
          <cell r="V7079">
            <v>103500</v>
          </cell>
        </row>
        <row r="7080">
          <cell r="B7080">
            <v>1952</v>
          </cell>
          <cell r="K7080" t="str">
            <v>HARRISON</v>
          </cell>
          <cell r="L7080" t="str">
            <v>Harrison</v>
          </cell>
          <cell r="V7080">
            <v>158300</v>
          </cell>
        </row>
        <row r="7081">
          <cell r="B7081">
            <v>1952</v>
          </cell>
          <cell r="K7081" t="str">
            <v>IDA</v>
          </cell>
          <cell r="L7081" t="str">
            <v>Ida</v>
          </cell>
          <cell r="V7081">
            <v>94000</v>
          </cell>
        </row>
        <row r="7082">
          <cell r="B7082">
            <v>1952</v>
          </cell>
          <cell r="K7082" t="str">
            <v>MONONA</v>
          </cell>
          <cell r="L7082" t="str">
            <v>Monona</v>
          </cell>
          <cell r="V7082">
            <v>140200</v>
          </cell>
        </row>
        <row r="7083">
          <cell r="B7083">
            <v>1952</v>
          </cell>
          <cell r="K7083" t="str">
            <v>SAC</v>
          </cell>
          <cell r="L7083" t="str">
            <v>Sac</v>
          </cell>
          <cell r="V7083">
            <v>130700</v>
          </cell>
        </row>
        <row r="7084">
          <cell r="B7084">
            <v>1952</v>
          </cell>
          <cell r="K7084" t="str">
            <v>SHELBY</v>
          </cell>
          <cell r="L7084" t="str">
            <v>Shelby</v>
          </cell>
          <cell r="V7084">
            <v>132000</v>
          </cell>
        </row>
        <row r="7085">
          <cell r="B7085">
            <v>1952</v>
          </cell>
          <cell r="K7085" t="str">
            <v>WOODBURY</v>
          </cell>
          <cell r="L7085" t="str">
            <v>Woodbury</v>
          </cell>
          <cell r="V7085">
            <v>185500</v>
          </cell>
        </row>
        <row r="7086">
          <cell r="B7086">
            <v>1951</v>
          </cell>
          <cell r="K7086" t="str">
            <v>BOONE</v>
          </cell>
          <cell r="L7086" t="str">
            <v>Boone</v>
          </cell>
          <cell r="V7086">
            <v>129900</v>
          </cell>
        </row>
        <row r="7087">
          <cell r="B7087">
            <v>1951</v>
          </cell>
          <cell r="K7087" t="str">
            <v>DALLAS</v>
          </cell>
          <cell r="L7087" t="str">
            <v>Dallas</v>
          </cell>
          <cell r="V7087">
            <v>130100</v>
          </cell>
        </row>
        <row r="7088">
          <cell r="B7088">
            <v>1951</v>
          </cell>
          <cell r="K7088" t="str">
            <v>GRUNDY</v>
          </cell>
          <cell r="L7088" t="str">
            <v>Grundy</v>
          </cell>
          <cell r="V7088">
            <v>111800</v>
          </cell>
        </row>
        <row r="7089">
          <cell r="B7089">
            <v>1951</v>
          </cell>
          <cell r="K7089" t="str">
            <v>HAMILTON</v>
          </cell>
          <cell r="L7089" t="str">
            <v>Hamilton</v>
          </cell>
          <cell r="V7089">
            <v>147800</v>
          </cell>
        </row>
        <row r="7090">
          <cell r="B7090">
            <v>1951</v>
          </cell>
          <cell r="K7090" t="str">
            <v>HARDIN</v>
          </cell>
          <cell r="L7090" t="str">
            <v>Hardin</v>
          </cell>
          <cell r="V7090">
            <v>131300</v>
          </cell>
        </row>
        <row r="7091">
          <cell r="B7091">
            <v>1951</v>
          </cell>
          <cell r="K7091" t="str">
            <v>JASPER</v>
          </cell>
          <cell r="L7091" t="str">
            <v>Jasper</v>
          </cell>
          <cell r="V7091">
            <v>134300</v>
          </cell>
        </row>
        <row r="7092">
          <cell r="B7092">
            <v>1951</v>
          </cell>
          <cell r="K7092" t="str">
            <v>MARSHALL</v>
          </cell>
          <cell r="L7092" t="str">
            <v>Marshall</v>
          </cell>
          <cell r="V7092">
            <v>119700</v>
          </cell>
        </row>
        <row r="7093">
          <cell r="B7093">
            <v>1951</v>
          </cell>
          <cell r="K7093" t="str">
            <v>POLK</v>
          </cell>
          <cell r="L7093" t="str">
            <v>Polk</v>
          </cell>
          <cell r="V7093">
            <v>110100</v>
          </cell>
        </row>
        <row r="7094">
          <cell r="B7094">
            <v>1951</v>
          </cell>
          <cell r="K7094" t="str">
            <v>POWESHIEK</v>
          </cell>
          <cell r="L7094" t="str">
            <v>Poweshiek</v>
          </cell>
          <cell r="V7094">
            <v>107100</v>
          </cell>
        </row>
        <row r="7095">
          <cell r="B7095">
            <v>1951</v>
          </cell>
          <cell r="K7095" t="str">
            <v>STORY</v>
          </cell>
          <cell r="L7095" t="str">
            <v>Story</v>
          </cell>
          <cell r="V7095">
            <v>141700</v>
          </cell>
        </row>
        <row r="7096">
          <cell r="B7096">
            <v>1951</v>
          </cell>
          <cell r="K7096" t="str">
            <v>TAMA</v>
          </cell>
          <cell r="L7096" t="str">
            <v>Tama</v>
          </cell>
          <cell r="V7096">
            <v>132800</v>
          </cell>
        </row>
        <row r="7097">
          <cell r="B7097">
            <v>1951</v>
          </cell>
          <cell r="K7097" t="str">
            <v>WEBSTER</v>
          </cell>
          <cell r="L7097" t="str">
            <v>Webster</v>
          </cell>
          <cell r="V7097">
            <v>169000</v>
          </cell>
        </row>
        <row r="7098">
          <cell r="B7098">
            <v>1951</v>
          </cell>
          <cell r="K7098" t="str">
            <v>BENTON</v>
          </cell>
          <cell r="L7098" t="str">
            <v>Benton</v>
          </cell>
          <cell r="V7098">
            <v>148400</v>
          </cell>
        </row>
        <row r="7099">
          <cell r="B7099">
            <v>1951</v>
          </cell>
          <cell r="K7099" t="str">
            <v>CEDAR</v>
          </cell>
          <cell r="L7099" t="str">
            <v>Cedar</v>
          </cell>
          <cell r="V7099">
            <v>116400</v>
          </cell>
        </row>
        <row r="7100">
          <cell r="B7100">
            <v>1951</v>
          </cell>
          <cell r="K7100" t="str">
            <v>CLINTON</v>
          </cell>
          <cell r="L7100" t="str">
            <v>Clinton</v>
          </cell>
          <cell r="V7100">
            <v>136300</v>
          </cell>
        </row>
        <row r="7101">
          <cell r="B7101">
            <v>1951</v>
          </cell>
          <cell r="K7101" t="str">
            <v>IOWA</v>
          </cell>
          <cell r="L7101" t="str">
            <v>Iowa</v>
          </cell>
          <cell r="V7101">
            <v>102700</v>
          </cell>
        </row>
        <row r="7102">
          <cell r="B7102">
            <v>1951</v>
          </cell>
          <cell r="K7102" t="str">
            <v>JACKSON</v>
          </cell>
          <cell r="L7102" t="str">
            <v>Jackson</v>
          </cell>
          <cell r="V7102">
            <v>70600</v>
          </cell>
        </row>
        <row r="7103">
          <cell r="B7103">
            <v>1951</v>
          </cell>
          <cell r="K7103" t="str">
            <v>JOHNSON</v>
          </cell>
          <cell r="L7103" t="str">
            <v>Johnson</v>
          </cell>
          <cell r="V7103">
            <v>108600</v>
          </cell>
        </row>
        <row r="7104">
          <cell r="B7104">
            <v>1951</v>
          </cell>
          <cell r="K7104" t="str">
            <v>JONES</v>
          </cell>
          <cell r="L7104" t="str">
            <v>Jones</v>
          </cell>
          <cell r="V7104">
            <v>91100</v>
          </cell>
        </row>
        <row r="7105">
          <cell r="B7105">
            <v>1951</v>
          </cell>
          <cell r="K7105" t="str">
            <v>LINN</v>
          </cell>
          <cell r="L7105" t="str">
            <v>Linn</v>
          </cell>
          <cell r="V7105">
            <v>126900</v>
          </cell>
        </row>
        <row r="7106">
          <cell r="B7106">
            <v>1951</v>
          </cell>
          <cell r="K7106" t="str">
            <v>MUSCATINE</v>
          </cell>
          <cell r="L7106" t="str">
            <v>Muscatine</v>
          </cell>
          <cell r="V7106">
            <v>76700</v>
          </cell>
        </row>
        <row r="7107">
          <cell r="B7107">
            <v>1951</v>
          </cell>
          <cell r="K7107" t="str">
            <v>SCOTT</v>
          </cell>
          <cell r="L7107" t="str">
            <v>Scott</v>
          </cell>
          <cell r="V7107">
            <v>84100</v>
          </cell>
        </row>
        <row r="7108">
          <cell r="B7108">
            <v>1951</v>
          </cell>
          <cell r="K7108" t="str">
            <v>BUTLER</v>
          </cell>
          <cell r="L7108" t="str">
            <v>Butler</v>
          </cell>
          <cell r="V7108">
            <v>122000</v>
          </cell>
        </row>
        <row r="7109">
          <cell r="B7109">
            <v>1951</v>
          </cell>
          <cell r="K7109" t="str">
            <v>CERRO GORDO</v>
          </cell>
          <cell r="L7109" t="str">
            <v>Cerro Gordo</v>
          </cell>
          <cell r="V7109">
            <v>125100</v>
          </cell>
        </row>
        <row r="7110">
          <cell r="B7110">
            <v>1951</v>
          </cell>
          <cell r="K7110" t="str">
            <v>FLOYD</v>
          </cell>
          <cell r="L7110" t="str">
            <v>Floyd</v>
          </cell>
          <cell r="V7110">
            <v>107400</v>
          </cell>
        </row>
        <row r="7111">
          <cell r="B7111">
            <v>1951</v>
          </cell>
          <cell r="K7111" t="str">
            <v>FRANKLIN</v>
          </cell>
          <cell r="L7111" t="str">
            <v>Franklin</v>
          </cell>
          <cell r="V7111">
            <v>142100</v>
          </cell>
        </row>
        <row r="7112">
          <cell r="B7112">
            <v>1951</v>
          </cell>
          <cell r="K7112" t="str">
            <v>HANCOCK</v>
          </cell>
          <cell r="L7112" t="str">
            <v>Hancock</v>
          </cell>
          <cell r="V7112">
            <v>132100</v>
          </cell>
        </row>
        <row r="7113">
          <cell r="B7113">
            <v>1951</v>
          </cell>
          <cell r="K7113" t="str">
            <v>HUMBOLDT</v>
          </cell>
          <cell r="L7113" t="str">
            <v>Humboldt</v>
          </cell>
          <cell r="V7113">
            <v>105300</v>
          </cell>
        </row>
        <row r="7114">
          <cell r="B7114">
            <v>1951</v>
          </cell>
          <cell r="K7114" t="str">
            <v>KOSSUTH</v>
          </cell>
          <cell r="L7114" t="str">
            <v>Kossuth</v>
          </cell>
          <cell r="V7114">
            <v>235200</v>
          </cell>
        </row>
        <row r="7115">
          <cell r="B7115">
            <v>1951</v>
          </cell>
          <cell r="K7115" t="str">
            <v>MITCHELL</v>
          </cell>
          <cell r="L7115" t="str">
            <v>Mitchell</v>
          </cell>
          <cell r="V7115">
            <v>97400</v>
          </cell>
        </row>
        <row r="7116">
          <cell r="B7116">
            <v>1951</v>
          </cell>
          <cell r="K7116" t="str">
            <v>WINNEBAGO</v>
          </cell>
          <cell r="L7116" t="str">
            <v>Winnebago</v>
          </cell>
          <cell r="V7116">
            <v>91700</v>
          </cell>
        </row>
        <row r="7117">
          <cell r="B7117">
            <v>1951</v>
          </cell>
          <cell r="K7117" t="str">
            <v>WORTH</v>
          </cell>
          <cell r="L7117" t="str">
            <v>Worth</v>
          </cell>
          <cell r="V7117">
            <v>81300</v>
          </cell>
        </row>
        <row r="7118">
          <cell r="B7118">
            <v>1951</v>
          </cell>
          <cell r="K7118" t="str">
            <v>WRIGHT</v>
          </cell>
          <cell r="L7118" t="str">
            <v>Wright</v>
          </cell>
          <cell r="V7118">
            <v>145200</v>
          </cell>
        </row>
        <row r="7119">
          <cell r="B7119">
            <v>1951</v>
          </cell>
          <cell r="K7119" t="str">
            <v>ALLAMAKEE</v>
          </cell>
          <cell r="L7119" t="str">
            <v>Allamakee</v>
          </cell>
          <cell r="V7119">
            <v>56000</v>
          </cell>
        </row>
        <row r="7120">
          <cell r="B7120">
            <v>1951</v>
          </cell>
          <cell r="K7120" t="str">
            <v>BLACK HAWK</v>
          </cell>
          <cell r="L7120" t="str">
            <v>Black Hawk</v>
          </cell>
          <cell r="V7120">
            <v>110000</v>
          </cell>
        </row>
        <row r="7121">
          <cell r="B7121">
            <v>1951</v>
          </cell>
          <cell r="K7121" t="str">
            <v>BREMER</v>
          </cell>
          <cell r="L7121" t="str">
            <v>Bremer</v>
          </cell>
          <cell r="V7121">
            <v>78400</v>
          </cell>
        </row>
        <row r="7122">
          <cell r="B7122">
            <v>1951</v>
          </cell>
          <cell r="K7122" t="str">
            <v>BUCHANAN</v>
          </cell>
          <cell r="L7122" t="str">
            <v>Buchanan</v>
          </cell>
          <cell r="V7122">
            <v>107300</v>
          </cell>
        </row>
        <row r="7123">
          <cell r="B7123">
            <v>1951</v>
          </cell>
          <cell r="K7123" t="str">
            <v>CHICKASAW</v>
          </cell>
          <cell r="L7123" t="str">
            <v>Chickasaw</v>
          </cell>
          <cell r="V7123">
            <v>90500</v>
          </cell>
        </row>
        <row r="7124">
          <cell r="B7124">
            <v>1951</v>
          </cell>
          <cell r="K7124" t="str">
            <v>CLAYTON</v>
          </cell>
          <cell r="L7124" t="str">
            <v>Clayton</v>
          </cell>
          <cell r="V7124">
            <v>83600</v>
          </cell>
        </row>
        <row r="7125">
          <cell r="B7125">
            <v>1951</v>
          </cell>
          <cell r="K7125" t="str">
            <v>DELAWARE</v>
          </cell>
          <cell r="L7125" t="str">
            <v>Delaware</v>
          </cell>
          <cell r="V7125">
            <v>99600</v>
          </cell>
        </row>
        <row r="7126">
          <cell r="B7126">
            <v>1951</v>
          </cell>
          <cell r="K7126" t="str">
            <v>DUBUQUE</v>
          </cell>
          <cell r="L7126" t="str">
            <v>Dubuque</v>
          </cell>
          <cell r="V7126">
            <v>75500</v>
          </cell>
        </row>
        <row r="7127">
          <cell r="B7127">
            <v>1951</v>
          </cell>
          <cell r="K7127" t="str">
            <v>FAYETTE</v>
          </cell>
          <cell r="L7127" t="str">
            <v>Fayette</v>
          </cell>
          <cell r="V7127">
            <v>115800</v>
          </cell>
        </row>
        <row r="7128">
          <cell r="B7128">
            <v>1951</v>
          </cell>
          <cell r="K7128" t="str">
            <v>HOWARD</v>
          </cell>
          <cell r="L7128" t="str">
            <v>Howard</v>
          </cell>
          <cell r="V7128">
            <v>79700</v>
          </cell>
        </row>
        <row r="7129">
          <cell r="B7129">
            <v>1951</v>
          </cell>
          <cell r="K7129" t="str">
            <v>WINNESHIEK</v>
          </cell>
          <cell r="L7129" t="str">
            <v>Winneshiek</v>
          </cell>
          <cell r="V7129">
            <v>94200</v>
          </cell>
        </row>
        <row r="7130">
          <cell r="B7130">
            <v>1951</v>
          </cell>
          <cell r="K7130" t="str">
            <v>BUENA VISTA</v>
          </cell>
          <cell r="L7130" t="str">
            <v>Buena Vista</v>
          </cell>
          <cell r="V7130">
            <v>135000</v>
          </cell>
        </row>
        <row r="7131">
          <cell r="B7131">
            <v>1951</v>
          </cell>
          <cell r="K7131" t="str">
            <v>CHEROKEE</v>
          </cell>
          <cell r="L7131" t="str">
            <v>Cherokee</v>
          </cell>
          <cell r="V7131">
            <v>120400</v>
          </cell>
        </row>
        <row r="7132">
          <cell r="B7132">
            <v>1951</v>
          </cell>
          <cell r="K7132" t="str">
            <v>CLAY</v>
          </cell>
          <cell r="L7132" t="str">
            <v>Clay</v>
          </cell>
          <cell r="V7132">
            <v>127600</v>
          </cell>
        </row>
        <row r="7133">
          <cell r="B7133">
            <v>1951</v>
          </cell>
          <cell r="K7133" t="str">
            <v>DICKINSON</v>
          </cell>
          <cell r="L7133" t="str">
            <v>Dickinson</v>
          </cell>
          <cell r="V7133">
            <v>80300</v>
          </cell>
        </row>
        <row r="7134">
          <cell r="B7134">
            <v>1951</v>
          </cell>
          <cell r="K7134" t="str">
            <v>EMMET</v>
          </cell>
          <cell r="L7134" t="str">
            <v>Emmet</v>
          </cell>
          <cell r="V7134">
            <v>87800</v>
          </cell>
        </row>
        <row r="7135">
          <cell r="B7135">
            <v>1951</v>
          </cell>
          <cell r="K7135" t="str">
            <v>LYON</v>
          </cell>
          <cell r="L7135" t="str">
            <v>Lyon</v>
          </cell>
          <cell r="V7135">
            <v>134700</v>
          </cell>
        </row>
        <row r="7136">
          <cell r="B7136">
            <v>1951</v>
          </cell>
          <cell r="K7136" t="str">
            <v>O BRIEN</v>
          </cell>
          <cell r="L7136" t="str">
            <v>O Brien</v>
          </cell>
          <cell r="V7136">
            <v>126100</v>
          </cell>
        </row>
        <row r="7137">
          <cell r="B7137">
            <v>1951</v>
          </cell>
          <cell r="K7137" t="str">
            <v>OSCEOLA</v>
          </cell>
          <cell r="L7137" t="str">
            <v>Osceola</v>
          </cell>
          <cell r="V7137">
            <v>90800</v>
          </cell>
        </row>
        <row r="7138">
          <cell r="B7138">
            <v>1951</v>
          </cell>
          <cell r="K7138" t="str">
            <v>PALO ALTO</v>
          </cell>
          <cell r="L7138" t="str">
            <v>Palo Alto</v>
          </cell>
          <cell r="V7138">
            <v>134800</v>
          </cell>
        </row>
        <row r="7139">
          <cell r="B7139">
            <v>1951</v>
          </cell>
          <cell r="K7139" t="str">
            <v>PLYMOUTH</v>
          </cell>
          <cell r="L7139" t="str">
            <v>Plymouth</v>
          </cell>
          <cell r="V7139">
            <v>199900</v>
          </cell>
        </row>
        <row r="7140">
          <cell r="B7140">
            <v>1951</v>
          </cell>
          <cell r="K7140" t="str">
            <v>POCAHONTAS</v>
          </cell>
          <cell r="L7140" t="str">
            <v>Pocahontas</v>
          </cell>
          <cell r="V7140">
            <v>144300</v>
          </cell>
        </row>
        <row r="7141">
          <cell r="B7141">
            <v>1951</v>
          </cell>
          <cell r="K7141" t="str">
            <v>SIOUX</v>
          </cell>
          <cell r="L7141" t="str">
            <v>Sioux</v>
          </cell>
          <cell r="V7141">
            <v>186400</v>
          </cell>
        </row>
        <row r="7142">
          <cell r="B7142">
            <v>1951</v>
          </cell>
          <cell r="K7142" t="str">
            <v>APPANOOSE</v>
          </cell>
          <cell r="L7142" t="str">
            <v>Appanoose</v>
          </cell>
          <cell r="V7142">
            <v>40800</v>
          </cell>
        </row>
        <row r="7143">
          <cell r="B7143">
            <v>1951</v>
          </cell>
          <cell r="K7143" t="str">
            <v>CLARKE</v>
          </cell>
          <cell r="L7143" t="str">
            <v>Clarke</v>
          </cell>
          <cell r="V7143">
            <v>42400</v>
          </cell>
        </row>
        <row r="7144">
          <cell r="B7144">
            <v>1951</v>
          </cell>
          <cell r="K7144" t="str">
            <v>DECATUR</v>
          </cell>
          <cell r="L7144" t="str">
            <v>Decatur</v>
          </cell>
          <cell r="V7144">
            <v>46000</v>
          </cell>
        </row>
        <row r="7145">
          <cell r="B7145">
            <v>1951</v>
          </cell>
          <cell r="K7145" t="str">
            <v>LUCAS</v>
          </cell>
          <cell r="L7145" t="str">
            <v>Lucas</v>
          </cell>
          <cell r="V7145">
            <v>37700</v>
          </cell>
        </row>
        <row r="7146">
          <cell r="B7146">
            <v>1951</v>
          </cell>
          <cell r="K7146" t="str">
            <v>MADISON</v>
          </cell>
          <cell r="L7146" t="str">
            <v>Madison</v>
          </cell>
          <cell r="V7146">
            <v>75400</v>
          </cell>
        </row>
        <row r="7147">
          <cell r="B7147">
            <v>1951</v>
          </cell>
          <cell r="K7147" t="str">
            <v>MARION</v>
          </cell>
          <cell r="L7147" t="str">
            <v>Marion</v>
          </cell>
          <cell r="V7147">
            <v>79300</v>
          </cell>
        </row>
        <row r="7148">
          <cell r="B7148">
            <v>1951</v>
          </cell>
          <cell r="K7148" t="str">
            <v>MONROE</v>
          </cell>
          <cell r="L7148" t="str">
            <v>Monroe</v>
          </cell>
          <cell r="V7148">
            <v>35700</v>
          </cell>
        </row>
        <row r="7149">
          <cell r="B7149">
            <v>1951</v>
          </cell>
          <cell r="K7149" t="str">
            <v>RINGGOLD</v>
          </cell>
          <cell r="L7149" t="str">
            <v>Ringgold</v>
          </cell>
          <cell r="V7149">
            <v>54300</v>
          </cell>
        </row>
        <row r="7150">
          <cell r="B7150">
            <v>1951</v>
          </cell>
          <cell r="K7150" t="str">
            <v>UNION</v>
          </cell>
          <cell r="L7150" t="str">
            <v>Union</v>
          </cell>
          <cell r="V7150">
            <v>48900</v>
          </cell>
        </row>
        <row r="7151">
          <cell r="B7151">
            <v>1951</v>
          </cell>
          <cell r="K7151" t="str">
            <v>WARREN</v>
          </cell>
          <cell r="L7151" t="str">
            <v>Warren</v>
          </cell>
          <cell r="V7151">
            <v>74400</v>
          </cell>
        </row>
        <row r="7152">
          <cell r="B7152">
            <v>1951</v>
          </cell>
          <cell r="K7152" t="str">
            <v>WAYNE</v>
          </cell>
          <cell r="L7152" t="str">
            <v>Wayne</v>
          </cell>
          <cell r="V7152">
            <v>58000</v>
          </cell>
        </row>
        <row r="7153">
          <cell r="B7153">
            <v>1951</v>
          </cell>
          <cell r="K7153" t="str">
            <v>DAVIS</v>
          </cell>
          <cell r="L7153" t="str">
            <v>Davis</v>
          </cell>
          <cell r="V7153">
            <v>41200</v>
          </cell>
        </row>
        <row r="7154">
          <cell r="B7154">
            <v>1951</v>
          </cell>
          <cell r="K7154" t="str">
            <v>DES MOINES</v>
          </cell>
          <cell r="L7154" t="str">
            <v>Des Moines</v>
          </cell>
          <cell r="V7154">
            <v>61500</v>
          </cell>
        </row>
        <row r="7155">
          <cell r="B7155">
            <v>1951</v>
          </cell>
          <cell r="K7155" t="str">
            <v>HENRY</v>
          </cell>
          <cell r="L7155" t="str">
            <v>Henry</v>
          </cell>
          <cell r="V7155">
            <v>69400</v>
          </cell>
        </row>
        <row r="7156">
          <cell r="B7156">
            <v>1951</v>
          </cell>
          <cell r="K7156" t="str">
            <v>JEFFERSON</v>
          </cell>
          <cell r="L7156" t="str">
            <v>Jefferson</v>
          </cell>
          <cell r="V7156">
            <v>60100</v>
          </cell>
        </row>
        <row r="7157">
          <cell r="B7157">
            <v>1951</v>
          </cell>
          <cell r="K7157" t="str">
            <v>KEOKUK</v>
          </cell>
          <cell r="L7157" t="str">
            <v>Keokuk</v>
          </cell>
          <cell r="V7157">
            <v>93300</v>
          </cell>
        </row>
        <row r="7158">
          <cell r="B7158">
            <v>1951</v>
          </cell>
          <cell r="K7158" t="str">
            <v>LEE</v>
          </cell>
          <cell r="L7158" t="str">
            <v>Lee</v>
          </cell>
          <cell r="V7158">
            <v>55100</v>
          </cell>
        </row>
        <row r="7159">
          <cell r="B7159">
            <v>1951</v>
          </cell>
          <cell r="K7159" t="str">
            <v>LOUISA</v>
          </cell>
          <cell r="L7159" t="str">
            <v>Louisa</v>
          </cell>
          <cell r="V7159">
            <v>67000</v>
          </cell>
        </row>
        <row r="7160">
          <cell r="B7160">
            <v>1951</v>
          </cell>
          <cell r="K7160" t="str">
            <v>MAHASKA</v>
          </cell>
          <cell r="L7160" t="str">
            <v>Mahaska</v>
          </cell>
          <cell r="V7160">
            <v>98000</v>
          </cell>
        </row>
        <row r="7161">
          <cell r="B7161">
            <v>1951</v>
          </cell>
          <cell r="K7161" t="str">
            <v>VAN BUREN</v>
          </cell>
          <cell r="L7161" t="str">
            <v>Van Buren</v>
          </cell>
          <cell r="V7161">
            <v>40700</v>
          </cell>
        </row>
        <row r="7162">
          <cell r="B7162">
            <v>1951</v>
          </cell>
          <cell r="K7162" t="str">
            <v>WAPELLO</v>
          </cell>
          <cell r="L7162" t="str">
            <v>Wapello</v>
          </cell>
          <cell r="V7162">
            <v>49400</v>
          </cell>
        </row>
        <row r="7163">
          <cell r="B7163">
            <v>1951</v>
          </cell>
          <cell r="K7163" t="str">
            <v>WASHINGTON</v>
          </cell>
          <cell r="L7163" t="str">
            <v>Washington</v>
          </cell>
          <cell r="V7163">
            <v>105900</v>
          </cell>
        </row>
        <row r="7164">
          <cell r="B7164">
            <v>1951</v>
          </cell>
          <cell r="K7164" t="str">
            <v>ADAIR</v>
          </cell>
          <cell r="L7164" t="str">
            <v>Adair</v>
          </cell>
          <cell r="V7164">
            <v>86600</v>
          </cell>
        </row>
        <row r="7165">
          <cell r="B7165">
            <v>1951</v>
          </cell>
          <cell r="K7165" t="str">
            <v>ADAMS</v>
          </cell>
          <cell r="L7165" t="str">
            <v>Adams</v>
          </cell>
          <cell r="V7165">
            <v>53500</v>
          </cell>
        </row>
        <row r="7166">
          <cell r="B7166">
            <v>1951</v>
          </cell>
          <cell r="K7166" t="str">
            <v>CASS</v>
          </cell>
          <cell r="L7166" t="str">
            <v>Cass</v>
          </cell>
          <cell r="V7166">
            <v>99800</v>
          </cell>
        </row>
        <row r="7167">
          <cell r="B7167">
            <v>1951</v>
          </cell>
          <cell r="K7167" t="str">
            <v>FREMONT</v>
          </cell>
          <cell r="L7167" t="str">
            <v>Fremont</v>
          </cell>
          <cell r="V7167">
            <v>113600</v>
          </cell>
        </row>
        <row r="7168">
          <cell r="B7168">
            <v>1951</v>
          </cell>
          <cell r="K7168" t="str">
            <v>MILLS</v>
          </cell>
          <cell r="L7168" t="str">
            <v>Mills</v>
          </cell>
          <cell r="V7168">
            <v>103000</v>
          </cell>
        </row>
        <row r="7169">
          <cell r="B7169">
            <v>1951</v>
          </cell>
          <cell r="K7169" t="str">
            <v>MONTGOMERY</v>
          </cell>
          <cell r="L7169" t="str">
            <v>Montgomery</v>
          </cell>
          <cell r="V7169">
            <v>77800</v>
          </cell>
        </row>
        <row r="7170">
          <cell r="B7170">
            <v>1951</v>
          </cell>
          <cell r="K7170" t="str">
            <v>PAGE</v>
          </cell>
          <cell r="L7170" t="str">
            <v>Page</v>
          </cell>
          <cell r="V7170">
            <v>87900</v>
          </cell>
        </row>
        <row r="7171">
          <cell r="B7171">
            <v>1951</v>
          </cell>
          <cell r="K7171" t="str">
            <v>POTTAWATTAMIE</v>
          </cell>
          <cell r="L7171" t="str">
            <v>Pottawattamie</v>
          </cell>
          <cell r="V7171">
            <v>210000</v>
          </cell>
        </row>
        <row r="7172">
          <cell r="B7172">
            <v>1951</v>
          </cell>
          <cell r="K7172" t="str">
            <v>TAYLOR</v>
          </cell>
          <cell r="L7172" t="str">
            <v>Taylor</v>
          </cell>
          <cell r="V7172">
            <v>53800</v>
          </cell>
        </row>
        <row r="7173">
          <cell r="B7173">
            <v>1951</v>
          </cell>
          <cell r="K7173" t="str">
            <v>AUDUBON</v>
          </cell>
          <cell r="L7173" t="str">
            <v>Audubon</v>
          </cell>
          <cell r="V7173">
            <v>83300</v>
          </cell>
        </row>
        <row r="7174">
          <cell r="B7174">
            <v>1951</v>
          </cell>
          <cell r="K7174" t="str">
            <v>CALHOUN</v>
          </cell>
          <cell r="L7174" t="str">
            <v>Calhoun</v>
          </cell>
          <cell r="V7174">
            <v>138500</v>
          </cell>
        </row>
        <row r="7175">
          <cell r="B7175">
            <v>1951</v>
          </cell>
          <cell r="K7175" t="str">
            <v>CARROLL</v>
          </cell>
          <cell r="L7175" t="str">
            <v>Carroll</v>
          </cell>
          <cell r="V7175">
            <v>132500</v>
          </cell>
        </row>
        <row r="7176">
          <cell r="B7176">
            <v>1951</v>
          </cell>
          <cell r="K7176" t="str">
            <v>CRAWFORD</v>
          </cell>
          <cell r="L7176" t="str">
            <v>Crawford</v>
          </cell>
          <cell r="V7176">
            <v>142000</v>
          </cell>
        </row>
        <row r="7177">
          <cell r="B7177">
            <v>1951</v>
          </cell>
          <cell r="K7177" t="str">
            <v>GREENE</v>
          </cell>
          <cell r="L7177" t="str">
            <v>Greene</v>
          </cell>
          <cell r="V7177">
            <v>145100</v>
          </cell>
        </row>
        <row r="7178">
          <cell r="B7178">
            <v>1951</v>
          </cell>
          <cell r="K7178" t="str">
            <v>GUTHRIE</v>
          </cell>
          <cell r="L7178" t="str">
            <v>Guthrie</v>
          </cell>
          <cell r="V7178">
            <v>100400</v>
          </cell>
        </row>
        <row r="7179">
          <cell r="B7179">
            <v>1951</v>
          </cell>
          <cell r="K7179" t="str">
            <v>HARRISON</v>
          </cell>
          <cell r="L7179" t="str">
            <v>Harrison</v>
          </cell>
          <cell r="V7179">
            <v>155100</v>
          </cell>
        </row>
        <row r="7180">
          <cell r="B7180">
            <v>1951</v>
          </cell>
          <cell r="K7180" t="str">
            <v>IDA</v>
          </cell>
          <cell r="L7180" t="str">
            <v>Ida</v>
          </cell>
          <cell r="V7180">
            <v>95600</v>
          </cell>
        </row>
        <row r="7181">
          <cell r="B7181">
            <v>1951</v>
          </cell>
          <cell r="K7181" t="str">
            <v>MONONA</v>
          </cell>
          <cell r="L7181" t="str">
            <v>Monona</v>
          </cell>
          <cell r="V7181">
            <v>142500</v>
          </cell>
        </row>
        <row r="7182">
          <cell r="B7182">
            <v>1951</v>
          </cell>
          <cell r="K7182" t="str">
            <v>SAC</v>
          </cell>
          <cell r="L7182" t="str">
            <v>Sac</v>
          </cell>
          <cell r="V7182">
            <v>130200</v>
          </cell>
        </row>
        <row r="7183">
          <cell r="B7183">
            <v>1951</v>
          </cell>
          <cell r="K7183" t="str">
            <v>SHELBY</v>
          </cell>
          <cell r="L7183" t="str">
            <v>Shelby</v>
          </cell>
          <cell r="V7183">
            <v>135100</v>
          </cell>
        </row>
        <row r="7184">
          <cell r="B7184">
            <v>1951</v>
          </cell>
          <cell r="K7184" t="str">
            <v>WOODBURY</v>
          </cell>
          <cell r="L7184" t="str">
            <v>Woodbury</v>
          </cell>
          <cell r="V7184">
            <v>194300</v>
          </cell>
        </row>
        <row r="7185">
          <cell r="B7185">
            <v>1950</v>
          </cell>
          <cell r="K7185" t="str">
            <v>BOONE</v>
          </cell>
          <cell r="L7185" t="str">
            <v>Boone</v>
          </cell>
          <cell r="V7185">
            <v>118600</v>
          </cell>
        </row>
        <row r="7186">
          <cell r="B7186">
            <v>1950</v>
          </cell>
          <cell r="K7186" t="str">
            <v>DALLAS</v>
          </cell>
          <cell r="L7186" t="str">
            <v>Dallas</v>
          </cell>
          <cell r="V7186">
            <v>117100</v>
          </cell>
        </row>
        <row r="7187">
          <cell r="B7187">
            <v>1950</v>
          </cell>
          <cell r="K7187" t="str">
            <v>GRUNDY</v>
          </cell>
          <cell r="L7187" t="str">
            <v>Grundy</v>
          </cell>
          <cell r="V7187">
            <v>105300</v>
          </cell>
        </row>
        <row r="7188">
          <cell r="B7188">
            <v>1950</v>
          </cell>
          <cell r="K7188" t="str">
            <v>HAMILTON</v>
          </cell>
          <cell r="L7188" t="str">
            <v>Hamilton</v>
          </cell>
          <cell r="V7188">
            <v>134400</v>
          </cell>
        </row>
        <row r="7189">
          <cell r="B7189">
            <v>1950</v>
          </cell>
          <cell r="K7189" t="str">
            <v>HARDIN</v>
          </cell>
          <cell r="L7189" t="str">
            <v>Hardin</v>
          </cell>
          <cell r="V7189">
            <v>118200</v>
          </cell>
        </row>
        <row r="7190">
          <cell r="B7190">
            <v>1950</v>
          </cell>
          <cell r="K7190" t="str">
            <v>JASPER</v>
          </cell>
          <cell r="L7190" t="str">
            <v>Jasper</v>
          </cell>
          <cell r="V7190">
            <v>128700</v>
          </cell>
        </row>
        <row r="7191">
          <cell r="B7191">
            <v>1950</v>
          </cell>
          <cell r="K7191" t="str">
            <v>MARSHALL</v>
          </cell>
          <cell r="L7191" t="str">
            <v>Marshall</v>
          </cell>
          <cell r="V7191">
            <v>110700</v>
          </cell>
        </row>
        <row r="7192">
          <cell r="B7192">
            <v>1950</v>
          </cell>
          <cell r="K7192" t="str">
            <v>POLK</v>
          </cell>
          <cell r="L7192" t="str">
            <v>Polk</v>
          </cell>
          <cell r="V7192">
            <v>98100</v>
          </cell>
        </row>
        <row r="7193">
          <cell r="B7193">
            <v>1950</v>
          </cell>
          <cell r="K7193" t="str">
            <v>POWESHIEK</v>
          </cell>
          <cell r="L7193" t="str">
            <v>Poweshiek</v>
          </cell>
          <cell r="V7193">
            <v>101800</v>
          </cell>
        </row>
        <row r="7194">
          <cell r="B7194">
            <v>1950</v>
          </cell>
          <cell r="K7194" t="str">
            <v>STORY</v>
          </cell>
          <cell r="L7194" t="str">
            <v>Story</v>
          </cell>
          <cell r="V7194">
            <v>127900</v>
          </cell>
        </row>
        <row r="7195">
          <cell r="B7195">
            <v>1950</v>
          </cell>
          <cell r="K7195" t="str">
            <v>TAMA</v>
          </cell>
          <cell r="L7195" t="str">
            <v>Tama</v>
          </cell>
          <cell r="V7195">
            <v>126000</v>
          </cell>
        </row>
        <row r="7196">
          <cell r="B7196">
            <v>1950</v>
          </cell>
          <cell r="K7196" t="str">
            <v>WEBSTER</v>
          </cell>
          <cell r="L7196" t="str">
            <v>Webster</v>
          </cell>
          <cell r="V7196">
            <v>151000</v>
          </cell>
        </row>
        <row r="7197">
          <cell r="B7197">
            <v>1950</v>
          </cell>
          <cell r="K7197" t="str">
            <v>BENTON</v>
          </cell>
          <cell r="L7197" t="str">
            <v>Benton</v>
          </cell>
          <cell r="V7197">
            <v>140000</v>
          </cell>
        </row>
        <row r="7198">
          <cell r="B7198">
            <v>1950</v>
          </cell>
          <cell r="K7198" t="str">
            <v>CEDAR</v>
          </cell>
          <cell r="L7198" t="str">
            <v>Cedar</v>
          </cell>
          <cell r="V7198">
            <v>114800</v>
          </cell>
        </row>
        <row r="7199">
          <cell r="B7199">
            <v>1950</v>
          </cell>
          <cell r="K7199" t="str">
            <v>CLINTON</v>
          </cell>
          <cell r="L7199" t="str">
            <v>Clinton</v>
          </cell>
          <cell r="V7199">
            <v>137200</v>
          </cell>
        </row>
        <row r="7200">
          <cell r="B7200">
            <v>1950</v>
          </cell>
          <cell r="K7200" t="str">
            <v>IOWA</v>
          </cell>
          <cell r="L7200" t="str">
            <v>Iowa</v>
          </cell>
          <cell r="V7200">
            <v>100600</v>
          </cell>
        </row>
        <row r="7201">
          <cell r="B7201">
            <v>1950</v>
          </cell>
          <cell r="K7201" t="str">
            <v>JACKSON</v>
          </cell>
          <cell r="L7201" t="str">
            <v>Jackson</v>
          </cell>
          <cell r="V7201">
            <v>70200</v>
          </cell>
        </row>
        <row r="7202">
          <cell r="B7202">
            <v>1950</v>
          </cell>
          <cell r="K7202" t="str">
            <v>JOHNSON</v>
          </cell>
          <cell r="L7202" t="str">
            <v>Johnson</v>
          </cell>
          <cell r="V7202">
            <v>107300</v>
          </cell>
        </row>
        <row r="7203">
          <cell r="B7203">
            <v>1950</v>
          </cell>
          <cell r="K7203" t="str">
            <v>JONES</v>
          </cell>
          <cell r="L7203" t="str">
            <v>Jones</v>
          </cell>
          <cell r="V7203">
            <v>91100</v>
          </cell>
        </row>
        <row r="7204">
          <cell r="B7204">
            <v>1950</v>
          </cell>
          <cell r="K7204" t="str">
            <v>LINN</v>
          </cell>
          <cell r="L7204" t="str">
            <v>Linn</v>
          </cell>
          <cell r="V7204">
            <v>124500</v>
          </cell>
        </row>
        <row r="7205">
          <cell r="B7205">
            <v>1950</v>
          </cell>
          <cell r="K7205" t="str">
            <v>MUSCATINE</v>
          </cell>
          <cell r="L7205" t="str">
            <v>Muscatine</v>
          </cell>
          <cell r="V7205">
            <v>73600</v>
          </cell>
        </row>
        <row r="7206">
          <cell r="B7206">
            <v>1950</v>
          </cell>
          <cell r="K7206" t="str">
            <v>SCOTT</v>
          </cell>
          <cell r="L7206" t="str">
            <v>Scott</v>
          </cell>
          <cell r="V7206">
            <v>84800</v>
          </cell>
        </row>
        <row r="7207">
          <cell r="B7207">
            <v>1950</v>
          </cell>
          <cell r="K7207" t="str">
            <v>BUTLER</v>
          </cell>
          <cell r="L7207" t="str">
            <v>Butler</v>
          </cell>
          <cell r="V7207">
            <v>118000</v>
          </cell>
        </row>
        <row r="7208">
          <cell r="B7208">
            <v>1950</v>
          </cell>
          <cell r="K7208" t="str">
            <v>CERRO GORDO</v>
          </cell>
          <cell r="L7208" t="str">
            <v>Cerro Gordo</v>
          </cell>
          <cell r="V7208">
            <v>113900</v>
          </cell>
        </row>
        <row r="7209">
          <cell r="B7209">
            <v>1950</v>
          </cell>
          <cell r="K7209" t="str">
            <v>FLOYD</v>
          </cell>
          <cell r="L7209" t="str">
            <v>Floyd</v>
          </cell>
          <cell r="V7209">
            <v>101700</v>
          </cell>
        </row>
        <row r="7210">
          <cell r="B7210">
            <v>1950</v>
          </cell>
          <cell r="K7210" t="str">
            <v>FRANKLIN</v>
          </cell>
          <cell r="L7210" t="str">
            <v>Franklin</v>
          </cell>
          <cell r="V7210">
            <v>135300</v>
          </cell>
        </row>
        <row r="7211">
          <cell r="B7211">
            <v>1950</v>
          </cell>
          <cell r="K7211" t="str">
            <v>HANCOCK</v>
          </cell>
          <cell r="L7211" t="str">
            <v>Hancock</v>
          </cell>
          <cell r="V7211">
            <v>120100</v>
          </cell>
        </row>
        <row r="7212">
          <cell r="B7212">
            <v>1950</v>
          </cell>
          <cell r="K7212" t="str">
            <v>HUMBOLDT</v>
          </cell>
          <cell r="L7212" t="str">
            <v>Humboldt</v>
          </cell>
          <cell r="V7212">
            <v>97800</v>
          </cell>
        </row>
        <row r="7213">
          <cell r="B7213">
            <v>1950</v>
          </cell>
          <cell r="K7213" t="str">
            <v>KOSSUTH</v>
          </cell>
          <cell r="L7213" t="str">
            <v>Kossuth</v>
          </cell>
          <cell r="V7213">
            <v>203700</v>
          </cell>
        </row>
        <row r="7214">
          <cell r="B7214">
            <v>1950</v>
          </cell>
          <cell r="K7214" t="str">
            <v>MITCHELL</v>
          </cell>
          <cell r="L7214" t="str">
            <v>Mitchell</v>
          </cell>
          <cell r="V7214">
            <v>90000</v>
          </cell>
        </row>
        <row r="7215">
          <cell r="B7215">
            <v>1950</v>
          </cell>
          <cell r="K7215" t="str">
            <v>WINNEBAGO</v>
          </cell>
          <cell r="L7215" t="str">
            <v>Winnebago</v>
          </cell>
          <cell r="V7215">
            <v>83100</v>
          </cell>
        </row>
        <row r="7216">
          <cell r="B7216">
            <v>1950</v>
          </cell>
          <cell r="K7216" t="str">
            <v>WORTH</v>
          </cell>
          <cell r="L7216" t="str">
            <v>Worth</v>
          </cell>
          <cell r="V7216">
            <v>72400</v>
          </cell>
        </row>
        <row r="7217">
          <cell r="B7217">
            <v>1950</v>
          </cell>
          <cell r="K7217" t="str">
            <v>WRIGHT</v>
          </cell>
          <cell r="L7217" t="str">
            <v>Wright</v>
          </cell>
          <cell r="V7217">
            <v>131500</v>
          </cell>
        </row>
        <row r="7218">
          <cell r="B7218">
            <v>1950</v>
          </cell>
          <cell r="K7218" t="str">
            <v>ALLAMAKEE</v>
          </cell>
          <cell r="L7218" t="str">
            <v>Allamakee</v>
          </cell>
          <cell r="V7218">
            <v>52600</v>
          </cell>
        </row>
        <row r="7219">
          <cell r="B7219">
            <v>1950</v>
          </cell>
          <cell r="K7219" t="str">
            <v>BLACK HAWK</v>
          </cell>
          <cell r="L7219" t="str">
            <v>Black Hawk</v>
          </cell>
          <cell r="V7219">
            <v>105400</v>
          </cell>
        </row>
        <row r="7220">
          <cell r="B7220">
            <v>1950</v>
          </cell>
          <cell r="K7220" t="str">
            <v>BREMER</v>
          </cell>
          <cell r="L7220" t="str">
            <v>Bremer</v>
          </cell>
          <cell r="V7220">
            <v>76700</v>
          </cell>
        </row>
        <row r="7221">
          <cell r="B7221">
            <v>1950</v>
          </cell>
          <cell r="K7221" t="str">
            <v>BUCHANAN</v>
          </cell>
          <cell r="L7221" t="str">
            <v>Buchanan</v>
          </cell>
          <cell r="V7221">
            <v>106400</v>
          </cell>
        </row>
        <row r="7222">
          <cell r="B7222">
            <v>1950</v>
          </cell>
          <cell r="K7222" t="str">
            <v>CHICKASAW</v>
          </cell>
          <cell r="L7222" t="str">
            <v>Chickasaw</v>
          </cell>
          <cell r="V7222">
            <v>86500</v>
          </cell>
        </row>
        <row r="7223">
          <cell r="B7223">
            <v>1950</v>
          </cell>
          <cell r="K7223" t="str">
            <v>CLAYTON</v>
          </cell>
          <cell r="L7223" t="str">
            <v>Clayton</v>
          </cell>
          <cell r="V7223">
            <v>81700</v>
          </cell>
        </row>
        <row r="7224">
          <cell r="B7224">
            <v>1950</v>
          </cell>
          <cell r="K7224" t="str">
            <v>DELAWARE</v>
          </cell>
          <cell r="L7224" t="str">
            <v>Delaware</v>
          </cell>
          <cell r="V7224">
            <v>98000</v>
          </cell>
        </row>
        <row r="7225">
          <cell r="B7225">
            <v>1950</v>
          </cell>
          <cell r="K7225" t="str">
            <v>DUBUQUE</v>
          </cell>
          <cell r="L7225" t="str">
            <v>Dubuque</v>
          </cell>
          <cell r="V7225">
            <v>75900</v>
          </cell>
        </row>
        <row r="7226">
          <cell r="B7226">
            <v>1950</v>
          </cell>
          <cell r="K7226" t="str">
            <v>FAYETTE</v>
          </cell>
          <cell r="L7226" t="str">
            <v>Fayette</v>
          </cell>
          <cell r="V7226">
            <v>113800</v>
          </cell>
        </row>
        <row r="7227">
          <cell r="B7227">
            <v>1950</v>
          </cell>
          <cell r="K7227" t="str">
            <v>HOWARD</v>
          </cell>
          <cell r="L7227" t="str">
            <v>Howard</v>
          </cell>
          <cell r="V7227">
            <v>77800</v>
          </cell>
        </row>
        <row r="7228">
          <cell r="B7228">
            <v>1950</v>
          </cell>
          <cell r="K7228" t="str">
            <v>WINNESHIEK</v>
          </cell>
          <cell r="L7228" t="str">
            <v>Winneshiek</v>
          </cell>
          <cell r="V7228">
            <v>92000</v>
          </cell>
        </row>
        <row r="7229">
          <cell r="B7229">
            <v>1950</v>
          </cell>
          <cell r="K7229" t="str">
            <v>BUENA VISTA</v>
          </cell>
          <cell r="L7229" t="str">
            <v>Buena Vista</v>
          </cell>
          <cell r="V7229">
            <v>124300</v>
          </cell>
        </row>
        <row r="7230">
          <cell r="B7230">
            <v>1950</v>
          </cell>
          <cell r="K7230" t="str">
            <v>CHEROKEE</v>
          </cell>
          <cell r="L7230" t="str">
            <v>Cherokee</v>
          </cell>
          <cell r="V7230">
            <v>113300</v>
          </cell>
        </row>
        <row r="7231">
          <cell r="B7231">
            <v>1950</v>
          </cell>
          <cell r="K7231" t="str">
            <v>CLAY</v>
          </cell>
          <cell r="L7231" t="str">
            <v>Clay</v>
          </cell>
          <cell r="V7231">
            <v>114900</v>
          </cell>
        </row>
        <row r="7232">
          <cell r="B7232">
            <v>1950</v>
          </cell>
          <cell r="K7232" t="str">
            <v>DICKINSON</v>
          </cell>
          <cell r="L7232" t="str">
            <v>Dickinson</v>
          </cell>
          <cell r="V7232">
            <v>73700</v>
          </cell>
        </row>
        <row r="7233">
          <cell r="B7233">
            <v>1950</v>
          </cell>
          <cell r="K7233" t="str">
            <v>EMMET</v>
          </cell>
          <cell r="L7233" t="str">
            <v>Emmet</v>
          </cell>
          <cell r="V7233">
            <v>79300</v>
          </cell>
        </row>
        <row r="7234">
          <cell r="B7234">
            <v>1950</v>
          </cell>
          <cell r="K7234" t="str">
            <v>LYON</v>
          </cell>
          <cell r="L7234" t="str">
            <v>Lyon</v>
          </cell>
          <cell r="V7234">
            <v>127900</v>
          </cell>
        </row>
        <row r="7235">
          <cell r="B7235">
            <v>1950</v>
          </cell>
          <cell r="K7235" t="str">
            <v>O BRIEN</v>
          </cell>
          <cell r="L7235" t="str">
            <v>O Brien</v>
          </cell>
          <cell r="V7235">
            <v>115000</v>
          </cell>
        </row>
        <row r="7236">
          <cell r="B7236">
            <v>1950</v>
          </cell>
          <cell r="K7236" t="str">
            <v>OSCEOLA</v>
          </cell>
          <cell r="L7236" t="str">
            <v>Osceola</v>
          </cell>
          <cell r="V7236">
            <v>84600</v>
          </cell>
        </row>
        <row r="7237">
          <cell r="B7237">
            <v>1950</v>
          </cell>
          <cell r="K7237" t="str">
            <v>PALO ALTO</v>
          </cell>
          <cell r="L7237" t="str">
            <v>Palo Alto</v>
          </cell>
          <cell r="V7237">
            <v>121700</v>
          </cell>
        </row>
        <row r="7238">
          <cell r="B7238">
            <v>1950</v>
          </cell>
          <cell r="K7238" t="str">
            <v>PLYMOUTH</v>
          </cell>
          <cell r="L7238" t="str">
            <v>Plymouth</v>
          </cell>
          <cell r="V7238">
            <v>190900</v>
          </cell>
        </row>
        <row r="7239">
          <cell r="B7239">
            <v>1950</v>
          </cell>
          <cell r="K7239" t="str">
            <v>POCAHONTAS</v>
          </cell>
          <cell r="L7239" t="str">
            <v>Pocahontas</v>
          </cell>
          <cell r="V7239">
            <v>126400</v>
          </cell>
        </row>
        <row r="7240">
          <cell r="B7240">
            <v>1950</v>
          </cell>
          <cell r="K7240" t="str">
            <v>SIOUX</v>
          </cell>
          <cell r="L7240" t="str">
            <v>Sioux</v>
          </cell>
          <cell r="V7240">
            <v>176000</v>
          </cell>
        </row>
        <row r="7241">
          <cell r="B7241">
            <v>1950</v>
          </cell>
          <cell r="K7241" t="str">
            <v>APPANOOSE</v>
          </cell>
          <cell r="L7241" t="str">
            <v>Appanoose</v>
          </cell>
          <cell r="V7241">
            <v>36000</v>
          </cell>
        </row>
        <row r="7242">
          <cell r="B7242">
            <v>1950</v>
          </cell>
          <cell r="K7242" t="str">
            <v>CLARKE</v>
          </cell>
          <cell r="L7242" t="str">
            <v>Clarke</v>
          </cell>
          <cell r="V7242">
            <v>43100</v>
          </cell>
        </row>
        <row r="7243">
          <cell r="B7243">
            <v>1950</v>
          </cell>
          <cell r="K7243" t="str">
            <v>DECATUR</v>
          </cell>
          <cell r="L7243" t="str">
            <v>Decatur</v>
          </cell>
          <cell r="V7243">
            <v>46700</v>
          </cell>
        </row>
        <row r="7244">
          <cell r="B7244">
            <v>1950</v>
          </cell>
          <cell r="K7244" t="str">
            <v>LUCAS</v>
          </cell>
          <cell r="L7244" t="str">
            <v>Lucas</v>
          </cell>
          <cell r="V7244">
            <v>37000</v>
          </cell>
        </row>
        <row r="7245">
          <cell r="B7245">
            <v>1950</v>
          </cell>
          <cell r="K7245" t="str">
            <v>MADISON</v>
          </cell>
          <cell r="L7245" t="str">
            <v>Madison</v>
          </cell>
          <cell r="V7245">
            <v>71000</v>
          </cell>
        </row>
        <row r="7246">
          <cell r="B7246">
            <v>1950</v>
          </cell>
          <cell r="K7246" t="str">
            <v>MARION</v>
          </cell>
          <cell r="L7246" t="str">
            <v>Marion</v>
          </cell>
          <cell r="V7246">
            <v>80900</v>
          </cell>
        </row>
        <row r="7247">
          <cell r="B7247">
            <v>1950</v>
          </cell>
          <cell r="K7247" t="str">
            <v>MONROE</v>
          </cell>
          <cell r="L7247" t="str">
            <v>Monroe</v>
          </cell>
          <cell r="V7247">
            <v>35300</v>
          </cell>
        </row>
        <row r="7248">
          <cell r="B7248">
            <v>1950</v>
          </cell>
          <cell r="K7248" t="str">
            <v>RINGGOLD</v>
          </cell>
          <cell r="L7248" t="str">
            <v>Ringgold</v>
          </cell>
          <cell r="V7248">
            <v>53300</v>
          </cell>
        </row>
        <row r="7249">
          <cell r="B7249">
            <v>1950</v>
          </cell>
          <cell r="K7249" t="str">
            <v>UNION</v>
          </cell>
          <cell r="L7249" t="str">
            <v>Union</v>
          </cell>
          <cell r="V7249">
            <v>48800</v>
          </cell>
        </row>
        <row r="7250">
          <cell r="B7250">
            <v>1950</v>
          </cell>
          <cell r="K7250" t="str">
            <v>WARREN</v>
          </cell>
          <cell r="L7250" t="str">
            <v>Warren</v>
          </cell>
          <cell r="V7250">
            <v>71700</v>
          </cell>
        </row>
        <row r="7251">
          <cell r="B7251">
            <v>1950</v>
          </cell>
          <cell r="K7251" t="str">
            <v>WAYNE</v>
          </cell>
          <cell r="L7251" t="str">
            <v>Wayne</v>
          </cell>
          <cell r="V7251">
            <v>52300</v>
          </cell>
        </row>
        <row r="7252">
          <cell r="B7252">
            <v>1950</v>
          </cell>
          <cell r="K7252" t="str">
            <v>DAVIS</v>
          </cell>
          <cell r="L7252" t="str">
            <v>Davis</v>
          </cell>
          <cell r="V7252">
            <v>37300</v>
          </cell>
        </row>
        <row r="7253">
          <cell r="B7253">
            <v>1950</v>
          </cell>
          <cell r="K7253" t="str">
            <v>DES MOINES</v>
          </cell>
          <cell r="L7253" t="str">
            <v>Des Moines</v>
          </cell>
          <cell r="V7253">
            <v>56000</v>
          </cell>
        </row>
        <row r="7254">
          <cell r="B7254">
            <v>1950</v>
          </cell>
          <cell r="K7254" t="str">
            <v>HENRY</v>
          </cell>
          <cell r="L7254" t="str">
            <v>Henry</v>
          </cell>
          <cell r="V7254">
            <v>64200</v>
          </cell>
        </row>
        <row r="7255">
          <cell r="B7255">
            <v>1950</v>
          </cell>
          <cell r="K7255" t="str">
            <v>JEFFERSON</v>
          </cell>
          <cell r="L7255" t="str">
            <v>Jefferson</v>
          </cell>
          <cell r="V7255">
            <v>56400</v>
          </cell>
        </row>
        <row r="7256">
          <cell r="B7256">
            <v>1950</v>
          </cell>
          <cell r="K7256" t="str">
            <v>KEOKUK</v>
          </cell>
          <cell r="L7256" t="str">
            <v>Keokuk</v>
          </cell>
          <cell r="V7256">
            <v>92300</v>
          </cell>
        </row>
        <row r="7257">
          <cell r="B7257">
            <v>1950</v>
          </cell>
          <cell r="K7257" t="str">
            <v>LEE</v>
          </cell>
          <cell r="L7257" t="str">
            <v>Lee</v>
          </cell>
          <cell r="V7257">
            <v>52500</v>
          </cell>
        </row>
        <row r="7258">
          <cell r="B7258">
            <v>1950</v>
          </cell>
          <cell r="K7258" t="str">
            <v>LOUISA</v>
          </cell>
          <cell r="L7258" t="str">
            <v>Louisa</v>
          </cell>
          <cell r="V7258">
            <v>65500</v>
          </cell>
        </row>
        <row r="7259">
          <cell r="B7259">
            <v>1950</v>
          </cell>
          <cell r="K7259" t="str">
            <v>MAHASKA</v>
          </cell>
          <cell r="L7259" t="str">
            <v>Mahaska</v>
          </cell>
          <cell r="V7259">
            <v>100100</v>
          </cell>
        </row>
        <row r="7260">
          <cell r="B7260">
            <v>1950</v>
          </cell>
          <cell r="K7260" t="str">
            <v>VAN BUREN</v>
          </cell>
          <cell r="L7260" t="str">
            <v>Van Buren</v>
          </cell>
          <cell r="V7260">
            <v>36900</v>
          </cell>
        </row>
        <row r="7261">
          <cell r="B7261">
            <v>1950</v>
          </cell>
          <cell r="K7261" t="str">
            <v>WAPELLO</v>
          </cell>
          <cell r="L7261" t="str">
            <v>Wapello</v>
          </cell>
          <cell r="V7261">
            <v>47200</v>
          </cell>
        </row>
        <row r="7262">
          <cell r="B7262">
            <v>1950</v>
          </cell>
          <cell r="K7262" t="str">
            <v>WASHINGTON</v>
          </cell>
          <cell r="L7262" t="str">
            <v>Washington</v>
          </cell>
          <cell r="V7262">
            <v>103300</v>
          </cell>
        </row>
        <row r="7263">
          <cell r="B7263">
            <v>1950</v>
          </cell>
          <cell r="K7263" t="str">
            <v>ADAIR</v>
          </cell>
          <cell r="L7263" t="str">
            <v>Adair</v>
          </cell>
          <cell r="V7263">
            <v>84000</v>
          </cell>
        </row>
        <row r="7264">
          <cell r="B7264">
            <v>1950</v>
          </cell>
          <cell r="K7264" t="str">
            <v>ADAMS</v>
          </cell>
          <cell r="L7264" t="str">
            <v>Adams</v>
          </cell>
          <cell r="V7264">
            <v>56400</v>
          </cell>
        </row>
        <row r="7265">
          <cell r="B7265">
            <v>1950</v>
          </cell>
          <cell r="K7265" t="str">
            <v>CASS</v>
          </cell>
          <cell r="L7265" t="str">
            <v>Cass</v>
          </cell>
          <cell r="V7265">
            <v>95700</v>
          </cell>
        </row>
        <row r="7266">
          <cell r="B7266">
            <v>1950</v>
          </cell>
          <cell r="K7266" t="str">
            <v>FREMONT</v>
          </cell>
          <cell r="L7266" t="str">
            <v>Fremont</v>
          </cell>
          <cell r="V7266">
            <v>121400</v>
          </cell>
        </row>
        <row r="7267">
          <cell r="B7267">
            <v>1950</v>
          </cell>
          <cell r="K7267" t="str">
            <v>MILLS</v>
          </cell>
          <cell r="L7267" t="str">
            <v>Mills</v>
          </cell>
          <cell r="V7267">
            <v>96800</v>
          </cell>
        </row>
        <row r="7268">
          <cell r="B7268">
            <v>1950</v>
          </cell>
          <cell r="K7268" t="str">
            <v>MONTGOMERY</v>
          </cell>
          <cell r="L7268" t="str">
            <v>Montgomery</v>
          </cell>
          <cell r="V7268">
            <v>78700</v>
          </cell>
        </row>
        <row r="7269">
          <cell r="B7269">
            <v>1950</v>
          </cell>
          <cell r="K7269" t="str">
            <v>PAGE</v>
          </cell>
          <cell r="L7269" t="str">
            <v>Page</v>
          </cell>
          <cell r="V7269">
            <v>95700</v>
          </cell>
        </row>
        <row r="7270">
          <cell r="B7270">
            <v>1950</v>
          </cell>
          <cell r="K7270" t="str">
            <v>POTTAWATTAMIE</v>
          </cell>
          <cell r="L7270" t="str">
            <v>Pottawattamie</v>
          </cell>
          <cell r="V7270">
            <v>204700</v>
          </cell>
        </row>
        <row r="7271">
          <cell r="B7271">
            <v>1950</v>
          </cell>
          <cell r="K7271" t="str">
            <v>TAYLOR</v>
          </cell>
          <cell r="L7271" t="str">
            <v>Taylor</v>
          </cell>
          <cell r="V7271">
            <v>67900</v>
          </cell>
        </row>
        <row r="7272">
          <cell r="B7272">
            <v>1950</v>
          </cell>
          <cell r="K7272" t="str">
            <v>AUDUBON</v>
          </cell>
          <cell r="L7272" t="str">
            <v>Audubon</v>
          </cell>
          <cell r="V7272">
            <v>76900</v>
          </cell>
        </row>
        <row r="7273">
          <cell r="B7273">
            <v>1950</v>
          </cell>
          <cell r="K7273" t="str">
            <v>CALHOUN</v>
          </cell>
          <cell r="L7273" t="str">
            <v>Calhoun</v>
          </cell>
          <cell r="V7273">
            <v>125400</v>
          </cell>
        </row>
        <row r="7274">
          <cell r="B7274">
            <v>1950</v>
          </cell>
          <cell r="K7274" t="str">
            <v>CARROLL</v>
          </cell>
          <cell r="L7274" t="str">
            <v>Carroll</v>
          </cell>
          <cell r="V7274">
            <v>121000</v>
          </cell>
        </row>
        <row r="7275">
          <cell r="B7275">
            <v>1950</v>
          </cell>
          <cell r="K7275" t="str">
            <v>CRAWFORD</v>
          </cell>
          <cell r="L7275" t="str">
            <v>Crawford</v>
          </cell>
          <cell r="V7275">
            <v>132900</v>
          </cell>
        </row>
        <row r="7276">
          <cell r="B7276">
            <v>1950</v>
          </cell>
          <cell r="K7276" t="str">
            <v>GREENE</v>
          </cell>
          <cell r="L7276" t="str">
            <v>Greene</v>
          </cell>
          <cell r="V7276">
            <v>132300</v>
          </cell>
        </row>
        <row r="7277">
          <cell r="B7277">
            <v>1950</v>
          </cell>
          <cell r="K7277" t="str">
            <v>GUTHRIE</v>
          </cell>
          <cell r="L7277" t="str">
            <v>Guthrie</v>
          </cell>
          <cell r="V7277">
            <v>93300</v>
          </cell>
        </row>
        <row r="7278">
          <cell r="B7278">
            <v>1950</v>
          </cell>
          <cell r="K7278" t="str">
            <v>HARRISON</v>
          </cell>
          <cell r="L7278" t="str">
            <v>Harrison</v>
          </cell>
          <cell r="V7278">
            <v>148200</v>
          </cell>
        </row>
        <row r="7279">
          <cell r="B7279">
            <v>1950</v>
          </cell>
          <cell r="K7279" t="str">
            <v>IDA</v>
          </cell>
          <cell r="L7279" t="str">
            <v>Ida</v>
          </cell>
          <cell r="V7279">
            <v>89600</v>
          </cell>
        </row>
        <row r="7280">
          <cell r="B7280">
            <v>1950</v>
          </cell>
          <cell r="K7280" t="str">
            <v>MONONA</v>
          </cell>
          <cell r="L7280" t="str">
            <v>Monona</v>
          </cell>
          <cell r="V7280">
            <v>137100</v>
          </cell>
        </row>
        <row r="7281">
          <cell r="B7281">
            <v>1950</v>
          </cell>
          <cell r="K7281" t="str">
            <v>SAC</v>
          </cell>
          <cell r="L7281" t="str">
            <v>Sac</v>
          </cell>
          <cell r="V7281">
            <v>118900</v>
          </cell>
        </row>
        <row r="7282">
          <cell r="B7282">
            <v>1950</v>
          </cell>
          <cell r="K7282" t="str">
            <v>SHELBY</v>
          </cell>
          <cell r="L7282" t="str">
            <v>Shelby</v>
          </cell>
          <cell r="V7282">
            <v>124500</v>
          </cell>
        </row>
        <row r="7283">
          <cell r="B7283">
            <v>1950</v>
          </cell>
          <cell r="K7283" t="str">
            <v>WOODBURY</v>
          </cell>
          <cell r="L7283" t="str">
            <v>Woodbury</v>
          </cell>
          <cell r="V7283">
            <v>183600</v>
          </cell>
        </row>
        <row r="7284">
          <cell r="B7284">
            <v>1949</v>
          </cell>
          <cell r="K7284" t="str">
            <v>BOONE</v>
          </cell>
          <cell r="L7284" t="str">
            <v>Boone</v>
          </cell>
          <cell r="V7284">
            <v>141800</v>
          </cell>
        </row>
        <row r="7285">
          <cell r="B7285">
            <v>1949</v>
          </cell>
          <cell r="K7285" t="str">
            <v>DALLAS</v>
          </cell>
          <cell r="L7285" t="str">
            <v>Dallas</v>
          </cell>
          <cell r="V7285">
            <v>146100</v>
          </cell>
        </row>
        <row r="7286">
          <cell r="B7286">
            <v>1949</v>
          </cell>
          <cell r="K7286" t="str">
            <v>GRUNDY</v>
          </cell>
          <cell r="L7286" t="str">
            <v>Grundy</v>
          </cell>
          <cell r="V7286">
            <v>120400</v>
          </cell>
        </row>
        <row r="7287">
          <cell r="B7287">
            <v>1949</v>
          </cell>
          <cell r="K7287" t="str">
            <v>HAMILTON</v>
          </cell>
          <cell r="L7287" t="str">
            <v>Hamilton</v>
          </cell>
          <cell r="V7287">
            <v>159800</v>
          </cell>
        </row>
        <row r="7288">
          <cell r="B7288">
            <v>1949</v>
          </cell>
          <cell r="K7288" t="str">
            <v>HARDIN</v>
          </cell>
          <cell r="L7288" t="str">
            <v>Hardin</v>
          </cell>
          <cell r="V7288">
            <v>138000</v>
          </cell>
        </row>
        <row r="7289">
          <cell r="B7289">
            <v>1949</v>
          </cell>
          <cell r="K7289" t="str">
            <v>JASPER</v>
          </cell>
          <cell r="L7289" t="str">
            <v>Jasper</v>
          </cell>
          <cell r="V7289">
            <v>155300</v>
          </cell>
        </row>
        <row r="7290">
          <cell r="B7290">
            <v>1949</v>
          </cell>
          <cell r="K7290" t="str">
            <v>MARSHALL</v>
          </cell>
          <cell r="L7290" t="str">
            <v>Marshall</v>
          </cell>
          <cell r="V7290">
            <v>128000</v>
          </cell>
        </row>
        <row r="7291">
          <cell r="B7291">
            <v>1949</v>
          </cell>
          <cell r="K7291" t="str">
            <v>POLK</v>
          </cell>
          <cell r="L7291" t="str">
            <v>Polk</v>
          </cell>
          <cell r="V7291">
            <v>122700</v>
          </cell>
        </row>
        <row r="7292">
          <cell r="B7292">
            <v>1949</v>
          </cell>
          <cell r="K7292" t="str">
            <v>POWESHIEK</v>
          </cell>
          <cell r="L7292" t="str">
            <v>Poweshiek</v>
          </cell>
          <cell r="V7292">
            <v>118200</v>
          </cell>
        </row>
        <row r="7293">
          <cell r="B7293">
            <v>1949</v>
          </cell>
          <cell r="K7293" t="str">
            <v>STORY</v>
          </cell>
          <cell r="L7293" t="str">
            <v>Story</v>
          </cell>
          <cell r="V7293">
            <v>154600</v>
          </cell>
        </row>
        <row r="7294">
          <cell r="B7294">
            <v>1949</v>
          </cell>
          <cell r="K7294" t="str">
            <v>TAMA</v>
          </cell>
          <cell r="L7294" t="str">
            <v>Tama</v>
          </cell>
          <cell r="V7294">
            <v>142900</v>
          </cell>
        </row>
        <row r="7295">
          <cell r="B7295">
            <v>1949</v>
          </cell>
          <cell r="K7295" t="str">
            <v>WEBSTER</v>
          </cell>
          <cell r="L7295" t="str">
            <v>Webster</v>
          </cell>
          <cell r="V7295">
            <v>182300</v>
          </cell>
        </row>
        <row r="7296">
          <cell r="B7296">
            <v>1949</v>
          </cell>
          <cell r="K7296" t="str">
            <v>BENTON</v>
          </cell>
          <cell r="L7296" t="str">
            <v>Benton</v>
          </cell>
          <cell r="V7296">
            <v>154800</v>
          </cell>
        </row>
        <row r="7297">
          <cell r="B7297">
            <v>1949</v>
          </cell>
          <cell r="K7297" t="str">
            <v>CEDAR</v>
          </cell>
          <cell r="L7297" t="str">
            <v>Cedar</v>
          </cell>
          <cell r="V7297">
            <v>121200</v>
          </cell>
        </row>
        <row r="7298">
          <cell r="B7298">
            <v>1949</v>
          </cell>
          <cell r="K7298" t="str">
            <v>CLINTON</v>
          </cell>
          <cell r="L7298" t="str">
            <v>Clinton</v>
          </cell>
          <cell r="V7298">
            <v>146600</v>
          </cell>
        </row>
        <row r="7299">
          <cell r="B7299">
            <v>1949</v>
          </cell>
          <cell r="K7299" t="str">
            <v>IOWA</v>
          </cell>
          <cell r="L7299" t="str">
            <v>Iowa</v>
          </cell>
          <cell r="V7299">
            <v>112400</v>
          </cell>
        </row>
        <row r="7300">
          <cell r="B7300">
            <v>1949</v>
          </cell>
          <cell r="K7300" t="str">
            <v>JACKSON</v>
          </cell>
          <cell r="L7300" t="str">
            <v>Jackson</v>
          </cell>
          <cell r="V7300">
            <v>74100</v>
          </cell>
        </row>
        <row r="7301">
          <cell r="B7301">
            <v>1949</v>
          </cell>
          <cell r="K7301" t="str">
            <v>JOHNSON</v>
          </cell>
          <cell r="L7301" t="str">
            <v>Johnson</v>
          </cell>
          <cell r="V7301">
            <v>118100</v>
          </cell>
        </row>
        <row r="7302">
          <cell r="B7302">
            <v>1949</v>
          </cell>
          <cell r="K7302" t="str">
            <v>JONES</v>
          </cell>
          <cell r="L7302" t="str">
            <v>Jones</v>
          </cell>
          <cell r="V7302">
            <v>92900</v>
          </cell>
        </row>
        <row r="7303">
          <cell r="B7303">
            <v>1949</v>
          </cell>
          <cell r="K7303" t="str">
            <v>LINN</v>
          </cell>
          <cell r="L7303" t="str">
            <v>Linn</v>
          </cell>
          <cell r="V7303">
            <v>132800</v>
          </cell>
        </row>
        <row r="7304">
          <cell r="B7304">
            <v>1949</v>
          </cell>
          <cell r="K7304" t="str">
            <v>MUSCATINE</v>
          </cell>
          <cell r="L7304" t="str">
            <v>Muscatine</v>
          </cell>
          <cell r="V7304">
            <v>85000</v>
          </cell>
        </row>
        <row r="7305">
          <cell r="B7305">
            <v>1949</v>
          </cell>
          <cell r="K7305" t="str">
            <v>SCOTT</v>
          </cell>
          <cell r="L7305" t="str">
            <v>Scott</v>
          </cell>
          <cell r="V7305">
            <v>91600</v>
          </cell>
        </row>
        <row r="7306">
          <cell r="B7306">
            <v>1949</v>
          </cell>
          <cell r="K7306" t="str">
            <v>BUTLER</v>
          </cell>
          <cell r="L7306" t="str">
            <v>Butler</v>
          </cell>
          <cell r="V7306">
            <v>131200</v>
          </cell>
        </row>
        <row r="7307">
          <cell r="B7307">
            <v>1949</v>
          </cell>
          <cell r="K7307" t="str">
            <v>CERRO GORDO</v>
          </cell>
          <cell r="L7307" t="str">
            <v>Cerro Gordo</v>
          </cell>
          <cell r="V7307">
            <v>137200</v>
          </cell>
        </row>
        <row r="7308">
          <cell r="B7308">
            <v>1949</v>
          </cell>
          <cell r="K7308" t="str">
            <v>FLOYD</v>
          </cell>
          <cell r="L7308" t="str">
            <v>Floyd</v>
          </cell>
          <cell r="V7308">
            <v>111000</v>
          </cell>
        </row>
        <row r="7309">
          <cell r="B7309">
            <v>1949</v>
          </cell>
          <cell r="K7309" t="str">
            <v>FRANKLIN</v>
          </cell>
          <cell r="L7309" t="str">
            <v>Franklin</v>
          </cell>
          <cell r="V7309">
            <v>150500</v>
          </cell>
        </row>
        <row r="7310">
          <cell r="B7310">
            <v>1949</v>
          </cell>
          <cell r="K7310" t="str">
            <v>HANCOCK</v>
          </cell>
          <cell r="L7310" t="str">
            <v>Hancock</v>
          </cell>
          <cell r="V7310">
            <v>143000</v>
          </cell>
        </row>
        <row r="7311">
          <cell r="B7311">
            <v>1949</v>
          </cell>
          <cell r="K7311" t="str">
            <v>HUMBOLDT</v>
          </cell>
          <cell r="L7311" t="str">
            <v>Humboldt</v>
          </cell>
          <cell r="V7311">
            <v>119600</v>
          </cell>
        </row>
        <row r="7312">
          <cell r="B7312">
            <v>1949</v>
          </cell>
          <cell r="K7312" t="str">
            <v>KOSSUTH</v>
          </cell>
          <cell r="L7312" t="str">
            <v>Kossuth</v>
          </cell>
          <cell r="V7312">
            <v>251900</v>
          </cell>
        </row>
        <row r="7313">
          <cell r="B7313">
            <v>1949</v>
          </cell>
          <cell r="K7313" t="str">
            <v>MITCHELL</v>
          </cell>
          <cell r="L7313" t="str">
            <v>Mitchell</v>
          </cell>
          <cell r="V7313">
            <v>101300</v>
          </cell>
        </row>
        <row r="7314">
          <cell r="B7314">
            <v>1949</v>
          </cell>
          <cell r="K7314" t="str">
            <v>WINNEBAGO</v>
          </cell>
          <cell r="L7314" t="str">
            <v>Winnebago</v>
          </cell>
          <cell r="V7314">
            <v>99300</v>
          </cell>
        </row>
        <row r="7315">
          <cell r="B7315">
            <v>1949</v>
          </cell>
          <cell r="K7315" t="str">
            <v>WORTH</v>
          </cell>
          <cell r="L7315" t="str">
            <v>Worth</v>
          </cell>
          <cell r="V7315">
            <v>85900</v>
          </cell>
        </row>
        <row r="7316">
          <cell r="B7316">
            <v>1949</v>
          </cell>
          <cell r="K7316" t="str">
            <v>WRIGHT</v>
          </cell>
          <cell r="L7316" t="str">
            <v>Wright</v>
          </cell>
          <cell r="V7316">
            <v>156200</v>
          </cell>
        </row>
        <row r="7317">
          <cell r="B7317">
            <v>1949</v>
          </cell>
          <cell r="K7317" t="str">
            <v>ALLAMAKEE</v>
          </cell>
          <cell r="L7317" t="str">
            <v>Allamakee</v>
          </cell>
          <cell r="V7317">
            <v>58300</v>
          </cell>
        </row>
        <row r="7318">
          <cell r="B7318">
            <v>1949</v>
          </cell>
          <cell r="K7318" t="str">
            <v>BLACK HAWK</v>
          </cell>
          <cell r="L7318" t="str">
            <v>Black Hawk</v>
          </cell>
          <cell r="V7318">
            <v>113000</v>
          </cell>
        </row>
        <row r="7319">
          <cell r="B7319">
            <v>1949</v>
          </cell>
          <cell r="K7319" t="str">
            <v>BREMER</v>
          </cell>
          <cell r="L7319" t="str">
            <v>Bremer</v>
          </cell>
          <cell r="V7319">
            <v>81200</v>
          </cell>
        </row>
        <row r="7320">
          <cell r="B7320">
            <v>1949</v>
          </cell>
          <cell r="K7320" t="str">
            <v>BUCHANAN</v>
          </cell>
          <cell r="L7320" t="str">
            <v>Buchanan</v>
          </cell>
          <cell r="V7320">
            <v>115000</v>
          </cell>
        </row>
        <row r="7321">
          <cell r="B7321">
            <v>1949</v>
          </cell>
          <cell r="K7321" t="str">
            <v>CHICKASAW</v>
          </cell>
          <cell r="L7321" t="str">
            <v>Chickasaw</v>
          </cell>
          <cell r="V7321">
            <v>92600</v>
          </cell>
        </row>
        <row r="7322">
          <cell r="B7322">
            <v>1949</v>
          </cell>
          <cell r="K7322" t="str">
            <v>CLAYTON</v>
          </cell>
          <cell r="L7322" t="str">
            <v>Clayton</v>
          </cell>
          <cell r="V7322">
            <v>89400</v>
          </cell>
        </row>
        <row r="7323">
          <cell r="B7323">
            <v>1949</v>
          </cell>
          <cell r="K7323" t="str">
            <v>DELAWARE</v>
          </cell>
          <cell r="L7323" t="str">
            <v>Delaware</v>
          </cell>
          <cell r="V7323">
            <v>103700</v>
          </cell>
        </row>
        <row r="7324">
          <cell r="B7324">
            <v>1949</v>
          </cell>
          <cell r="K7324" t="str">
            <v>DUBUQUE</v>
          </cell>
          <cell r="L7324" t="str">
            <v>Dubuque</v>
          </cell>
          <cell r="V7324">
            <v>78000</v>
          </cell>
        </row>
        <row r="7325">
          <cell r="B7325">
            <v>1949</v>
          </cell>
          <cell r="K7325" t="str">
            <v>FAYETTE</v>
          </cell>
          <cell r="L7325" t="str">
            <v>Fayette</v>
          </cell>
          <cell r="V7325">
            <v>120500</v>
          </cell>
        </row>
        <row r="7326">
          <cell r="B7326">
            <v>1949</v>
          </cell>
          <cell r="K7326" t="str">
            <v>HOWARD</v>
          </cell>
          <cell r="L7326" t="str">
            <v>Howard</v>
          </cell>
          <cell r="V7326">
            <v>83100</v>
          </cell>
        </row>
        <row r="7327">
          <cell r="B7327">
            <v>1949</v>
          </cell>
          <cell r="K7327" t="str">
            <v>WINNESHIEK</v>
          </cell>
          <cell r="L7327" t="str">
            <v>Winneshiek</v>
          </cell>
          <cell r="V7327">
            <v>97100</v>
          </cell>
        </row>
        <row r="7328">
          <cell r="B7328">
            <v>1949</v>
          </cell>
          <cell r="K7328" t="str">
            <v>BUENA VISTA</v>
          </cell>
          <cell r="L7328" t="str">
            <v>Buena Vista</v>
          </cell>
          <cell r="V7328">
            <v>145700</v>
          </cell>
        </row>
        <row r="7329">
          <cell r="B7329">
            <v>1949</v>
          </cell>
          <cell r="K7329" t="str">
            <v>CHEROKEE</v>
          </cell>
          <cell r="L7329" t="str">
            <v>Cherokee</v>
          </cell>
          <cell r="V7329">
            <v>129200</v>
          </cell>
        </row>
        <row r="7330">
          <cell r="B7330">
            <v>1949</v>
          </cell>
          <cell r="K7330" t="str">
            <v>CLAY</v>
          </cell>
          <cell r="L7330" t="str">
            <v>Clay</v>
          </cell>
          <cell r="V7330">
            <v>142200</v>
          </cell>
        </row>
        <row r="7331">
          <cell r="B7331">
            <v>1949</v>
          </cell>
          <cell r="K7331" t="str">
            <v>DICKINSON</v>
          </cell>
          <cell r="L7331" t="str">
            <v>Dickinson</v>
          </cell>
          <cell r="V7331">
            <v>90900</v>
          </cell>
        </row>
        <row r="7332">
          <cell r="B7332">
            <v>1949</v>
          </cell>
          <cell r="K7332" t="str">
            <v>EMMET</v>
          </cell>
          <cell r="L7332" t="str">
            <v>Emmet</v>
          </cell>
          <cell r="V7332">
            <v>97300</v>
          </cell>
        </row>
        <row r="7333">
          <cell r="B7333">
            <v>1949</v>
          </cell>
          <cell r="K7333" t="str">
            <v>LYON</v>
          </cell>
          <cell r="L7333" t="str">
            <v>Lyon</v>
          </cell>
          <cell r="V7333">
            <v>146700</v>
          </cell>
        </row>
        <row r="7334">
          <cell r="B7334">
            <v>1949</v>
          </cell>
          <cell r="K7334" t="str">
            <v>O BRIEN</v>
          </cell>
          <cell r="L7334" t="str">
            <v>O Brien</v>
          </cell>
          <cell r="V7334">
            <v>138600</v>
          </cell>
        </row>
        <row r="7335">
          <cell r="B7335">
            <v>1949</v>
          </cell>
          <cell r="K7335" t="str">
            <v>OSCEOLA</v>
          </cell>
          <cell r="L7335" t="str">
            <v>Osceola</v>
          </cell>
          <cell r="V7335">
            <v>102000</v>
          </cell>
        </row>
        <row r="7336">
          <cell r="B7336">
            <v>1949</v>
          </cell>
          <cell r="K7336" t="str">
            <v>PALO ALTO</v>
          </cell>
          <cell r="L7336" t="str">
            <v>Palo Alto</v>
          </cell>
          <cell r="V7336">
            <v>149000</v>
          </cell>
        </row>
        <row r="7337">
          <cell r="B7337">
            <v>1949</v>
          </cell>
          <cell r="K7337" t="str">
            <v>PLYMOUTH</v>
          </cell>
          <cell r="L7337" t="str">
            <v>Plymouth</v>
          </cell>
          <cell r="V7337">
            <v>216700</v>
          </cell>
        </row>
        <row r="7338">
          <cell r="B7338">
            <v>1949</v>
          </cell>
          <cell r="K7338" t="str">
            <v>POCAHONTAS</v>
          </cell>
          <cell r="L7338" t="str">
            <v>Pocahontas</v>
          </cell>
          <cell r="V7338">
            <v>156800</v>
          </cell>
        </row>
        <row r="7339">
          <cell r="B7339">
            <v>1949</v>
          </cell>
          <cell r="K7339" t="str">
            <v>SIOUX</v>
          </cell>
          <cell r="L7339" t="str">
            <v>Sioux</v>
          </cell>
          <cell r="V7339">
            <v>197500</v>
          </cell>
        </row>
        <row r="7340">
          <cell r="B7340">
            <v>1949</v>
          </cell>
          <cell r="K7340" t="str">
            <v>APPANOOSE</v>
          </cell>
          <cell r="L7340" t="str">
            <v>Appanoose</v>
          </cell>
          <cell r="V7340">
            <v>43700</v>
          </cell>
        </row>
        <row r="7341">
          <cell r="B7341">
            <v>1949</v>
          </cell>
          <cell r="K7341" t="str">
            <v>CLARKE</v>
          </cell>
          <cell r="L7341" t="str">
            <v>Clarke</v>
          </cell>
          <cell r="V7341">
            <v>54700</v>
          </cell>
        </row>
        <row r="7342">
          <cell r="B7342">
            <v>1949</v>
          </cell>
          <cell r="K7342" t="str">
            <v>DECATUR</v>
          </cell>
          <cell r="L7342" t="str">
            <v>Decatur</v>
          </cell>
          <cell r="V7342">
            <v>57700</v>
          </cell>
        </row>
        <row r="7343">
          <cell r="B7343">
            <v>1949</v>
          </cell>
          <cell r="K7343" t="str">
            <v>LUCAS</v>
          </cell>
          <cell r="L7343" t="str">
            <v>Lucas</v>
          </cell>
          <cell r="V7343">
            <v>48400</v>
          </cell>
        </row>
        <row r="7344">
          <cell r="B7344">
            <v>1949</v>
          </cell>
          <cell r="K7344" t="str">
            <v>MADISON</v>
          </cell>
          <cell r="L7344" t="str">
            <v>Madison</v>
          </cell>
          <cell r="V7344">
            <v>93500</v>
          </cell>
        </row>
        <row r="7345">
          <cell r="B7345">
            <v>1949</v>
          </cell>
          <cell r="K7345" t="str">
            <v>MARION</v>
          </cell>
          <cell r="L7345" t="str">
            <v>Marion</v>
          </cell>
          <cell r="V7345">
            <v>99700</v>
          </cell>
        </row>
        <row r="7346">
          <cell r="B7346">
            <v>1949</v>
          </cell>
          <cell r="K7346" t="str">
            <v>MONROE</v>
          </cell>
          <cell r="L7346" t="str">
            <v>Monroe</v>
          </cell>
          <cell r="V7346">
            <v>42100</v>
          </cell>
        </row>
        <row r="7347">
          <cell r="B7347">
            <v>1949</v>
          </cell>
          <cell r="K7347" t="str">
            <v>RINGGOLD</v>
          </cell>
          <cell r="L7347" t="str">
            <v>Ringgold</v>
          </cell>
          <cell r="V7347">
            <v>66200</v>
          </cell>
        </row>
        <row r="7348">
          <cell r="B7348">
            <v>1949</v>
          </cell>
          <cell r="K7348" t="str">
            <v>UNION</v>
          </cell>
          <cell r="L7348" t="str">
            <v>Union</v>
          </cell>
          <cell r="V7348">
            <v>63400</v>
          </cell>
        </row>
        <row r="7349">
          <cell r="B7349">
            <v>1949</v>
          </cell>
          <cell r="K7349" t="str">
            <v>WARREN</v>
          </cell>
          <cell r="L7349" t="str">
            <v>Warren</v>
          </cell>
          <cell r="V7349">
            <v>96300</v>
          </cell>
        </row>
        <row r="7350">
          <cell r="B7350">
            <v>1949</v>
          </cell>
          <cell r="K7350" t="str">
            <v>WAYNE</v>
          </cell>
          <cell r="L7350" t="str">
            <v>Wayne</v>
          </cell>
          <cell r="V7350">
            <v>64300</v>
          </cell>
        </row>
        <row r="7351">
          <cell r="B7351">
            <v>1949</v>
          </cell>
          <cell r="K7351" t="str">
            <v>DAVIS</v>
          </cell>
          <cell r="L7351" t="str">
            <v>Davis</v>
          </cell>
          <cell r="V7351">
            <v>45600</v>
          </cell>
        </row>
        <row r="7352">
          <cell r="B7352">
            <v>1949</v>
          </cell>
          <cell r="K7352" t="str">
            <v>DES MOINES</v>
          </cell>
          <cell r="L7352" t="str">
            <v>Des Moines</v>
          </cell>
          <cell r="V7352">
            <v>65400</v>
          </cell>
        </row>
        <row r="7353">
          <cell r="B7353">
            <v>1949</v>
          </cell>
          <cell r="K7353" t="str">
            <v>HENRY</v>
          </cell>
          <cell r="L7353" t="str">
            <v>Henry</v>
          </cell>
          <cell r="V7353">
            <v>76900</v>
          </cell>
        </row>
        <row r="7354">
          <cell r="B7354">
            <v>1949</v>
          </cell>
          <cell r="K7354" t="str">
            <v>JEFFERSON</v>
          </cell>
          <cell r="L7354" t="str">
            <v>Jefferson</v>
          </cell>
          <cell r="V7354">
            <v>69400</v>
          </cell>
        </row>
        <row r="7355">
          <cell r="B7355">
            <v>1949</v>
          </cell>
          <cell r="K7355" t="str">
            <v>KEOKUK</v>
          </cell>
          <cell r="L7355" t="str">
            <v>Keokuk</v>
          </cell>
          <cell r="V7355">
            <v>110400</v>
          </cell>
        </row>
        <row r="7356">
          <cell r="B7356">
            <v>1949</v>
          </cell>
          <cell r="K7356" t="str">
            <v>LEE</v>
          </cell>
          <cell r="L7356" t="str">
            <v>Lee</v>
          </cell>
          <cell r="V7356">
            <v>63200</v>
          </cell>
        </row>
        <row r="7357">
          <cell r="B7357">
            <v>1949</v>
          </cell>
          <cell r="K7357" t="str">
            <v>LOUISA</v>
          </cell>
          <cell r="L7357" t="str">
            <v>Louisa</v>
          </cell>
          <cell r="V7357">
            <v>77400</v>
          </cell>
        </row>
        <row r="7358">
          <cell r="B7358">
            <v>1949</v>
          </cell>
          <cell r="K7358" t="str">
            <v>MAHASKA</v>
          </cell>
          <cell r="L7358" t="str">
            <v>Mahaska</v>
          </cell>
          <cell r="V7358">
            <v>121300</v>
          </cell>
        </row>
        <row r="7359">
          <cell r="B7359">
            <v>1949</v>
          </cell>
          <cell r="K7359" t="str">
            <v>VAN BUREN</v>
          </cell>
          <cell r="L7359" t="str">
            <v>Van Buren</v>
          </cell>
          <cell r="V7359">
            <v>44800</v>
          </cell>
        </row>
        <row r="7360">
          <cell r="B7360">
            <v>1949</v>
          </cell>
          <cell r="K7360" t="str">
            <v>WAPELLO</v>
          </cell>
          <cell r="L7360" t="str">
            <v>Wapello</v>
          </cell>
          <cell r="V7360">
            <v>60800</v>
          </cell>
        </row>
        <row r="7361">
          <cell r="B7361">
            <v>1949</v>
          </cell>
          <cell r="K7361" t="str">
            <v>WASHINGTON</v>
          </cell>
          <cell r="L7361" t="str">
            <v>Washington</v>
          </cell>
          <cell r="V7361">
            <v>116900</v>
          </cell>
        </row>
        <row r="7362">
          <cell r="B7362">
            <v>1949</v>
          </cell>
          <cell r="K7362" t="str">
            <v>ADAIR</v>
          </cell>
          <cell r="L7362" t="str">
            <v>Adair</v>
          </cell>
          <cell r="V7362">
            <v>109600</v>
          </cell>
        </row>
        <row r="7363">
          <cell r="B7363">
            <v>1949</v>
          </cell>
          <cell r="K7363" t="str">
            <v>ADAMS</v>
          </cell>
          <cell r="L7363" t="str">
            <v>Adams</v>
          </cell>
          <cell r="V7363">
            <v>72700</v>
          </cell>
        </row>
        <row r="7364">
          <cell r="B7364">
            <v>1949</v>
          </cell>
          <cell r="K7364" t="str">
            <v>CASS</v>
          </cell>
          <cell r="L7364" t="str">
            <v>Cass</v>
          </cell>
          <cell r="V7364">
            <v>123800</v>
          </cell>
        </row>
        <row r="7365">
          <cell r="B7365">
            <v>1949</v>
          </cell>
          <cell r="K7365" t="str">
            <v>FREMONT</v>
          </cell>
          <cell r="L7365" t="str">
            <v>Fremont</v>
          </cell>
          <cell r="V7365">
            <v>144400</v>
          </cell>
        </row>
        <row r="7366">
          <cell r="B7366">
            <v>1949</v>
          </cell>
          <cell r="K7366" t="str">
            <v>MILLS</v>
          </cell>
          <cell r="L7366" t="str">
            <v>Mills</v>
          </cell>
          <cell r="V7366">
            <v>116500</v>
          </cell>
        </row>
        <row r="7367">
          <cell r="B7367">
            <v>1949</v>
          </cell>
          <cell r="K7367" t="str">
            <v>MONTGOMERY</v>
          </cell>
          <cell r="L7367" t="str">
            <v>Montgomery</v>
          </cell>
          <cell r="V7367">
            <v>98200</v>
          </cell>
        </row>
        <row r="7368">
          <cell r="B7368">
            <v>1949</v>
          </cell>
          <cell r="K7368" t="str">
            <v>PAGE</v>
          </cell>
          <cell r="L7368" t="str">
            <v>Page</v>
          </cell>
          <cell r="V7368">
            <v>113400</v>
          </cell>
        </row>
        <row r="7369">
          <cell r="B7369">
            <v>1949</v>
          </cell>
          <cell r="K7369" t="str">
            <v>POTTAWATTAMIE</v>
          </cell>
          <cell r="L7369" t="str">
            <v>Pottawattamie</v>
          </cell>
          <cell r="V7369">
            <v>240800</v>
          </cell>
        </row>
        <row r="7370">
          <cell r="B7370">
            <v>1949</v>
          </cell>
          <cell r="K7370" t="str">
            <v>TAYLOR</v>
          </cell>
          <cell r="L7370" t="str">
            <v>Taylor</v>
          </cell>
          <cell r="V7370">
            <v>83100</v>
          </cell>
        </row>
        <row r="7371">
          <cell r="B7371">
            <v>1949</v>
          </cell>
          <cell r="K7371" t="str">
            <v>AUDUBON</v>
          </cell>
          <cell r="L7371" t="str">
            <v>Audubon</v>
          </cell>
          <cell r="V7371">
            <v>97200</v>
          </cell>
        </row>
        <row r="7372">
          <cell r="B7372">
            <v>1949</v>
          </cell>
          <cell r="K7372" t="str">
            <v>CALHOUN</v>
          </cell>
          <cell r="L7372" t="str">
            <v>Calhoun</v>
          </cell>
          <cell r="V7372">
            <v>152500</v>
          </cell>
        </row>
        <row r="7373">
          <cell r="B7373">
            <v>1949</v>
          </cell>
          <cell r="K7373" t="str">
            <v>CARROLL</v>
          </cell>
          <cell r="L7373" t="str">
            <v>Carroll</v>
          </cell>
          <cell r="V7373">
            <v>146300</v>
          </cell>
        </row>
        <row r="7374">
          <cell r="B7374">
            <v>1949</v>
          </cell>
          <cell r="K7374" t="str">
            <v>CRAWFORD</v>
          </cell>
          <cell r="L7374" t="str">
            <v>Crawford</v>
          </cell>
          <cell r="V7374">
            <v>154100</v>
          </cell>
        </row>
        <row r="7375">
          <cell r="B7375">
            <v>1949</v>
          </cell>
          <cell r="K7375" t="str">
            <v>GREENE</v>
          </cell>
          <cell r="L7375" t="str">
            <v>Greene</v>
          </cell>
          <cell r="V7375">
            <v>164400</v>
          </cell>
        </row>
        <row r="7376">
          <cell r="B7376">
            <v>1949</v>
          </cell>
          <cell r="K7376" t="str">
            <v>GUTHRIE</v>
          </cell>
          <cell r="L7376" t="str">
            <v>Guthrie</v>
          </cell>
          <cell r="V7376">
            <v>122800</v>
          </cell>
        </row>
        <row r="7377">
          <cell r="B7377">
            <v>1949</v>
          </cell>
          <cell r="K7377" t="str">
            <v>HARRISON</v>
          </cell>
          <cell r="L7377" t="str">
            <v>Harrison</v>
          </cell>
          <cell r="V7377">
            <v>182700</v>
          </cell>
        </row>
        <row r="7378">
          <cell r="B7378">
            <v>1949</v>
          </cell>
          <cell r="K7378" t="str">
            <v>IDA</v>
          </cell>
          <cell r="L7378" t="str">
            <v>Ida</v>
          </cell>
          <cell r="V7378">
            <v>100200</v>
          </cell>
        </row>
        <row r="7379">
          <cell r="B7379">
            <v>1949</v>
          </cell>
          <cell r="K7379" t="str">
            <v>MONONA</v>
          </cell>
          <cell r="L7379" t="str">
            <v>Monona</v>
          </cell>
          <cell r="V7379">
            <v>171100</v>
          </cell>
        </row>
        <row r="7380">
          <cell r="B7380">
            <v>1949</v>
          </cell>
          <cell r="K7380" t="str">
            <v>SAC</v>
          </cell>
          <cell r="L7380" t="str">
            <v>Sac</v>
          </cell>
          <cell r="V7380">
            <v>138000</v>
          </cell>
        </row>
        <row r="7381">
          <cell r="B7381">
            <v>1949</v>
          </cell>
          <cell r="K7381" t="str">
            <v>SHELBY</v>
          </cell>
          <cell r="L7381" t="str">
            <v>Shelby</v>
          </cell>
          <cell r="V7381">
            <v>147600</v>
          </cell>
        </row>
        <row r="7382">
          <cell r="B7382">
            <v>1949</v>
          </cell>
          <cell r="K7382" t="str">
            <v>WOODBURY</v>
          </cell>
          <cell r="L7382" t="str">
            <v>Woodbury</v>
          </cell>
          <cell r="V7382">
            <v>216300</v>
          </cell>
        </row>
        <row r="7383">
          <cell r="B7383">
            <v>1948</v>
          </cell>
          <cell r="K7383" t="str">
            <v>BOONE</v>
          </cell>
          <cell r="L7383" t="str">
            <v>Boone</v>
          </cell>
          <cell r="V7383">
            <v>139200</v>
          </cell>
        </row>
        <row r="7384">
          <cell r="B7384">
            <v>1948</v>
          </cell>
          <cell r="K7384" t="str">
            <v>DALLAS</v>
          </cell>
          <cell r="L7384" t="str">
            <v>Dallas</v>
          </cell>
          <cell r="V7384">
            <v>137500</v>
          </cell>
        </row>
        <row r="7385">
          <cell r="B7385">
            <v>1948</v>
          </cell>
          <cell r="K7385" t="str">
            <v>GRUNDY</v>
          </cell>
          <cell r="L7385" t="str">
            <v>Grundy</v>
          </cell>
          <cell r="V7385">
            <v>118500</v>
          </cell>
        </row>
        <row r="7386">
          <cell r="B7386">
            <v>1948</v>
          </cell>
          <cell r="K7386" t="str">
            <v>HAMILTON</v>
          </cell>
          <cell r="L7386" t="str">
            <v>Hamilton</v>
          </cell>
          <cell r="V7386">
            <v>157100</v>
          </cell>
        </row>
        <row r="7387">
          <cell r="B7387">
            <v>1948</v>
          </cell>
          <cell r="K7387" t="str">
            <v>HARDIN</v>
          </cell>
          <cell r="L7387" t="str">
            <v>Hardin</v>
          </cell>
          <cell r="V7387">
            <v>138000</v>
          </cell>
        </row>
        <row r="7388">
          <cell r="B7388">
            <v>1948</v>
          </cell>
          <cell r="K7388" t="str">
            <v>JASPER</v>
          </cell>
          <cell r="L7388" t="str">
            <v>Jasper</v>
          </cell>
          <cell r="V7388">
            <v>149200</v>
          </cell>
        </row>
        <row r="7389">
          <cell r="B7389">
            <v>1948</v>
          </cell>
          <cell r="K7389" t="str">
            <v>MARSHALL</v>
          </cell>
          <cell r="L7389" t="str">
            <v>Marshall</v>
          </cell>
          <cell r="V7389">
            <v>125600</v>
          </cell>
        </row>
        <row r="7390">
          <cell r="B7390">
            <v>1948</v>
          </cell>
          <cell r="K7390" t="str">
            <v>POLK</v>
          </cell>
          <cell r="L7390" t="str">
            <v>Polk</v>
          </cell>
          <cell r="V7390">
            <v>117500</v>
          </cell>
        </row>
        <row r="7391">
          <cell r="B7391">
            <v>1948</v>
          </cell>
          <cell r="K7391" t="str">
            <v>POWESHIEK</v>
          </cell>
          <cell r="L7391" t="str">
            <v>Poweshiek</v>
          </cell>
          <cell r="V7391">
            <v>117200</v>
          </cell>
        </row>
        <row r="7392">
          <cell r="B7392">
            <v>1948</v>
          </cell>
          <cell r="K7392" t="str">
            <v>STORY</v>
          </cell>
          <cell r="L7392" t="str">
            <v>Story</v>
          </cell>
          <cell r="V7392">
            <v>151800</v>
          </cell>
        </row>
        <row r="7393">
          <cell r="B7393">
            <v>1948</v>
          </cell>
          <cell r="K7393" t="str">
            <v>TAMA</v>
          </cell>
          <cell r="L7393" t="str">
            <v>Tama</v>
          </cell>
          <cell r="V7393">
            <v>141800</v>
          </cell>
        </row>
        <row r="7394">
          <cell r="B7394">
            <v>1948</v>
          </cell>
          <cell r="K7394" t="str">
            <v>WEBSTER</v>
          </cell>
          <cell r="L7394" t="str">
            <v>Webster</v>
          </cell>
          <cell r="V7394">
            <v>178400</v>
          </cell>
        </row>
        <row r="7395">
          <cell r="B7395">
            <v>1948</v>
          </cell>
          <cell r="K7395" t="str">
            <v>BENTON</v>
          </cell>
          <cell r="L7395" t="str">
            <v>Benton</v>
          </cell>
          <cell r="V7395">
            <v>155300</v>
          </cell>
        </row>
        <row r="7396">
          <cell r="B7396">
            <v>1948</v>
          </cell>
          <cell r="K7396" t="str">
            <v>CEDAR</v>
          </cell>
          <cell r="L7396" t="str">
            <v>Cedar</v>
          </cell>
          <cell r="V7396">
            <v>121200</v>
          </cell>
        </row>
        <row r="7397">
          <cell r="B7397">
            <v>1948</v>
          </cell>
          <cell r="K7397" t="str">
            <v>CLINTON</v>
          </cell>
          <cell r="L7397" t="str">
            <v>Clinton</v>
          </cell>
          <cell r="V7397">
            <v>144400</v>
          </cell>
        </row>
        <row r="7398">
          <cell r="B7398">
            <v>1948</v>
          </cell>
          <cell r="K7398" t="str">
            <v>IOWA</v>
          </cell>
          <cell r="L7398" t="str">
            <v>Iowa</v>
          </cell>
          <cell r="V7398">
            <v>114200</v>
          </cell>
        </row>
        <row r="7399">
          <cell r="B7399">
            <v>1948</v>
          </cell>
          <cell r="K7399" t="str">
            <v>JACKSON</v>
          </cell>
          <cell r="L7399" t="str">
            <v>Jackson</v>
          </cell>
          <cell r="V7399">
            <v>72100</v>
          </cell>
        </row>
        <row r="7400">
          <cell r="B7400">
            <v>1948</v>
          </cell>
          <cell r="K7400" t="str">
            <v>JOHNSON</v>
          </cell>
          <cell r="L7400" t="str">
            <v>Johnson</v>
          </cell>
          <cell r="V7400">
            <v>118200</v>
          </cell>
        </row>
        <row r="7401">
          <cell r="B7401">
            <v>1948</v>
          </cell>
          <cell r="K7401" t="str">
            <v>JONES</v>
          </cell>
          <cell r="L7401" t="str">
            <v>Jones</v>
          </cell>
          <cell r="V7401">
            <v>91800</v>
          </cell>
        </row>
        <row r="7402">
          <cell r="B7402">
            <v>1948</v>
          </cell>
          <cell r="K7402" t="str">
            <v>LINN</v>
          </cell>
          <cell r="L7402" t="str">
            <v>Linn</v>
          </cell>
          <cell r="V7402">
            <v>134200</v>
          </cell>
        </row>
        <row r="7403">
          <cell r="B7403">
            <v>1948</v>
          </cell>
          <cell r="K7403" t="str">
            <v>MUSCATINE</v>
          </cell>
          <cell r="L7403" t="str">
            <v>Muscatine</v>
          </cell>
          <cell r="V7403">
            <v>85500</v>
          </cell>
        </row>
        <row r="7404">
          <cell r="B7404">
            <v>1948</v>
          </cell>
          <cell r="K7404" t="str">
            <v>SCOTT</v>
          </cell>
          <cell r="L7404" t="str">
            <v>Scott</v>
          </cell>
          <cell r="V7404">
            <v>92200</v>
          </cell>
        </row>
        <row r="7405">
          <cell r="B7405">
            <v>1948</v>
          </cell>
          <cell r="K7405" t="str">
            <v>BUTLER</v>
          </cell>
          <cell r="L7405" t="str">
            <v>Butler</v>
          </cell>
          <cell r="V7405">
            <v>124600</v>
          </cell>
        </row>
        <row r="7406">
          <cell r="B7406">
            <v>1948</v>
          </cell>
          <cell r="K7406" t="str">
            <v>CERRO GORDO</v>
          </cell>
          <cell r="L7406" t="str">
            <v>Cerro Gordo</v>
          </cell>
          <cell r="V7406">
            <v>129100</v>
          </cell>
        </row>
        <row r="7407">
          <cell r="B7407">
            <v>1948</v>
          </cell>
          <cell r="K7407" t="str">
            <v>FLOYD</v>
          </cell>
          <cell r="L7407" t="str">
            <v>Floyd</v>
          </cell>
          <cell r="V7407">
            <v>106700</v>
          </cell>
        </row>
        <row r="7408">
          <cell r="B7408">
            <v>1948</v>
          </cell>
          <cell r="K7408" t="str">
            <v>FRANKLIN</v>
          </cell>
          <cell r="L7408" t="str">
            <v>Franklin</v>
          </cell>
          <cell r="V7408">
            <v>150800</v>
          </cell>
        </row>
        <row r="7409">
          <cell r="B7409">
            <v>1948</v>
          </cell>
          <cell r="K7409" t="str">
            <v>HANCOCK</v>
          </cell>
          <cell r="L7409" t="str">
            <v>Hancock</v>
          </cell>
          <cell r="V7409">
            <v>138100</v>
          </cell>
        </row>
        <row r="7410">
          <cell r="B7410">
            <v>1948</v>
          </cell>
          <cell r="K7410" t="str">
            <v>HUMBOLDT</v>
          </cell>
          <cell r="L7410" t="str">
            <v>Humboldt</v>
          </cell>
          <cell r="V7410">
            <v>119900</v>
          </cell>
        </row>
        <row r="7411">
          <cell r="B7411">
            <v>1948</v>
          </cell>
          <cell r="K7411" t="str">
            <v>KOSSUTH</v>
          </cell>
          <cell r="L7411" t="str">
            <v>Kossuth</v>
          </cell>
          <cell r="V7411">
            <v>248500</v>
          </cell>
        </row>
        <row r="7412">
          <cell r="B7412">
            <v>1948</v>
          </cell>
          <cell r="K7412" t="str">
            <v>MITCHELL</v>
          </cell>
          <cell r="L7412" t="str">
            <v>Mitchell</v>
          </cell>
          <cell r="V7412">
            <v>93000</v>
          </cell>
        </row>
        <row r="7413">
          <cell r="B7413">
            <v>1948</v>
          </cell>
          <cell r="K7413" t="str">
            <v>WINNEBAGO</v>
          </cell>
          <cell r="L7413" t="str">
            <v>Winnebago</v>
          </cell>
          <cell r="V7413">
            <v>92000</v>
          </cell>
        </row>
        <row r="7414">
          <cell r="B7414">
            <v>1948</v>
          </cell>
          <cell r="K7414" t="str">
            <v>WORTH</v>
          </cell>
          <cell r="L7414" t="str">
            <v>Worth</v>
          </cell>
          <cell r="V7414">
            <v>78400</v>
          </cell>
        </row>
        <row r="7415">
          <cell r="B7415">
            <v>1948</v>
          </cell>
          <cell r="K7415" t="str">
            <v>WRIGHT</v>
          </cell>
          <cell r="L7415" t="str">
            <v>Wright</v>
          </cell>
          <cell r="V7415">
            <v>155400</v>
          </cell>
        </row>
        <row r="7416">
          <cell r="B7416">
            <v>1948</v>
          </cell>
          <cell r="K7416" t="str">
            <v>ALLAMAKEE</v>
          </cell>
          <cell r="L7416" t="str">
            <v>Allamakee</v>
          </cell>
          <cell r="V7416">
            <v>57700</v>
          </cell>
        </row>
        <row r="7417">
          <cell r="B7417">
            <v>1948</v>
          </cell>
          <cell r="K7417" t="str">
            <v>BLACK HAWK</v>
          </cell>
          <cell r="L7417" t="str">
            <v>Black Hawk</v>
          </cell>
          <cell r="V7417">
            <v>110200</v>
          </cell>
        </row>
        <row r="7418">
          <cell r="B7418">
            <v>1948</v>
          </cell>
          <cell r="K7418" t="str">
            <v>BREMER</v>
          </cell>
          <cell r="L7418" t="str">
            <v>Bremer</v>
          </cell>
          <cell r="V7418">
            <v>79300</v>
          </cell>
        </row>
        <row r="7419">
          <cell r="B7419">
            <v>1948</v>
          </cell>
          <cell r="K7419" t="str">
            <v>BUCHANAN</v>
          </cell>
          <cell r="L7419" t="str">
            <v>Buchanan</v>
          </cell>
          <cell r="V7419">
            <v>114300</v>
          </cell>
        </row>
        <row r="7420">
          <cell r="B7420">
            <v>1948</v>
          </cell>
          <cell r="K7420" t="str">
            <v>CHICKASAW</v>
          </cell>
          <cell r="L7420" t="str">
            <v>Chickasaw</v>
          </cell>
          <cell r="V7420">
            <v>86300</v>
          </cell>
        </row>
        <row r="7421">
          <cell r="B7421">
            <v>1948</v>
          </cell>
          <cell r="K7421" t="str">
            <v>CLAYTON</v>
          </cell>
          <cell r="L7421" t="str">
            <v>Clayton</v>
          </cell>
          <cell r="V7421">
            <v>89000</v>
          </cell>
        </row>
        <row r="7422">
          <cell r="B7422">
            <v>1948</v>
          </cell>
          <cell r="K7422" t="str">
            <v>DELAWARE</v>
          </cell>
          <cell r="L7422" t="str">
            <v>Delaware</v>
          </cell>
          <cell r="V7422">
            <v>101400</v>
          </cell>
        </row>
        <row r="7423">
          <cell r="B7423">
            <v>1948</v>
          </cell>
          <cell r="K7423" t="str">
            <v>DUBUQUE</v>
          </cell>
          <cell r="L7423" t="str">
            <v>Dubuque</v>
          </cell>
          <cell r="V7423">
            <v>77000</v>
          </cell>
        </row>
        <row r="7424">
          <cell r="B7424">
            <v>1948</v>
          </cell>
          <cell r="K7424" t="str">
            <v>FAYETTE</v>
          </cell>
          <cell r="L7424" t="str">
            <v>Fayette</v>
          </cell>
          <cell r="V7424">
            <v>114800</v>
          </cell>
        </row>
        <row r="7425">
          <cell r="B7425">
            <v>1948</v>
          </cell>
          <cell r="K7425" t="str">
            <v>HOWARD</v>
          </cell>
          <cell r="L7425" t="str">
            <v>Howard</v>
          </cell>
          <cell r="V7425">
            <v>75500</v>
          </cell>
        </row>
        <row r="7426">
          <cell r="B7426">
            <v>1948</v>
          </cell>
          <cell r="K7426" t="str">
            <v>WINNESHIEK</v>
          </cell>
          <cell r="L7426" t="str">
            <v>Winneshiek</v>
          </cell>
          <cell r="V7426">
            <v>96400</v>
          </cell>
        </row>
        <row r="7427">
          <cell r="B7427">
            <v>1948</v>
          </cell>
          <cell r="K7427" t="str">
            <v>BUENA VISTA</v>
          </cell>
          <cell r="L7427" t="str">
            <v>Buena Vista</v>
          </cell>
          <cell r="V7427">
            <v>148900</v>
          </cell>
        </row>
        <row r="7428">
          <cell r="B7428">
            <v>1948</v>
          </cell>
          <cell r="K7428" t="str">
            <v>CHEROKEE</v>
          </cell>
          <cell r="L7428" t="str">
            <v>Cherokee</v>
          </cell>
          <cell r="V7428">
            <v>132500</v>
          </cell>
        </row>
        <row r="7429">
          <cell r="B7429">
            <v>1948</v>
          </cell>
          <cell r="K7429" t="str">
            <v>CLAY</v>
          </cell>
          <cell r="L7429" t="str">
            <v>Clay</v>
          </cell>
          <cell r="V7429">
            <v>136300</v>
          </cell>
        </row>
        <row r="7430">
          <cell r="B7430">
            <v>1948</v>
          </cell>
          <cell r="K7430" t="str">
            <v>DICKINSON</v>
          </cell>
          <cell r="L7430" t="str">
            <v>Dickinson</v>
          </cell>
          <cell r="V7430">
            <v>87400</v>
          </cell>
        </row>
        <row r="7431">
          <cell r="B7431">
            <v>1948</v>
          </cell>
          <cell r="K7431" t="str">
            <v>EMMET</v>
          </cell>
          <cell r="L7431" t="str">
            <v>Emmet</v>
          </cell>
          <cell r="V7431">
            <v>92900</v>
          </cell>
        </row>
        <row r="7432">
          <cell r="B7432">
            <v>1948</v>
          </cell>
          <cell r="K7432" t="str">
            <v>LYON</v>
          </cell>
          <cell r="L7432" t="str">
            <v>Lyon</v>
          </cell>
          <cell r="V7432">
            <v>142100</v>
          </cell>
        </row>
        <row r="7433">
          <cell r="B7433">
            <v>1948</v>
          </cell>
          <cell r="K7433" t="str">
            <v>O BRIEN</v>
          </cell>
          <cell r="L7433" t="str">
            <v>O Brien</v>
          </cell>
          <cell r="V7433">
            <v>138900</v>
          </cell>
        </row>
        <row r="7434">
          <cell r="B7434">
            <v>1948</v>
          </cell>
          <cell r="K7434" t="str">
            <v>OSCEOLA</v>
          </cell>
          <cell r="L7434" t="str">
            <v>Osceola</v>
          </cell>
          <cell r="V7434">
            <v>96700</v>
          </cell>
        </row>
        <row r="7435">
          <cell r="B7435">
            <v>1948</v>
          </cell>
          <cell r="K7435" t="str">
            <v>PALO ALTO</v>
          </cell>
          <cell r="L7435" t="str">
            <v>Palo Alto</v>
          </cell>
          <cell r="V7435">
            <v>143200</v>
          </cell>
        </row>
        <row r="7436">
          <cell r="B7436">
            <v>1948</v>
          </cell>
          <cell r="K7436" t="str">
            <v>PLYMOUTH</v>
          </cell>
          <cell r="L7436" t="str">
            <v>Plymouth</v>
          </cell>
          <cell r="V7436">
            <v>212500</v>
          </cell>
        </row>
        <row r="7437">
          <cell r="B7437">
            <v>1948</v>
          </cell>
          <cell r="K7437" t="str">
            <v>POCAHONTAS</v>
          </cell>
          <cell r="L7437" t="str">
            <v>Pocahontas</v>
          </cell>
          <cell r="V7437">
            <v>153700</v>
          </cell>
        </row>
        <row r="7438">
          <cell r="B7438">
            <v>1948</v>
          </cell>
          <cell r="K7438" t="str">
            <v>SIOUX</v>
          </cell>
          <cell r="L7438" t="str">
            <v>Sioux</v>
          </cell>
          <cell r="V7438">
            <v>192700</v>
          </cell>
        </row>
        <row r="7439">
          <cell r="B7439">
            <v>1948</v>
          </cell>
          <cell r="K7439" t="str">
            <v>APPANOOSE</v>
          </cell>
          <cell r="L7439" t="str">
            <v>Appanoose</v>
          </cell>
          <cell r="V7439">
            <v>42300</v>
          </cell>
        </row>
        <row r="7440">
          <cell r="B7440">
            <v>1948</v>
          </cell>
          <cell r="K7440" t="str">
            <v>CLARKE</v>
          </cell>
          <cell r="L7440" t="str">
            <v>Clarke</v>
          </cell>
          <cell r="V7440">
            <v>53400</v>
          </cell>
        </row>
        <row r="7441">
          <cell r="B7441">
            <v>1948</v>
          </cell>
          <cell r="K7441" t="str">
            <v>DECATUR</v>
          </cell>
          <cell r="L7441" t="str">
            <v>Decatur</v>
          </cell>
          <cell r="V7441">
            <v>55000</v>
          </cell>
        </row>
        <row r="7442">
          <cell r="B7442">
            <v>1948</v>
          </cell>
          <cell r="K7442" t="str">
            <v>LUCAS</v>
          </cell>
          <cell r="L7442" t="str">
            <v>Lucas</v>
          </cell>
          <cell r="V7442">
            <v>46000</v>
          </cell>
        </row>
        <row r="7443">
          <cell r="B7443">
            <v>1948</v>
          </cell>
          <cell r="K7443" t="str">
            <v>MADISON</v>
          </cell>
          <cell r="L7443" t="str">
            <v>Madison</v>
          </cell>
          <cell r="V7443">
            <v>85600</v>
          </cell>
        </row>
        <row r="7444">
          <cell r="B7444">
            <v>1948</v>
          </cell>
          <cell r="K7444" t="str">
            <v>MARION</v>
          </cell>
          <cell r="L7444" t="str">
            <v>Marion</v>
          </cell>
          <cell r="V7444">
            <v>95800</v>
          </cell>
        </row>
        <row r="7445">
          <cell r="B7445">
            <v>1948</v>
          </cell>
          <cell r="K7445" t="str">
            <v>MONROE</v>
          </cell>
          <cell r="L7445" t="str">
            <v>Monroe</v>
          </cell>
          <cell r="V7445">
            <v>40900</v>
          </cell>
        </row>
        <row r="7446">
          <cell r="B7446">
            <v>1948</v>
          </cell>
          <cell r="K7446" t="str">
            <v>RINGGOLD</v>
          </cell>
          <cell r="L7446" t="str">
            <v>Ringgold</v>
          </cell>
          <cell r="V7446">
            <v>64600</v>
          </cell>
        </row>
        <row r="7447">
          <cell r="B7447">
            <v>1948</v>
          </cell>
          <cell r="K7447" t="str">
            <v>UNION</v>
          </cell>
          <cell r="L7447" t="str">
            <v>Union</v>
          </cell>
          <cell r="V7447">
            <v>60000</v>
          </cell>
        </row>
        <row r="7448">
          <cell r="B7448">
            <v>1948</v>
          </cell>
          <cell r="K7448" t="str">
            <v>WARREN</v>
          </cell>
          <cell r="L7448" t="str">
            <v>Warren</v>
          </cell>
          <cell r="V7448">
            <v>88500</v>
          </cell>
        </row>
        <row r="7449">
          <cell r="B7449">
            <v>1948</v>
          </cell>
          <cell r="K7449" t="str">
            <v>WAYNE</v>
          </cell>
          <cell r="L7449" t="str">
            <v>Wayne</v>
          </cell>
          <cell r="V7449">
            <v>61400</v>
          </cell>
        </row>
        <row r="7450">
          <cell r="B7450">
            <v>1948</v>
          </cell>
          <cell r="K7450" t="str">
            <v>DAVIS</v>
          </cell>
          <cell r="L7450" t="str">
            <v>Davis</v>
          </cell>
          <cell r="V7450">
            <v>46800</v>
          </cell>
        </row>
        <row r="7451">
          <cell r="B7451">
            <v>1948</v>
          </cell>
          <cell r="K7451" t="str">
            <v>DES MOINES</v>
          </cell>
          <cell r="L7451" t="str">
            <v>Des Moines</v>
          </cell>
          <cell r="V7451">
            <v>68200</v>
          </cell>
        </row>
        <row r="7452">
          <cell r="B7452">
            <v>1948</v>
          </cell>
          <cell r="K7452" t="str">
            <v>HENRY</v>
          </cell>
          <cell r="L7452" t="str">
            <v>Henry</v>
          </cell>
          <cell r="V7452">
            <v>78300</v>
          </cell>
        </row>
        <row r="7453">
          <cell r="B7453">
            <v>1948</v>
          </cell>
          <cell r="K7453" t="str">
            <v>JEFFERSON</v>
          </cell>
          <cell r="L7453" t="str">
            <v>Jefferson</v>
          </cell>
          <cell r="V7453">
            <v>68800</v>
          </cell>
        </row>
        <row r="7454">
          <cell r="B7454">
            <v>1948</v>
          </cell>
          <cell r="K7454" t="str">
            <v>KEOKUK</v>
          </cell>
          <cell r="L7454" t="str">
            <v>Keokuk</v>
          </cell>
          <cell r="V7454">
            <v>108500</v>
          </cell>
        </row>
        <row r="7455">
          <cell r="B7455">
            <v>1948</v>
          </cell>
          <cell r="K7455" t="str">
            <v>LEE</v>
          </cell>
          <cell r="L7455" t="str">
            <v>Lee</v>
          </cell>
          <cell r="V7455">
            <v>63700</v>
          </cell>
        </row>
        <row r="7456">
          <cell r="B7456">
            <v>1948</v>
          </cell>
          <cell r="K7456" t="str">
            <v>LOUISA</v>
          </cell>
          <cell r="L7456" t="str">
            <v>Louisa</v>
          </cell>
          <cell r="V7456">
            <v>77700</v>
          </cell>
        </row>
        <row r="7457">
          <cell r="B7457">
            <v>1948</v>
          </cell>
          <cell r="K7457" t="str">
            <v>MAHASKA</v>
          </cell>
          <cell r="L7457" t="str">
            <v>Mahaska</v>
          </cell>
          <cell r="V7457">
            <v>118300</v>
          </cell>
        </row>
        <row r="7458">
          <cell r="B7458">
            <v>1948</v>
          </cell>
          <cell r="K7458" t="str">
            <v>VAN BUREN</v>
          </cell>
          <cell r="L7458" t="str">
            <v>Van Buren</v>
          </cell>
          <cell r="V7458">
            <v>47300</v>
          </cell>
        </row>
        <row r="7459">
          <cell r="B7459">
            <v>1948</v>
          </cell>
          <cell r="K7459" t="str">
            <v>WAPELLO</v>
          </cell>
          <cell r="L7459" t="str">
            <v>Wapello</v>
          </cell>
          <cell r="V7459">
            <v>57200</v>
          </cell>
        </row>
        <row r="7460">
          <cell r="B7460">
            <v>1948</v>
          </cell>
          <cell r="K7460" t="str">
            <v>WASHINGTON</v>
          </cell>
          <cell r="L7460" t="str">
            <v>Washington</v>
          </cell>
          <cell r="V7460">
            <v>116900</v>
          </cell>
        </row>
        <row r="7461">
          <cell r="B7461">
            <v>1948</v>
          </cell>
          <cell r="K7461" t="str">
            <v>ADAIR</v>
          </cell>
          <cell r="L7461" t="str">
            <v>Adair</v>
          </cell>
          <cell r="V7461">
            <v>100200</v>
          </cell>
        </row>
        <row r="7462">
          <cell r="B7462">
            <v>1948</v>
          </cell>
          <cell r="K7462" t="str">
            <v>ADAMS</v>
          </cell>
          <cell r="L7462" t="str">
            <v>Adams</v>
          </cell>
          <cell r="V7462">
            <v>64800</v>
          </cell>
        </row>
        <row r="7463">
          <cell r="B7463">
            <v>1948</v>
          </cell>
          <cell r="K7463" t="str">
            <v>CASS</v>
          </cell>
          <cell r="L7463" t="str">
            <v>Cass</v>
          </cell>
          <cell r="V7463">
            <v>110000</v>
          </cell>
        </row>
        <row r="7464">
          <cell r="B7464">
            <v>1948</v>
          </cell>
          <cell r="K7464" t="str">
            <v>FREMONT</v>
          </cell>
          <cell r="L7464" t="str">
            <v>Fremont</v>
          </cell>
          <cell r="V7464">
            <v>136300</v>
          </cell>
        </row>
        <row r="7465">
          <cell r="B7465">
            <v>1948</v>
          </cell>
          <cell r="K7465" t="str">
            <v>MILLS</v>
          </cell>
          <cell r="L7465" t="str">
            <v>Mills</v>
          </cell>
          <cell r="V7465">
            <v>108900</v>
          </cell>
        </row>
        <row r="7466">
          <cell r="B7466">
            <v>1948</v>
          </cell>
          <cell r="K7466" t="str">
            <v>MONTGOMERY</v>
          </cell>
          <cell r="L7466" t="str">
            <v>Montgomery</v>
          </cell>
          <cell r="V7466">
            <v>91400</v>
          </cell>
        </row>
        <row r="7467">
          <cell r="B7467">
            <v>1948</v>
          </cell>
          <cell r="K7467" t="str">
            <v>PAGE</v>
          </cell>
          <cell r="L7467" t="str">
            <v>Page</v>
          </cell>
          <cell r="V7467">
            <v>107800</v>
          </cell>
        </row>
        <row r="7468">
          <cell r="B7468">
            <v>1948</v>
          </cell>
          <cell r="K7468" t="str">
            <v>POTTAWATTAMIE</v>
          </cell>
          <cell r="L7468" t="str">
            <v>Pottawattamie</v>
          </cell>
          <cell r="V7468">
            <v>230800</v>
          </cell>
        </row>
        <row r="7469">
          <cell r="B7469">
            <v>1948</v>
          </cell>
          <cell r="K7469" t="str">
            <v>TAYLOR</v>
          </cell>
          <cell r="L7469" t="str">
            <v>Taylor</v>
          </cell>
          <cell r="V7469">
            <v>76200</v>
          </cell>
        </row>
        <row r="7470">
          <cell r="B7470">
            <v>1948</v>
          </cell>
          <cell r="K7470" t="str">
            <v>AUDUBON</v>
          </cell>
          <cell r="L7470" t="str">
            <v>Audubon</v>
          </cell>
          <cell r="V7470">
            <v>91300</v>
          </cell>
        </row>
        <row r="7471">
          <cell r="B7471">
            <v>1948</v>
          </cell>
          <cell r="K7471" t="str">
            <v>CALHOUN</v>
          </cell>
          <cell r="L7471" t="str">
            <v>Calhoun</v>
          </cell>
          <cell r="V7471">
            <v>150400</v>
          </cell>
        </row>
        <row r="7472">
          <cell r="B7472">
            <v>1948</v>
          </cell>
          <cell r="K7472" t="str">
            <v>CARROLL</v>
          </cell>
          <cell r="L7472" t="str">
            <v>Carroll</v>
          </cell>
          <cell r="V7472">
            <v>140800</v>
          </cell>
        </row>
        <row r="7473">
          <cell r="B7473">
            <v>1948</v>
          </cell>
          <cell r="K7473" t="str">
            <v>CRAWFORD</v>
          </cell>
          <cell r="L7473" t="str">
            <v>Crawford</v>
          </cell>
          <cell r="V7473">
            <v>148900</v>
          </cell>
        </row>
        <row r="7474">
          <cell r="B7474">
            <v>1948</v>
          </cell>
          <cell r="K7474" t="str">
            <v>GREENE</v>
          </cell>
          <cell r="L7474" t="str">
            <v>Greene</v>
          </cell>
          <cell r="V7474">
            <v>161200</v>
          </cell>
        </row>
        <row r="7475">
          <cell r="B7475">
            <v>1948</v>
          </cell>
          <cell r="K7475" t="str">
            <v>GUTHRIE</v>
          </cell>
          <cell r="L7475" t="str">
            <v>Guthrie</v>
          </cell>
          <cell r="V7475">
            <v>112300</v>
          </cell>
        </row>
        <row r="7476">
          <cell r="B7476">
            <v>1948</v>
          </cell>
          <cell r="K7476" t="str">
            <v>HARRISON</v>
          </cell>
          <cell r="L7476" t="str">
            <v>Harrison</v>
          </cell>
          <cell r="V7476">
            <v>174800</v>
          </cell>
        </row>
        <row r="7477">
          <cell r="B7477">
            <v>1948</v>
          </cell>
          <cell r="K7477" t="str">
            <v>IDA</v>
          </cell>
          <cell r="L7477" t="str">
            <v>Ida</v>
          </cell>
          <cell r="V7477">
            <v>101300</v>
          </cell>
        </row>
        <row r="7478">
          <cell r="B7478">
            <v>1948</v>
          </cell>
          <cell r="K7478" t="str">
            <v>MONONA</v>
          </cell>
          <cell r="L7478" t="str">
            <v>Monona</v>
          </cell>
          <cell r="V7478">
            <v>157800</v>
          </cell>
        </row>
        <row r="7479">
          <cell r="B7479">
            <v>1948</v>
          </cell>
          <cell r="K7479" t="str">
            <v>SAC</v>
          </cell>
          <cell r="L7479" t="str">
            <v>Sac</v>
          </cell>
          <cell r="V7479">
            <v>140400</v>
          </cell>
        </row>
        <row r="7480">
          <cell r="B7480">
            <v>1948</v>
          </cell>
          <cell r="K7480" t="str">
            <v>SHELBY</v>
          </cell>
          <cell r="L7480" t="str">
            <v>Shelby</v>
          </cell>
          <cell r="V7480">
            <v>140200</v>
          </cell>
        </row>
        <row r="7481">
          <cell r="B7481">
            <v>1948</v>
          </cell>
          <cell r="K7481" t="str">
            <v>WOODBURY</v>
          </cell>
          <cell r="L7481" t="str">
            <v>Woodbury</v>
          </cell>
          <cell r="V7481">
            <v>204900</v>
          </cell>
        </row>
        <row r="7482">
          <cell r="B7482">
            <v>1947</v>
          </cell>
          <cell r="K7482" t="str">
            <v>BOONE</v>
          </cell>
          <cell r="L7482" t="str">
            <v>Boone</v>
          </cell>
          <cell r="V7482">
            <v>143000</v>
          </cell>
        </row>
        <row r="7483">
          <cell r="B7483">
            <v>1947</v>
          </cell>
          <cell r="K7483" t="str">
            <v>DALLAS</v>
          </cell>
          <cell r="L7483" t="str">
            <v>Dallas</v>
          </cell>
          <cell r="V7483">
            <v>141000</v>
          </cell>
        </row>
        <row r="7484">
          <cell r="B7484">
            <v>1947</v>
          </cell>
          <cell r="K7484" t="str">
            <v>GRUNDY</v>
          </cell>
          <cell r="L7484" t="str">
            <v>Grundy</v>
          </cell>
          <cell r="V7484">
            <v>115000</v>
          </cell>
        </row>
        <row r="7485">
          <cell r="B7485">
            <v>1947</v>
          </cell>
          <cell r="K7485" t="str">
            <v>HAMILTON</v>
          </cell>
          <cell r="L7485" t="str">
            <v>Hamilton</v>
          </cell>
          <cell r="V7485">
            <v>156000</v>
          </cell>
        </row>
        <row r="7486">
          <cell r="B7486">
            <v>1947</v>
          </cell>
          <cell r="K7486" t="str">
            <v>HARDIN</v>
          </cell>
          <cell r="L7486" t="str">
            <v>Hardin</v>
          </cell>
          <cell r="V7486">
            <v>135500</v>
          </cell>
        </row>
        <row r="7487">
          <cell r="B7487">
            <v>1947</v>
          </cell>
          <cell r="K7487" t="str">
            <v>JASPER</v>
          </cell>
          <cell r="L7487" t="str">
            <v>Jasper</v>
          </cell>
          <cell r="V7487">
            <v>144600</v>
          </cell>
        </row>
        <row r="7488">
          <cell r="B7488">
            <v>1947</v>
          </cell>
          <cell r="K7488" t="str">
            <v>MARSHALL</v>
          </cell>
          <cell r="L7488" t="str">
            <v>Marshall</v>
          </cell>
          <cell r="V7488">
            <v>124000</v>
          </cell>
        </row>
        <row r="7489">
          <cell r="B7489">
            <v>1947</v>
          </cell>
          <cell r="K7489" t="str">
            <v>POLK</v>
          </cell>
          <cell r="L7489" t="str">
            <v>Polk</v>
          </cell>
          <cell r="V7489">
            <v>109500</v>
          </cell>
        </row>
        <row r="7490">
          <cell r="B7490">
            <v>1947</v>
          </cell>
          <cell r="K7490" t="str">
            <v>POWESHIEK</v>
          </cell>
          <cell r="L7490" t="str">
            <v>Poweshiek</v>
          </cell>
          <cell r="V7490">
            <v>115000</v>
          </cell>
        </row>
        <row r="7491">
          <cell r="B7491">
            <v>1947</v>
          </cell>
          <cell r="K7491" t="str">
            <v>STORY</v>
          </cell>
          <cell r="L7491" t="str">
            <v>Story</v>
          </cell>
          <cell r="V7491">
            <v>155000</v>
          </cell>
        </row>
        <row r="7492">
          <cell r="B7492">
            <v>1947</v>
          </cell>
          <cell r="K7492" t="str">
            <v>TAMA</v>
          </cell>
          <cell r="L7492" t="str">
            <v>Tama</v>
          </cell>
          <cell r="V7492">
            <v>138000</v>
          </cell>
        </row>
        <row r="7493">
          <cell r="B7493">
            <v>1947</v>
          </cell>
          <cell r="K7493" t="str">
            <v>WEBSTER</v>
          </cell>
          <cell r="L7493" t="str">
            <v>Webster</v>
          </cell>
          <cell r="V7493">
            <v>179000</v>
          </cell>
        </row>
        <row r="7494">
          <cell r="B7494">
            <v>1947</v>
          </cell>
          <cell r="K7494" t="str">
            <v>BENTON</v>
          </cell>
          <cell r="L7494" t="str">
            <v>Benton</v>
          </cell>
          <cell r="V7494">
            <v>153000</v>
          </cell>
        </row>
        <row r="7495">
          <cell r="B7495">
            <v>1947</v>
          </cell>
          <cell r="K7495" t="str">
            <v>CEDAR</v>
          </cell>
          <cell r="L7495" t="str">
            <v>Cedar</v>
          </cell>
          <cell r="V7495">
            <v>125000</v>
          </cell>
        </row>
        <row r="7496">
          <cell r="B7496">
            <v>1947</v>
          </cell>
          <cell r="K7496" t="str">
            <v>CLINTON</v>
          </cell>
          <cell r="L7496" t="str">
            <v>Clinton</v>
          </cell>
          <cell r="V7496">
            <v>144000</v>
          </cell>
        </row>
        <row r="7497">
          <cell r="B7497">
            <v>1947</v>
          </cell>
          <cell r="K7497" t="str">
            <v>IOWA</v>
          </cell>
          <cell r="L7497" t="str">
            <v>Iowa</v>
          </cell>
          <cell r="V7497">
            <v>109000</v>
          </cell>
        </row>
        <row r="7498">
          <cell r="B7498">
            <v>1947</v>
          </cell>
          <cell r="K7498" t="str">
            <v>JACKSON</v>
          </cell>
          <cell r="L7498" t="str">
            <v>Jackson</v>
          </cell>
          <cell r="V7498">
            <v>71000</v>
          </cell>
        </row>
        <row r="7499">
          <cell r="B7499">
            <v>1947</v>
          </cell>
          <cell r="K7499" t="str">
            <v>JOHNSON</v>
          </cell>
          <cell r="L7499" t="str">
            <v>Johnson</v>
          </cell>
          <cell r="V7499">
            <v>111000</v>
          </cell>
        </row>
        <row r="7500">
          <cell r="B7500">
            <v>1947</v>
          </cell>
          <cell r="K7500" t="str">
            <v>JONES</v>
          </cell>
          <cell r="L7500" t="str">
            <v>Jones</v>
          </cell>
          <cell r="V7500">
            <v>93000</v>
          </cell>
        </row>
        <row r="7501">
          <cell r="B7501">
            <v>1947</v>
          </cell>
          <cell r="K7501" t="str">
            <v>LINN</v>
          </cell>
          <cell r="L7501" t="str">
            <v>Linn</v>
          </cell>
          <cell r="V7501">
            <v>130000</v>
          </cell>
        </row>
        <row r="7502">
          <cell r="B7502">
            <v>1947</v>
          </cell>
          <cell r="K7502" t="str">
            <v>MUSCATINE</v>
          </cell>
          <cell r="L7502" t="str">
            <v>Muscatine</v>
          </cell>
          <cell r="V7502">
            <v>82000</v>
          </cell>
        </row>
        <row r="7503">
          <cell r="B7503">
            <v>1947</v>
          </cell>
          <cell r="K7503" t="str">
            <v>SCOTT</v>
          </cell>
          <cell r="L7503" t="str">
            <v>Scott</v>
          </cell>
          <cell r="V7503">
            <v>89000</v>
          </cell>
        </row>
        <row r="7504">
          <cell r="B7504">
            <v>1947</v>
          </cell>
          <cell r="K7504" t="str">
            <v>BUTLER</v>
          </cell>
          <cell r="L7504" t="str">
            <v>Butler</v>
          </cell>
          <cell r="V7504">
            <v>123000</v>
          </cell>
        </row>
        <row r="7505">
          <cell r="B7505">
            <v>1947</v>
          </cell>
          <cell r="K7505" t="str">
            <v>CERRO GORDO</v>
          </cell>
          <cell r="L7505" t="str">
            <v>Cerro Gordo</v>
          </cell>
          <cell r="V7505">
            <v>127500</v>
          </cell>
        </row>
        <row r="7506">
          <cell r="B7506">
            <v>1947</v>
          </cell>
          <cell r="K7506" t="str">
            <v>FLOYD</v>
          </cell>
          <cell r="L7506" t="str">
            <v>Floyd</v>
          </cell>
          <cell r="V7506">
            <v>104500</v>
          </cell>
        </row>
        <row r="7507">
          <cell r="B7507">
            <v>1947</v>
          </cell>
          <cell r="K7507" t="str">
            <v>FRANKLIN</v>
          </cell>
          <cell r="L7507" t="str">
            <v>Franklin</v>
          </cell>
          <cell r="V7507">
            <v>144000</v>
          </cell>
        </row>
        <row r="7508">
          <cell r="B7508">
            <v>1947</v>
          </cell>
          <cell r="K7508" t="str">
            <v>HANCOCK</v>
          </cell>
          <cell r="L7508" t="str">
            <v>Hancock</v>
          </cell>
          <cell r="V7508">
            <v>135000</v>
          </cell>
        </row>
        <row r="7509">
          <cell r="B7509">
            <v>1947</v>
          </cell>
          <cell r="K7509" t="str">
            <v>HUMBOLDT</v>
          </cell>
          <cell r="L7509" t="str">
            <v>Humboldt</v>
          </cell>
          <cell r="V7509">
            <v>117000</v>
          </cell>
        </row>
        <row r="7510">
          <cell r="B7510">
            <v>1947</v>
          </cell>
          <cell r="K7510" t="str">
            <v>KOSSUTH</v>
          </cell>
          <cell r="L7510" t="str">
            <v>Kossuth</v>
          </cell>
          <cell r="V7510">
            <v>241300</v>
          </cell>
        </row>
        <row r="7511">
          <cell r="B7511">
            <v>1947</v>
          </cell>
          <cell r="K7511" t="str">
            <v>MITCHELL</v>
          </cell>
          <cell r="L7511" t="str">
            <v>Mitchell</v>
          </cell>
          <cell r="V7511">
            <v>89000</v>
          </cell>
        </row>
        <row r="7512">
          <cell r="B7512">
            <v>1947</v>
          </cell>
          <cell r="K7512" t="str">
            <v>WINNEBAGO</v>
          </cell>
          <cell r="L7512" t="str">
            <v>Winnebago</v>
          </cell>
          <cell r="V7512">
            <v>90000</v>
          </cell>
        </row>
        <row r="7513">
          <cell r="B7513">
            <v>1947</v>
          </cell>
          <cell r="K7513" t="str">
            <v>WORTH</v>
          </cell>
          <cell r="L7513" t="str">
            <v>Worth</v>
          </cell>
          <cell r="V7513">
            <v>74000</v>
          </cell>
        </row>
        <row r="7514">
          <cell r="B7514">
            <v>1947</v>
          </cell>
          <cell r="K7514" t="str">
            <v>WRIGHT</v>
          </cell>
          <cell r="L7514" t="str">
            <v>Wright</v>
          </cell>
          <cell r="V7514">
            <v>152000</v>
          </cell>
        </row>
        <row r="7515">
          <cell r="B7515">
            <v>1947</v>
          </cell>
          <cell r="K7515" t="str">
            <v>ALLAMAKEE</v>
          </cell>
          <cell r="L7515" t="str">
            <v>Allamakee</v>
          </cell>
          <cell r="V7515">
            <v>55000</v>
          </cell>
        </row>
        <row r="7516">
          <cell r="B7516">
            <v>1947</v>
          </cell>
          <cell r="K7516" t="str">
            <v>BLACK HAWK</v>
          </cell>
          <cell r="L7516" t="str">
            <v>Black Hawk</v>
          </cell>
          <cell r="V7516">
            <v>111000</v>
          </cell>
        </row>
        <row r="7517">
          <cell r="B7517">
            <v>1947</v>
          </cell>
          <cell r="K7517" t="str">
            <v>BREMER</v>
          </cell>
          <cell r="L7517" t="str">
            <v>Bremer</v>
          </cell>
          <cell r="V7517">
            <v>77000</v>
          </cell>
        </row>
        <row r="7518">
          <cell r="B7518">
            <v>1947</v>
          </cell>
          <cell r="K7518" t="str">
            <v>BUCHANAN</v>
          </cell>
          <cell r="L7518" t="str">
            <v>Buchanan</v>
          </cell>
          <cell r="V7518">
            <v>107000</v>
          </cell>
        </row>
        <row r="7519">
          <cell r="B7519">
            <v>1947</v>
          </cell>
          <cell r="K7519" t="str">
            <v>CHICKASAW</v>
          </cell>
          <cell r="L7519" t="str">
            <v>Chickasaw</v>
          </cell>
          <cell r="V7519">
            <v>83000</v>
          </cell>
        </row>
        <row r="7520">
          <cell r="B7520">
            <v>1947</v>
          </cell>
          <cell r="K7520" t="str">
            <v>CLAYTON</v>
          </cell>
          <cell r="L7520" t="str">
            <v>Clayton</v>
          </cell>
          <cell r="V7520">
            <v>88000</v>
          </cell>
        </row>
        <row r="7521">
          <cell r="B7521">
            <v>1947</v>
          </cell>
          <cell r="K7521" t="str">
            <v>DELAWARE</v>
          </cell>
          <cell r="L7521" t="str">
            <v>Delaware</v>
          </cell>
          <cell r="V7521">
            <v>102000</v>
          </cell>
        </row>
        <row r="7522">
          <cell r="B7522">
            <v>1947</v>
          </cell>
          <cell r="K7522" t="str">
            <v>DUBUQUE</v>
          </cell>
          <cell r="L7522" t="str">
            <v>Dubuque</v>
          </cell>
          <cell r="V7522">
            <v>76000</v>
          </cell>
        </row>
        <row r="7523">
          <cell r="B7523">
            <v>1947</v>
          </cell>
          <cell r="K7523" t="str">
            <v>FAYETTE</v>
          </cell>
          <cell r="L7523" t="str">
            <v>Fayette</v>
          </cell>
          <cell r="V7523">
            <v>111000</v>
          </cell>
        </row>
        <row r="7524">
          <cell r="B7524">
            <v>1947</v>
          </cell>
          <cell r="K7524" t="str">
            <v>HOWARD</v>
          </cell>
          <cell r="L7524" t="str">
            <v>Howard</v>
          </cell>
          <cell r="V7524">
            <v>71000</v>
          </cell>
        </row>
        <row r="7525">
          <cell r="B7525">
            <v>1947</v>
          </cell>
          <cell r="K7525" t="str">
            <v>WINNESHIEK</v>
          </cell>
          <cell r="L7525" t="str">
            <v>Winneshiek</v>
          </cell>
          <cell r="V7525">
            <v>96000</v>
          </cell>
        </row>
        <row r="7526">
          <cell r="B7526">
            <v>1947</v>
          </cell>
          <cell r="K7526" t="str">
            <v>BUENA VISTA</v>
          </cell>
          <cell r="L7526" t="str">
            <v>Buena Vista</v>
          </cell>
          <cell r="V7526">
            <v>141000</v>
          </cell>
        </row>
        <row r="7527">
          <cell r="B7527">
            <v>1947</v>
          </cell>
          <cell r="K7527" t="str">
            <v>CHEROKEE</v>
          </cell>
          <cell r="L7527" t="str">
            <v>Cherokee</v>
          </cell>
          <cell r="V7527">
            <v>129000</v>
          </cell>
        </row>
        <row r="7528">
          <cell r="B7528">
            <v>1947</v>
          </cell>
          <cell r="K7528" t="str">
            <v>CLAY</v>
          </cell>
          <cell r="L7528" t="str">
            <v>Clay</v>
          </cell>
          <cell r="V7528">
            <v>137000</v>
          </cell>
        </row>
        <row r="7529">
          <cell r="B7529">
            <v>1947</v>
          </cell>
          <cell r="K7529" t="str">
            <v>DICKINSON</v>
          </cell>
          <cell r="L7529" t="str">
            <v>Dickinson</v>
          </cell>
          <cell r="V7529">
            <v>86000</v>
          </cell>
        </row>
        <row r="7530">
          <cell r="B7530">
            <v>1947</v>
          </cell>
          <cell r="K7530" t="str">
            <v>EMMET</v>
          </cell>
          <cell r="L7530" t="str">
            <v>Emmet</v>
          </cell>
          <cell r="V7530">
            <v>90000</v>
          </cell>
        </row>
        <row r="7531">
          <cell r="B7531">
            <v>1947</v>
          </cell>
          <cell r="K7531" t="str">
            <v>LYON</v>
          </cell>
          <cell r="L7531" t="str">
            <v>Lyon</v>
          </cell>
          <cell r="V7531">
            <v>140500</v>
          </cell>
        </row>
        <row r="7532">
          <cell r="B7532">
            <v>1947</v>
          </cell>
          <cell r="K7532" t="str">
            <v>O BRIEN</v>
          </cell>
          <cell r="L7532" t="str">
            <v>O Brien</v>
          </cell>
          <cell r="V7532">
            <v>129800</v>
          </cell>
        </row>
        <row r="7533">
          <cell r="B7533">
            <v>1947</v>
          </cell>
          <cell r="K7533" t="str">
            <v>OSCEOLA</v>
          </cell>
          <cell r="L7533" t="str">
            <v>Osceola</v>
          </cell>
          <cell r="V7533">
            <v>97000</v>
          </cell>
        </row>
        <row r="7534">
          <cell r="B7534">
            <v>1947</v>
          </cell>
          <cell r="K7534" t="str">
            <v>PALO ALTO</v>
          </cell>
          <cell r="L7534" t="str">
            <v>Palo Alto</v>
          </cell>
          <cell r="V7534">
            <v>145000</v>
          </cell>
        </row>
        <row r="7535">
          <cell r="B7535">
            <v>1947</v>
          </cell>
          <cell r="K7535" t="str">
            <v>PLYMOUTH</v>
          </cell>
          <cell r="L7535" t="str">
            <v>Plymouth</v>
          </cell>
          <cell r="V7535">
            <v>208500</v>
          </cell>
        </row>
        <row r="7536">
          <cell r="B7536">
            <v>1947</v>
          </cell>
          <cell r="K7536" t="str">
            <v>POCAHONTAS</v>
          </cell>
          <cell r="L7536" t="str">
            <v>Pocahontas</v>
          </cell>
          <cell r="V7536">
            <v>150000</v>
          </cell>
        </row>
        <row r="7537">
          <cell r="B7537">
            <v>1947</v>
          </cell>
          <cell r="K7537" t="str">
            <v>SIOUX</v>
          </cell>
          <cell r="L7537" t="str">
            <v>Sioux</v>
          </cell>
          <cell r="V7537">
            <v>196000</v>
          </cell>
        </row>
        <row r="7538">
          <cell r="B7538">
            <v>1947</v>
          </cell>
          <cell r="K7538" t="str">
            <v>APPANOOSE</v>
          </cell>
          <cell r="L7538" t="str">
            <v>Appanoose</v>
          </cell>
          <cell r="V7538">
            <v>34500</v>
          </cell>
        </row>
        <row r="7539">
          <cell r="B7539">
            <v>1947</v>
          </cell>
          <cell r="K7539" t="str">
            <v>CLARKE</v>
          </cell>
          <cell r="L7539" t="str">
            <v>Clarke</v>
          </cell>
          <cell r="V7539">
            <v>50000</v>
          </cell>
        </row>
        <row r="7540">
          <cell r="B7540">
            <v>1947</v>
          </cell>
          <cell r="K7540" t="str">
            <v>DECATUR</v>
          </cell>
          <cell r="L7540" t="str">
            <v>Decatur</v>
          </cell>
          <cell r="V7540">
            <v>50000</v>
          </cell>
        </row>
        <row r="7541">
          <cell r="B7541">
            <v>1947</v>
          </cell>
          <cell r="K7541" t="str">
            <v>LUCAS</v>
          </cell>
          <cell r="L7541" t="str">
            <v>Lucas</v>
          </cell>
          <cell r="V7541">
            <v>39000</v>
          </cell>
        </row>
        <row r="7542">
          <cell r="B7542">
            <v>1947</v>
          </cell>
          <cell r="K7542" t="str">
            <v>MADISON</v>
          </cell>
          <cell r="L7542" t="str">
            <v>Madison</v>
          </cell>
          <cell r="V7542">
            <v>79000</v>
          </cell>
        </row>
        <row r="7543">
          <cell r="B7543">
            <v>1947</v>
          </cell>
          <cell r="K7543" t="str">
            <v>MARION</v>
          </cell>
          <cell r="L7543" t="str">
            <v>Marion</v>
          </cell>
          <cell r="V7543">
            <v>83000</v>
          </cell>
        </row>
        <row r="7544">
          <cell r="B7544">
            <v>1947</v>
          </cell>
          <cell r="K7544" t="str">
            <v>MONROE</v>
          </cell>
          <cell r="L7544" t="str">
            <v>Monroe</v>
          </cell>
          <cell r="V7544">
            <v>36500</v>
          </cell>
        </row>
        <row r="7545">
          <cell r="B7545">
            <v>1947</v>
          </cell>
          <cell r="K7545" t="str">
            <v>RINGGOLD</v>
          </cell>
          <cell r="L7545" t="str">
            <v>Ringgold</v>
          </cell>
          <cell r="V7545">
            <v>64000</v>
          </cell>
        </row>
        <row r="7546">
          <cell r="B7546">
            <v>1947</v>
          </cell>
          <cell r="K7546" t="str">
            <v>UNION</v>
          </cell>
          <cell r="L7546" t="str">
            <v>Union</v>
          </cell>
          <cell r="V7546">
            <v>58000</v>
          </cell>
        </row>
        <row r="7547">
          <cell r="B7547">
            <v>1947</v>
          </cell>
          <cell r="K7547" t="str">
            <v>WARREN</v>
          </cell>
          <cell r="L7547" t="str">
            <v>Warren</v>
          </cell>
          <cell r="V7547">
            <v>78000</v>
          </cell>
        </row>
        <row r="7548">
          <cell r="B7548">
            <v>1947</v>
          </cell>
          <cell r="K7548" t="str">
            <v>WAYNE</v>
          </cell>
          <cell r="L7548" t="str">
            <v>Wayne</v>
          </cell>
          <cell r="V7548">
            <v>56000</v>
          </cell>
        </row>
        <row r="7549">
          <cell r="B7549">
            <v>1947</v>
          </cell>
          <cell r="K7549" t="str">
            <v>DAVIS</v>
          </cell>
          <cell r="L7549" t="str">
            <v>Davis</v>
          </cell>
          <cell r="V7549">
            <v>39000</v>
          </cell>
        </row>
        <row r="7550">
          <cell r="B7550">
            <v>1947</v>
          </cell>
          <cell r="K7550" t="str">
            <v>DES MOINES</v>
          </cell>
          <cell r="L7550" t="str">
            <v>Des Moines</v>
          </cell>
          <cell r="V7550">
            <v>64000</v>
          </cell>
        </row>
        <row r="7551">
          <cell r="B7551">
            <v>1947</v>
          </cell>
          <cell r="K7551" t="str">
            <v>HENRY</v>
          </cell>
          <cell r="L7551" t="str">
            <v>Henry</v>
          </cell>
          <cell r="V7551">
            <v>73000</v>
          </cell>
        </row>
        <row r="7552">
          <cell r="B7552">
            <v>1947</v>
          </cell>
          <cell r="K7552" t="str">
            <v>JEFFERSON</v>
          </cell>
          <cell r="L7552" t="str">
            <v>Jefferson</v>
          </cell>
          <cell r="V7552">
            <v>62000</v>
          </cell>
        </row>
        <row r="7553">
          <cell r="B7553">
            <v>1947</v>
          </cell>
          <cell r="K7553" t="str">
            <v>KEOKUK</v>
          </cell>
          <cell r="L7553" t="str">
            <v>Keokuk</v>
          </cell>
          <cell r="V7553">
            <v>100500</v>
          </cell>
        </row>
        <row r="7554">
          <cell r="B7554">
            <v>1947</v>
          </cell>
          <cell r="K7554" t="str">
            <v>LEE</v>
          </cell>
          <cell r="L7554" t="str">
            <v>Lee</v>
          </cell>
          <cell r="V7554">
            <v>47000</v>
          </cell>
        </row>
        <row r="7555">
          <cell r="B7555">
            <v>1947</v>
          </cell>
          <cell r="K7555" t="str">
            <v>LOUISA</v>
          </cell>
          <cell r="L7555" t="str">
            <v>Louisa</v>
          </cell>
          <cell r="V7555">
            <v>72000</v>
          </cell>
        </row>
        <row r="7556">
          <cell r="B7556">
            <v>1947</v>
          </cell>
          <cell r="K7556" t="str">
            <v>MAHASKA</v>
          </cell>
          <cell r="L7556" t="str">
            <v>Mahaska</v>
          </cell>
          <cell r="V7556">
            <v>105000</v>
          </cell>
        </row>
        <row r="7557">
          <cell r="B7557">
            <v>1947</v>
          </cell>
          <cell r="K7557" t="str">
            <v>VAN BUREN</v>
          </cell>
          <cell r="L7557" t="str">
            <v>Van Buren</v>
          </cell>
          <cell r="V7557">
            <v>38000</v>
          </cell>
        </row>
        <row r="7558">
          <cell r="B7558">
            <v>1947</v>
          </cell>
          <cell r="K7558" t="str">
            <v>WAPELLO</v>
          </cell>
          <cell r="L7558" t="str">
            <v>Wapello</v>
          </cell>
          <cell r="V7558">
            <v>48500</v>
          </cell>
        </row>
        <row r="7559">
          <cell r="B7559">
            <v>1947</v>
          </cell>
          <cell r="K7559" t="str">
            <v>WASHINGTON</v>
          </cell>
          <cell r="L7559" t="str">
            <v>Washington</v>
          </cell>
          <cell r="V7559">
            <v>113000</v>
          </cell>
        </row>
        <row r="7560">
          <cell r="B7560">
            <v>1947</v>
          </cell>
          <cell r="K7560" t="str">
            <v>ADAIR</v>
          </cell>
          <cell r="L7560" t="str">
            <v>Adair</v>
          </cell>
          <cell r="V7560">
            <v>98000</v>
          </cell>
        </row>
        <row r="7561">
          <cell r="B7561">
            <v>1947</v>
          </cell>
          <cell r="K7561" t="str">
            <v>ADAMS</v>
          </cell>
          <cell r="L7561" t="str">
            <v>Adams</v>
          </cell>
          <cell r="V7561">
            <v>67000</v>
          </cell>
        </row>
        <row r="7562">
          <cell r="B7562">
            <v>1947</v>
          </cell>
          <cell r="K7562" t="str">
            <v>CASS</v>
          </cell>
          <cell r="L7562" t="str">
            <v>Cass</v>
          </cell>
          <cell r="V7562">
            <v>111000</v>
          </cell>
        </row>
        <row r="7563">
          <cell r="B7563">
            <v>1947</v>
          </cell>
          <cell r="K7563" t="str">
            <v>FREMONT</v>
          </cell>
          <cell r="L7563" t="str">
            <v>Fremont</v>
          </cell>
          <cell r="V7563">
            <v>128000</v>
          </cell>
        </row>
        <row r="7564">
          <cell r="B7564">
            <v>1947</v>
          </cell>
          <cell r="K7564" t="str">
            <v>MILLS</v>
          </cell>
          <cell r="L7564" t="str">
            <v>Mills</v>
          </cell>
          <cell r="V7564">
            <v>108000</v>
          </cell>
        </row>
        <row r="7565">
          <cell r="B7565">
            <v>1947</v>
          </cell>
          <cell r="K7565" t="str">
            <v>MONTGOMERY</v>
          </cell>
          <cell r="L7565" t="str">
            <v>Montgomery</v>
          </cell>
          <cell r="V7565">
            <v>93000</v>
          </cell>
        </row>
        <row r="7566">
          <cell r="B7566">
            <v>1947</v>
          </cell>
          <cell r="K7566" t="str">
            <v>PAGE</v>
          </cell>
          <cell r="L7566" t="str">
            <v>Page</v>
          </cell>
          <cell r="V7566">
            <v>111000</v>
          </cell>
        </row>
        <row r="7567">
          <cell r="B7567">
            <v>1947</v>
          </cell>
          <cell r="K7567" t="str">
            <v>POTTAWATTAMIE</v>
          </cell>
          <cell r="L7567" t="str">
            <v>Pottawattamie</v>
          </cell>
          <cell r="V7567">
            <v>227500</v>
          </cell>
        </row>
        <row r="7568">
          <cell r="B7568">
            <v>1947</v>
          </cell>
          <cell r="K7568" t="str">
            <v>TAYLOR</v>
          </cell>
          <cell r="L7568" t="str">
            <v>Taylor</v>
          </cell>
          <cell r="V7568">
            <v>78000</v>
          </cell>
        </row>
        <row r="7569">
          <cell r="B7569">
            <v>1947</v>
          </cell>
          <cell r="K7569" t="str">
            <v>AUDUBON</v>
          </cell>
          <cell r="L7569" t="str">
            <v>Audubon</v>
          </cell>
          <cell r="V7569">
            <v>90000</v>
          </cell>
        </row>
        <row r="7570">
          <cell r="B7570">
            <v>1947</v>
          </cell>
          <cell r="K7570" t="str">
            <v>CALHOUN</v>
          </cell>
          <cell r="L7570" t="str">
            <v>Calhoun</v>
          </cell>
          <cell r="V7570">
            <v>147000</v>
          </cell>
        </row>
        <row r="7571">
          <cell r="B7571">
            <v>1947</v>
          </cell>
          <cell r="K7571" t="str">
            <v>CARROLL</v>
          </cell>
          <cell r="L7571" t="str">
            <v>Carroll</v>
          </cell>
          <cell r="V7571">
            <v>139300</v>
          </cell>
        </row>
        <row r="7572">
          <cell r="B7572">
            <v>1947</v>
          </cell>
          <cell r="K7572" t="str">
            <v>CRAWFORD</v>
          </cell>
          <cell r="L7572" t="str">
            <v>Crawford</v>
          </cell>
          <cell r="V7572">
            <v>154000</v>
          </cell>
        </row>
        <row r="7573">
          <cell r="B7573">
            <v>1947</v>
          </cell>
          <cell r="K7573" t="str">
            <v>GREENE</v>
          </cell>
          <cell r="L7573" t="str">
            <v>Greene</v>
          </cell>
          <cell r="V7573">
            <v>163000</v>
          </cell>
        </row>
        <row r="7574">
          <cell r="B7574">
            <v>1947</v>
          </cell>
          <cell r="K7574" t="str">
            <v>GUTHRIE</v>
          </cell>
          <cell r="L7574" t="str">
            <v>Guthrie</v>
          </cell>
          <cell r="V7574">
            <v>112000</v>
          </cell>
        </row>
        <row r="7575">
          <cell r="B7575">
            <v>1947</v>
          </cell>
          <cell r="K7575" t="str">
            <v>HARRISON</v>
          </cell>
          <cell r="L7575" t="str">
            <v>Harrison</v>
          </cell>
          <cell r="V7575">
            <v>174000</v>
          </cell>
        </row>
        <row r="7576">
          <cell r="B7576">
            <v>1947</v>
          </cell>
          <cell r="K7576" t="str">
            <v>IDA</v>
          </cell>
          <cell r="L7576" t="str">
            <v>Ida</v>
          </cell>
          <cell r="V7576">
            <v>105000</v>
          </cell>
        </row>
        <row r="7577">
          <cell r="B7577">
            <v>1947</v>
          </cell>
          <cell r="K7577" t="str">
            <v>MONONA</v>
          </cell>
          <cell r="L7577" t="str">
            <v>Monona</v>
          </cell>
          <cell r="V7577">
            <v>158000</v>
          </cell>
        </row>
        <row r="7578">
          <cell r="B7578">
            <v>1947</v>
          </cell>
          <cell r="K7578" t="str">
            <v>SAC</v>
          </cell>
          <cell r="L7578" t="str">
            <v>Sac</v>
          </cell>
          <cell r="V7578">
            <v>145000</v>
          </cell>
        </row>
        <row r="7579">
          <cell r="B7579">
            <v>1947</v>
          </cell>
          <cell r="K7579" t="str">
            <v>SHELBY</v>
          </cell>
          <cell r="L7579" t="str">
            <v>Shelby</v>
          </cell>
          <cell r="V7579">
            <v>144000</v>
          </cell>
        </row>
        <row r="7580">
          <cell r="B7580">
            <v>1947</v>
          </cell>
          <cell r="K7580" t="str">
            <v>WOODBURY</v>
          </cell>
          <cell r="L7580" t="str">
            <v>Woodbury</v>
          </cell>
          <cell r="V7580">
            <v>205500</v>
          </cell>
        </row>
        <row r="7581">
          <cell r="B7581">
            <v>1946</v>
          </cell>
          <cell r="K7581" t="str">
            <v>BOONE</v>
          </cell>
          <cell r="L7581" t="str">
            <v>Boone</v>
          </cell>
          <cell r="V7581">
            <v>146400</v>
          </cell>
        </row>
        <row r="7582">
          <cell r="B7582">
            <v>1946</v>
          </cell>
          <cell r="K7582" t="str">
            <v>DALLAS</v>
          </cell>
          <cell r="L7582" t="str">
            <v>Dallas</v>
          </cell>
          <cell r="V7582">
            <v>148500</v>
          </cell>
        </row>
        <row r="7583">
          <cell r="B7583">
            <v>1946</v>
          </cell>
          <cell r="K7583" t="str">
            <v>GRUNDY</v>
          </cell>
          <cell r="L7583" t="str">
            <v>Grundy</v>
          </cell>
          <cell r="V7583">
            <v>116100</v>
          </cell>
        </row>
        <row r="7584">
          <cell r="B7584">
            <v>1946</v>
          </cell>
          <cell r="K7584" t="str">
            <v>HAMILTON</v>
          </cell>
          <cell r="L7584" t="str">
            <v>Hamilton</v>
          </cell>
          <cell r="V7584">
            <v>158100</v>
          </cell>
        </row>
        <row r="7585">
          <cell r="B7585">
            <v>1946</v>
          </cell>
          <cell r="K7585" t="str">
            <v>HARDIN</v>
          </cell>
          <cell r="L7585" t="str">
            <v>Hardin</v>
          </cell>
          <cell r="V7585">
            <v>138100</v>
          </cell>
        </row>
        <row r="7586">
          <cell r="B7586">
            <v>1946</v>
          </cell>
          <cell r="K7586" t="str">
            <v>JASPER</v>
          </cell>
          <cell r="L7586" t="str">
            <v>Jasper</v>
          </cell>
          <cell r="V7586">
            <v>148900</v>
          </cell>
        </row>
        <row r="7587">
          <cell r="B7587">
            <v>1946</v>
          </cell>
          <cell r="K7587" t="str">
            <v>MARSHALL</v>
          </cell>
          <cell r="L7587" t="str">
            <v>Marshall</v>
          </cell>
          <cell r="V7587">
            <v>125800</v>
          </cell>
        </row>
        <row r="7588">
          <cell r="B7588">
            <v>1946</v>
          </cell>
          <cell r="K7588" t="str">
            <v>POLK</v>
          </cell>
          <cell r="L7588" t="str">
            <v>Polk</v>
          </cell>
          <cell r="V7588">
            <v>121600</v>
          </cell>
        </row>
        <row r="7589">
          <cell r="B7589">
            <v>1946</v>
          </cell>
          <cell r="K7589" t="str">
            <v>POWESHIEK</v>
          </cell>
          <cell r="L7589" t="str">
            <v>Poweshiek</v>
          </cell>
          <cell r="V7589">
            <v>113900</v>
          </cell>
        </row>
        <row r="7590">
          <cell r="B7590">
            <v>1946</v>
          </cell>
          <cell r="K7590" t="str">
            <v>STORY</v>
          </cell>
          <cell r="L7590" t="str">
            <v>Story</v>
          </cell>
          <cell r="V7590">
            <v>154200</v>
          </cell>
        </row>
        <row r="7591">
          <cell r="B7591">
            <v>1946</v>
          </cell>
          <cell r="K7591" t="str">
            <v>TAMA</v>
          </cell>
          <cell r="L7591" t="str">
            <v>Tama</v>
          </cell>
          <cell r="V7591">
            <v>137800</v>
          </cell>
        </row>
        <row r="7592">
          <cell r="B7592">
            <v>1946</v>
          </cell>
          <cell r="K7592" t="str">
            <v>WEBSTER</v>
          </cell>
          <cell r="L7592" t="str">
            <v>Webster</v>
          </cell>
          <cell r="V7592">
            <v>183100</v>
          </cell>
        </row>
        <row r="7593">
          <cell r="B7593">
            <v>1946</v>
          </cell>
          <cell r="K7593" t="str">
            <v>BENTON</v>
          </cell>
          <cell r="L7593" t="str">
            <v>Benton</v>
          </cell>
          <cell r="V7593">
            <v>152700</v>
          </cell>
        </row>
        <row r="7594">
          <cell r="B7594">
            <v>1946</v>
          </cell>
          <cell r="K7594" t="str">
            <v>CEDAR</v>
          </cell>
          <cell r="L7594" t="str">
            <v>Cedar</v>
          </cell>
          <cell r="V7594">
            <v>119400</v>
          </cell>
        </row>
        <row r="7595">
          <cell r="B7595">
            <v>1946</v>
          </cell>
          <cell r="K7595" t="str">
            <v>CLINTON</v>
          </cell>
          <cell r="L7595" t="str">
            <v>Clinton</v>
          </cell>
          <cell r="V7595">
            <v>143900</v>
          </cell>
        </row>
        <row r="7596">
          <cell r="B7596">
            <v>1946</v>
          </cell>
          <cell r="K7596" t="str">
            <v>IOWA</v>
          </cell>
          <cell r="L7596" t="str">
            <v>Iowa</v>
          </cell>
          <cell r="V7596">
            <v>110900</v>
          </cell>
        </row>
        <row r="7597">
          <cell r="B7597">
            <v>1946</v>
          </cell>
          <cell r="K7597" t="str">
            <v>JACKSON</v>
          </cell>
          <cell r="L7597" t="str">
            <v>Jackson</v>
          </cell>
          <cell r="V7597">
            <v>72200</v>
          </cell>
        </row>
        <row r="7598">
          <cell r="B7598">
            <v>1946</v>
          </cell>
          <cell r="K7598" t="str">
            <v>JOHNSON</v>
          </cell>
          <cell r="L7598" t="str">
            <v>Johnson</v>
          </cell>
          <cell r="V7598">
            <v>114900</v>
          </cell>
        </row>
        <row r="7599">
          <cell r="B7599">
            <v>1946</v>
          </cell>
          <cell r="K7599" t="str">
            <v>JONES</v>
          </cell>
          <cell r="L7599" t="str">
            <v>Jones</v>
          </cell>
          <cell r="V7599">
            <v>92700</v>
          </cell>
        </row>
        <row r="7600">
          <cell r="B7600">
            <v>1946</v>
          </cell>
          <cell r="K7600" t="str">
            <v>LINN</v>
          </cell>
          <cell r="L7600" t="str">
            <v>Linn</v>
          </cell>
          <cell r="V7600">
            <v>130700</v>
          </cell>
        </row>
        <row r="7601">
          <cell r="B7601">
            <v>1946</v>
          </cell>
          <cell r="K7601" t="str">
            <v>MUSCATINE</v>
          </cell>
          <cell r="L7601" t="str">
            <v>Muscatine</v>
          </cell>
          <cell r="V7601">
            <v>82200</v>
          </cell>
        </row>
        <row r="7602">
          <cell r="B7602">
            <v>1946</v>
          </cell>
          <cell r="K7602" t="str">
            <v>SCOTT</v>
          </cell>
          <cell r="L7602" t="str">
            <v>Scott</v>
          </cell>
          <cell r="V7602">
            <v>88900</v>
          </cell>
        </row>
        <row r="7603">
          <cell r="B7603">
            <v>1946</v>
          </cell>
          <cell r="K7603" t="str">
            <v>BUTLER</v>
          </cell>
          <cell r="L7603" t="str">
            <v>Butler</v>
          </cell>
          <cell r="V7603">
            <v>122200</v>
          </cell>
        </row>
        <row r="7604">
          <cell r="B7604">
            <v>1946</v>
          </cell>
          <cell r="K7604" t="str">
            <v>CERRO GORDO</v>
          </cell>
          <cell r="L7604" t="str">
            <v>Cerro Gordo</v>
          </cell>
          <cell r="V7604">
            <v>125700</v>
          </cell>
        </row>
        <row r="7605">
          <cell r="B7605">
            <v>1946</v>
          </cell>
          <cell r="K7605" t="str">
            <v>FLOYD</v>
          </cell>
          <cell r="L7605" t="str">
            <v>Floyd</v>
          </cell>
          <cell r="V7605">
            <v>105400</v>
          </cell>
        </row>
        <row r="7606">
          <cell r="B7606">
            <v>1946</v>
          </cell>
          <cell r="K7606" t="str">
            <v>FRANKLIN</v>
          </cell>
          <cell r="L7606" t="str">
            <v>Franklin</v>
          </cell>
          <cell r="V7606">
            <v>145900</v>
          </cell>
        </row>
        <row r="7607">
          <cell r="B7607">
            <v>1946</v>
          </cell>
          <cell r="K7607" t="str">
            <v>HANCOCK</v>
          </cell>
          <cell r="L7607" t="str">
            <v>Hancock</v>
          </cell>
          <cell r="V7607">
            <v>133200</v>
          </cell>
        </row>
        <row r="7608">
          <cell r="B7608">
            <v>1946</v>
          </cell>
          <cell r="K7608" t="str">
            <v>HUMBOLDT</v>
          </cell>
          <cell r="L7608" t="str">
            <v>Humboldt</v>
          </cell>
          <cell r="V7608">
            <v>117000</v>
          </cell>
        </row>
        <row r="7609">
          <cell r="B7609">
            <v>1946</v>
          </cell>
          <cell r="K7609" t="str">
            <v>KOSSUTH</v>
          </cell>
          <cell r="L7609" t="str">
            <v>Kossuth</v>
          </cell>
          <cell r="V7609">
            <v>247100</v>
          </cell>
        </row>
        <row r="7610">
          <cell r="B7610">
            <v>1946</v>
          </cell>
          <cell r="K7610" t="str">
            <v>MITCHELL</v>
          </cell>
          <cell r="L7610" t="str">
            <v>Mitchell</v>
          </cell>
          <cell r="V7610">
            <v>89000</v>
          </cell>
        </row>
        <row r="7611">
          <cell r="B7611">
            <v>1946</v>
          </cell>
          <cell r="K7611" t="str">
            <v>WINNEBAGO</v>
          </cell>
          <cell r="L7611" t="str">
            <v>Winnebago</v>
          </cell>
          <cell r="V7611">
            <v>90700</v>
          </cell>
        </row>
        <row r="7612">
          <cell r="B7612">
            <v>1946</v>
          </cell>
          <cell r="K7612" t="str">
            <v>WORTH</v>
          </cell>
          <cell r="L7612" t="str">
            <v>Worth</v>
          </cell>
          <cell r="V7612">
            <v>78000</v>
          </cell>
        </row>
        <row r="7613">
          <cell r="B7613">
            <v>1946</v>
          </cell>
          <cell r="K7613" t="str">
            <v>WRIGHT</v>
          </cell>
          <cell r="L7613" t="str">
            <v>Wright</v>
          </cell>
          <cell r="V7613">
            <v>154900</v>
          </cell>
        </row>
        <row r="7614">
          <cell r="B7614">
            <v>1946</v>
          </cell>
          <cell r="K7614" t="str">
            <v>ALLAMAKEE</v>
          </cell>
          <cell r="L7614" t="str">
            <v>Allamakee</v>
          </cell>
          <cell r="V7614">
            <v>55200</v>
          </cell>
        </row>
        <row r="7615">
          <cell r="B7615">
            <v>1946</v>
          </cell>
          <cell r="K7615" t="str">
            <v>BLACK HAWK</v>
          </cell>
          <cell r="L7615" t="str">
            <v>Black Hawk</v>
          </cell>
          <cell r="V7615">
            <v>109600</v>
          </cell>
        </row>
        <row r="7616">
          <cell r="B7616">
            <v>1946</v>
          </cell>
          <cell r="K7616" t="str">
            <v>BREMER</v>
          </cell>
          <cell r="L7616" t="str">
            <v>Bremer</v>
          </cell>
          <cell r="V7616">
            <v>78500</v>
          </cell>
        </row>
        <row r="7617">
          <cell r="B7617">
            <v>1946</v>
          </cell>
          <cell r="K7617" t="str">
            <v>BUCHANAN</v>
          </cell>
          <cell r="L7617" t="str">
            <v>Buchanan</v>
          </cell>
          <cell r="V7617">
            <v>109700</v>
          </cell>
        </row>
        <row r="7618">
          <cell r="B7618">
            <v>1946</v>
          </cell>
          <cell r="K7618" t="str">
            <v>CHICKASAW</v>
          </cell>
          <cell r="L7618" t="str">
            <v>Chickasaw</v>
          </cell>
          <cell r="V7618">
            <v>85300</v>
          </cell>
        </row>
        <row r="7619">
          <cell r="B7619">
            <v>1946</v>
          </cell>
          <cell r="K7619" t="str">
            <v>CLAYTON</v>
          </cell>
          <cell r="L7619" t="str">
            <v>Clayton</v>
          </cell>
          <cell r="V7619">
            <v>88600</v>
          </cell>
        </row>
        <row r="7620">
          <cell r="B7620">
            <v>1946</v>
          </cell>
          <cell r="K7620" t="str">
            <v>DELAWARE</v>
          </cell>
          <cell r="L7620" t="str">
            <v>Delaware</v>
          </cell>
          <cell r="V7620">
            <v>101600</v>
          </cell>
        </row>
        <row r="7621">
          <cell r="B7621">
            <v>1946</v>
          </cell>
          <cell r="K7621" t="str">
            <v>DUBUQUE</v>
          </cell>
          <cell r="L7621" t="str">
            <v>Dubuque</v>
          </cell>
          <cell r="V7621">
            <v>76500</v>
          </cell>
        </row>
        <row r="7622">
          <cell r="B7622">
            <v>1946</v>
          </cell>
          <cell r="K7622" t="str">
            <v>FAYETTE</v>
          </cell>
          <cell r="L7622" t="str">
            <v>Fayette</v>
          </cell>
          <cell r="V7622">
            <v>113800</v>
          </cell>
        </row>
        <row r="7623">
          <cell r="B7623">
            <v>1946</v>
          </cell>
          <cell r="K7623" t="str">
            <v>HOWARD</v>
          </cell>
          <cell r="L7623" t="str">
            <v>Howard</v>
          </cell>
          <cell r="V7623">
            <v>72700</v>
          </cell>
        </row>
        <row r="7624">
          <cell r="B7624">
            <v>1946</v>
          </cell>
          <cell r="K7624" t="str">
            <v>WINNESHIEK</v>
          </cell>
          <cell r="L7624" t="str">
            <v>Winneshiek</v>
          </cell>
          <cell r="V7624">
            <v>95300</v>
          </cell>
        </row>
        <row r="7625">
          <cell r="B7625">
            <v>1946</v>
          </cell>
          <cell r="K7625" t="str">
            <v>BUENA VISTA</v>
          </cell>
          <cell r="L7625" t="str">
            <v>Buena Vista</v>
          </cell>
          <cell r="V7625">
            <v>146500</v>
          </cell>
        </row>
        <row r="7626">
          <cell r="B7626">
            <v>1946</v>
          </cell>
          <cell r="K7626" t="str">
            <v>CHEROKEE</v>
          </cell>
          <cell r="L7626" t="str">
            <v>Cherokee</v>
          </cell>
          <cell r="V7626">
            <v>133400</v>
          </cell>
        </row>
        <row r="7627">
          <cell r="B7627">
            <v>1946</v>
          </cell>
          <cell r="K7627" t="str">
            <v>CLAY</v>
          </cell>
          <cell r="L7627" t="str">
            <v>Clay</v>
          </cell>
          <cell r="V7627">
            <v>137400</v>
          </cell>
        </row>
        <row r="7628">
          <cell r="B7628">
            <v>1946</v>
          </cell>
          <cell r="K7628" t="str">
            <v>DICKINSON</v>
          </cell>
          <cell r="L7628" t="str">
            <v>Dickinson</v>
          </cell>
          <cell r="V7628">
            <v>86200</v>
          </cell>
        </row>
        <row r="7629">
          <cell r="B7629">
            <v>1946</v>
          </cell>
          <cell r="K7629" t="str">
            <v>EMMET</v>
          </cell>
          <cell r="L7629" t="str">
            <v>Emmet</v>
          </cell>
          <cell r="V7629">
            <v>93900</v>
          </cell>
        </row>
        <row r="7630">
          <cell r="B7630">
            <v>1946</v>
          </cell>
          <cell r="K7630" t="str">
            <v>LYON</v>
          </cell>
          <cell r="L7630" t="str">
            <v>Lyon</v>
          </cell>
          <cell r="V7630">
            <v>140500</v>
          </cell>
        </row>
        <row r="7631">
          <cell r="B7631">
            <v>1946</v>
          </cell>
          <cell r="K7631" t="str">
            <v>O BRIEN</v>
          </cell>
          <cell r="L7631" t="str">
            <v>O Brien</v>
          </cell>
          <cell r="V7631">
            <v>138400</v>
          </cell>
        </row>
        <row r="7632">
          <cell r="B7632">
            <v>1946</v>
          </cell>
          <cell r="K7632" t="str">
            <v>OSCEOLA</v>
          </cell>
          <cell r="L7632" t="str">
            <v>Osceola</v>
          </cell>
          <cell r="V7632">
            <v>93300</v>
          </cell>
        </row>
        <row r="7633">
          <cell r="B7633">
            <v>1946</v>
          </cell>
          <cell r="K7633" t="str">
            <v>PALO ALTO</v>
          </cell>
          <cell r="L7633" t="str">
            <v>Palo Alto</v>
          </cell>
          <cell r="V7633">
            <v>141400</v>
          </cell>
        </row>
        <row r="7634">
          <cell r="B7634">
            <v>1946</v>
          </cell>
          <cell r="K7634" t="str">
            <v>PLYMOUTH</v>
          </cell>
          <cell r="L7634" t="str">
            <v>Plymouth</v>
          </cell>
          <cell r="V7634">
            <v>217600</v>
          </cell>
        </row>
        <row r="7635">
          <cell r="B7635">
            <v>1946</v>
          </cell>
          <cell r="K7635" t="str">
            <v>POCAHONTAS</v>
          </cell>
          <cell r="L7635" t="str">
            <v>Pocahontas</v>
          </cell>
          <cell r="V7635">
            <v>152500</v>
          </cell>
        </row>
        <row r="7636">
          <cell r="B7636">
            <v>1946</v>
          </cell>
          <cell r="K7636" t="str">
            <v>SIOUX</v>
          </cell>
          <cell r="L7636" t="str">
            <v>Sioux</v>
          </cell>
          <cell r="V7636">
            <v>196600</v>
          </cell>
        </row>
        <row r="7637">
          <cell r="B7637">
            <v>1946</v>
          </cell>
          <cell r="K7637" t="str">
            <v>APPANOOSE</v>
          </cell>
          <cell r="L7637" t="str">
            <v>Appanoose</v>
          </cell>
          <cell r="V7637">
            <v>38100</v>
          </cell>
        </row>
        <row r="7638">
          <cell r="B7638">
            <v>1946</v>
          </cell>
          <cell r="K7638" t="str">
            <v>CLARKE</v>
          </cell>
          <cell r="L7638" t="str">
            <v>Clarke</v>
          </cell>
          <cell r="V7638">
            <v>50300</v>
          </cell>
        </row>
        <row r="7639">
          <cell r="B7639">
            <v>1946</v>
          </cell>
          <cell r="K7639" t="str">
            <v>DECATUR</v>
          </cell>
          <cell r="L7639" t="str">
            <v>Decatur</v>
          </cell>
          <cell r="V7639">
            <v>53200</v>
          </cell>
        </row>
        <row r="7640">
          <cell r="B7640">
            <v>1946</v>
          </cell>
          <cell r="K7640" t="str">
            <v>LUCAS</v>
          </cell>
          <cell r="L7640" t="str">
            <v>Lucas</v>
          </cell>
          <cell r="V7640">
            <v>42400</v>
          </cell>
        </row>
        <row r="7641">
          <cell r="B7641">
            <v>1946</v>
          </cell>
          <cell r="K7641" t="str">
            <v>MADISON</v>
          </cell>
          <cell r="L7641" t="str">
            <v>Madison</v>
          </cell>
          <cell r="V7641">
            <v>88900</v>
          </cell>
        </row>
        <row r="7642">
          <cell r="B7642">
            <v>1946</v>
          </cell>
          <cell r="K7642" t="str">
            <v>MARION</v>
          </cell>
          <cell r="L7642" t="str">
            <v>Marion</v>
          </cell>
          <cell r="V7642">
            <v>91600</v>
          </cell>
        </row>
        <row r="7643">
          <cell r="B7643">
            <v>1946</v>
          </cell>
          <cell r="K7643" t="str">
            <v>MONROE</v>
          </cell>
          <cell r="L7643" t="str">
            <v>Monroe</v>
          </cell>
          <cell r="V7643">
            <v>39200</v>
          </cell>
        </row>
        <row r="7644">
          <cell r="B7644">
            <v>1946</v>
          </cell>
          <cell r="K7644" t="str">
            <v>RINGGOLD</v>
          </cell>
          <cell r="L7644" t="str">
            <v>Ringgold</v>
          </cell>
          <cell r="V7644">
            <v>61300</v>
          </cell>
        </row>
        <row r="7645">
          <cell r="B7645">
            <v>1946</v>
          </cell>
          <cell r="K7645" t="str">
            <v>UNION</v>
          </cell>
          <cell r="L7645" t="str">
            <v>Union</v>
          </cell>
          <cell r="V7645">
            <v>58600</v>
          </cell>
        </row>
        <row r="7646">
          <cell r="B7646">
            <v>1946</v>
          </cell>
          <cell r="K7646" t="str">
            <v>WARREN</v>
          </cell>
          <cell r="L7646" t="str">
            <v>Warren</v>
          </cell>
          <cell r="V7646">
            <v>88500</v>
          </cell>
        </row>
        <row r="7647">
          <cell r="B7647">
            <v>1946</v>
          </cell>
          <cell r="K7647" t="str">
            <v>WAYNE</v>
          </cell>
          <cell r="L7647" t="str">
            <v>Wayne</v>
          </cell>
          <cell r="V7647">
            <v>56200</v>
          </cell>
        </row>
        <row r="7648">
          <cell r="B7648">
            <v>1946</v>
          </cell>
          <cell r="K7648" t="str">
            <v>DAVIS</v>
          </cell>
          <cell r="L7648" t="str">
            <v>Davis</v>
          </cell>
          <cell r="V7648">
            <v>44600</v>
          </cell>
        </row>
        <row r="7649">
          <cell r="B7649">
            <v>1946</v>
          </cell>
          <cell r="K7649" t="str">
            <v>DES MOINES</v>
          </cell>
          <cell r="L7649" t="str">
            <v>Des Moines</v>
          </cell>
          <cell r="V7649">
            <v>62100</v>
          </cell>
        </row>
        <row r="7650">
          <cell r="B7650">
            <v>1946</v>
          </cell>
          <cell r="K7650" t="str">
            <v>HENRY</v>
          </cell>
          <cell r="L7650" t="str">
            <v>Henry</v>
          </cell>
          <cell r="V7650">
            <v>68800</v>
          </cell>
        </row>
        <row r="7651">
          <cell r="B7651">
            <v>1946</v>
          </cell>
          <cell r="K7651" t="str">
            <v>JEFFERSON</v>
          </cell>
          <cell r="L7651" t="str">
            <v>Jefferson</v>
          </cell>
          <cell r="V7651">
            <v>62200</v>
          </cell>
        </row>
        <row r="7652">
          <cell r="B7652">
            <v>1946</v>
          </cell>
          <cell r="K7652" t="str">
            <v>KEOKUK</v>
          </cell>
          <cell r="L7652" t="str">
            <v>Keokuk</v>
          </cell>
          <cell r="V7652">
            <v>100600</v>
          </cell>
        </row>
        <row r="7653">
          <cell r="B7653">
            <v>1946</v>
          </cell>
          <cell r="K7653" t="str">
            <v>LEE</v>
          </cell>
          <cell r="L7653" t="str">
            <v>Lee</v>
          </cell>
          <cell r="V7653">
            <v>58200</v>
          </cell>
        </row>
        <row r="7654">
          <cell r="B7654">
            <v>1946</v>
          </cell>
          <cell r="K7654" t="str">
            <v>LOUISA</v>
          </cell>
          <cell r="L7654" t="str">
            <v>Louisa</v>
          </cell>
          <cell r="V7654">
            <v>74500</v>
          </cell>
        </row>
        <row r="7655">
          <cell r="B7655">
            <v>1946</v>
          </cell>
          <cell r="K7655" t="str">
            <v>MAHASKA</v>
          </cell>
          <cell r="L7655" t="str">
            <v>Mahaska</v>
          </cell>
          <cell r="V7655">
            <v>109900</v>
          </cell>
        </row>
        <row r="7656">
          <cell r="B7656">
            <v>1946</v>
          </cell>
          <cell r="K7656" t="str">
            <v>VAN BUREN</v>
          </cell>
          <cell r="L7656" t="str">
            <v>Van Buren</v>
          </cell>
          <cell r="V7656">
            <v>43400</v>
          </cell>
        </row>
        <row r="7657">
          <cell r="B7657">
            <v>1946</v>
          </cell>
          <cell r="K7657" t="str">
            <v>WAPELLO</v>
          </cell>
          <cell r="L7657" t="str">
            <v>Wapello</v>
          </cell>
          <cell r="V7657">
            <v>53900</v>
          </cell>
        </row>
        <row r="7658">
          <cell r="B7658">
            <v>1946</v>
          </cell>
          <cell r="K7658" t="str">
            <v>WASHINGTON</v>
          </cell>
          <cell r="L7658" t="str">
            <v>Washington</v>
          </cell>
          <cell r="V7658">
            <v>108400</v>
          </cell>
        </row>
        <row r="7659">
          <cell r="B7659">
            <v>1946</v>
          </cell>
          <cell r="K7659" t="str">
            <v>ADAIR</v>
          </cell>
          <cell r="L7659" t="str">
            <v>Adair</v>
          </cell>
          <cell r="V7659">
            <v>101200</v>
          </cell>
        </row>
        <row r="7660">
          <cell r="B7660">
            <v>1946</v>
          </cell>
          <cell r="K7660" t="str">
            <v>ADAMS</v>
          </cell>
          <cell r="L7660" t="str">
            <v>Adams</v>
          </cell>
          <cell r="V7660">
            <v>72000</v>
          </cell>
        </row>
        <row r="7661">
          <cell r="B7661">
            <v>1946</v>
          </cell>
          <cell r="K7661" t="str">
            <v>CASS</v>
          </cell>
          <cell r="L7661" t="str">
            <v>Cass</v>
          </cell>
          <cell r="V7661">
            <v>116000</v>
          </cell>
        </row>
        <row r="7662">
          <cell r="B7662">
            <v>1946</v>
          </cell>
          <cell r="K7662" t="str">
            <v>FREMONT</v>
          </cell>
          <cell r="L7662" t="str">
            <v>Fremont</v>
          </cell>
          <cell r="V7662">
            <v>146200</v>
          </cell>
        </row>
        <row r="7663">
          <cell r="B7663">
            <v>1946</v>
          </cell>
          <cell r="K7663" t="str">
            <v>MILLS</v>
          </cell>
          <cell r="L7663" t="str">
            <v>Mills</v>
          </cell>
          <cell r="V7663">
            <v>118900</v>
          </cell>
        </row>
        <row r="7664">
          <cell r="B7664">
            <v>1946</v>
          </cell>
          <cell r="K7664" t="str">
            <v>MONTGOMERY</v>
          </cell>
          <cell r="L7664" t="str">
            <v>Montgomery</v>
          </cell>
          <cell r="V7664">
            <v>96000</v>
          </cell>
        </row>
        <row r="7665">
          <cell r="B7665">
            <v>1946</v>
          </cell>
          <cell r="K7665" t="str">
            <v>PAGE</v>
          </cell>
          <cell r="L7665" t="str">
            <v>Page</v>
          </cell>
          <cell r="V7665">
            <v>115900</v>
          </cell>
        </row>
        <row r="7666">
          <cell r="B7666">
            <v>1946</v>
          </cell>
          <cell r="K7666" t="str">
            <v>POTTAWATTAMIE</v>
          </cell>
          <cell r="L7666" t="str">
            <v>Pottawattamie</v>
          </cell>
          <cell r="V7666">
            <v>238400</v>
          </cell>
        </row>
        <row r="7667">
          <cell r="B7667">
            <v>1946</v>
          </cell>
          <cell r="K7667" t="str">
            <v>TAYLOR</v>
          </cell>
          <cell r="L7667" t="str">
            <v>Taylor</v>
          </cell>
          <cell r="V7667">
            <v>78100</v>
          </cell>
        </row>
        <row r="7668">
          <cell r="B7668">
            <v>1946</v>
          </cell>
          <cell r="K7668" t="str">
            <v>AUDUBON</v>
          </cell>
          <cell r="L7668" t="str">
            <v>Audubon</v>
          </cell>
          <cell r="V7668">
            <v>92600</v>
          </cell>
        </row>
        <row r="7669">
          <cell r="B7669">
            <v>1946</v>
          </cell>
          <cell r="K7669" t="str">
            <v>CALHOUN</v>
          </cell>
          <cell r="L7669" t="str">
            <v>Calhoun</v>
          </cell>
          <cell r="V7669">
            <v>152000</v>
          </cell>
        </row>
        <row r="7670">
          <cell r="B7670">
            <v>1946</v>
          </cell>
          <cell r="K7670" t="str">
            <v>CARROLL</v>
          </cell>
          <cell r="L7670" t="str">
            <v>Carroll</v>
          </cell>
          <cell r="V7670">
            <v>142300</v>
          </cell>
        </row>
        <row r="7671">
          <cell r="B7671">
            <v>1946</v>
          </cell>
          <cell r="K7671" t="str">
            <v>CRAWFORD</v>
          </cell>
          <cell r="L7671" t="str">
            <v>Crawford</v>
          </cell>
          <cell r="V7671">
            <v>148400</v>
          </cell>
        </row>
        <row r="7672">
          <cell r="B7672">
            <v>1946</v>
          </cell>
          <cell r="K7672" t="str">
            <v>GREENE</v>
          </cell>
          <cell r="L7672" t="str">
            <v>Greene</v>
          </cell>
          <cell r="V7672">
            <v>165100</v>
          </cell>
        </row>
        <row r="7673">
          <cell r="B7673">
            <v>1946</v>
          </cell>
          <cell r="K7673" t="str">
            <v>GUTHRIE</v>
          </cell>
          <cell r="L7673" t="str">
            <v>Guthrie</v>
          </cell>
          <cell r="V7673">
            <v>119300</v>
          </cell>
        </row>
        <row r="7674">
          <cell r="B7674">
            <v>1946</v>
          </cell>
          <cell r="K7674" t="str">
            <v>HARRISON</v>
          </cell>
          <cell r="L7674" t="str">
            <v>Harrison</v>
          </cell>
          <cell r="V7674">
            <v>177500</v>
          </cell>
        </row>
        <row r="7675">
          <cell r="B7675">
            <v>1946</v>
          </cell>
          <cell r="K7675" t="str">
            <v>IDA</v>
          </cell>
          <cell r="L7675" t="str">
            <v>Ida</v>
          </cell>
          <cell r="V7675">
            <v>101600</v>
          </cell>
        </row>
        <row r="7676">
          <cell r="B7676">
            <v>1946</v>
          </cell>
          <cell r="K7676" t="str">
            <v>MONONA</v>
          </cell>
          <cell r="L7676" t="str">
            <v>Monona</v>
          </cell>
          <cell r="V7676">
            <v>163500</v>
          </cell>
        </row>
        <row r="7677">
          <cell r="B7677">
            <v>1946</v>
          </cell>
          <cell r="K7677" t="str">
            <v>SAC</v>
          </cell>
          <cell r="L7677" t="str">
            <v>Sac</v>
          </cell>
          <cell r="V7677">
            <v>141300</v>
          </cell>
        </row>
        <row r="7678">
          <cell r="B7678">
            <v>1946</v>
          </cell>
          <cell r="K7678" t="str">
            <v>SHELBY</v>
          </cell>
          <cell r="L7678" t="str">
            <v>Shelby</v>
          </cell>
          <cell r="V7678">
            <v>145200</v>
          </cell>
        </row>
        <row r="7679">
          <cell r="B7679">
            <v>1946</v>
          </cell>
          <cell r="K7679" t="str">
            <v>WOODBURY</v>
          </cell>
          <cell r="L7679" t="str">
            <v>Woodbury</v>
          </cell>
          <cell r="V7679">
            <v>211000</v>
          </cell>
        </row>
        <row r="7680">
          <cell r="B7680">
            <v>1945</v>
          </cell>
          <cell r="K7680" t="str">
            <v>BOONE</v>
          </cell>
          <cell r="L7680" t="str">
            <v>Boone</v>
          </cell>
          <cell r="V7680">
            <v>141900</v>
          </cell>
        </row>
        <row r="7681">
          <cell r="B7681">
            <v>1945</v>
          </cell>
          <cell r="K7681" t="str">
            <v>DALLAS</v>
          </cell>
          <cell r="L7681" t="str">
            <v>Dallas</v>
          </cell>
          <cell r="V7681">
            <v>145600</v>
          </cell>
        </row>
        <row r="7682">
          <cell r="B7682">
            <v>1945</v>
          </cell>
          <cell r="K7682" t="str">
            <v>GRUNDY</v>
          </cell>
          <cell r="L7682" t="str">
            <v>Grundy</v>
          </cell>
          <cell r="V7682">
            <v>116200</v>
          </cell>
        </row>
        <row r="7683">
          <cell r="B7683">
            <v>1945</v>
          </cell>
          <cell r="K7683" t="str">
            <v>HAMILTON</v>
          </cell>
          <cell r="L7683" t="str">
            <v>Hamilton</v>
          </cell>
          <cell r="V7683">
            <v>146000</v>
          </cell>
        </row>
        <row r="7684">
          <cell r="B7684">
            <v>1945</v>
          </cell>
          <cell r="K7684" t="str">
            <v>HARDIN</v>
          </cell>
          <cell r="L7684" t="str">
            <v>Hardin</v>
          </cell>
          <cell r="V7684">
            <v>131100</v>
          </cell>
        </row>
        <row r="7685">
          <cell r="B7685">
            <v>1945</v>
          </cell>
          <cell r="K7685" t="str">
            <v>JASPER</v>
          </cell>
          <cell r="L7685" t="str">
            <v>Jasper</v>
          </cell>
          <cell r="V7685">
            <v>146500</v>
          </cell>
        </row>
        <row r="7686">
          <cell r="B7686">
            <v>1945</v>
          </cell>
          <cell r="K7686" t="str">
            <v>MARSHALL</v>
          </cell>
          <cell r="L7686" t="str">
            <v>Marshall</v>
          </cell>
          <cell r="V7686">
            <v>129500</v>
          </cell>
        </row>
        <row r="7687">
          <cell r="B7687">
            <v>1945</v>
          </cell>
          <cell r="K7687" t="str">
            <v>POLK</v>
          </cell>
          <cell r="L7687" t="str">
            <v>Polk</v>
          </cell>
          <cell r="V7687">
            <v>113900</v>
          </cell>
        </row>
        <row r="7688">
          <cell r="B7688">
            <v>1945</v>
          </cell>
          <cell r="K7688" t="str">
            <v>POWESHIEK</v>
          </cell>
          <cell r="L7688" t="str">
            <v>Poweshiek</v>
          </cell>
          <cell r="V7688">
            <v>114300</v>
          </cell>
        </row>
        <row r="7689">
          <cell r="B7689">
            <v>1945</v>
          </cell>
          <cell r="K7689" t="str">
            <v>STORY</v>
          </cell>
          <cell r="L7689" t="str">
            <v>Story</v>
          </cell>
          <cell r="V7689">
            <v>151600</v>
          </cell>
        </row>
        <row r="7690">
          <cell r="B7690">
            <v>1945</v>
          </cell>
          <cell r="K7690" t="str">
            <v>TAMA</v>
          </cell>
          <cell r="L7690" t="str">
            <v>Tama</v>
          </cell>
          <cell r="V7690">
            <v>136400</v>
          </cell>
        </row>
        <row r="7691">
          <cell r="B7691">
            <v>1945</v>
          </cell>
          <cell r="K7691" t="str">
            <v>WEBSTER</v>
          </cell>
          <cell r="L7691" t="str">
            <v>Webster</v>
          </cell>
          <cell r="V7691">
            <v>168400</v>
          </cell>
        </row>
        <row r="7692">
          <cell r="B7692">
            <v>1945</v>
          </cell>
          <cell r="K7692" t="str">
            <v>BENTON</v>
          </cell>
          <cell r="L7692" t="str">
            <v>Benton</v>
          </cell>
          <cell r="V7692">
            <v>151600</v>
          </cell>
        </row>
        <row r="7693">
          <cell r="B7693">
            <v>1945</v>
          </cell>
          <cell r="K7693" t="str">
            <v>CEDAR</v>
          </cell>
          <cell r="L7693" t="str">
            <v>Cedar</v>
          </cell>
          <cell r="V7693">
            <v>119200</v>
          </cell>
        </row>
        <row r="7694">
          <cell r="B7694">
            <v>1945</v>
          </cell>
          <cell r="K7694" t="str">
            <v>CLINTON</v>
          </cell>
          <cell r="L7694" t="str">
            <v>Clinton</v>
          </cell>
          <cell r="V7694">
            <v>144000</v>
          </cell>
        </row>
        <row r="7695">
          <cell r="B7695">
            <v>1945</v>
          </cell>
          <cell r="K7695" t="str">
            <v>IOWA</v>
          </cell>
          <cell r="L7695" t="str">
            <v>Iowa</v>
          </cell>
          <cell r="V7695">
            <v>106000</v>
          </cell>
        </row>
        <row r="7696">
          <cell r="B7696">
            <v>1945</v>
          </cell>
          <cell r="K7696" t="str">
            <v>JACKSON</v>
          </cell>
          <cell r="L7696" t="str">
            <v>Jackson</v>
          </cell>
          <cell r="V7696">
            <v>72500</v>
          </cell>
        </row>
        <row r="7697">
          <cell r="B7697">
            <v>1945</v>
          </cell>
          <cell r="K7697" t="str">
            <v>JOHNSON</v>
          </cell>
          <cell r="L7697" t="str">
            <v>Johnson</v>
          </cell>
          <cell r="V7697">
            <v>112100</v>
          </cell>
        </row>
        <row r="7698">
          <cell r="B7698">
            <v>1945</v>
          </cell>
          <cell r="K7698" t="str">
            <v>JONES</v>
          </cell>
          <cell r="L7698" t="str">
            <v>Jones</v>
          </cell>
          <cell r="V7698">
            <v>91100</v>
          </cell>
        </row>
        <row r="7699">
          <cell r="B7699">
            <v>1945</v>
          </cell>
          <cell r="K7699" t="str">
            <v>LINN</v>
          </cell>
          <cell r="L7699" t="str">
            <v>Linn</v>
          </cell>
          <cell r="V7699">
            <v>132500</v>
          </cell>
        </row>
        <row r="7700">
          <cell r="B7700">
            <v>1945</v>
          </cell>
          <cell r="K7700" t="str">
            <v>MUSCATINE</v>
          </cell>
          <cell r="L7700" t="str">
            <v>Muscatine</v>
          </cell>
          <cell r="V7700">
            <v>80500</v>
          </cell>
        </row>
        <row r="7701">
          <cell r="B7701">
            <v>1945</v>
          </cell>
          <cell r="K7701" t="str">
            <v>SCOTT</v>
          </cell>
          <cell r="L7701" t="str">
            <v>Scott</v>
          </cell>
          <cell r="V7701">
            <v>87200</v>
          </cell>
        </row>
        <row r="7702">
          <cell r="B7702">
            <v>1945</v>
          </cell>
          <cell r="K7702" t="str">
            <v>BUTLER</v>
          </cell>
          <cell r="L7702" t="str">
            <v>Butler</v>
          </cell>
          <cell r="V7702">
            <v>119500</v>
          </cell>
        </row>
        <row r="7703">
          <cell r="B7703">
            <v>1945</v>
          </cell>
          <cell r="K7703" t="str">
            <v>CERRO GORDO</v>
          </cell>
          <cell r="L7703" t="str">
            <v>Cerro Gordo</v>
          </cell>
          <cell r="V7703">
            <v>120700</v>
          </cell>
        </row>
        <row r="7704">
          <cell r="B7704">
            <v>1945</v>
          </cell>
          <cell r="K7704" t="str">
            <v>FLOYD</v>
          </cell>
          <cell r="L7704" t="str">
            <v>Floyd</v>
          </cell>
          <cell r="V7704">
            <v>103200</v>
          </cell>
        </row>
        <row r="7705">
          <cell r="B7705">
            <v>1945</v>
          </cell>
          <cell r="K7705" t="str">
            <v>FRANKLIN</v>
          </cell>
          <cell r="L7705" t="str">
            <v>Franklin</v>
          </cell>
          <cell r="V7705">
            <v>140800</v>
          </cell>
        </row>
        <row r="7706">
          <cell r="B7706">
            <v>1945</v>
          </cell>
          <cell r="K7706" t="str">
            <v>HANCOCK</v>
          </cell>
          <cell r="L7706" t="str">
            <v>Hancock</v>
          </cell>
          <cell r="V7706">
            <v>132900</v>
          </cell>
        </row>
        <row r="7707">
          <cell r="B7707">
            <v>1945</v>
          </cell>
          <cell r="K7707" t="str">
            <v>HUMBOLDT</v>
          </cell>
          <cell r="L7707" t="str">
            <v>Humboldt</v>
          </cell>
          <cell r="V7707">
            <v>112200</v>
          </cell>
        </row>
        <row r="7708">
          <cell r="B7708">
            <v>1945</v>
          </cell>
          <cell r="K7708" t="str">
            <v>KOSSUTH</v>
          </cell>
          <cell r="L7708" t="str">
            <v>Kossuth</v>
          </cell>
          <cell r="V7708">
            <v>241500</v>
          </cell>
        </row>
        <row r="7709">
          <cell r="B7709">
            <v>1945</v>
          </cell>
          <cell r="K7709" t="str">
            <v>MITCHELL</v>
          </cell>
          <cell r="L7709" t="str">
            <v>Mitchell</v>
          </cell>
          <cell r="V7709">
            <v>84800</v>
          </cell>
        </row>
        <row r="7710">
          <cell r="B7710">
            <v>1945</v>
          </cell>
          <cell r="K7710" t="str">
            <v>WINNEBAGO</v>
          </cell>
          <cell r="L7710" t="str">
            <v>Winnebago</v>
          </cell>
          <cell r="V7710">
            <v>89500</v>
          </cell>
        </row>
        <row r="7711">
          <cell r="B7711">
            <v>1945</v>
          </cell>
          <cell r="K7711" t="str">
            <v>WORTH</v>
          </cell>
          <cell r="L7711" t="str">
            <v>Worth</v>
          </cell>
          <cell r="V7711">
            <v>69700</v>
          </cell>
        </row>
        <row r="7712">
          <cell r="B7712">
            <v>1945</v>
          </cell>
          <cell r="K7712" t="str">
            <v>WRIGHT</v>
          </cell>
          <cell r="L7712" t="str">
            <v>Wright</v>
          </cell>
          <cell r="V7712">
            <v>148800</v>
          </cell>
        </row>
        <row r="7713">
          <cell r="B7713">
            <v>1945</v>
          </cell>
          <cell r="K7713" t="str">
            <v>ALLAMAKEE</v>
          </cell>
          <cell r="L7713" t="str">
            <v>Allamakee</v>
          </cell>
          <cell r="V7713">
            <v>57000</v>
          </cell>
        </row>
        <row r="7714">
          <cell r="B7714">
            <v>1945</v>
          </cell>
          <cell r="K7714" t="str">
            <v>BLACK HAWK</v>
          </cell>
          <cell r="L7714" t="str">
            <v>Black Hawk</v>
          </cell>
          <cell r="V7714">
            <v>110600</v>
          </cell>
        </row>
        <row r="7715">
          <cell r="B7715">
            <v>1945</v>
          </cell>
          <cell r="K7715" t="str">
            <v>BREMER</v>
          </cell>
          <cell r="L7715" t="str">
            <v>Bremer</v>
          </cell>
          <cell r="V7715">
            <v>77500</v>
          </cell>
        </row>
        <row r="7716">
          <cell r="B7716">
            <v>1945</v>
          </cell>
          <cell r="K7716" t="str">
            <v>BUCHANAN</v>
          </cell>
          <cell r="L7716" t="str">
            <v>Buchanan</v>
          </cell>
          <cell r="V7716">
            <v>111000</v>
          </cell>
        </row>
        <row r="7717">
          <cell r="B7717">
            <v>1945</v>
          </cell>
          <cell r="K7717" t="str">
            <v>CHICKASAW</v>
          </cell>
          <cell r="L7717" t="str">
            <v>Chickasaw</v>
          </cell>
          <cell r="V7717">
            <v>79700</v>
          </cell>
        </row>
        <row r="7718">
          <cell r="B7718">
            <v>1945</v>
          </cell>
          <cell r="K7718" t="str">
            <v>CLAYTON</v>
          </cell>
          <cell r="L7718" t="str">
            <v>Clayton</v>
          </cell>
          <cell r="V7718">
            <v>90000</v>
          </cell>
        </row>
        <row r="7719">
          <cell r="B7719">
            <v>1945</v>
          </cell>
          <cell r="K7719" t="str">
            <v>DELAWARE</v>
          </cell>
          <cell r="L7719" t="str">
            <v>Delaware</v>
          </cell>
          <cell r="V7719">
            <v>101900</v>
          </cell>
        </row>
        <row r="7720">
          <cell r="B7720">
            <v>1945</v>
          </cell>
          <cell r="K7720" t="str">
            <v>DUBUQUE</v>
          </cell>
          <cell r="L7720" t="str">
            <v>Dubuque</v>
          </cell>
          <cell r="V7720">
            <v>78100</v>
          </cell>
        </row>
        <row r="7721">
          <cell r="B7721">
            <v>1945</v>
          </cell>
          <cell r="K7721" t="str">
            <v>FAYETTE</v>
          </cell>
          <cell r="L7721" t="str">
            <v>Fayette</v>
          </cell>
          <cell r="V7721">
            <v>114500</v>
          </cell>
        </row>
        <row r="7722">
          <cell r="B7722">
            <v>1945</v>
          </cell>
          <cell r="K7722" t="str">
            <v>HOWARD</v>
          </cell>
          <cell r="L7722" t="str">
            <v>Howard</v>
          </cell>
          <cell r="V7722">
            <v>69500</v>
          </cell>
        </row>
        <row r="7723">
          <cell r="B7723">
            <v>1945</v>
          </cell>
          <cell r="K7723" t="str">
            <v>WINNESHIEK</v>
          </cell>
          <cell r="L7723" t="str">
            <v>Winneshiek</v>
          </cell>
          <cell r="V7723">
            <v>94000</v>
          </cell>
        </row>
        <row r="7724">
          <cell r="B7724">
            <v>1945</v>
          </cell>
          <cell r="K7724" t="str">
            <v>BUENA VISTA</v>
          </cell>
          <cell r="L7724" t="str">
            <v>Buena Vista</v>
          </cell>
          <cell r="V7724">
            <v>141400</v>
          </cell>
        </row>
        <row r="7725">
          <cell r="B7725">
            <v>1945</v>
          </cell>
          <cell r="K7725" t="str">
            <v>CHEROKEE</v>
          </cell>
          <cell r="L7725" t="str">
            <v>Cherokee</v>
          </cell>
          <cell r="V7725">
            <v>134600</v>
          </cell>
        </row>
        <row r="7726">
          <cell r="B7726">
            <v>1945</v>
          </cell>
          <cell r="K7726" t="str">
            <v>CLAY</v>
          </cell>
          <cell r="L7726" t="str">
            <v>Clay</v>
          </cell>
          <cell r="V7726">
            <v>136100</v>
          </cell>
        </row>
        <row r="7727">
          <cell r="B7727">
            <v>1945</v>
          </cell>
          <cell r="K7727" t="str">
            <v>DICKINSON</v>
          </cell>
          <cell r="L7727" t="str">
            <v>Dickinson</v>
          </cell>
          <cell r="V7727">
            <v>90000</v>
          </cell>
        </row>
        <row r="7728">
          <cell r="B7728">
            <v>1945</v>
          </cell>
          <cell r="K7728" t="str">
            <v>EMMET</v>
          </cell>
          <cell r="L7728" t="str">
            <v>Emmet</v>
          </cell>
          <cell r="V7728">
            <v>96000</v>
          </cell>
        </row>
        <row r="7729">
          <cell r="B7729">
            <v>1945</v>
          </cell>
          <cell r="K7729" t="str">
            <v>LYON</v>
          </cell>
          <cell r="L7729" t="str">
            <v>Lyon</v>
          </cell>
          <cell r="V7729">
            <v>145100</v>
          </cell>
        </row>
        <row r="7730">
          <cell r="B7730">
            <v>1945</v>
          </cell>
          <cell r="K7730" t="str">
            <v>O BRIEN</v>
          </cell>
          <cell r="L7730" t="str">
            <v>O Brien</v>
          </cell>
          <cell r="V7730">
            <v>140400</v>
          </cell>
        </row>
        <row r="7731">
          <cell r="B7731">
            <v>1945</v>
          </cell>
          <cell r="K7731" t="str">
            <v>OSCEOLA</v>
          </cell>
          <cell r="L7731" t="str">
            <v>Osceola</v>
          </cell>
          <cell r="V7731">
            <v>94700</v>
          </cell>
        </row>
        <row r="7732">
          <cell r="B7732">
            <v>1945</v>
          </cell>
          <cell r="K7732" t="str">
            <v>PALO ALTO</v>
          </cell>
          <cell r="L7732" t="str">
            <v>Palo Alto</v>
          </cell>
          <cell r="V7732">
            <v>142000</v>
          </cell>
        </row>
        <row r="7733">
          <cell r="B7733">
            <v>1945</v>
          </cell>
          <cell r="K7733" t="str">
            <v>PLYMOUTH</v>
          </cell>
          <cell r="L7733" t="str">
            <v>Plymouth</v>
          </cell>
          <cell r="V7733">
            <v>225500</v>
          </cell>
        </row>
        <row r="7734">
          <cell r="B7734">
            <v>1945</v>
          </cell>
          <cell r="K7734" t="str">
            <v>POCAHONTAS</v>
          </cell>
          <cell r="L7734" t="str">
            <v>Pocahontas</v>
          </cell>
          <cell r="V7734">
            <v>148600</v>
          </cell>
        </row>
        <row r="7735">
          <cell r="B7735">
            <v>1945</v>
          </cell>
          <cell r="K7735" t="str">
            <v>SIOUX</v>
          </cell>
          <cell r="L7735" t="str">
            <v>Sioux</v>
          </cell>
          <cell r="V7735">
            <v>203700</v>
          </cell>
        </row>
        <row r="7736">
          <cell r="B7736">
            <v>1945</v>
          </cell>
          <cell r="K7736" t="str">
            <v>APPANOOSE</v>
          </cell>
          <cell r="L7736" t="str">
            <v>Appanoose</v>
          </cell>
          <cell r="V7736">
            <v>33600</v>
          </cell>
        </row>
        <row r="7737">
          <cell r="B7737">
            <v>1945</v>
          </cell>
          <cell r="K7737" t="str">
            <v>CLARKE</v>
          </cell>
          <cell r="L7737" t="str">
            <v>Clarke</v>
          </cell>
          <cell r="V7737">
            <v>48000</v>
          </cell>
        </row>
        <row r="7738">
          <cell r="B7738">
            <v>1945</v>
          </cell>
          <cell r="K7738" t="str">
            <v>DECATUR</v>
          </cell>
          <cell r="L7738" t="str">
            <v>Decatur</v>
          </cell>
          <cell r="V7738">
            <v>47300</v>
          </cell>
        </row>
        <row r="7739">
          <cell r="B7739">
            <v>1945</v>
          </cell>
          <cell r="K7739" t="str">
            <v>LUCAS</v>
          </cell>
          <cell r="L7739" t="str">
            <v>Lucas</v>
          </cell>
          <cell r="V7739">
            <v>37500</v>
          </cell>
        </row>
        <row r="7740">
          <cell r="B7740">
            <v>1945</v>
          </cell>
          <cell r="K7740" t="str">
            <v>MADISON</v>
          </cell>
          <cell r="L7740" t="str">
            <v>Madison</v>
          </cell>
          <cell r="V7740">
            <v>86600</v>
          </cell>
        </row>
        <row r="7741">
          <cell r="B7741">
            <v>1945</v>
          </cell>
          <cell r="K7741" t="str">
            <v>MARION</v>
          </cell>
          <cell r="L7741" t="str">
            <v>Marion</v>
          </cell>
          <cell r="V7741">
            <v>85100</v>
          </cell>
        </row>
        <row r="7742">
          <cell r="B7742">
            <v>1945</v>
          </cell>
          <cell r="K7742" t="str">
            <v>MONROE</v>
          </cell>
          <cell r="L7742" t="str">
            <v>Monroe</v>
          </cell>
          <cell r="V7742">
            <v>36200</v>
          </cell>
        </row>
        <row r="7743">
          <cell r="B7743">
            <v>1945</v>
          </cell>
          <cell r="K7743" t="str">
            <v>RINGGOLD</v>
          </cell>
          <cell r="L7743" t="str">
            <v>Ringgold</v>
          </cell>
          <cell r="V7743">
            <v>55700</v>
          </cell>
        </row>
        <row r="7744">
          <cell r="B7744">
            <v>1945</v>
          </cell>
          <cell r="K7744" t="str">
            <v>UNION</v>
          </cell>
          <cell r="L7744" t="str">
            <v>Union</v>
          </cell>
          <cell r="V7744">
            <v>57200</v>
          </cell>
        </row>
        <row r="7745">
          <cell r="B7745">
            <v>1945</v>
          </cell>
          <cell r="K7745" t="str">
            <v>WARREN</v>
          </cell>
          <cell r="L7745" t="str">
            <v>Warren</v>
          </cell>
          <cell r="V7745">
            <v>80100</v>
          </cell>
        </row>
        <row r="7746">
          <cell r="B7746">
            <v>1945</v>
          </cell>
          <cell r="K7746" t="str">
            <v>WAYNE</v>
          </cell>
          <cell r="L7746" t="str">
            <v>Wayne</v>
          </cell>
          <cell r="V7746">
            <v>51700</v>
          </cell>
        </row>
        <row r="7747">
          <cell r="B7747">
            <v>1945</v>
          </cell>
          <cell r="K7747" t="str">
            <v>DAVIS</v>
          </cell>
          <cell r="L7747" t="str">
            <v>Davis</v>
          </cell>
          <cell r="V7747">
            <v>39400</v>
          </cell>
        </row>
        <row r="7748">
          <cell r="B7748">
            <v>1945</v>
          </cell>
          <cell r="K7748" t="str">
            <v>DES MOINES</v>
          </cell>
          <cell r="L7748" t="str">
            <v>Des Moines</v>
          </cell>
          <cell r="V7748">
            <v>58500</v>
          </cell>
        </row>
        <row r="7749">
          <cell r="B7749">
            <v>1945</v>
          </cell>
          <cell r="K7749" t="str">
            <v>HENRY</v>
          </cell>
          <cell r="L7749" t="str">
            <v>Henry</v>
          </cell>
          <cell r="V7749">
            <v>67600</v>
          </cell>
        </row>
        <row r="7750">
          <cell r="B7750">
            <v>1945</v>
          </cell>
          <cell r="K7750" t="str">
            <v>JEFFERSON</v>
          </cell>
          <cell r="L7750" t="str">
            <v>Jefferson</v>
          </cell>
          <cell r="V7750">
            <v>59500</v>
          </cell>
        </row>
        <row r="7751">
          <cell r="B7751">
            <v>1945</v>
          </cell>
          <cell r="K7751" t="str">
            <v>KEOKUK</v>
          </cell>
          <cell r="L7751" t="str">
            <v>Keokuk</v>
          </cell>
          <cell r="V7751">
            <v>97300</v>
          </cell>
        </row>
        <row r="7752">
          <cell r="B7752">
            <v>1945</v>
          </cell>
          <cell r="K7752" t="str">
            <v>LEE</v>
          </cell>
          <cell r="L7752" t="str">
            <v>Lee</v>
          </cell>
          <cell r="V7752">
            <v>49900</v>
          </cell>
        </row>
        <row r="7753">
          <cell r="B7753">
            <v>1945</v>
          </cell>
          <cell r="K7753" t="str">
            <v>LOUISA</v>
          </cell>
          <cell r="L7753" t="str">
            <v>Louisa</v>
          </cell>
          <cell r="V7753">
            <v>68900</v>
          </cell>
        </row>
        <row r="7754">
          <cell r="B7754">
            <v>1945</v>
          </cell>
          <cell r="K7754" t="str">
            <v>MAHASKA</v>
          </cell>
          <cell r="L7754" t="str">
            <v>Mahaska</v>
          </cell>
          <cell r="V7754">
            <v>102400</v>
          </cell>
        </row>
        <row r="7755">
          <cell r="B7755">
            <v>1945</v>
          </cell>
          <cell r="K7755" t="str">
            <v>VAN BUREN</v>
          </cell>
          <cell r="L7755" t="str">
            <v>Van Buren</v>
          </cell>
          <cell r="V7755">
            <v>39900</v>
          </cell>
        </row>
        <row r="7756">
          <cell r="B7756">
            <v>1945</v>
          </cell>
          <cell r="K7756" t="str">
            <v>WAPELLO</v>
          </cell>
          <cell r="L7756" t="str">
            <v>Wapello</v>
          </cell>
          <cell r="V7756">
            <v>52200</v>
          </cell>
        </row>
        <row r="7757">
          <cell r="B7757">
            <v>1945</v>
          </cell>
          <cell r="K7757" t="str">
            <v>WASHINGTON</v>
          </cell>
          <cell r="L7757" t="str">
            <v>Washington</v>
          </cell>
          <cell r="V7757">
            <v>107600</v>
          </cell>
        </row>
        <row r="7758">
          <cell r="B7758">
            <v>1945</v>
          </cell>
          <cell r="K7758" t="str">
            <v>ADAIR</v>
          </cell>
          <cell r="L7758" t="str">
            <v>Adair</v>
          </cell>
          <cell r="V7758">
            <v>97500</v>
          </cell>
        </row>
        <row r="7759">
          <cell r="B7759">
            <v>1945</v>
          </cell>
          <cell r="K7759" t="str">
            <v>ADAMS</v>
          </cell>
          <cell r="L7759" t="str">
            <v>Adams</v>
          </cell>
          <cell r="V7759">
            <v>65800</v>
          </cell>
        </row>
        <row r="7760">
          <cell r="B7760">
            <v>1945</v>
          </cell>
          <cell r="K7760" t="str">
            <v>CASS</v>
          </cell>
          <cell r="L7760" t="str">
            <v>Cass</v>
          </cell>
          <cell r="V7760">
            <v>111700</v>
          </cell>
        </row>
        <row r="7761">
          <cell r="B7761">
            <v>1945</v>
          </cell>
          <cell r="K7761" t="str">
            <v>FREMONT</v>
          </cell>
          <cell r="L7761" t="str">
            <v>Fremont</v>
          </cell>
          <cell r="V7761">
            <v>127400</v>
          </cell>
        </row>
        <row r="7762">
          <cell r="B7762">
            <v>1945</v>
          </cell>
          <cell r="K7762" t="str">
            <v>MILLS</v>
          </cell>
          <cell r="L7762" t="str">
            <v>Mills</v>
          </cell>
          <cell r="V7762">
            <v>111800</v>
          </cell>
        </row>
        <row r="7763">
          <cell r="B7763">
            <v>1945</v>
          </cell>
          <cell r="K7763" t="str">
            <v>MONTGOMERY</v>
          </cell>
          <cell r="L7763" t="str">
            <v>Montgomery</v>
          </cell>
          <cell r="V7763">
            <v>91400</v>
          </cell>
        </row>
        <row r="7764">
          <cell r="B7764">
            <v>1945</v>
          </cell>
          <cell r="K7764" t="str">
            <v>PAGE</v>
          </cell>
          <cell r="L7764" t="str">
            <v>Page</v>
          </cell>
          <cell r="V7764">
            <v>108100</v>
          </cell>
        </row>
        <row r="7765">
          <cell r="B7765">
            <v>1945</v>
          </cell>
          <cell r="K7765" t="str">
            <v>POTTAWATTAMIE</v>
          </cell>
          <cell r="L7765" t="str">
            <v>Pottawattamie</v>
          </cell>
          <cell r="V7765">
            <v>234700</v>
          </cell>
        </row>
        <row r="7766">
          <cell r="B7766">
            <v>1945</v>
          </cell>
          <cell r="K7766" t="str">
            <v>TAYLOR</v>
          </cell>
          <cell r="L7766" t="str">
            <v>Taylor</v>
          </cell>
          <cell r="V7766">
            <v>71000</v>
          </cell>
        </row>
        <row r="7767">
          <cell r="B7767">
            <v>1945</v>
          </cell>
          <cell r="K7767" t="str">
            <v>AUDUBON</v>
          </cell>
          <cell r="L7767" t="str">
            <v>Audubon</v>
          </cell>
          <cell r="V7767">
            <v>93600</v>
          </cell>
        </row>
        <row r="7768">
          <cell r="B7768">
            <v>1945</v>
          </cell>
          <cell r="K7768" t="str">
            <v>CALHOUN</v>
          </cell>
          <cell r="L7768" t="str">
            <v>Calhoun</v>
          </cell>
          <cell r="V7768">
            <v>143900</v>
          </cell>
        </row>
        <row r="7769">
          <cell r="B7769">
            <v>1945</v>
          </cell>
          <cell r="K7769" t="str">
            <v>CARROLL</v>
          </cell>
          <cell r="L7769" t="str">
            <v>Carroll</v>
          </cell>
          <cell r="V7769">
            <v>138300</v>
          </cell>
        </row>
        <row r="7770">
          <cell r="B7770">
            <v>1945</v>
          </cell>
          <cell r="K7770" t="str">
            <v>CRAWFORD</v>
          </cell>
          <cell r="L7770" t="str">
            <v>Crawford</v>
          </cell>
          <cell r="V7770">
            <v>151900</v>
          </cell>
        </row>
        <row r="7771">
          <cell r="B7771">
            <v>1945</v>
          </cell>
          <cell r="K7771" t="str">
            <v>GREENE</v>
          </cell>
          <cell r="L7771" t="str">
            <v>Greene</v>
          </cell>
          <cell r="V7771">
            <v>160800</v>
          </cell>
        </row>
        <row r="7772">
          <cell r="B7772">
            <v>1945</v>
          </cell>
          <cell r="K7772" t="str">
            <v>GUTHRIE</v>
          </cell>
          <cell r="L7772" t="str">
            <v>Guthrie</v>
          </cell>
          <cell r="V7772">
            <v>113700</v>
          </cell>
        </row>
        <row r="7773">
          <cell r="B7773">
            <v>1945</v>
          </cell>
          <cell r="K7773" t="str">
            <v>HARRISON</v>
          </cell>
          <cell r="L7773" t="str">
            <v>Harrison</v>
          </cell>
          <cell r="V7773">
            <v>167900</v>
          </cell>
        </row>
        <row r="7774">
          <cell r="B7774">
            <v>1945</v>
          </cell>
          <cell r="K7774" t="str">
            <v>IDA</v>
          </cell>
          <cell r="L7774" t="str">
            <v>Ida</v>
          </cell>
          <cell r="V7774">
            <v>97800</v>
          </cell>
        </row>
        <row r="7775">
          <cell r="B7775">
            <v>1945</v>
          </cell>
          <cell r="K7775" t="str">
            <v>MONONA</v>
          </cell>
          <cell r="L7775" t="str">
            <v>Monona</v>
          </cell>
          <cell r="V7775">
            <v>136400</v>
          </cell>
        </row>
        <row r="7776">
          <cell r="B7776">
            <v>1945</v>
          </cell>
          <cell r="K7776" t="str">
            <v>SAC</v>
          </cell>
          <cell r="L7776" t="str">
            <v>Sac</v>
          </cell>
          <cell r="V7776">
            <v>131100</v>
          </cell>
        </row>
        <row r="7777">
          <cell r="B7777">
            <v>1945</v>
          </cell>
          <cell r="K7777" t="str">
            <v>SHELBY</v>
          </cell>
          <cell r="L7777" t="str">
            <v>Shelby</v>
          </cell>
          <cell r="V7777">
            <v>146800</v>
          </cell>
        </row>
        <row r="7778">
          <cell r="B7778">
            <v>1945</v>
          </cell>
          <cell r="K7778" t="str">
            <v>WOODBURY</v>
          </cell>
          <cell r="L7778" t="str">
            <v>Woodbury</v>
          </cell>
          <cell r="V7778">
            <v>199600</v>
          </cell>
        </row>
        <row r="7779">
          <cell r="B7779">
            <v>1944</v>
          </cell>
          <cell r="K7779" t="str">
            <v>BOONE</v>
          </cell>
          <cell r="L7779" t="str">
            <v>Boone</v>
          </cell>
          <cell r="V7779">
            <v>141000</v>
          </cell>
        </row>
        <row r="7780">
          <cell r="B7780">
            <v>1944</v>
          </cell>
          <cell r="K7780" t="str">
            <v>DALLAS</v>
          </cell>
          <cell r="L7780" t="str">
            <v>Dallas</v>
          </cell>
          <cell r="V7780">
            <v>144400</v>
          </cell>
        </row>
        <row r="7781">
          <cell r="B7781">
            <v>1944</v>
          </cell>
          <cell r="K7781" t="str">
            <v>GRUNDY</v>
          </cell>
          <cell r="L7781" t="str">
            <v>Grundy</v>
          </cell>
          <cell r="V7781">
            <v>115100</v>
          </cell>
        </row>
        <row r="7782">
          <cell r="B7782">
            <v>1944</v>
          </cell>
          <cell r="K7782" t="str">
            <v>HAMILTON</v>
          </cell>
          <cell r="L7782" t="str">
            <v>Hamilton</v>
          </cell>
          <cell r="V7782">
            <v>152300</v>
          </cell>
        </row>
        <row r="7783">
          <cell r="B7783">
            <v>1944</v>
          </cell>
          <cell r="K7783" t="str">
            <v>HARDIN</v>
          </cell>
          <cell r="L7783" t="str">
            <v>Hardin</v>
          </cell>
          <cell r="V7783">
            <v>135000</v>
          </cell>
        </row>
        <row r="7784">
          <cell r="B7784">
            <v>1944</v>
          </cell>
          <cell r="K7784" t="str">
            <v>JASPER</v>
          </cell>
          <cell r="L7784" t="str">
            <v>Jasper</v>
          </cell>
          <cell r="V7784">
            <v>138200</v>
          </cell>
        </row>
        <row r="7785">
          <cell r="B7785">
            <v>1944</v>
          </cell>
          <cell r="K7785" t="str">
            <v>MARSHALL</v>
          </cell>
          <cell r="L7785" t="str">
            <v>Marshall</v>
          </cell>
          <cell r="V7785">
            <v>124700</v>
          </cell>
        </row>
        <row r="7786">
          <cell r="B7786">
            <v>1944</v>
          </cell>
          <cell r="K7786" t="str">
            <v>POLK</v>
          </cell>
          <cell r="L7786" t="str">
            <v>Polk</v>
          </cell>
          <cell r="V7786">
            <v>106400</v>
          </cell>
        </row>
        <row r="7787">
          <cell r="B7787">
            <v>1944</v>
          </cell>
          <cell r="K7787" t="str">
            <v>POWESHIEK</v>
          </cell>
          <cell r="L7787" t="str">
            <v>Poweshiek</v>
          </cell>
          <cell r="V7787">
            <v>111000</v>
          </cell>
        </row>
        <row r="7788">
          <cell r="B7788">
            <v>1944</v>
          </cell>
          <cell r="K7788" t="str">
            <v>STORY</v>
          </cell>
          <cell r="L7788" t="str">
            <v>Story</v>
          </cell>
          <cell r="V7788">
            <v>143900</v>
          </cell>
        </row>
        <row r="7789">
          <cell r="B7789">
            <v>1944</v>
          </cell>
          <cell r="K7789" t="str">
            <v>TAMA</v>
          </cell>
          <cell r="L7789" t="str">
            <v>Tama</v>
          </cell>
          <cell r="V7789">
            <v>132800</v>
          </cell>
        </row>
        <row r="7790">
          <cell r="B7790">
            <v>1944</v>
          </cell>
          <cell r="K7790" t="str">
            <v>WEBSTER</v>
          </cell>
          <cell r="L7790" t="str">
            <v>Webster</v>
          </cell>
          <cell r="V7790">
            <v>173100</v>
          </cell>
        </row>
        <row r="7791">
          <cell r="B7791">
            <v>1944</v>
          </cell>
          <cell r="K7791" t="str">
            <v>BENTON</v>
          </cell>
          <cell r="L7791" t="str">
            <v>Benton</v>
          </cell>
          <cell r="V7791">
            <v>153100</v>
          </cell>
        </row>
        <row r="7792">
          <cell r="B7792">
            <v>1944</v>
          </cell>
          <cell r="K7792" t="str">
            <v>CEDAR</v>
          </cell>
          <cell r="L7792" t="str">
            <v>Cedar</v>
          </cell>
          <cell r="V7792">
            <v>118600</v>
          </cell>
        </row>
        <row r="7793">
          <cell r="B7793">
            <v>1944</v>
          </cell>
          <cell r="K7793" t="str">
            <v>CLINTON</v>
          </cell>
          <cell r="L7793" t="str">
            <v>Clinton</v>
          </cell>
          <cell r="V7793">
            <v>142200</v>
          </cell>
        </row>
        <row r="7794">
          <cell r="B7794">
            <v>1944</v>
          </cell>
          <cell r="K7794" t="str">
            <v>IOWA</v>
          </cell>
          <cell r="L7794" t="str">
            <v>Iowa</v>
          </cell>
          <cell r="V7794">
            <v>103200</v>
          </cell>
        </row>
        <row r="7795">
          <cell r="B7795">
            <v>1944</v>
          </cell>
          <cell r="K7795" t="str">
            <v>JACKSON</v>
          </cell>
          <cell r="L7795" t="str">
            <v>Jackson</v>
          </cell>
          <cell r="V7795">
            <v>70700</v>
          </cell>
        </row>
        <row r="7796">
          <cell r="B7796">
            <v>1944</v>
          </cell>
          <cell r="K7796" t="str">
            <v>JOHNSON</v>
          </cell>
          <cell r="L7796" t="str">
            <v>Johnson</v>
          </cell>
          <cell r="V7796">
            <v>113300</v>
          </cell>
        </row>
        <row r="7797">
          <cell r="B7797">
            <v>1944</v>
          </cell>
          <cell r="K7797" t="str">
            <v>JONES</v>
          </cell>
          <cell r="L7797" t="str">
            <v>Jones</v>
          </cell>
          <cell r="V7797">
            <v>91600</v>
          </cell>
        </row>
        <row r="7798">
          <cell r="B7798">
            <v>1944</v>
          </cell>
          <cell r="K7798" t="str">
            <v>LINN</v>
          </cell>
          <cell r="L7798" t="str">
            <v>Linn</v>
          </cell>
          <cell r="V7798">
            <v>134000</v>
          </cell>
        </row>
        <row r="7799">
          <cell r="B7799">
            <v>1944</v>
          </cell>
          <cell r="K7799" t="str">
            <v>MUSCATINE</v>
          </cell>
          <cell r="L7799" t="str">
            <v>Muscatine</v>
          </cell>
          <cell r="V7799">
            <v>82500</v>
          </cell>
        </row>
        <row r="7800">
          <cell r="B7800">
            <v>1944</v>
          </cell>
          <cell r="K7800" t="str">
            <v>SCOTT</v>
          </cell>
          <cell r="L7800" t="str">
            <v>Scott</v>
          </cell>
          <cell r="V7800">
            <v>87100</v>
          </cell>
        </row>
        <row r="7801">
          <cell r="B7801">
            <v>1944</v>
          </cell>
          <cell r="K7801" t="str">
            <v>BUTLER</v>
          </cell>
          <cell r="L7801" t="str">
            <v>Butler</v>
          </cell>
          <cell r="V7801">
            <v>122300</v>
          </cell>
        </row>
        <row r="7802">
          <cell r="B7802">
            <v>1944</v>
          </cell>
          <cell r="K7802" t="str">
            <v>CERRO GORDO</v>
          </cell>
          <cell r="L7802" t="str">
            <v>Cerro Gordo</v>
          </cell>
          <cell r="V7802">
            <v>125100</v>
          </cell>
        </row>
        <row r="7803">
          <cell r="B7803">
            <v>1944</v>
          </cell>
          <cell r="K7803" t="str">
            <v>FLOYD</v>
          </cell>
          <cell r="L7803" t="str">
            <v>Floyd</v>
          </cell>
          <cell r="V7803">
            <v>106800</v>
          </cell>
        </row>
        <row r="7804">
          <cell r="B7804">
            <v>1944</v>
          </cell>
          <cell r="K7804" t="str">
            <v>FRANKLIN</v>
          </cell>
          <cell r="L7804" t="str">
            <v>Franklin</v>
          </cell>
          <cell r="V7804">
            <v>141100</v>
          </cell>
        </row>
        <row r="7805">
          <cell r="B7805">
            <v>1944</v>
          </cell>
          <cell r="K7805" t="str">
            <v>HANCOCK</v>
          </cell>
          <cell r="L7805" t="str">
            <v>Hancock</v>
          </cell>
          <cell r="V7805">
            <v>133700</v>
          </cell>
        </row>
        <row r="7806">
          <cell r="B7806">
            <v>1944</v>
          </cell>
          <cell r="K7806" t="str">
            <v>HUMBOLDT</v>
          </cell>
          <cell r="L7806" t="str">
            <v>Humboldt</v>
          </cell>
          <cell r="V7806">
            <v>113300</v>
          </cell>
        </row>
        <row r="7807">
          <cell r="B7807">
            <v>1944</v>
          </cell>
          <cell r="K7807" t="str">
            <v>KOSSUTH</v>
          </cell>
          <cell r="L7807" t="str">
            <v>Kossuth</v>
          </cell>
          <cell r="V7807">
            <v>242000</v>
          </cell>
        </row>
        <row r="7808">
          <cell r="B7808">
            <v>1944</v>
          </cell>
          <cell r="K7808" t="str">
            <v>MITCHELL</v>
          </cell>
          <cell r="L7808" t="str">
            <v>Mitchell</v>
          </cell>
          <cell r="V7808">
            <v>89000</v>
          </cell>
        </row>
        <row r="7809">
          <cell r="B7809">
            <v>1944</v>
          </cell>
          <cell r="K7809" t="str">
            <v>WINNEBAGO</v>
          </cell>
          <cell r="L7809" t="str">
            <v>Winnebago</v>
          </cell>
          <cell r="V7809">
            <v>90300</v>
          </cell>
        </row>
        <row r="7810">
          <cell r="B7810">
            <v>1944</v>
          </cell>
          <cell r="K7810" t="str">
            <v>WORTH</v>
          </cell>
          <cell r="L7810" t="str">
            <v>Worth</v>
          </cell>
          <cell r="V7810">
            <v>78100</v>
          </cell>
        </row>
        <row r="7811">
          <cell r="B7811">
            <v>1944</v>
          </cell>
          <cell r="K7811" t="str">
            <v>WRIGHT</v>
          </cell>
          <cell r="L7811" t="str">
            <v>Wright</v>
          </cell>
          <cell r="V7811">
            <v>149700</v>
          </cell>
        </row>
        <row r="7812">
          <cell r="B7812">
            <v>1944</v>
          </cell>
          <cell r="K7812" t="str">
            <v>ALLAMAKEE</v>
          </cell>
          <cell r="L7812" t="str">
            <v>Allamakee</v>
          </cell>
          <cell r="V7812">
            <v>61400</v>
          </cell>
        </row>
        <row r="7813">
          <cell r="B7813">
            <v>1944</v>
          </cell>
          <cell r="K7813" t="str">
            <v>BLACK HAWK</v>
          </cell>
          <cell r="L7813" t="str">
            <v>Black Hawk</v>
          </cell>
          <cell r="V7813">
            <v>113900</v>
          </cell>
        </row>
        <row r="7814">
          <cell r="B7814">
            <v>1944</v>
          </cell>
          <cell r="K7814" t="str">
            <v>BREMER</v>
          </cell>
          <cell r="L7814" t="str">
            <v>Bremer</v>
          </cell>
          <cell r="V7814">
            <v>81800</v>
          </cell>
        </row>
        <row r="7815">
          <cell r="B7815">
            <v>1944</v>
          </cell>
          <cell r="K7815" t="str">
            <v>BUCHANAN</v>
          </cell>
          <cell r="L7815" t="str">
            <v>Buchanan</v>
          </cell>
          <cell r="V7815">
            <v>110300</v>
          </cell>
        </row>
        <row r="7816">
          <cell r="B7816">
            <v>1944</v>
          </cell>
          <cell r="K7816" t="str">
            <v>CHICKASAW</v>
          </cell>
          <cell r="L7816" t="str">
            <v>Chickasaw</v>
          </cell>
          <cell r="V7816">
            <v>81700</v>
          </cell>
        </row>
        <row r="7817">
          <cell r="B7817">
            <v>1944</v>
          </cell>
          <cell r="K7817" t="str">
            <v>CLAYTON</v>
          </cell>
          <cell r="L7817" t="str">
            <v>Clayton</v>
          </cell>
          <cell r="V7817">
            <v>91000</v>
          </cell>
        </row>
        <row r="7818">
          <cell r="B7818">
            <v>1944</v>
          </cell>
          <cell r="K7818" t="str">
            <v>DELAWARE</v>
          </cell>
          <cell r="L7818" t="str">
            <v>Delaware</v>
          </cell>
          <cell r="V7818">
            <v>103400</v>
          </cell>
        </row>
        <row r="7819">
          <cell r="B7819">
            <v>1944</v>
          </cell>
          <cell r="K7819" t="str">
            <v>DUBUQUE</v>
          </cell>
          <cell r="L7819" t="str">
            <v>Dubuque</v>
          </cell>
          <cell r="V7819">
            <v>80200</v>
          </cell>
        </row>
        <row r="7820">
          <cell r="B7820">
            <v>1944</v>
          </cell>
          <cell r="K7820" t="str">
            <v>FAYETTE</v>
          </cell>
          <cell r="L7820" t="str">
            <v>Fayette</v>
          </cell>
          <cell r="V7820">
            <v>114900</v>
          </cell>
        </row>
        <row r="7821">
          <cell r="B7821">
            <v>1944</v>
          </cell>
          <cell r="K7821" t="str">
            <v>HOWARD</v>
          </cell>
          <cell r="L7821" t="str">
            <v>Howard</v>
          </cell>
          <cell r="V7821">
            <v>70300</v>
          </cell>
        </row>
        <row r="7822">
          <cell r="B7822">
            <v>1944</v>
          </cell>
          <cell r="K7822" t="str">
            <v>WINNESHIEK</v>
          </cell>
          <cell r="L7822" t="str">
            <v>Winneshiek</v>
          </cell>
          <cell r="V7822">
            <v>97000</v>
          </cell>
        </row>
        <row r="7823">
          <cell r="B7823">
            <v>1944</v>
          </cell>
          <cell r="K7823" t="str">
            <v>BUENA VISTA</v>
          </cell>
          <cell r="L7823" t="str">
            <v>Buena Vista</v>
          </cell>
          <cell r="V7823">
            <v>148900</v>
          </cell>
        </row>
        <row r="7824">
          <cell r="B7824">
            <v>1944</v>
          </cell>
          <cell r="K7824" t="str">
            <v>CHEROKEE</v>
          </cell>
          <cell r="L7824" t="str">
            <v>Cherokee</v>
          </cell>
          <cell r="V7824">
            <v>144000</v>
          </cell>
        </row>
        <row r="7825">
          <cell r="B7825">
            <v>1944</v>
          </cell>
          <cell r="K7825" t="str">
            <v>CLAY</v>
          </cell>
          <cell r="L7825" t="str">
            <v>Clay</v>
          </cell>
          <cell r="V7825">
            <v>142000</v>
          </cell>
        </row>
        <row r="7826">
          <cell r="B7826">
            <v>1944</v>
          </cell>
          <cell r="K7826" t="str">
            <v>DICKINSON</v>
          </cell>
          <cell r="L7826" t="str">
            <v>Dickinson</v>
          </cell>
          <cell r="V7826">
            <v>91400</v>
          </cell>
        </row>
        <row r="7827">
          <cell r="B7827">
            <v>1944</v>
          </cell>
          <cell r="K7827" t="str">
            <v>EMMET</v>
          </cell>
          <cell r="L7827" t="str">
            <v>Emmet</v>
          </cell>
          <cell r="V7827">
            <v>96600</v>
          </cell>
        </row>
        <row r="7828">
          <cell r="B7828">
            <v>1944</v>
          </cell>
          <cell r="K7828" t="str">
            <v>LYON</v>
          </cell>
          <cell r="L7828" t="str">
            <v>Lyon</v>
          </cell>
          <cell r="V7828">
            <v>148600</v>
          </cell>
        </row>
        <row r="7829">
          <cell r="B7829">
            <v>1944</v>
          </cell>
          <cell r="K7829" t="str">
            <v>O BRIEN</v>
          </cell>
          <cell r="L7829" t="str">
            <v>O Brien</v>
          </cell>
          <cell r="V7829">
            <v>142500</v>
          </cell>
        </row>
        <row r="7830">
          <cell r="B7830">
            <v>1944</v>
          </cell>
          <cell r="K7830" t="str">
            <v>OSCEOLA</v>
          </cell>
          <cell r="L7830" t="str">
            <v>Osceola</v>
          </cell>
          <cell r="V7830">
            <v>98100</v>
          </cell>
        </row>
        <row r="7831">
          <cell r="B7831">
            <v>1944</v>
          </cell>
          <cell r="K7831" t="str">
            <v>PALO ALTO</v>
          </cell>
          <cell r="L7831" t="str">
            <v>Palo Alto</v>
          </cell>
          <cell r="V7831">
            <v>142900</v>
          </cell>
        </row>
        <row r="7832">
          <cell r="B7832">
            <v>1944</v>
          </cell>
          <cell r="K7832" t="str">
            <v>PLYMOUTH</v>
          </cell>
          <cell r="L7832" t="str">
            <v>Plymouth</v>
          </cell>
          <cell r="V7832">
            <v>244600</v>
          </cell>
        </row>
        <row r="7833">
          <cell r="B7833">
            <v>1944</v>
          </cell>
          <cell r="K7833" t="str">
            <v>POCAHONTAS</v>
          </cell>
          <cell r="L7833" t="str">
            <v>Pocahontas</v>
          </cell>
          <cell r="V7833">
            <v>153000</v>
          </cell>
        </row>
        <row r="7834">
          <cell r="B7834">
            <v>1944</v>
          </cell>
          <cell r="K7834" t="str">
            <v>SIOUX</v>
          </cell>
          <cell r="L7834" t="str">
            <v>Sioux</v>
          </cell>
          <cell r="V7834">
            <v>209200</v>
          </cell>
        </row>
        <row r="7835">
          <cell r="B7835">
            <v>1944</v>
          </cell>
          <cell r="K7835" t="str">
            <v>APPANOOSE</v>
          </cell>
          <cell r="L7835" t="str">
            <v>Appanoose</v>
          </cell>
          <cell r="V7835">
            <v>43100</v>
          </cell>
        </row>
        <row r="7836">
          <cell r="B7836">
            <v>1944</v>
          </cell>
          <cell r="K7836" t="str">
            <v>CLARKE</v>
          </cell>
          <cell r="L7836" t="str">
            <v>Clarke</v>
          </cell>
          <cell r="V7836">
            <v>53400</v>
          </cell>
        </row>
        <row r="7837">
          <cell r="B7837">
            <v>1944</v>
          </cell>
          <cell r="K7837" t="str">
            <v>DECATUR</v>
          </cell>
          <cell r="L7837" t="str">
            <v>Decatur</v>
          </cell>
          <cell r="V7837">
            <v>54500</v>
          </cell>
        </row>
        <row r="7838">
          <cell r="B7838">
            <v>1944</v>
          </cell>
          <cell r="K7838" t="str">
            <v>LUCAS</v>
          </cell>
          <cell r="L7838" t="str">
            <v>Lucas</v>
          </cell>
          <cell r="V7838">
            <v>43700</v>
          </cell>
        </row>
        <row r="7839">
          <cell r="B7839">
            <v>1944</v>
          </cell>
          <cell r="K7839" t="str">
            <v>MADISON</v>
          </cell>
          <cell r="L7839" t="str">
            <v>Madison</v>
          </cell>
          <cell r="V7839">
            <v>89000</v>
          </cell>
        </row>
        <row r="7840">
          <cell r="B7840">
            <v>1944</v>
          </cell>
          <cell r="K7840" t="str">
            <v>MARION</v>
          </cell>
          <cell r="L7840" t="str">
            <v>Marion</v>
          </cell>
          <cell r="V7840">
            <v>84000</v>
          </cell>
        </row>
        <row r="7841">
          <cell r="B7841">
            <v>1944</v>
          </cell>
          <cell r="K7841" t="str">
            <v>MONROE</v>
          </cell>
          <cell r="L7841" t="str">
            <v>Monroe</v>
          </cell>
          <cell r="V7841">
            <v>40200</v>
          </cell>
        </row>
        <row r="7842">
          <cell r="B7842">
            <v>1944</v>
          </cell>
          <cell r="K7842" t="str">
            <v>RINGGOLD</v>
          </cell>
          <cell r="L7842" t="str">
            <v>Ringgold</v>
          </cell>
          <cell r="V7842">
            <v>63800</v>
          </cell>
        </row>
        <row r="7843">
          <cell r="B7843">
            <v>1944</v>
          </cell>
          <cell r="K7843" t="str">
            <v>UNION</v>
          </cell>
          <cell r="L7843" t="str">
            <v>Union</v>
          </cell>
          <cell r="V7843">
            <v>61000</v>
          </cell>
        </row>
        <row r="7844">
          <cell r="B7844">
            <v>1944</v>
          </cell>
          <cell r="K7844" t="str">
            <v>WARREN</v>
          </cell>
          <cell r="L7844" t="str">
            <v>Warren</v>
          </cell>
          <cell r="V7844">
            <v>82800</v>
          </cell>
        </row>
        <row r="7845">
          <cell r="B7845">
            <v>1944</v>
          </cell>
          <cell r="K7845" t="str">
            <v>WAYNE</v>
          </cell>
          <cell r="L7845" t="str">
            <v>Wayne</v>
          </cell>
          <cell r="V7845">
            <v>58600</v>
          </cell>
        </row>
        <row r="7846">
          <cell r="B7846">
            <v>1944</v>
          </cell>
          <cell r="K7846" t="str">
            <v>DAVIS</v>
          </cell>
          <cell r="L7846" t="str">
            <v>Davis</v>
          </cell>
          <cell r="V7846">
            <v>47600</v>
          </cell>
        </row>
        <row r="7847">
          <cell r="B7847">
            <v>1944</v>
          </cell>
          <cell r="K7847" t="str">
            <v>DES MOINES</v>
          </cell>
          <cell r="L7847" t="str">
            <v>Des Moines</v>
          </cell>
          <cell r="V7847">
            <v>60600</v>
          </cell>
        </row>
        <row r="7848">
          <cell r="B7848">
            <v>1944</v>
          </cell>
          <cell r="K7848" t="str">
            <v>HENRY</v>
          </cell>
          <cell r="L7848" t="str">
            <v>Henry</v>
          </cell>
          <cell r="V7848">
            <v>69000</v>
          </cell>
        </row>
        <row r="7849">
          <cell r="B7849">
            <v>1944</v>
          </cell>
          <cell r="K7849" t="str">
            <v>JEFFERSON</v>
          </cell>
          <cell r="L7849" t="str">
            <v>Jefferson</v>
          </cell>
          <cell r="V7849">
            <v>62300</v>
          </cell>
        </row>
        <row r="7850">
          <cell r="B7850">
            <v>1944</v>
          </cell>
          <cell r="K7850" t="str">
            <v>KEOKUK</v>
          </cell>
          <cell r="L7850" t="str">
            <v>Keokuk</v>
          </cell>
          <cell r="V7850">
            <v>96800</v>
          </cell>
        </row>
        <row r="7851">
          <cell r="B7851">
            <v>1944</v>
          </cell>
          <cell r="K7851" t="str">
            <v>LEE</v>
          </cell>
          <cell r="L7851" t="str">
            <v>Lee</v>
          </cell>
          <cell r="V7851">
            <v>59900</v>
          </cell>
        </row>
        <row r="7852">
          <cell r="B7852">
            <v>1944</v>
          </cell>
          <cell r="K7852" t="str">
            <v>LOUISA</v>
          </cell>
          <cell r="L7852" t="str">
            <v>Louisa</v>
          </cell>
          <cell r="V7852">
            <v>69600</v>
          </cell>
        </row>
        <row r="7853">
          <cell r="B7853">
            <v>1944</v>
          </cell>
          <cell r="K7853" t="str">
            <v>MAHASKA</v>
          </cell>
          <cell r="L7853" t="str">
            <v>Mahaska</v>
          </cell>
          <cell r="V7853">
            <v>102600</v>
          </cell>
        </row>
        <row r="7854">
          <cell r="B7854">
            <v>1944</v>
          </cell>
          <cell r="K7854" t="str">
            <v>VAN BUREN</v>
          </cell>
          <cell r="L7854" t="str">
            <v>Van Buren</v>
          </cell>
          <cell r="V7854">
            <v>44800</v>
          </cell>
        </row>
        <row r="7855">
          <cell r="B7855">
            <v>1944</v>
          </cell>
          <cell r="K7855" t="str">
            <v>WAPELLO</v>
          </cell>
          <cell r="L7855" t="str">
            <v>Wapello</v>
          </cell>
          <cell r="V7855">
            <v>53900</v>
          </cell>
        </row>
        <row r="7856">
          <cell r="B7856">
            <v>1944</v>
          </cell>
          <cell r="K7856" t="str">
            <v>WASHINGTON</v>
          </cell>
          <cell r="L7856" t="str">
            <v>Washington</v>
          </cell>
          <cell r="V7856">
            <v>108500</v>
          </cell>
        </row>
        <row r="7857">
          <cell r="B7857">
            <v>1944</v>
          </cell>
          <cell r="K7857" t="str">
            <v>ADAIR</v>
          </cell>
          <cell r="L7857" t="str">
            <v>Adair</v>
          </cell>
          <cell r="V7857">
            <v>95500</v>
          </cell>
        </row>
        <row r="7858">
          <cell r="B7858">
            <v>1944</v>
          </cell>
          <cell r="K7858" t="str">
            <v>ADAMS</v>
          </cell>
          <cell r="L7858" t="str">
            <v>Adams</v>
          </cell>
          <cell r="V7858">
            <v>67600</v>
          </cell>
        </row>
        <row r="7859">
          <cell r="B7859">
            <v>1944</v>
          </cell>
          <cell r="K7859" t="str">
            <v>CASS</v>
          </cell>
          <cell r="L7859" t="str">
            <v>Cass</v>
          </cell>
          <cell r="V7859">
            <v>115200</v>
          </cell>
        </row>
        <row r="7860">
          <cell r="B7860">
            <v>1944</v>
          </cell>
          <cell r="K7860" t="str">
            <v>FREMONT</v>
          </cell>
          <cell r="L7860" t="str">
            <v>Fremont</v>
          </cell>
          <cell r="V7860">
            <v>133600</v>
          </cell>
        </row>
        <row r="7861">
          <cell r="B7861">
            <v>1944</v>
          </cell>
          <cell r="K7861" t="str">
            <v>MILLS</v>
          </cell>
          <cell r="L7861" t="str">
            <v>Mills</v>
          </cell>
          <cell r="V7861">
            <v>115000</v>
          </cell>
        </row>
        <row r="7862">
          <cell r="B7862">
            <v>1944</v>
          </cell>
          <cell r="K7862" t="str">
            <v>MONTGOMERY</v>
          </cell>
          <cell r="L7862" t="str">
            <v>Montgomery</v>
          </cell>
          <cell r="V7862">
            <v>94000</v>
          </cell>
        </row>
        <row r="7863">
          <cell r="B7863">
            <v>1944</v>
          </cell>
          <cell r="K7863" t="str">
            <v>PAGE</v>
          </cell>
          <cell r="L7863" t="str">
            <v>Page</v>
          </cell>
          <cell r="V7863">
            <v>111000</v>
          </cell>
        </row>
        <row r="7864">
          <cell r="B7864">
            <v>1944</v>
          </cell>
          <cell r="K7864" t="str">
            <v>POTTAWATTAMIE</v>
          </cell>
          <cell r="L7864" t="str">
            <v>Pottawattamie</v>
          </cell>
          <cell r="V7864">
            <v>258700</v>
          </cell>
        </row>
        <row r="7865">
          <cell r="B7865">
            <v>1944</v>
          </cell>
          <cell r="K7865" t="str">
            <v>TAYLOR</v>
          </cell>
          <cell r="L7865" t="str">
            <v>Taylor</v>
          </cell>
          <cell r="V7865">
            <v>80700</v>
          </cell>
        </row>
        <row r="7866">
          <cell r="B7866">
            <v>1944</v>
          </cell>
          <cell r="K7866" t="str">
            <v>AUDUBON</v>
          </cell>
          <cell r="L7866" t="str">
            <v>Audubon</v>
          </cell>
          <cell r="V7866">
            <v>94400</v>
          </cell>
        </row>
        <row r="7867">
          <cell r="B7867">
            <v>1944</v>
          </cell>
          <cell r="K7867" t="str">
            <v>CALHOUN</v>
          </cell>
          <cell r="L7867" t="str">
            <v>Calhoun</v>
          </cell>
          <cell r="V7867">
            <v>146000</v>
          </cell>
        </row>
        <row r="7868">
          <cell r="B7868">
            <v>1944</v>
          </cell>
          <cell r="K7868" t="str">
            <v>CARROLL</v>
          </cell>
          <cell r="L7868" t="str">
            <v>Carroll</v>
          </cell>
          <cell r="V7868">
            <v>148000</v>
          </cell>
        </row>
        <row r="7869">
          <cell r="B7869">
            <v>1944</v>
          </cell>
          <cell r="K7869" t="str">
            <v>CRAWFORD</v>
          </cell>
          <cell r="L7869" t="str">
            <v>Crawford</v>
          </cell>
          <cell r="V7869">
            <v>167700</v>
          </cell>
        </row>
        <row r="7870">
          <cell r="B7870">
            <v>1944</v>
          </cell>
          <cell r="K7870" t="str">
            <v>GREENE</v>
          </cell>
          <cell r="L7870" t="str">
            <v>Greene</v>
          </cell>
          <cell r="V7870">
            <v>159600</v>
          </cell>
        </row>
        <row r="7871">
          <cell r="B7871">
            <v>1944</v>
          </cell>
          <cell r="K7871" t="str">
            <v>GUTHRIE</v>
          </cell>
          <cell r="L7871" t="str">
            <v>Guthrie</v>
          </cell>
          <cell r="V7871">
            <v>114900</v>
          </cell>
        </row>
        <row r="7872">
          <cell r="B7872">
            <v>1944</v>
          </cell>
          <cell r="K7872" t="str">
            <v>HARRISON</v>
          </cell>
          <cell r="L7872" t="str">
            <v>Harrison</v>
          </cell>
          <cell r="V7872">
            <v>191900</v>
          </cell>
        </row>
        <row r="7873">
          <cell r="B7873">
            <v>1944</v>
          </cell>
          <cell r="K7873" t="str">
            <v>IDA</v>
          </cell>
          <cell r="L7873" t="str">
            <v>Ida</v>
          </cell>
          <cell r="V7873">
            <v>110000</v>
          </cell>
        </row>
        <row r="7874">
          <cell r="B7874">
            <v>1944</v>
          </cell>
          <cell r="K7874" t="str">
            <v>MONONA</v>
          </cell>
          <cell r="L7874" t="str">
            <v>Monona</v>
          </cell>
          <cell r="V7874">
            <v>175000</v>
          </cell>
        </row>
        <row r="7875">
          <cell r="B7875">
            <v>1944</v>
          </cell>
          <cell r="K7875" t="str">
            <v>SAC</v>
          </cell>
          <cell r="L7875" t="str">
            <v>Sac</v>
          </cell>
          <cell r="V7875">
            <v>141200</v>
          </cell>
        </row>
        <row r="7876">
          <cell r="B7876">
            <v>1944</v>
          </cell>
          <cell r="K7876" t="str">
            <v>SHELBY</v>
          </cell>
          <cell r="L7876" t="str">
            <v>Shelby</v>
          </cell>
          <cell r="V7876">
            <v>158000</v>
          </cell>
        </row>
        <row r="7877">
          <cell r="B7877">
            <v>1944</v>
          </cell>
          <cell r="K7877" t="str">
            <v>WOODBURY</v>
          </cell>
          <cell r="L7877" t="str">
            <v>Woodbury</v>
          </cell>
          <cell r="V7877">
            <v>223000</v>
          </cell>
        </row>
        <row r="7878">
          <cell r="B7878">
            <v>1943</v>
          </cell>
          <cell r="K7878" t="str">
            <v>BOONE</v>
          </cell>
          <cell r="L7878" t="str">
            <v>Boone</v>
          </cell>
          <cell r="V7878">
            <v>139000</v>
          </cell>
        </row>
        <row r="7879">
          <cell r="B7879">
            <v>1943</v>
          </cell>
          <cell r="K7879" t="str">
            <v>DALLAS</v>
          </cell>
          <cell r="L7879" t="str">
            <v>Dallas</v>
          </cell>
          <cell r="V7879">
            <v>140800</v>
          </cell>
        </row>
        <row r="7880">
          <cell r="B7880">
            <v>1943</v>
          </cell>
          <cell r="K7880" t="str">
            <v>GRUNDY</v>
          </cell>
          <cell r="L7880" t="str">
            <v>Grundy</v>
          </cell>
          <cell r="V7880">
            <v>109200</v>
          </cell>
        </row>
        <row r="7881">
          <cell r="B7881">
            <v>1943</v>
          </cell>
          <cell r="K7881" t="str">
            <v>HAMILTON</v>
          </cell>
          <cell r="L7881" t="str">
            <v>Hamilton</v>
          </cell>
          <cell r="V7881">
            <v>148200</v>
          </cell>
        </row>
        <row r="7882">
          <cell r="B7882">
            <v>1943</v>
          </cell>
          <cell r="K7882" t="str">
            <v>HARDIN</v>
          </cell>
          <cell r="L7882" t="str">
            <v>Hardin</v>
          </cell>
          <cell r="V7882">
            <v>129200</v>
          </cell>
        </row>
        <row r="7883">
          <cell r="B7883">
            <v>1943</v>
          </cell>
          <cell r="K7883" t="str">
            <v>JASPER</v>
          </cell>
          <cell r="L7883" t="str">
            <v>Jasper</v>
          </cell>
          <cell r="V7883">
            <v>143000</v>
          </cell>
        </row>
        <row r="7884">
          <cell r="B7884">
            <v>1943</v>
          </cell>
          <cell r="K7884" t="str">
            <v>MARSHALL</v>
          </cell>
          <cell r="L7884" t="str">
            <v>Marshall</v>
          </cell>
          <cell r="V7884">
            <v>121100</v>
          </cell>
        </row>
        <row r="7885">
          <cell r="B7885">
            <v>1943</v>
          </cell>
          <cell r="K7885" t="str">
            <v>POLK</v>
          </cell>
          <cell r="L7885" t="str">
            <v>Polk</v>
          </cell>
          <cell r="V7885">
            <v>109700</v>
          </cell>
        </row>
        <row r="7886">
          <cell r="B7886">
            <v>1943</v>
          </cell>
          <cell r="K7886" t="str">
            <v>POWESHIEK</v>
          </cell>
          <cell r="L7886" t="str">
            <v>Poweshiek</v>
          </cell>
          <cell r="V7886">
            <v>106600</v>
          </cell>
        </row>
        <row r="7887">
          <cell r="B7887">
            <v>1943</v>
          </cell>
          <cell r="K7887" t="str">
            <v>STORY</v>
          </cell>
          <cell r="L7887" t="str">
            <v>Story</v>
          </cell>
          <cell r="V7887">
            <v>143600</v>
          </cell>
        </row>
        <row r="7888">
          <cell r="B7888">
            <v>1943</v>
          </cell>
          <cell r="K7888" t="str">
            <v>TAMA</v>
          </cell>
          <cell r="L7888" t="str">
            <v>Tama</v>
          </cell>
          <cell r="V7888">
            <v>128900</v>
          </cell>
        </row>
        <row r="7889">
          <cell r="B7889">
            <v>1943</v>
          </cell>
          <cell r="K7889" t="str">
            <v>WEBSTER</v>
          </cell>
          <cell r="L7889" t="str">
            <v>Webster</v>
          </cell>
          <cell r="V7889">
            <v>168600</v>
          </cell>
        </row>
        <row r="7890">
          <cell r="B7890">
            <v>1943</v>
          </cell>
          <cell r="K7890" t="str">
            <v>BENTON</v>
          </cell>
          <cell r="L7890" t="str">
            <v>Benton</v>
          </cell>
          <cell r="V7890">
            <v>144100</v>
          </cell>
        </row>
        <row r="7891">
          <cell r="B7891">
            <v>1943</v>
          </cell>
          <cell r="K7891" t="str">
            <v>CEDAR</v>
          </cell>
          <cell r="L7891" t="str">
            <v>Cedar</v>
          </cell>
          <cell r="V7891">
            <v>115800</v>
          </cell>
        </row>
        <row r="7892">
          <cell r="B7892">
            <v>1943</v>
          </cell>
          <cell r="K7892" t="str">
            <v>CLINTON</v>
          </cell>
          <cell r="L7892" t="str">
            <v>Clinton</v>
          </cell>
          <cell r="V7892">
            <v>137900</v>
          </cell>
        </row>
        <row r="7893">
          <cell r="B7893">
            <v>1943</v>
          </cell>
          <cell r="K7893" t="str">
            <v>IOWA</v>
          </cell>
          <cell r="L7893" t="str">
            <v>Iowa</v>
          </cell>
          <cell r="V7893">
            <v>102600</v>
          </cell>
        </row>
        <row r="7894">
          <cell r="B7894">
            <v>1943</v>
          </cell>
          <cell r="K7894" t="str">
            <v>JACKSON</v>
          </cell>
          <cell r="L7894" t="str">
            <v>Jackson</v>
          </cell>
          <cell r="V7894">
            <v>72500</v>
          </cell>
        </row>
        <row r="7895">
          <cell r="B7895">
            <v>1943</v>
          </cell>
          <cell r="K7895" t="str">
            <v>JOHNSON</v>
          </cell>
          <cell r="L7895" t="str">
            <v>Johnson</v>
          </cell>
          <cell r="V7895">
            <v>108900</v>
          </cell>
        </row>
        <row r="7896">
          <cell r="B7896">
            <v>1943</v>
          </cell>
          <cell r="K7896" t="str">
            <v>JONES</v>
          </cell>
          <cell r="L7896" t="str">
            <v>Jones</v>
          </cell>
          <cell r="V7896">
            <v>87400</v>
          </cell>
        </row>
        <row r="7897">
          <cell r="B7897">
            <v>1943</v>
          </cell>
          <cell r="K7897" t="str">
            <v>LINN</v>
          </cell>
          <cell r="L7897" t="str">
            <v>Linn</v>
          </cell>
          <cell r="V7897">
            <v>125800</v>
          </cell>
        </row>
        <row r="7898">
          <cell r="B7898">
            <v>1943</v>
          </cell>
          <cell r="K7898" t="str">
            <v>MUSCATINE</v>
          </cell>
          <cell r="L7898" t="str">
            <v>Muscatine</v>
          </cell>
          <cell r="V7898">
            <v>79100</v>
          </cell>
        </row>
        <row r="7899">
          <cell r="B7899">
            <v>1943</v>
          </cell>
          <cell r="K7899" t="str">
            <v>SCOTT</v>
          </cell>
          <cell r="L7899" t="str">
            <v>Scott</v>
          </cell>
          <cell r="V7899">
            <v>83800</v>
          </cell>
        </row>
        <row r="7900">
          <cell r="B7900">
            <v>1943</v>
          </cell>
          <cell r="K7900" t="str">
            <v>BUTLER</v>
          </cell>
          <cell r="L7900" t="str">
            <v>Butler</v>
          </cell>
          <cell r="V7900">
            <v>117000</v>
          </cell>
        </row>
        <row r="7901">
          <cell r="B7901">
            <v>1943</v>
          </cell>
          <cell r="K7901" t="str">
            <v>CERRO GORDO</v>
          </cell>
          <cell r="L7901" t="str">
            <v>Cerro Gordo</v>
          </cell>
          <cell r="V7901">
            <v>118400</v>
          </cell>
        </row>
        <row r="7902">
          <cell r="B7902">
            <v>1943</v>
          </cell>
          <cell r="K7902" t="str">
            <v>FLOYD</v>
          </cell>
          <cell r="L7902" t="str">
            <v>Floyd</v>
          </cell>
          <cell r="V7902">
            <v>100800</v>
          </cell>
        </row>
        <row r="7903">
          <cell r="B7903">
            <v>1943</v>
          </cell>
          <cell r="K7903" t="str">
            <v>FRANKLIN</v>
          </cell>
          <cell r="L7903" t="str">
            <v>Franklin</v>
          </cell>
          <cell r="V7903">
            <v>132500</v>
          </cell>
        </row>
        <row r="7904">
          <cell r="B7904">
            <v>1943</v>
          </cell>
          <cell r="K7904" t="str">
            <v>HANCOCK</v>
          </cell>
          <cell r="L7904" t="str">
            <v>Hancock</v>
          </cell>
          <cell r="V7904">
            <v>127500</v>
          </cell>
        </row>
        <row r="7905">
          <cell r="B7905">
            <v>1943</v>
          </cell>
          <cell r="K7905" t="str">
            <v>HUMBOLDT</v>
          </cell>
          <cell r="L7905" t="str">
            <v>Humboldt</v>
          </cell>
          <cell r="V7905">
            <v>104700</v>
          </cell>
        </row>
        <row r="7906">
          <cell r="B7906">
            <v>1943</v>
          </cell>
          <cell r="K7906" t="str">
            <v>KOSSUTH</v>
          </cell>
          <cell r="L7906" t="str">
            <v>Kossuth</v>
          </cell>
          <cell r="V7906">
            <v>227000</v>
          </cell>
        </row>
        <row r="7907">
          <cell r="B7907">
            <v>1943</v>
          </cell>
          <cell r="K7907" t="str">
            <v>MITCHELL</v>
          </cell>
          <cell r="L7907" t="str">
            <v>Mitchell</v>
          </cell>
          <cell r="V7907">
            <v>84400</v>
          </cell>
        </row>
        <row r="7908">
          <cell r="B7908">
            <v>1943</v>
          </cell>
          <cell r="K7908" t="str">
            <v>WINNEBAGO</v>
          </cell>
          <cell r="L7908" t="str">
            <v>Winnebago</v>
          </cell>
          <cell r="V7908">
            <v>85500</v>
          </cell>
        </row>
        <row r="7909">
          <cell r="B7909">
            <v>1943</v>
          </cell>
          <cell r="K7909" t="str">
            <v>WORTH</v>
          </cell>
          <cell r="L7909" t="str">
            <v>Worth</v>
          </cell>
          <cell r="V7909">
            <v>74800</v>
          </cell>
        </row>
        <row r="7910">
          <cell r="B7910">
            <v>1943</v>
          </cell>
          <cell r="K7910" t="str">
            <v>WRIGHT</v>
          </cell>
          <cell r="L7910" t="str">
            <v>Wright</v>
          </cell>
          <cell r="V7910">
            <v>141300</v>
          </cell>
        </row>
        <row r="7911">
          <cell r="B7911">
            <v>1943</v>
          </cell>
          <cell r="K7911" t="str">
            <v>ALLAMAKEE</v>
          </cell>
          <cell r="L7911" t="str">
            <v>Allamakee</v>
          </cell>
          <cell r="V7911">
            <v>57100</v>
          </cell>
        </row>
        <row r="7912">
          <cell r="B7912">
            <v>1943</v>
          </cell>
          <cell r="K7912" t="str">
            <v>BLACK HAWK</v>
          </cell>
          <cell r="L7912" t="str">
            <v>Black Hawk</v>
          </cell>
          <cell r="V7912">
            <v>108100</v>
          </cell>
        </row>
        <row r="7913">
          <cell r="B7913">
            <v>1943</v>
          </cell>
          <cell r="K7913" t="str">
            <v>BREMER</v>
          </cell>
          <cell r="L7913" t="str">
            <v>Bremer</v>
          </cell>
          <cell r="V7913">
            <v>75700</v>
          </cell>
        </row>
        <row r="7914">
          <cell r="B7914">
            <v>1943</v>
          </cell>
          <cell r="K7914" t="str">
            <v>BUCHANAN</v>
          </cell>
          <cell r="L7914" t="str">
            <v>Buchanan</v>
          </cell>
          <cell r="V7914">
            <v>104500</v>
          </cell>
        </row>
        <row r="7915">
          <cell r="B7915">
            <v>1943</v>
          </cell>
          <cell r="K7915" t="str">
            <v>CHICKASAW</v>
          </cell>
          <cell r="L7915" t="str">
            <v>Chickasaw</v>
          </cell>
          <cell r="V7915">
            <v>81000</v>
          </cell>
        </row>
        <row r="7916">
          <cell r="B7916">
            <v>1943</v>
          </cell>
          <cell r="K7916" t="str">
            <v>CLAYTON</v>
          </cell>
          <cell r="L7916" t="str">
            <v>Clayton</v>
          </cell>
          <cell r="V7916">
            <v>88700</v>
          </cell>
        </row>
        <row r="7917">
          <cell r="B7917">
            <v>1943</v>
          </cell>
          <cell r="K7917" t="str">
            <v>DELAWARE</v>
          </cell>
          <cell r="L7917" t="str">
            <v>Delaware</v>
          </cell>
          <cell r="V7917">
            <v>97900</v>
          </cell>
        </row>
        <row r="7918">
          <cell r="B7918">
            <v>1943</v>
          </cell>
          <cell r="K7918" t="str">
            <v>DUBUQUE</v>
          </cell>
          <cell r="L7918" t="str">
            <v>Dubuque</v>
          </cell>
          <cell r="V7918">
            <v>77200</v>
          </cell>
        </row>
        <row r="7919">
          <cell r="B7919">
            <v>1943</v>
          </cell>
          <cell r="K7919" t="str">
            <v>FAYETTE</v>
          </cell>
          <cell r="L7919" t="str">
            <v>Fayette</v>
          </cell>
          <cell r="V7919">
            <v>110000</v>
          </cell>
        </row>
        <row r="7920">
          <cell r="B7920">
            <v>1943</v>
          </cell>
          <cell r="K7920" t="str">
            <v>HOWARD</v>
          </cell>
          <cell r="L7920" t="str">
            <v>Howard</v>
          </cell>
          <cell r="V7920">
            <v>69600</v>
          </cell>
        </row>
        <row r="7921">
          <cell r="B7921">
            <v>1943</v>
          </cell>
          <cell r="K7921" t="str">
            <v>WINNESHIEK</v>
          </cell>
          <cell r="L7921" t="str">
            <v>Winneshiek</v>
          </cell>
          <cell r="V7921">
            <v>93600</v>
          </cell>
        </row>
        <row r="7922">
          <cell r="B7922">
            <v>1943</v>
          </cell>
          <cell r="K7922" t="str">
            <v>BUENA VISTA</v>
          </cell>
          <cell r="L7922" t="str">
            <v>Buena Vista</v>
          </cell>
          <cell r="V7922">
            <v>136500</v>
          </cell>
        </row>
        <row r="7923">
          <cell r="B7923">
            <v>1943</v>
          </cell>
          <cell r="K7923" t="str">
            <v>CHEROKEE</v>
          </cell>
          <cell r="L7923" t="str">
            <v>Cherokee</v>
          </cell>
          <cell r="V7923">
            <v>136100</v>
          </cell>
        </row>
        <row r="7924">
          <cell r="B7924">
            <v>1943</v>
          </cell>
          <cell r="K7924" t="str">
            <v>CLAY</v>
          </cell>
          <cell r="L7924" t="str">
            <v>Clay</v>
          </cell>
          <cell r="V7924">
            <v>127300</v>
          </cell>
        </row>
        <row r="7925">
          <cell r="B7925">
            <v>1943</v>
          </cell>
          <cell r="K7925" t="str">
            <v>DICKINSON</v>
          </cell>
          <cell r="L7925" t="str">
            <v>Dickinson</v>
          </cell>
          <cell r="V7925">
            <v>79200</v>
          </cell>
        </row>
        <row r="7926">
          <cell r="B7926">
            <v>1943</v>
          </cell>
          <cell r="K7926" t="str">
            <v>EMMET</v>
          </cell>
          <cell r="L7926" t="str">
            <v>Emmet</v>
          </cell>
          <cell r="V7926">
            <v>85600</v>
          </cell>
        </row>
        <row r="7927">
          <cell r="B7927">
            <v>1943</v>
          </cell>
          <cell r="K7927" t="str">
            <v>LYON</v>
          </cell>
          <cell r="L7927" t="str">
            <v>Lyon</v>
          </cell>
          <cell r="V7927">
            <v>137900</v>
          </cell>
        </row>
        <row r="7928">
          <cell r="B7928">
            <v>1943</v>
          </cell>
          <cell r="K7928" t="str">
            <v>O BRIEN</v>
          </cell>
          <cell r="L7928" t="str">
            <v>O Brien</v>
          </cell>
          <cell r="V7928">
            <v>132200</v>
          </cell>
        </row>
        <row r="7929">
          <cell r="B7929">
            <v>1943</v>
          </cell>
          <cell r="K7929" t="str">
            <v>OSCEOLA</v>
          </cell>
          <cell r="L7929" t="str">
            <v>Osceola</v>
          </cell>
          <cell r="V7929">
            <v>87800</v>
          </cell>
        </row>
        <row r="7930">
          <cell r="B7930">
            <v>1943</v>
          </cell>
          <cell r="K7930" t="str">
            <v>PALO ALTO</v>
          </cell>
          <cell r="L7930" t="str">
            <v>Palo Alto</v>
          </cell>
          <cell r="V7930">
            <v>130000</v>
          </cell>
        </row>
        <row r="7931">
          <cell r="B7931">
            <v>1943</v>
          </cell>
          <cell r="K7931" t="str">
            <v>PLYMOUTH</v>
          </cell>
          <cell r="L7931" t="str">
            <v>Plymouth</v>
          </cell>
          <cell r="V7931">
            <v>220300</v>
          </cell>
        </row>
        <row r="7932">
          <cell r="B7932">
            <v>1943</v>
          </cell>
          <cell r="K7932" t="str">
            <v>POCAHONTAS</v>
          </cell>
          <cell r="L7932" t="str">
            <v>Pocahontas</v>
          </cell>
          <cell r="V7932">
            <v>139600</v>
          </cell>
        </row>
        <row r="7933">
          <cell r="B7933">
            <v>1943</v>
          </cell>
          <cell r="K7933" t="str">
            <v>SIOUX</v>
          </cell>
          <cell r="L7933" t="str">
            <v>Sioux</v>
          </cell>
          <cell r="V7933">
            <v>195900</v>
          </cell>
        </row>
        <row r="7934">
          <cell r="B7934">
            <v>1943</v>
          </cell>
          <cell r="K7934" t="str">
            <v>APPANOOSE</v>
          </cell>
          <cell r="L7934" t="str">
            <v>Appanoose</v>
          </cell>
          <cell r="V7934">
            <v>40000</v>
          </cell>
        </row>
        <row r="7935">
          <cell r="B7935">
            <v>1943</v>
          </cell>
          <cell r="K7935" t="str">
            <v>CLARKE</v>
          </cell>
          <cell r="L7935" t="str">
            <v>Clarke</v>
          </cell>
          <cell r="V7935">
            <v>53900</v>
          </cell>
        </row>
        <row r="7936">
          <cell r="B7936">
            <v>1943</v>
          </cell>
          <cell r="K7936" t="str">
            <v>DECATUR</v>
          </cell>
          <cell r="L7936" t="str">
            <v>Decatur</v>
          </cell>
          <cell r="V7936">
            <v>51200</v>
          </cell>
        </row>
        <row r="7937">
          <cell r="B7937">
            <v>1943</v>
          </cell>
          <cell r="K7937" t="str">
            <v>LUCAS</v>
          </cell>
          <cell r="L7937" t="str">
            <v>Lucas</v>
          </cell>
          <cell r="V7937">
            <v>41800</v>
          </cell>
        </row>
        <row r="7938">
          <cell r="B7938">
            <v>1943</v>
          </cell>
          <cell r="K7938" t="str">
            <v>MADISON</v>
          </cell>
          <cell r="L7938" t="str">
            <v>Madison</v>
          </cell>
          <cell r="V7938">
            <v>91500</v>
          </cell>
        </row>
        <row r="7939">
          <cell r="B7939">
            <v>1943</v>
          </cell>
          <cell r="K7939" t="str">
            <v>MARION</v>
          </cell>
          <cell r="L7939" t="str">
            <v>Marion</v>
          </cell>
          <cell r="V7939">
            <v>90200</v>
          </cell>
        </row>
        <row r="7940">
          <cell r="B7940">
            <v>1943</v>
          </cell>
          <cell r="K7940" t="str">
            <v>MONROE</v>
          </cell>
          <cell r="L7940" t="str">
            <v>Monroe</v>
          </cell>
          <cell r="V7940">
            <v>37900</v>
          </cell>
        </row>
        <row r="7941">
          <cell r="B7941">
            <v>1943</v>
          </cell>
          <cell r="K7941" t="str">
            <v>RINGGOLD</v>
          </cell>
          <cell r="L7941" t="str">
            <v>Ringgold</v>
          </cell>
          <cell r="V7941">
            <v>61800</v>
          </cell>
        </row>
        <row r="7942">
          <cell r="B7942">
            <v>1943</v>
          </cell>
          <cell r="K7942" t="str">
            <v>UNION</v>
          </cell>
          <cell r="L7942" t="str">
            <v>Union</v>
          </cell>
          <cell r="V7942">
            <v>60700</v>
          </cell>
        </row>
        <row r="7943">
          <cell r="B7943">
            <v>1943</v>
          </cell>
          <cell r="K7943" t="str">
            <v>WARREN</v>
          </cell>
          <cell r="L7943" t="str">
            <v>Warren</v>
          </cell>
          <cell r="V7943">
            <v>87000</v>
          </cell>
        </row>
        <row r="7944">
          <cell r="B7944">
            <v>1943</v>
          </cell>
          <cell r="K7944" t="str">
            <v>WAYNE</v>
          </cell>
          <cell r="L7944" t="str">
            <v>Wayne</v>
          </cell>
          <cell r="V7944">
            <v>55500</v>
          </cell>
        </row>
        <row r="7945">
          <cell r="B7945">
            <v>1943</v>
          </cell>
          <cell r="K7945" t="str">
            <v>DAVIS</v>
          </cell>
          <cell r="L7945" t="str">
            <v>Davis</v>
          </cell>
          <cell r="V7945">
            <v>40400</v>
          </cell>
        </row>
        <row r="7946">
          <cell r="B7946">
            <v>1943</v>
          </cell>
          <cell r="K7946" t="str">
            <v>DES MOINES</v>
          </cell>
          <cell r="L7946" t="str">
            <v>Des Moines</v>
          </cell>
          <cell r="V7946">
            <v>55100</v>
          </cell>
        </row>
        <row r="7947">
          <cell r="B7947">
            <v>1943</v>
          </cell>
          <cell r="K7947" t="str">
            <v>HENRY</v>
          </cell>
          <cell r="L7947" t="str">
            <v>Henry</v>
          </cell>
          <cell r="V7947">
            <v>62500</v>
          </cell>
        </row>
        <row r="7948">
          <cell r="B7948">
            <v>1943</v>
          </cell>
          <cell r="K7948" t="str">
            <v>JEFFERSON</v>
          </cell>
          <cell r="L7948" t="str">
            <v>Jefferson</v>
          </cell>
          <cell r="V7948">
            <v>55900</v>
          </cell>
        </row>
        <row r="7949">
          <cell r="B7949">
            <v>1943</v>
          </cell>
          <cell r="K7949" t="str">
            <v>KEOKUK</v>
          </cell>
          <cell r="L7949" t="str">
            <v>Keokuk</v>
          </cell>
          <cell r="V7949">
            <v>93500</v>
          </cell>
        </row>
        <row r="7950">
          <cell r="B7950">
            <v>1943</v>
          </cell>
          <cell r="K7950" t="str">
            <v>LEE</v>
          </cell>
          <cell r="L7950" t="str">
            <v>Lee</v>
          </cell>
          <cell r="V7950">
            <v>54200</v>
          </cell>
        </row>
        <row r="7951">
          <cell r="B7951">
            <v>1943</v>
          </cell>
          <cell r="K7951" t="str">
            <v>LOUISA</v>
          </cell>
          <cell r="L7951" t="str">
            <v>Louisa</v>
          </cell>
          <cell r="V7951">
            <v>64900</v>
          </cell>
        </row>
        <row r="7952">
          <cell r="B7952">
            <v>1943</v>
          </cell>
          <cell r="K7952" t="str">
            <v>MAHASKA</v>
          </cell>
          <cell r="L7952" t="str">
            <v>Mahaska</v>
          </cell>
          <cell r="V7952">
            <v>107100</v>
          </cell>
        </row>
        <row r="7953">
          <cell r="B7953">
            <v>1943</v>
          </cell>
          <cell r="K7953" t="str">
            <v>VAN BUREN</v>
          </cell>
          <cell r="L7953" t="str">
            <v>Van Buren</v>
          </cell>
          <cell r="V7953">
            <v>38900</v>
          </cell>
        </row>
        <row r="7954">
          <cell r="B7954">
            <v>1943</v>
          </cell>
          <cell r="K7954" t="str">
            <v>WAPELLO</v>
          </cell>
          <cell r="L7954" t="str">
            <v>Wapello</v>
          </cell>
          <cell r="V7954">
            <v>50200</v>
          </cell>
        </row>
        <row r="7955">
          <cell r="B7955">
            <v>1943</v>
          </cell>
          <cell r="K7955" t="str">
            <v>WASHINGTON</v>
          </cell>
          <cell r="L7955" t="str">
            <v>Washington</v>
          </cell>
          <cell r="V7955">
            <v>101600</v>
          </cell>
        </row>
        <row r="7956">
          <cell r="B7956">
            <v>1943</v>
          </cell>
          <cell r="K7956" t="str">
            <v>ADAIR</v>
          </cell>
          <cell r="L7956" t="str">
            <v>Adair</v>
          </cell>
          <cell r="V7956">
            <v>105500</v>
          </cell>
        </row>
        <row r="7957">
          <cell r="B7957">
            <v>1943</v>
          </cell>
          <cell r="K7957" t="str">
            <v>ADAMS</v>
          </cell>
          <cell r="L7957" t="str">
            <v>Adams</v>
          </cell>
          <cell r="V7957">
            <v>74700</v>
          </cell>
        </row>
        <row r="7958">
          <cell r="B7958">
            <v>1943</v>
          </cell>
          <cell r="K7958" t="str">
            <v>CASS</v>
          </cell>
          <cell r="L7958" t="str">
            <v>Cass</v>
          </cell>
          <cell r="V7958">
            <v>121900</v>
          </cell>
        </row>
        <row r="7959">
          <cell r="B7959">
            <v>1943</v>
          </cell>
          <cell r="K7959" t="str">
            <v>FREMONT</v>
          </cell>
          <cell r="L7959" t="str">
            <v>Fremont</v>
          </cell>
          <cell r="V7959">
            <v>135900</v>
          </cell>
        </row>
        <row r="7960">
          <cell r="B7960">
            <v>1943</v>
          </cell>
          <cell r="K7960" t="str">
            <v>MILLS</v>
          </cell>
          <cell r="L7960" t="str">
            <v>Mills</v>
          </cell>
          <cell r="V7960">
            <v>112400</v>
          </cell>
        </row>
        <row r="7961">
          <cell r="B7961">
            <v>1943</v>
          </cell>
          <cell r="K7961" t="str">
            <v>MONTGOMERY</v>
          </cell>
          <cell r="L7961" t="str">
            <v>Montgomery</v>
          </cell>
          <cell r="V7961">
            <v>96000</v>
          </cell>
        </row>
        <row r="7962">
          <cell r="B7962">
            <v>1943</v>
          </cell>
          <cell r="K7962" t="str">
            <v>PAGE</v>
          </cell>
          <cell r="L7962" t="str">
            <v>Page</v>
          </cell>
          <cell r="V7962">
            <v>112100</v>
          </cell>
        </row>
        <row r="7963">
          <cell r="B7963">
            <v>1943</v>
          </cell>
          <cell r="K7963" t="str">
            <v>POTTAWATTAMIE</v>
          </cell>
          <cell r="L7963" t="str">
            <v>Pottawattamie</v>
          </cell>
          <cell r="V7963">
            <v>248400</v>
          </cell>
        </row>
        <row r="7964">
          <cell r="B7964">
            <v>1943</v>
          </cell>
          <cell r="K7964" t="str">
            <v>TAYLOR</v>
          </cell>
          <cell r="L7964" t="str">
            <v>Taylor</v>
          </cell>
          <cell r="V7964">
            <v>83200</v>
          </cell>
        </row>
        <row r="7965">
          <cell r="B7965">
            <v>1943</v>
          </cell>
          <cell r="K7965" t="str">
            <v>AUDUBON</v>
          </cell>
          <cell r="L7965" t="str">
            <v>Audubon</v>
          </cell>
          <cell r="V7965">
            <v>95600</v>
          </cell>
        </row>
        <row r="7966">
          <cell r="B7966">
            <v>1943</v>
          </cell>
          <cell r="K7966" t="str">
            <v>CALHOUN</v>
          </cell>
          <cell r="L7966" t="str">
            <v>Calhoun</v>
          </cell>
          <cell r="V7966">
            <v>137600</v>
          </cell>
        </row>
        <row r="7967">
          <cell r="B7967">
            <v>1943</v>
          </cell>
          <cell r="K7967" t="str">
            <v>CARROLL</v>
          </cell>
          <cell r="L7967" t="str">
            <v>Carroll</v>
          </cell>
          <cell r="V7967">
            <v>138600</v>
          </cell>
        </row>
        <row r="7968">
          <cell r="B7968">
            <v>1943</v>
          </cell>
          <cell r="K7968" t="str">
            <v>CRAWFORD</v>
          </cell>
          <cell r="L7968" t="str">
            <v>Crawford</v>
          </cell>
          <cell r="V7968">
            <v>164000</v>
          </cell>
        </row>
        <row r="7969">
          <cell r="B7969">
            <v>1943</v>
          </cell>
          <cell r="K7969" t="str">
            <v>GREENE</v>
          </cell>
          <cell r="L7969" t="str">
            <v>Greene</v>
          </cell>
          <cell r="V7969">
            <v>152200</v>
          </cell>
        </row>
        <row r="7970">
          <cell r="B7970">
            <v>1943</v>
          </cell>
          <cell r="K7970" t="str">
            <v>GUTHRIE</v>
          </cell>
          <cell r="L7970" t="str">
            <v>Guthrie</v>
          </cell>
          <cell r="V7970">
            <v>119100</v>
          </cell>
        </row>
        <row r="7971">
          <cell r="B7971">
            <v>1943</v>
          </cell>
          <cell r="K7971" t="str">
            <v>HARRISON</v>
          </cell>
          <cell r="L7971" t="str">
            <v>Harrison</v>
          </cell>
          <cell r="V7971">
            <v>184000</v>
          </cell>
        </row>
        <row r="7972">
          <cell r="B7972">
            <v>1943</v>
          </cell>
          <cell r="K7972" t="str">
            <v>IDA</v>
          </cell>
          <cell r="L7972" t="str">
            <v>Ida</v>
          </cell>
          <cell r="V7972">
            <v>105700</v>
          </cell>
        </row>
        <row r="7973">
          <cell r="B7973">
            <v>1943</v>
          </cell>
          <cell r="K7973" t="str">
            <v>MONONA</v>
          </cell>
          <cell r="L7973" t="str">
            <v>Monona</v>
          </cell>
          <cell r="V7973">
            <v>174700</v>
          </cell>
        </row>
        <row r="7974">
          <cell r="B7974">
            <v>1943</v>
          </cell>
          <cell r="K7974" t="str">
            <v>SAC</v>
          </cell>
          <cell r="L7974" t="str">
            <v>Sac</v>
          </cell>
          <cell r="V7974">
            <v>135600</v>
          </cell>
        </row>
        <row r="7975">
          <cell r="B7975">
            <v>1943</v>
          </cell>
          <cell r="K7975" t="str">
            <v>SHELBY</v>
          </cell>
          <cell r="L7975" t="str">
            <v>Shelby</v>
          </cell>
          <cell r="V7975">
            <v>147500</v>
          </cell>
        </row>
        <row r="7976">
          <cell r="B7976">
            <v>1943</v>
          </cell>
          <cell r="K7976" t="str">
            <v>WOODBURY</v>
          </cell>
          <cell r="L7976" t="str">
            <v>Woodbury</v>
          </cell>
          <cell r="V7976">
            <v>220000</v>
          </cell>
        </row>
        <row r="7977">
          <cell r="B7977">
            <v>1942</v>
          </cell>
          <cell r="K7977" t="str">
            <v>BOONE</v>
          </cell>
          <cell r="L7977" t="str">
            <v>Boone</v>
          </cell>
          <cell r="V7977">
            <v>122800</v>
          </cell>
        </row>
        <row r="7978">
          <cell r="B7978">
            <v>1942</v>
          </cell>
          <cell r="K7978" t="str">
            <v>DALLAS</v>
          </cell>
          <cell r="L7978" t="str">
            <v>Dallas</v>
          </cell>
          <cell r="V7978">
            <v>122200</v>
          </cell>
        </row>
        <row r="7979">
          <cell r="B7979">
            <v>1942</v>
          </cell>
          <cell r="K7979" t="str">
            <v>GRUNDY</v>
          </cell>
          <cell r="L7979" t="str">
            <v>Grundy</v>
          </cell>
          <cell r="V7979">
            <v>98300</v>
          </cell>
        </row>
        <row r="7980">
          <cell r="B7980">
            <v>1942</v>
          </cell>
          <cell r="K7980" t="str">
            <v>HAMILTON</v>
          </cell>
          <cell r="L7980" t="str">
            <v>Hamilton</v>
          </cell>
          <cell r="V7980">
            <v>129500</v>
          </cell>
        </row>
        <row r="7981">
          <cell r="B7981">
            <v>1942</v>
          </cell>
          <cell r="K7981" t="str">
            <v>HARDIN</v>
          </cell>
          <cell r="L7981" t="str">
            <v>Hardin</v>
          </cell>
          <cell r="V7981">
            <v>110300</v>
          </cell>
        </row>
        <row r="7982">
          <cell r="B7982">
            <v>1942</v>
          </cell>
          <cell r="K7982" t="str">
            <v>JASPER</v>
          </cell>
          <cell r="L7982" t="str">
            <v>Jasper</v>
          </cell>
          <cell r="V7982">
            <v>127700</v>
          </cell>
        </row>
        <row r="7983">
          <cell r="B7983">
            <v>1942</v>
          </cell>
          <cell r="K7983" t="str">
            <v>MARSHALL</v>
          </cell>
          <cell r="L7983" t="str">
            <v>Marshall</v>
          </cell>
          <cell r="V7983">
            <v>107300</v>
          </cell>
        </row>
        <row r="7984">
          <cell r="B7984">
            <v>1942</v>
          </cell>
          <cell r="K7984" t="str">
            <v>POLK</v>
          </cell>
          <cell r="L7984" t="str">
            <v>Polk</v>
          </cell>
          <cell r="V7984">
            <v>96600</v>
          </cell>
        </row>
        <row r="7985">
          <cell r="B7985">
            <v>1942</v>
          </cell>
          <cell r="K7985" t="str">
            <v>POWESHIEK</v>
          </cell>
          <cell r="L7985" t="str">
            <v>Poweshiek</v>
          </cell>
          <cell r="V7985">
            <v>96200</v>
          </cell>
        </row>
        <row r="7986">
          <cell r="B7986">
            <v>1942</v>
          </cell>
          <cell r="K7986" t="str">
            <v>STORY</v>
          </cell>
          <cell r="L7986" t="str">
            <v>Story</v>
          </cell>
          <cell r="V7986">
            <v>125700</v>
          </cell>
        </row>
        <row r="7987">
          <cell r="B7987">
            <v>1942</v>
          </cell>
          <cell r="K7987" t="str">
            <v>TAMA</v>
          </cell>
          <cell r="L7987" t="str">
            <v>Tama</v>
          </cell>
          <cell r="V7987">
            <v>115200</v>
          </cell>
        </row>
        <row r="7988">
          <cell r="B7988">
            <v>1942</v>
          </cell>
          <cell r="K7988" t="str">
            <v>WEBSTER</v>
          </cell>
          <cell r="L7988" t="str">
            <v>Webster</v>
          </cell>
          <cell r="V7988">
            <v>148100</v>
          </cell>
        </row>
        <row r="7989">
          <cell r="B7989">
            <v>1942</v>
          </cell>
          <cell r="K7989" t="str">
            <v>BENTON</v>
          </cell>
          <cell r="L7989" t="str">
            <v>Benton</v>
          </cell>
          <cell r="V7989">
            <v>127800</v>
          </cell>
        </row>
        <row r="7990">
          <cell r="B7990">
            <v>1942</v>
          </cell>
          <cell r="K7990" t="str">
            <v>CEDAR</v>
          </cell>
          <cell r="L7990" t="str">
            <v>Cedar</v>
          </cell>
          <cell r="V7990">
            <v>107400</v>
          </cell>
        </row>
        <row r="7991">
          <cell r="B7991">
            <v>1942</v>
          </cell>
          <cell r="K7991" t="str">
            <v>CLINTON</v>
          </cell>
          <cell r="L7991" t="str">
            <v>Clinton</v>
          </cell>
          <cell r="V7991">
            <v>126000</v>
          </cell>
        </row>
        <row r="7992">
          <cell r="B7992">
            <v>1942</v>
          </cell>
          <cell r="K7992" t="str">
            <v>IOWA</v>
          </cell>
          <cell r="L7992" t="str">
            <v>Iowa</v>
          </cell>
          <cell r="V7992">
            <v>91400</v>
          </cell>
        </row>
        <row r="7993">
          <cell r="B7993">
            <v>1942</v>
          </cell>
          <cell r="K7993" t="str">
            <v>JACKSON</v>
          </cell>
          <cell r="L7993" t="str">
            <v>Jackson</v>
          </cell>
          <cell r="V7993">
            <v>63400</v>
          </cell>
        </row>
        <row r="7994">
          <cell r="B7994">
            <v>1942</v>
          </cell>
          <cell r="K7994" t="str">
            <v>JOHNSON</v>
          </cell>
          <cell r="L7994" t="str">
            <v>Johnson</v>
          </cell>
          <cell r="V7994">
            <v>100900</v>
          </cell>
        </row>
        <row r="7995">
          <cell r="B7995">
            <v>1942</v>
          </cell>
          <cell r="K7995" t="str">
            <v>JONES</v>
          </cell>
          <cell r="L7995" t="str">
            <v>Jones</v>
          </cell>
          <cell r="V7995">
            <v>78700</v>
          </cell>
        </row>
        <row r="7996">
          <cell r="B7996">
            <v>1942</v>
          </cell>
          <cell r="K7996" t="str">
            <v>LINN</v>
          </cell>
          <cell r="L7996" t="str">
            <v>Linn</v>
          </cell>
          <cell r="V7996">
            <v>116300</v>
          </cell>
        </row>
        <row r="7997">
          <cell r="B7997">
            <v>1942</v>
          </cell>
          <cell r="K7997" t="str">
            <v>MUSCATINE</v>
          </cell>
          <cell r="L7997" t="str">
            <v>Muscatine</v>
          </cell>
          <cell r="V7997">
            <v>70200</v>
          </cell>
        </row>
        <row r="7998">
          <cell r="B7998">
            <v>1942</v>
          </cell>
          <cell r="K7998" t="str">
            <v>SCOTT</v>
          </cell>
          <cell r="L7998" t="str">
            <v>Scott</v>
          </cell>
          <cell r="V7998">
            <v>76300</v>
          </cell>
        </row>
        <row r="7999">
          <cell r="B7999">
            <v>1942</v>
          </cell>
          <cell r="K7999" t="str">
            <v>BUTLER</v>
          </cell>
          <cell r="L7999" t="str">
            <v>Butler</v>
          </cell>
          <cell r="V7999">
            <v>102500</v>
          </cell>
        </row>
        <row r="8000">
          <cell r="B8000">
            <v>1942</v>
          </cell>
          <cell r="K8000" t="str">
            <v>CERRO GORDO</v>
          </cell>
          <cell r="L8000" t="str">
            <v>Cerro Gordo</v>
          </cell>
          <cell r="V8000">
            <v>105300</v>
          </cell>
        </row>
        <row r="8001">
          <cell r="B8001">
            <v>1942</v>
          </cell>
          <cell r="K8001" t="str">
            <v>FLOYD</v>
          </cell>
          <cell r="L8001" t="str">
            <v>Floyd</v>
          </cell>
          <cell r="V8001">
            <v>90200</v>
          </cell>
        </row>
        <row r="8002">
          <cell r="B8002">
            <v>1942</v>
          </cell>
          <cell r="K8002" t="str">
            <v>FRANKLIN</v>
          </cell>
          <cell r="L8002" t="str">
            <v>Franklin</v>
          </cell>
          <cell r="V8002">
            <v>119600</v>
          </cell>
        </row>
        <row r="8003">
          <cell r="B8003">
            <v>1942</v>
          </cell>
          <cell r="K8003" t="str">
            <v>HANCOCK</v>
          </cell>
          <cell r="L8003" t="str">
            <v>Hancock</v>
          </cell>
          <cell r="V8003">
            <v>112700</v>
          </cell>
        </row>
        <row r="8004">
          <cell r="B8004">
            <v>1942</v>
          </cell>
          <cell r="K8004" t="str">
            <v>HUMBOLDT</v>
          </cell>
          <cell r="L8004" t="str">
            <v>Humboldt</v>
          </cell>
          <cell r="V8004">
            <v>93900</v>
          </cell>
        </row>
        <row r="8005">
          <cell r="B8005">
            <v>1942</v>
          </cell>
          <cell r="K8005" t="str">
            <v>KOSSUTH</v>
          </cell>
          <cell r="L8005" t="str">
            <v>Kossuth</v>
          </cell>
          <cell r="V8005">
            <v>199500</v>
          </cell>
        </row>
        <row r="8006">
          <cell r="B8006">
            <v>1942</v>
          </cell>
          <cell r="K8006" t="str">
            <v>MITCHELL</v>
          </cell>
          <cell r="L8006" t="str">
            <v>Mitchell</v>
          </cell>
          <cell r="V8006">
            <v>72100</v>
          </cell>
        </row>
        <row r="8007">
          <cell r="B8007">
            <v>1942</v>
          </cell>
          <cell r="K8007" t="str">
            <v>WINNEBAGO</v>
          </cell>
          <cell r="L8007" t="str">
            <v>Winnebago</v>
          </cell>
          <cell r="V8007">
            <v>74000</v>
          </cell>
        </row>
        <row r="8008">
          <cell r="B8008">
            <v>1942</v>
          </cell>
          <cell r="K8008" t="str">
            <v>WORTH</v>
          </cell>
          <cell r="L8008" t="str">
            <v>Worth</v>
          </cell>
          <cell r="V8008">
            <v>65800</v>
          </cell>
        </row>
        <row r="8009">
          <cell r="B8009">
            <v>1942</v>
          </cell>
          <cell r="K8009" t="str">
            <v>WRIGHT</v>
          </cell>
          <cell r="L8009" t="str">
            <v>Wright</v>
          </cell>
          <cell r="V8009">
            <v>126600</v>
          </cell>
        </row>
        <row r="8010">
          <cell r="B8010">
            <v>1942</v>
          </cell>
          <cell r="K8010" t="str">
            <v>ALLAMAKEE</v>
          </cell>
          <cell r="L8010" t="str">
            <v>Allamakee</v>
          </cell>
          <cell r="V8010">
            <v>49500</v>
          </cell>
        </row>
        <row r="8011">
          <cell r="B8011">
            <v>1942</v>
          </cell>
          <cell r="K8011" t="str">
            <v>BLACK HAWK</v>
          </cell>
          <cell r="L8011" t="str">
            <v>Black Hawk</v>
          </cell>
          <cell r="V8011">
            <v>95900</v>
          </cell>
        </row>
        <row r="8012">
          <cell r="B8012">
            <v>1942</v>
          </cell>
          <cell r="K8012" t="str">
            <v>BREMER</v>
          </cell>
          <cell r="L8012" t="str">
            <v>Bremer</v>
          </cell>
          <cell r="V8012">
            <v>68700</v>
          </cell>
        </row>
        <row r="8013">
          <cell r="B8013">
            <v>1942</v>
          </cell>
          <cell r="K8013" t="str">
            <v>BUCHANAN</v>
          </cell>
          <cell r="L8013" t="str">
            <v>Buchanan</v>
          </cell>
          <cell r="V8013">
            <v>97100</v>
          </cell>
        </row>
        <row r="8014">
          <cell r="B8014">
            <v>1942</v>
          </cell>
          <cell r="K8014" t="str">
            <v>CHICKASAW</v>
          </cell>
          <cell r="L8014" t="str">
            <v>Chickasaw</v>
          </cell>
          <cell r="V8014">
            <v>72600</v>
          </cell>
        </row>
        <row r="8015">
          <cell r="B8015">
            <v>1942</v>
          </cell>
          <cell r="K8015" t="str">
            <v>CLAYTON</v>
          </cell>
          <cell r="L8015" t="str">
            <v>Clayton</v>
          </cell>
          <cell r="V8015">
            <v>78400</v>
          </cell>
        </row>
        <row r="8016">
          <cell r="B8016">
            <v>1942</v>
          </cell>
          <cell r="K8016" t="str">
            <v>DELAWARE</v>
          </cell>
          <cell r="L8016" t="str">
            <v>Delaware</v>
          </cell>
          <cell r="V8016">
            <v>87700</v>
          </cell>
        </row>
        <row r="8017">
          <cell r="B8017">
            <v>1942</v>
          </cell>
          <cell r="K8017" t="str">
            <v>DUBUQUE</v>
          </cell>
          <cell r="L8017" t="str">
            <v>Dubuque</v>
          </cell>
          <cell r="V8017">
            <v>68500</v>
          </cell>
        </row>
        <row r="8018">
          <cell r="B8018">
            <v>1942</v>
          </cell>
          <cell r="K8018" t="str">
            <v>FAYETTE</v>
          </cell>
          <cell r="L8018" t="str">
            <v>Fayette</v>
          </cell>
          <cell r="V8018">
            <v>100300</v>
          </cell>
        </row>
        <row r="8019">
          <cell r="B8019">
            <v>1942</v>
          </cell>
          <cell r="K8019" t="str">
            <v>HOWARD</v>
          </cell>
          <cell r="L8019" t="str">
            <v>Howard</v>
          </cell>
          <cell r="V8019">
            <v>61900</v>
          </cell>
        </row>
        <row r="8020">
          <cell r="B8020">
            <v>1942</v>
          </cell>
          <cell r="K8020" t="str">
            <v>WINNESHIEK</v>
          </cell>
          <cell r="L8020" t="str">
            <v>Winneshiek</v>
          </cell>
          <cell r="V8020">
            <v>82600</v>
          </cell>
        </row>
        <row r="8021">
          <cell r="B8021">
            <v>1942</v>
          </cell>
          <cell r="K8021" t="str">
            <v>BUENA VISTA</v>
          </cell>
          <cell r="L8021" t="str">
            <v>Buena Vista</v>
          </cell>
          <cell r="V8021">
            <v>121300</v>
          </cell>
        </row>
        <row r="8022">
          <cell r="B8022">
            <v>1942</v>
          </cell>
          <cell r="K8022" t="str">
            <v>CHEROKEE</v>
          </cell>
          <cell r="L8022" t="str">
            <v>Cherokee</v>
          </cell>
          <cell r="V8022">
            <v>119300</v>
          </cell>
        </row>
        <row r="8023">
          <cell r="B8023">
            <v>1942</v>
          </cell>
          <cell r="K8023" t="str">
            <v>CLAY</v>
          </cell>
          <cell r="L8023" t="str">
            <v>Clay</v>
          </cell>
          <cell r="V8023">
            <v>113400</v>
          </cell>
        </row>
        <row r="8024">
          <cell r="B8024">
            <v>1942</v>
          </cell>
          <cell r="K8024" t="str">
            <v>DICKINSON</v>
          </cell>
          <cell r="L8024" t="str">
            <v>Dickinson</v>
          </cell>
          <cell r="V8024">
            <v>70100</v>
          </cell>
        </row>
        <row r="8025">
          <cell r="B8025">
            <v>1942</v>
          </cell>
          <cell r="K8025" t="str">
            <v>EMMET</v>
          </cell>
          <cell r="L8025" t="str">
            <v>Emmet</v>
          </cell>
          <cell r="V8025">
            <v>78100</v>
          </cell>
        </row>
        <row r="8026">
          <cell r="B8026">
            <v>1942</v>
          </cell>
          <cell r="K8026" t="str">
            <v>LYON</v>
          </cell>
          <cell r="L8026" t="str">
            <v>Lyon</v>
          </cell>
          <cell r="V8026">
            <v>122400</v>
          </cell>
        </row>
        <row r="8027">
          <cell r="B8027">
            <v>1942</v>
          </cell>
          <cell r="K8027" t="str">
            <v>O BRIEN</v>
          </cell>
          <cell r="L8027" t="str">
            <v>O Brien</v>
          </cell>
          <cell r="V8027">
            <v>115800</v>
          </cell>
        </row>
        <row r="8028">
          <cell r="B8028">
            <v>1942</v>
          </cell>
          <cell r="K8028" t="str">
            <v>OSCEOLA</v>
          </cell>
          <cell r="L8028" t="str">
            <v>Osceola</v>
          </cell>
          <cell r="V8028">
            <v>77700</v>
          </cell>
        </row>
        <row r="8029">
          <cell r="B8029">
            <v>1942</v>
          </cell>
          <cell r="K8029" t="str">
            <v>PALO ALTO</v>
          </cell>
          <cell r="L8029" t="str">
            <v>Palo Alto</v>
          </cell>
          <cell r="V8029">
            <v>115000</v>
          </cell>
        </row>
        <row r="8030">
          <cell r="B8030">
            <v>1942</v>
          </cell>
          <cell r="K8030" t="str">
            <v>PLYMOUTH</v>
          </cell>
          <cell r="L8030" t="str">
            <v>Plymouth</v>
          </cell>
          <cell r="V8030">
            <v>200600</v>
          </cell>
        </row>
        <row r="8031">
          <cell r="B8031">
            <v>1942</v>
          </cell>
          <cell r="K8031" t="str">
            <v>POCAHONTAS</v>
          </cell>
          <cell r="L8031" t="str">
            <v>Pocahontas</v>
          </cell>
          <cell r="V8031">
            <v>126200</v>
          </cell>
        </row>
        <row r="8032">
          <cell r="B8032">
            <v>1942</v>
          </cell>
          <cell r="K8032" t="str">
            <v>SIOUX</v>
          </cell>
          <cell r="L8032" t="str">
            <v>Sioux</v>
          </cell>
          <cell r="V8032">
            <v>177000</v>
          </cell>
        </row>
        <row r="8033">
          <cell r="B8033">
            <v>1942</v>
          </cell>
          <cell r="K8033" t="str">
            <v>APPANOOSE</v>
          </cell>
          <cell r="L8033" t="str">
            <v>Appanoose</v>
          </cell>
          <cell r="V8033">
            <v>35200</v>
          </cell>
        </row>
        <row r="8034">
          <cell r="B8034">
            <v>1942</v>
          </cell>
          <cell r="K8034" t="str">
            <v>CLARKE</v>
          </cell>
          <cell r="L8034" t="str">
            <v>Clarke</v>
          </cell>
          <cell r="V8034">
            <v>44800</v>
          </cell>
        </row>
        <row r="8035">
          <cell r="B8035">
            <v>1942</v>
          </cell>
          <cell r="K8035" t="str">
            <v>DECATUR</v>
          </cell>
          <cell r="L8035" t="str">
            <v>Decatur</v>
          </cell>
          <cell r="V8035">
            <v>46200</v>
          </cell>
        </row>
        <row r="8036">
          <cell r="B8036">
            <v>1942</v>
          </cell>
          <cell r="K8036" t="str">
            <v>LUCAS</v>
          </cell>
          <cell r="L8036" t="str">
            <v>Lucas</v>
          </cell>
          <cell r="V8036">
            <v>39500</v>
          </cell>
        </row>
        <row r="8037">
          <cell r="B8037">
            <v>1942</v>
          </cell>
          <cell r="K8037" t="str">
            <v>MADISON</v>
          </cell>
          <cell r="L8037" t="str">
            <v>Madison</v>
          </cell>
          <cell r="V8037">
            <v>78700</v>
          </cell>
        </row>
        <row r="8038">
          <cell r="B8038">
            <v>1942</v>
          </cell>
          <cell r="K8038" t="str">
            <v>MARION</v>
          </cell>
          <cell r="L8038" t="str">
            <v>Marion</v>
          </cell>
          <cell r="V8038">
            <v>81500</v>
          </cell>
        </row>
        <row r="8039">
          <cell r="B8039">
            <v>1942</v>
          </cell>
          <cell r="K8039" t="str">
            <v>MONROE</v>
          </cell>
          <cell r="L8039" t="str">
            <v>Monroe</v>
          </cell>
          <cell r="V8039">
            <v>36400</v>
          </cell>
        </row>
        <row r="8040">
          <cell r="B8040">
            <v>1942</v>
          </cell>
          <cell r="K8040" t="str">
            <v>RINGGOLD</v>
          </cell>
          <cell r="L8040" t="str">
            <v>Ringgold</v>
          </cell>
          <cell r="V8040">
            <v>54700</v>
          </cell>
        </row>
        <row r="8041">
          <cell r="B8041">
            <v>1942</v>
          </cell>
          <cell r="K8041" t="str">
            <v>UNION</v>
          </cell>
          <cell r="L8041" t="str">
            <v>Union</v>
          </cell>
          <cell r="V8041">
            <v>52600</v>
          </cell>
        </row>
        <row r="8042">
          <cell r="B8042">
            <v>1942</v>
          </cell>
          <cell r="K8042" t="str">
            <v>WARREN</v>
          </cell>
          <cell r="L8042" t="str">
            <v>Warren</v>
          </cell>
          <cell r="V8042">
            <v>76200</v>
          </cell>
        </row>
        <row r="8043">
          <cell r="B8043">
            <v>1942</v>
          </cell>
          <cell r="K8043" t="str">
            <v>WAYNE</v>
          </cell>
          <cell r="L8043" t="str">
            <v>Wayne</v>
          </cell>
          <cell r="V8043">
            <v>49700</v>
          </cell>
        </row>
        <row r="8044">
          <cell r="B8044">
            <v>1942</v>
          </cell>
          <cell r="K8044" t="str">
            <v>DAVIS</v>
          </cell>
          <cell r="L8044" t="str">
            <v>Davis</v>
          </cell>
          <cell r="V8044">
            <v>37900</v>
          </cell>
        </row>
        <row r="8045">
          <cell r="B8045">
            <v>1942</v>
          </cell>
          <cell r="K8045" t="str">
            <v>DES MOINES</v>
          </cell>
          <cell r="L8045" t="str">
            <v>Des Moines</v>
          </cell>
          <cell r="V8045">
            <v>52000</v>
          </cell>
        </row>
        <row r="8046">
          <cell r="B8046">
            <v>1942</v>
          </cell>
          <cell r="K8046" t="str">
            <v>HENRY</v>
          </cell>
          <cell r="L8046" t="str">
            <v>Henry</v>
          </cell>
          <cell r="V8046">
            <v>58800</v>
          </cell>
        </row>
        <row r="8047">
          <cell r="B8047">
            <v>1942</v>
          </cell>
          <cell r="K8047" t="str">
            <v>JEFFERSON</v>
          </cell>
          <cell r="L8047" t="str">
            <v>Jefferson</v>
          </cell>
          <cell r="V8047">
            <v>51200</v>
          </cell>
        </row>
        <row r="8048">
          <cell r="B8048">
            <v>1942</v>
          </cell>
          <cell r="K8048" t="str">
            <v>KEOKUK</v>
          </cell>
          <cell r="L8048" t="str">
            <v>Keokuk</v>
          </cell>
          <cell r="V8048">
            <v>88600</v>
          </cell>
        </row>
        <row r="8049">
          <cell r="B8049">
            <v>1942</v>
          </cell>
          <cell r="K8049" t="str">
            <v>LEE</v>
          </cell>
          <cell r="L8049" t="str">
            <v>Lee</v>
          </cell>
          <cell r="V8049">
            <v>48700</v>
          </cell>
        </row>
        <row r="8050">
          <cell r="B8050">
            <v>1942</v>
          </cell>
          <cell r="K8050" t="str">
            <v>LOUISA</v>
          </cell>
          <cell r="L8050" t="str">
            <v>Louisa</v>
          </cell>
          <cell r="V8050">
            <v>60800</v>
          </cell>
        </row>
        <row r="8051">
          <cell r="B8051">
            <v>1942</v>
          </cell>
          <cell r="K8051" t="str">
            <v>MAHASKA</v>
          </cell>
          <cell r="L8051" t="str">
            <v>Mahaska</v>
          </cell>
          <cell r="V8051">
            <v>93500</v>
          </cell>
        </row>
        <row r="8052">
          <cell r="B8052">
            <v>1942</v>
          </cell>
          <cell r="K8052" t="str">
            <v>VAN BUREN</v>
          </cell>
          <cell r="L8052" t="str">
            <v>Van Buren</v>
          </cell>
          <cell r="V8052">
            <v>35300</v>
          </cell>
        </row>
        <row r="8053">
          <cell r="B8053">
            <v>1942</v>
          </cell>
          <cell r="K8053" t="str">
            <v>WAPELLO</v>
          </cell>
          <cell r="L8053" t="str">
            <v>Wapello</v>
          </cell>
          <cell r="V8053">
            <v>46000</v>
          </cell>
        </row>
        <row r="8054">
          <cell r="B8054">
            <v>1942</v>
          </cell>
          <cell r="K8054" t="str">
            <v>WASHINGTON</v>
          </cell>
          <cell r="L8054" t="str">
            <v>Washington</v>
          </cell>
          <cell r="V8054">
            <v>93600</v>
          </cell>
        </row>
        <row r="8055">
          <cell r="B8055">
            <v>1942</v>
          </cell>
          <cell r="K8055" t="str">
            <v>ADAIR</v>
          </cell>
          <cell r="L8055" t="str">
            <v>Adair</v>
          </cell>
          <cell r="V8055">
            <v>93000</v>
          </cell>
        </row>
        <row r="8056">
          <cell r="B8056">
            <v>1942</v>
          </cell>
          <cell r="K8056" t="str">
            <v>ADAMS</v>
          </cell>
          <cell r="L8056" t="str">
            <v>Adams</v>
          </cell>
          <cell r="V8056">
            <v>65500</v>
          </cell>
        </row>
        <row r="8057">
          <cell r="B8057">
            <v>1942</v>
          </cell>
          <cell r="K8057" t="str">
            <v>CASS</v>
          </cell>
          <cell r="L8057" t="str">
            <v>Cass</v>
          </cell>
          <cell r="V8057">
            <v>109900</v>
          </cell>
        </row>
        <row r="8058">
          <cell r="B8058">
            <v>1942</v>
          </cell>
          <cell r="K8058" t="str">
            <v>FREMONT</v>
          </cell>
          <cell r="L8058" t="str">
            <v>Fremont</v>
          </cell>
          <cell r="V8058">
            <v>126400</v>
          </cell>
        </row>
        <row r="8059">
          <cell r="B8059">
            <v>1942</v>
          </cell>
          <cell r="K8059" t="str">
            <v>MILLS</v>
          </cell>
          <cell r="L8059" t="str">
            <v>Mills</v>
          </cell>
          <cell r="V8059">
            <v>100200</v>
          </cell>
        </row>
        <row r="8060">
          <cell r="B8060">
            <v>1942</v>
          </cell>
          <cell r="K8060" t="str">
            <v>MONTGOMERY</v>
          </cell>
          <cell r="L8060" t="str">
            <v>Montgomery</v>
          </cell>
          <cell r="V8060">
            <v>83000</v>
          </cell>
        </row>
        <row r="8061">
          <cell r="B8061">
            <v>1942</v>
          </cell>
          <cell r="K8061" t="str">
            <v>PAGE</v>
          </cell>
          <cell r="L8061" t="str">
            <v>Page</v>
          </cell>
          <cell r="V8061">
            <v>101200</v>
          </cell>
        </row>
        <row r="8062">
          <cell r="B8062">
            <v>1942</v>
          </cell>
          <cell r="K8062" t="str">
            <v>POTTAWATTAMIE</v>
          </cell>
          <cell r="L8062" t="str">
            <v>Pottawattamie</v>
          </cell>
          <cell r="V8062">
            <v>223000</v>
          </cell>
        </row>
        <row r="8063">
          <cell r="B8063">
            <v>1942</v>
          </cell>
          <cell r="K8063" t="str">
            <v>TAYLOR</v>
          </cell>
          <cell r="L8063" t="str">
            <v>Taylor</v>
          </cell>
          <cell r="V8063">
            <v>72000</v>
          </cell>
        </row>
        <row r="8064">
          <cell r="B8064">
            <v>1942</v>
          </cell>
          <cell r="K8064" t="str">
            <v>AUDUBON</v>
          </cell>
          <cell r="L8064" t="str">
            <v>Audubon</v>
          </cell>
          <cell r="V8064">
            <v>84400</v>
          </cell>
        </row>
        <row r="8065">
          <cell r="B8065">
            <v>1942</v>
          </cell>
          <cell r="K8065" t="str">
            <v>CALHOUN</v>
          </cell>
          <cell r="L8065" t="str">
            <v>Calhoun</v>
          </cell>
          <cell r="V8065">
            <v>122900</v>
          </cell>
        </row>
        <row r="8066">
          <cell r="B8066">
            <v>1942</v>
          </cell>
          <cell r="K8066" t="str">
            <v>CARROLL</v>
          </cell>
          <cell r="L8066" t="str">
            <v>Carroll</v>
          </cell>
          <cell r="V8066">
            <v>122400</v>
          </cell>
        </row>
        <row r="8067">
          <cell r="B8067">
            <v>1942</v>
          </cell>
          <cell r="K8067" t="str">
            <v>CRAWFORD</v>
          </cell>
          <cell r="L8067" t="str">
            <v>Crawford</v>
          </cell>
          <cell r="V8067">
            <v>145300</v>
          </cell>
        </row>
        <row r="8068">
          <cell r="B8068">
            <v>1942</v>
          </cell>
          <cell r="K8068" t="str">
            <v>GREENE</v>
          </cell>
          <cell r="L8068" t="str">
            <v>Greene</v>
          </cell>
          <cell r="V8068">
            <v>134800</v>
          </cell>
        </row>
        <row r="8069">
          <cell r="B8069">
            <v>1942</v>
          </cell>
          <cell r="K8069" t="str">
            <v>GUTHRIE</v>
          </cell>
          <cell r="L8069" t="str">
            <v>Guthrie</v>
          </cell>
          <cell r="V8069">
            <v>103400</v>
          </cell>
        </row>
        <row r="8070">
          <cell r="B8070">
            <v>1942</v>
          </cell>
          <cell r="K8070" t="str">
            <v>HARRISON</v>
          </cell>
          <cell r="L8070" t="str">
            <v>Harrison</v>
          </cell>
          <cell r="V8070">
            <v>160200</v>
          </cell>
        </row>
        <row r="8071">
          <cell r="B8071">
            <v>1942</v>
          </cell>
          <cell r="K8071" t="str">
            <v>IDA</v>
          </cell>
          <cell r="L8071" t="str">
            <v>Ida</v>
          </cell>
          <cell r="V8071">
            <v>94600</v>
          </cell>
        </row>
        <row r="8072">
          <cell r="B8072">
            <v>1942</v>
          </cell>
          <cell r="K8072" t="str">
            <v>MONONA</v>
          </cell>
          <cell r="L8072" t="str">
            <v>Monona</v>
          </cell>
          <cell r="V8072">
            <v>146600</v>
          </cell>
        </row>
        <row r="8073">
          <cell r="B8073">
            <v>1942</v>
          </cell>
          <cell r="K8073" t="str">
            <v>SAC</v>
          </cell>
          <cell r="L8073" t="str">
            <v>Sac</v>
          </cell>
          <cell r="V8073">
            <v>122300</v>
          </cell>
        </row>
        <row r="8074">
          <cell r="B8074">
            <v>1942</v>
          </cell>
          <cell r="K8074" t="str">
            <v>SHELBY</v>
          </cell>
          <cell r="L8074" t="str">
            <v>Shelby</v>
          </cell>
          <cell r="V8074">
            <v>130700</v>
          </cell>
        </row>
        <row r="8075">
          <cell r="B8075">
            <v>1942</v>
          </cell>
          <cell r="K8075" t="str">
            <v>WOODBURY</v>
          </cell>
          <cell r="L8075" t="str">
            <v>Woodbury</v>
          </cell>
          <cell r="V8075">
            <v>201700</v>
          </cell>
        </row>
        <row r="8076">
          <cell r="B8076">
            <v>1941</v>
          </cell>
          <cell r="K8076" t="str">
            <v>BOONE</v>
          </cell>
          <cell r="L8076" t="str">
            <v>Boone</v>
          </cell>
          <cell r="V8076">
            <v>114359</v>
          </cell>
        </row>
        <row r="8077">
          <cell r="B8077">
            <v>1941</v>
          </cell>
          <cell r="K8077" t="str">
            <v>DALLAS</v>
          </cell>
          <cell r="L8077" t="str">
            <v>Dallas</v>
          </cell>
          <cell r="V8077">
            <v>114775</v>
          </cell>
        </row>
        <row r="8078">
          <cell r="B8078">
            <v>1941</v>
          </cell>
          <cell r="K8078" t="str">
            <v>GRUNDY</v>
          </cell>
          <cell r="L8078" t="str">
            <v>Grundy</v>
          </cell>
          <cell r="V8078">
            <v>96258</v>
          </cell>
        </row>
        <row r="8079">
          <cell r="B8079">
            <v>1941</v>
          </cell>
          <cell r="K8079" t="str">
            <v>HAMILTON</v>
          </cell>
          <cell r="L8079" t="str">
            <v>Hamilton</v>
          </cell>
          <cell r="V8079">
            <v>119998</v>
          </cell>
        </row>
        <row r="8080">
          <cell r="B8080">
            <v>1941</v>
          </cell>
          <cell r="K8080" t="str">
            <v>HARDIN</v>
          </cell>
          <cell r="L8080" t="str">
            <v>Hardin</v>
          </cell>
          <cell r="V8080">
            <v>107570</v>
          </cell>
        </row>
        <row r="8081">
          <cell r="B8081">
            <v>1941</v>
          </cell>
          <cell r="K8081" t="str">
            <v>JASPER</v>
          </cell>
          <cell r="L8081" t="str">
            <v>Jasper</v>
          </cell>
          <cell r="V8081">
            <v>121439</v>
          </cell>
        </row>
        <row r="8082">
          <cell r="B8082">
            <v>1941</v>
          </cell>
          <cell r="K8082" t="str">
            <v>MARSHALL</v>
          </cell>
          <cell r="L8082" t="str">
            <v>Marshall</v>
          </cell>
          <cell r="V8082">
            <v>103050</v>
          </cell>
        </row>
        <row r="8083">
          <cell r="B8083">
            <v>1941</v>
          </cell>
          <cell r="K8083" t="str">
            <v>POLK</v>
          </cell>
          <cell r="L8083" t="str">
            <v>Polk</v>
          </cell>
          <cell r="V8083">
            <v>91832</v>
          </cell>
        </row>
        <row r="8084">
          <cell r="B8084">
            <v>1941</v>
          </cell>
          <cell r="K8084" t="str">
            <v>POWESHIEK</v>
          </cell>
          <cell r="L8084" t="str">
            <v>Poweshiek</v>
          </cell>
          <cell r="V8084">
            <v>92017</v>
          </cell>
        </row>
        <row r="8085">
          <cell r="B8085">
            <v>1941</v>
          </cell>
          <cell r="K8085" t="str">
            <v>STORY</v>
          </cell>
          <cell r="L8085" t="str">
            <v>Story</v>
          </cell>
          <cell r="V8085">
            <v>117039</v>
          </cell>
        </row>
        <row r="8086">
          <cell r="B8086">
            <v>1941</v>
          </cell>
          <cell r="K8086" t="str">
            <v>TAMA</v>
          </cell>
          <cell r="L8086" t="str">
            <v>Tama</v>
          </cell>
          <cell r="V8086">
            <v>111233</v>
          </cell>
        </row>
        <row r="8087">
          <cell r="B8087">
            <v>1941</v>
          </cell>
          <cell r="K8087" t="str">
            <v>WEBSTER</v>
          </cell>
          <cell r="L8087" t="str">
            <v>Webster</v>
          </cell>
          <cell r="V8087">
            <v>138945</v>
          </cell>
        </row>
        <row r="8088">
          <cell r="B8088">
            <v>1941</v>
          </cell>
          <cell r="K8088" t="str">
            <v>BENTON</v>
          </cell>
          <cell r="L8088" t="str">
            <v>Benton</v>
          </cell>
          <cell r="V8088">
            <v>121173</v>
          </cell>
        </row>
        <row r="8089">
          <cell r="B8089">
            <v>1941</v>
          </cell>
          <cell r="K8089" t="str">
            <v>CEDAR</v>
          </cell>
          <cell r="L8089" t="str">
            <v>Cedar</v>
          </cell>
          <cell r="V8089">
            <v>101454</v>
          </cell>
        </row>
        <row r="8090">
          <cell r="B8090">
            <v>1941</v>
          </cell>
          <cell r="K8090" t="str">
            <v>CLINTON</v>
          </cell>
          <cell r="L8090" t="str">
            <v>Clinton</v>
          </cell>
          <cell r="V8090">
            <v>117283</v>
          </cell>
        </row>
        <row r="8091">
          <cell r="B8091">
            <v>1941</v>
          </cell>
          <cell r="K8091" t="str">
            <v>IOWA</v>
          </cell>
          <cell r="L8091" t="str">
            <v>Iowa</v>
          </cell>
          <cell r="V8091">
            <v>84500</v>
          </cell>
        </row>
        <row r="8092">
          <cell r="B8092">
            <v>1941</v>
          </cell>
          <cell r="K8092" t="str">
            <v>JACKSON</v>
          </cell>
          <cell r="L8092" t="str">
            <v>Jackson</v>
          </cell>
          <cell r="V8092">
            <v>58129</v>
          </cell>
        </row>
        <row r="8093">
          <cell r="B8093">
            <v>1941</v>
          </cell>
          <cell r="K8093" t="str">
            <v>JOHNSON</v>
          </cell>
          <cell r="L8093" t="str">
            <v>Johnson</v>
          </cell>
          <cell r="V8093">
            <v>95381</v>
          </cell>
        </row>
        <row r="8094">
          <cell r="B8094">
            <v>1941</v>
          </cell>
          <cell r="K8094" t="str">
            <v>JONES</v>
          </cell>
          <cell r="L8094" t="str">
            <v>Jones</v>
          </cell>
          <cell r="V8094">
            <v>72410</v>
          </cell>
        </row>
        <row r="8095">
          <cell r="B8095">
            <v>1941</v>
          </cell>
          <cell r="K8095" t="str">
            <v>LINN</v>
          </cell>
          <cell r="L8095" t="str">
            <v>Linn</v>
          </cell>
          <cell r="V8095">
            <v>112690</v>
          </cell>
        </row>
        <row r="8096">
          <cell r="B8096">
            <v>1941</v>
          </cell>
          <cell r="K8096" t="str">
            <v>MUSCATINE</v>
          </cell>
          <cell r="L8096" t="str">
            <v>Muscatine</v>
          </cell>
          <cell r="V8096">
            <v>69171</v>
          </cell>
        </row>
        <row r="8097">
          <cell r="B8097">
            <v>1941</v>
          </cell>
          <cell r="K8097" t="str">
            <v>SCOTT</v>
          </cell>
          <cell r="L8097" t="str">
            <v>Scott</v>
          </cell>
          <cell r="V8097">
            <v>73578</v>
          </cell>
        </row>
        <row r="8098">
          <cell r="B8098">
            <v>1941</v>
          </cell>
          <cell r="K8098" t="str">
            <v>BUTLER</v>
          </cell>
          <cell r="L8098" t="str">
            <v>Butler</v>
          </cell>
          <cell r="V8098">
            <v>102190</v>
          </cell>
        </row>
        <row r="8099">
          <cell r="B8099">
            <v>1941</v>
          </cell>
          <cell r="K8099" t="str">
            <v>CERRO GORDO</v>
          </cell>
          <cell r="L8099" t="str">
            <v>Cerro Gordo</v>
          </cell>
          <cell r="V8099">
            <v>102204</v>
          </cell>
        </row>
        <row r="8100">
          <cell r="B8100">
            <v>1941</v>
          </cell>
          <cell r="K8100" t="str">
            <v>FLOYD</v>
          </cell>
          <cell r="L8100" t="str">
            <v>Floyd</v>
          </cell>
          <cell r="V8100">
            <v>89529</v>
          </cell>
        </row>
        <row r="8101">
          <cell r="B8101">
            <v>1941</v>
          </cell>
          <cell r="K8101" t="str">
            <v>FRANKLIN</v>
          </cell>
          <cell r="L8101" t="str">
            <v>Franklin</v>
          </cell>
          <cell r="V8101">
            <v>112804</v>
          </cell>
        </row>
        <row r="8102">
          <cell r="B8102">
            <v>1941</v>
          </cell>
          <cell r="K8102" t="str">
            <v>HANCOCK</v>
          </cell>
          <cell r="L8102" t="str">
            <v>Hancock</v>
          </cell>
          <cell r="V8102">
            <v>105976</v>
          </cell>
        </row>
        <row r="8103">
          <cell r="B8103">
            <v>1941</v>
          </cell>
          <cell r="K8103" t="str">
            <v>HUMBOLDT</v>
          </cell>
          <cell r="L8103" t="str">
            <v>Humboldt</v>
          </cell>
          <cell r="V8103">
            <v>90282</v>
          </cell>
        </row>
        <row r="8104">
          <cell r="B8104">
            <v>1941</v>
          </cell>
          <cell r="K8104" t="str">
            <v>KOSSUTH</v>
          </cell>
          <cell r="L8104" t="str">
            <v>Kossuth</v>
          </cell>
          <cell r="V8104">
            <v>187676</v>
          </cell>
        </row>
        <row r="8105">
          <cell r="B8105">
            <v>1941</v>
          </cell>
          <cell r="K8105" t="str">
            <v>MITCHELL</v>
          </cell>
          <cell r="L8105" t="str">
            <v>Mitchell</v>
          </cell>
          <cell r="V8105">
            <v>71620</v>
          </cell>
        </row>
        <row r="8106">
          <cell r="B8106">
            <v>1941</v>
          </cell>
          <cell r="K8106" t="str">
            <v>WINNEBAGO</v>
          </cell>
          <cell r="L8106" t="str">
            <v>Winnebago</v>
          </cell>
          <cell r="V8106">
            <v>69919</v>
          </cell>
        </row>
        <row r="8107">
          <cell r="B8107">
            <v>1941</v>
          </cell>
          <cell r="K8107" t="str">
            <v>WORTH</v>
          </cell>
          <cell r="L8107" t="str">
            <v>Worth</v>
          </cell>
          <cell r="V8107">
            <v>64006</v>
          </cell>
        </row>
        <row r="8108">
          <cell r="B8108">
            <v>1941</v>
          </cell>
          <cell r="K8108" t="str">
            <v>WRIGHT</v>
          </cell>
          <cell r="L8108" t="str">
            <v>Wright</v>
          </cell>
          <cell r="V8108">
            <v>118978</v>
          </cell>
        </row>
        <row r="8109">
          <cell r="B8109">
            <v>1941</v>
          </cell>
          <cell r="K8109" t="str">
            <v>ALLAMAKEE</v>
          </cell>
          <cell r="L8109" t="str">
            <v>Allamakee</v>
          </cell>
          <cell r="V8109">
            <v>43306</v>
          </cell>
        </row>
        <row r="8110">
          <cell r="B8110">
            <v>1941</v>
          </cell>
          <cell r="K8110" t="str">
            <v>BLACK HAWK</v>
          </cell>
          <cell r="L8110" t="str">
            <v>Black Hawk</v>
          </cell>
          <cell r="V8110">
            <v>91389</v>
          </cell>
        </row>
        <row r="8111">
          <cell r="B8111">
            <v>1941</v>
          </cell>
          <cell r="K8111" t="str">
            <v>BREMER</v>
          </cell>
          <cell r="L8111" t="str">
            <v>Bremer</v>
          </cell>
          <cell r="V8111">
            <v>66291</v>
          </cell>
        </row>
        <row r="8112">
          <cell r="B8112">
            <v>1941</v>
          </cell>
          <cell r="K8112" t="str">
            <v>BUCHANAN</v>
          </cell>
          <cell r="L8112" t="str">
            <v>Buchanan</v>
          </cell>
          <cell r="V8112">
            <v>91208</v>
          </cell>
        </row>
        <row r="8113">
          <cell r="B8113">
            <v>1941</v>
          </cell>
          <cell r="K8113" t="str">
            <v>CHICKASAW</v>
          </cell>
          <cell r="L8113" t="str">
            <v>Chickasaw</v>
          </cell>
          <cell r="V8113">
            <v>69349</v>
          </cell>
        </row>
        <row r="8114">
          <cell r="B8114">
            <v>1941</v>
          </cell>
          <cell r="K8114" t="str">
            <v>CLAYTON</v>
          </cell>
          <cell r="L8114" t="str">
            <v>Clayton</v>
          </cell>
          <cell r="V8114">
            <v>70133</v>
          </cell>
        </row>
        <row r="8115">
          <cell r="B8115">
            <v>1941</v>
          </cell>
          <cell r="K8115" t="str">
            <v>DELAWARE</v>
          </cell>
          <cell r="L8115" t="str">
            <v>Delaware</v>
          </cell>
          <cell r="V8115">
            <v>82552</v>
          </cell>
        </row>
        <row r="8116">
          <cell r="B8116">
            <v>1941</v>
          </cell>
          <cell r="K8116" t="str">
            <v>DUBUQUE</v>
          </cell>
          <cell r="L8116" t="str">
            <v>Dubuque</v>
          </cell>
          <cell r="V8116">
            <v>61481</v>
          </cell>
        </row>
        <row r="8117">
          <cell r="B8117">
            <v>1941</v>
          </cell>
          <cell r="K8117" t="str">
            <v>FAYETTE</v>
          </cell>
          <cell r="L8117" t="str">
            <v>Fayette</v>
          </cell>
          <cell r="V8117">
            <v>92448</v>
          </cell>
        </row>
        <row r="8118">
          <cell r="B8118">
            <v>1941</v>
          </cell>
          <cell r="K8118" t="str">
            <v>HOWARD</v>
          </cell>
          <cell r="L8118" t="str">
            <v>Howard</v>
          </cell>
          <cell r="V8118">
            <v>60042</v>
          </cell>
        </row>
        <row r="8119">
          <cell r="B8119">
            <v>1941</v>
          </cell>
          <cell r="K8119" t="str">
            <v>WINNESHIEK</v>
          </cell>
          <cell r="L8119" t="str">
            <v>Winneshiek</v>
          </cell>
          <cell r="V8119">
            <v>73503</v>
          </cell>
        </row>
        <row r="8120">
          <cell r="B8120">
            <v>1941</v>
          </cell>
          <cell r="K8120" t="str">
            <v>BUENA VISTA</v>
          </cell>
          <cell r="L8120" t="str">
            <v>Buena Vista</v>
          </cell>
          <cell r="V8120">
            <v>115976</v>
          </cell>
        </row>
        <row r="8121">
          <cell r="B8121">
            <v>1941</v>
          </cell>
          <cell r="K8121" t="str">
            <v>CHEROKEE</v>
          </cell>
          <cell r="L8121" t="str">
            <v>Cherokee</v>
          </cell>
          <cell r="V8121">
            <v>116376</v>
          </cell>
        </row>
        <row r="8122">
          <cell r="B8122">
            <v>1941</v>
          </cell>
          <cell r="K8122" t="str">
            <v>CLAY</v>
          </cell>
          <cell r="L8122" t="str">
            <v>Clay</v>
          </cell>
          <cell r="V8122">
            <v>106449</v>
          </cell>
        </row>
        <row r="8123">
          <cell r="B8123">
            <v>1941</v>
          </cell>
          <cell r="K8123" t="str">
            <v>DICKINSON</v>
          </cell>
          <cell r="L8123" t="str">
            <v>Dickinson</v>
          </cell>
          <cell r="V8123">
            <v>64739</v>
          </cell>
        </row>
        <row r="8124">
          <cell r="B8124">
            <v>1941</v>
          </cell>
          <cell r="K8124" t="str">
            <v>EMMET</v>
          </cell>
          <cell r="L8124" t="str">
            <v>Emmet</v>
          </cell>
          <cell r="V8124">
            <v>72177</v>
          </cell>
        </row>
        <row r="8125">
          <cell r="B8125">
            <v>1941</v>
          </cell>
          <cell r="K8125" t="str">
            <v>LYON</v>
          </cell>
          <cell r="L8125" t="str">
            <v>Lyon</v>
          </cell>
          <cell r="V8125">
            <v>117324</v>
          </cell>
        </row>
        <row r="8126">
          <cell r="B8126">
            <v>1941</v>
          </cell>
          <cell r="K8126" t="str">
            <v>O BRIEN</v>
          </cell>
          <cell r="L8126" t="str">
            <v>O Brien</v>
          </cell>
          <cell r="V8126">
            <v>111095</v>
          </cell>
        </row>
        <row r="8127">
          <cell r="B8127">
            <v>1941</v>
          </cell>
          <cell r="K8127" t="str">
            <v>OSCEOLA</v>
          </cell>
          <cell r="L8127" t="str">
            <v>Osceola</v>
          </cell>
          <cell r="V8127">
            <v>72045</v>
          </cell>
        </row>
        <row r="8128">
          <cell r="B8128">
            <v>1941</v>
          </cell>
          <cell r="K8128" t="str">
            <v>PALO ALTO</v>
          </cell>
          <cell r="L8128" t="str">
            <v>Palo Alto</v>
          </cell>
          <cell r="V8128">
            <v>106774</v>
          </cell>
        </row>
        <row r="8129">
          <cell r="B8129">
            <v>1941</v>
          </cell>
          <cell r="K8129" t="str">
            <v>PLYMOUTH</v>
          </cell>
          <cell r="L8129" t="str">
            <v>Plymouth</v>
          </cell>
          <cell r="V8129">
            <v>192920</v>
          </cell>
        </row>
        <row r="8130">
          <cell r="B8130">
            <v>1941</v>
          </cell>
          <cell r="K8130" t="str">
            <v>POCAHONTAS</v>
          </cell>
          <cell r="L8130" t="str">
            <v>Pocahontas</v>
          </cell>
          <cell r="V8130">
            <v>116625</v>
          </cell>
        </row>
        <row r="8131">
          <cell r="B8131">
            <v>1941</v>
          </cell>
          <cell r="K8131" t="str">
            <v>SIOUX</v>
          </cell>
          <cell r="L8131" t="str">
            <v>Sioux</v>
          </cell>
          <cell r="V8131">
            <v>169125</v>
          </cell>
        </row>
        <row r="8132">
          <cell r="B8132">
            <v>1941</v>
          </cell>
          <cell r="K8132" t="str">
            <v>APPANOOSE</v>
          </cell>
          <cell r="L8132" t="str">
            <v>Appanoose</v>
          </cell>
          <cell r="V8132">
            <v>31236</v>
          </cell>
        </row>
        <row r="8133">
          <cell r="B8133">
            <v>1941</v>
          </cell>
          <cell r="K8133" t="str">
            <v>CLARKE</v>
          </cell>
          <cell r="L8133" t="str">
            <v>Clarke</v>
          </cell>
          <cell r="V8133">
            <v>42068</v>
          </cell>
        </row>
        <row r="8134">
          <cell r="B8134">
            <v>1941</v>
          </cell>
          <cell r="K8134" t="str">
            <v>DECATUR</v>
          </cell>
          <cell r="L8134" t="str">
            <v>Decatur</v>
          </cell>
          <cell r="V8134">
            <v>42261</v>
          </cell>
        </row>
        <row r="8135">
          <cell r="B8135">
            <v>1941</v>
          </cell>
          <cell r="K8135" t="str">
            <v>LUCAS</v>
          </cell>
          <cell r="L8135" t="str">
            <v>Lucas</v>
          </cell>
          <cell r="V8135">
            <v>37175</v>
          </cell>
        </row>
        <row r="8136">
          <cell r="B8136">
            <v>1941</v>
          </cell>
          <cell r="K8136" t="str">
            <v>MADISON</v>
          </cell>
          <cell r="L8136" t="str">
            <v>Madison</v>
          </cell>
          <cell r="V8136">
            <v>75298</v>
          </cell>
        </row>
        <row r="8137">
          <cell r="B8137">
            <v>1941</v>
          </cell>
          <cell r="K8137" t="str">
            <v>MARION</v>
          </cell>
          <cell r="L8137" t="str">
            <v>Marion</v>
          </cell>
          <cell r="V8137">
            <v>76900</v>
          </cell>
        </row>
        <row r="8138">
          <cell r="B8138">
            <v>1941</v>
          </cell>
          <cell r="K8138" t="str">
            <v>MONROE</v>
          </cell>
          <cell r="L8138" t="str">
            <v>Monroe</v>
          </cell>
          <cell r="V8138">
            <v>34659</v>
          </cell>
        </row>
        <row r="8139">
          <cell r="B8139">
            <v>1941</v>
          </cell>
          <cell r="K8139" t="str">
            <v>RINGGOLD</v>
          </cell>
          <cell r="L8139" t="str">
            <v>Ringgold</v>
          </cell>
          <cell r="V8139">
            <v>52579</v>
          </cell>
        </row>
        <row r="8140">
          <cell r="B8140">
            <v>1941</v>
          </cell>
          <cell r="K8140" t="str">
            <v>UNION</v>
          </cell>
          <cell r="L8140" t="str">
            <v>Union</v>
          </cell>
          <cell r="V8140">
            <v>50275</v>
          </cell>
        </row>
        <row r="8141">
          <cell r="B8141">
            <v>1941</v>
          </cell>
          <cell r="K8141" t="str">
            <v>WARREN</v>
          </cell>
          <cell r="L8141" t="str">
            <v>Warren</v>
          </cell>
          <cell r="V8141">
            <v>73884</v>
          </cell>
        </row>
        <row r="8142">
          <cell r="B8142">
            <v>1941</v>
          </cell>
          <cell r="K8142" t="str">
            <v>WAYNE</v>
          </cell>
          <cell r="L8142" t="str">
            <v>Wayne</v>
          </cell>
          <cell r="V8142">
            <v>45838</v>
          </cell>
        </row>
        <row r="8143">
          <cell r="B8143">
            <v>1941</v>
          </cell>
          <cell r="K8143" t="str">
            <v>DAVIS</v>
          </cell>
          <cell r="L8143" t="str">
            <v>Davis</v>
          </cell>
          <cell r="V8143">
            <v>36053</v>
          </cell>
        </row>
        <row r="8144">
          <cell r="B8144">
            <v>1941</v>
          </cell>
          <cell r="K8144" t="str">
            <v>DES MOINES</v>
          </cell>
          <cell r="L8144" t="str">
            <v>Des Moines</v>
          </cell>
          <cell r="V8144">
            <v>51430</v>
          </cell>
        </row>
        <row r="8145">
          <cell r="B8145">
            <v>1941</v>
          </cell>
          <cell r="K8145" t="str">
            <v>HENRY</v>
          </cell>
          <cell r="L8145" t="str">
            <v>Henry</v>
          </cell>
          <cell r="V8145">
            <v>56900</v>
          </cell>
        </row>
        <row r="8146">
          <cell r="B8146">
            <v>1941</v>
          </cell>
          <cell r="K8146" t="str">
            <v>JEFFERSON</v>
          </cell>
          <cell r="L8146" t="str">
            <v>Jefferson</v>
          </cell>
          <cell r="V8146">
            <v>50095</v>
          </cell>
        </row>
        <row r="8147">
          <cell r="B8147">
            <v>1941</v>
          </cell>
          <cell r="K8147" t="str">
            <v>KEOKUK</v>
          </cell>
          <cell r="L8147" t="str">
            <v>Keokuk</v>
          </cell>
          <cell r="V8147">
            <v>85752</v>
          </cell>
        </row>
        <row r="8148">
          <cell r="B8148">
            <v>1941</v>
          </cell>
          <cell r="K8148" t="str">
            <v>LEE</v>
          </cell>
          <cell r="L8148" t="str">
            <v>Lee</v>
          </cell>
          <cell r="V8148">
            <v>47960</v>
          </cell>
        </row>
        <row r="8149">
          <cell r="B8149">
            <v>1941</v>
          </cell>
          <cell r="K8149" t="str">
            <v>LOUISA</v>
          </cell>
          <cell r="L8149" t="str">
            <v>Louisa</v>
          </cell>
          <cell r="V8149">
            <v>59612</v>
          </cell>
        </row>
        <row r="8150">
          <cell r="B8150">
            <v>1941</v>
          </cell>
          <cell r="K8150" t="str">
            <v>MAHASKA</v>
          </cell>
          <cell r="L8150" t="str">
            <v>Mahaska</v>
          </cell>
          <cell r="V8150">
            <v>91420</v>
          </cell>
        </row>
        <row r="8151">
          <cell r="B8151">
            <v>1941</v>
          </cell>
          <cell r="K8151" t="str">
            <v>VAN BUREN</v>
          </cell>
          <cell r="L8151" t="str">
            <v>Van Buren</v>
          </cell>
          <cell r="V8151">
            <v>34010</v>
          </cell>
        </row>
        <row r="8152">
          <cell r="B8152">
            <v>1941</v>
          </cell>
          <cell r="K8152" t="str">
            <v>WAPELLO</v>
          </cell>
          <cell r="L8152" t="str">
            <v>Wapello</v>
          </cell>
          <cell r="V8152">
            <v>44720</v>
          </cell>
        </row>
        <row r="8153">
          <cell r="B8153">
            <v>1941</v>
          </cell>
          <cell r="K8153" t="str">
            <v>WASHINGTON</v>
          </cell>
          <cell r="L8153" t="str">
            <v>Washington</v>
          </cell>
          <cell r="V8153">
            <v>93234</v>
          </cell>
        </row>
        <row r="8154">
          <cell r="B8154">
            <v>1941</v>
          </cell>
          <cell r="K8154" t="str">
            <v>ADAIR</v>
          </cell>
          <cell r="L8154" t="str">
            <v>Adair</v>
          </cell>
          <cell r="V8154">
            <v>87750</v>
          </cell>
        </row>
        <row r="8155">
          <cell r="B8155">
            <v>1941</v>
          </cell>
          <cell r="K8155" t="str">
            <v>ADAMS</v>
          </cell>
          <cell r="L8155" t="str">
            <v>Adams</v>
          </cell>
          <cell r="V8155">
            <v>62049</v>
          </cell>
        </row>
        <row r="8156">
          <cell r="B8156">
            <v>1941</v>
          </cell>
          <cell r="K8156" t="str">
            <v>CASS</v>
          </cell>
          <cell r="L8156" t="str">
            <v>Cass</v>
          </cell>
          <cell r="V8156">
            <v>101919</v>
          </cell>
        </row>
        <row r="8157">
          <cell r="B8157">
            <v>1941</v>
          </cell>
          <cell r="K8157" t="str">
            <v>FREMONT</v>
          </cell>
          <cell r="L8157" t="str">
            <v>Fremont</v>
          </cell>
          <cell r="V8157">
            <v>116660</v>
          </cell>
        </row>
        <row r="8158">
          <cell r="B8158">
            <v>1941</v>
          </cell>
          <cell r="K8158" t="str">
            <v>MILLS</v>
          </cell>
          <cell r="L8158" t="str">
            <v>Mills</v>
          </cell>
          <cell r="V8158">
            <v>93254</v>
          </cell>
        </row>
        <row r="8159">
          <cell r="B8159">
            <v>1941</v>
          </cell>
          <cell r="K8159" t="str">
            <v>MONTGOMERY</v>
          </cell>
          <cell r="L8159" t="str">
            <v>Montgomery</v>
          </cell>
          <cell r="V8159">
            <v>78799</v>
          </cell>
        </row>
        <row r="8160">
          <cell r="B8160">
            <v>1941</v>
          </cell>
          <cell r="K8160" t="str">
            <v>PAGE</v>
          </cell>
          <cell r="L8160" t="str">
            <v>Page</v>
          </cell>
          <cell r="V8160">
            <v>96024</v>
          </cell>
        </row>
        <row r="8161">
          <cell r="B8161">
            <v>1941</v>
          </cell>
          <cell r="K8161" t="str">
            <v>POTTAWATTAMIE</v>
          </cell>
          <cell r="L8161" t="str">
            <v>Pottawattamie</v>
          </cell>
          <cell r="V8161">
            <v>202131</v>
          </cell>
        </row>
        <row r="8162">
          <cell r="B8162">
            <v>1941</v>
          </cell>
          <cell r="K8162" t="str">
            <v>TAYLOR</v>
          </cell>
          <cell r="L8162" t="str">
            <v>Taylor</v>
          </cell>
          <cell r="V8162">
            <v>69247</v>
          </cell>
        </row>
        <row r="8163">
          <cell r="B8163">
            <v>1941</v>
          </cell>
          <cell r="K8163" t="str">
            <v>AUDUBON</v>
          </cell>
          <cell r="L8163" t="str">
            <v>Audubon</v>
          </cell>
          <cell r="V8163">
            <v>77562</v>
          </cell>
        </row>
        <row r="8164">
          <cell r="B8164">
            <v>1941</v>
          </cell>
          <cell r="K8164" t="str">
            <v>CALHOUN</v>
          </cell>
          <cell r="L8164" t="str">
            <v>Calhoun</v>
          </cell>
          <cell r="V8164">
            <v>114451</v>
          </cell>
        </row>
        <row r="8165">
          <cell r="B8165">
            <v>1941</v>
          </cell>
          <cell r="K8165" t="str">
            <v>CARROLL</v>
          </cell>
          <cell r="L8165" t="str">
            <v>Carroll</v>
          </cell>
          <cell r="V8165">
            <v>113100</v>
          </cell>
        </row>
        <row r="8166">
          <cell r="B8166">
            <v>1941</v>
          </cell>
          <cell r="K8166" t="str">
            <v>CRAWFORD</v>
          </cell>
          <cell r="L8166" t="str">
            <v>Crawford</v>
          </cell>
          <cell r="V8166">
            <v>137301</v>
          </cell>
        </row>
        <row r="8167">
          <cell r="B8167">
            <v>1941</v>
          </cell>
          <cell r="K8167" t="str">
            <v>GREENE</v>
          </cell>
          <cell r="L8167" t="str">
            <v>Greene</v>
          </cell>
          <cell r="V8167">
            <v>127545</v>
          </cell>
        </row>
        <row r="8168">
          <cell r="B8168">
            <v>1941</v>
          </cell>
          <cell r="K8168" t="str">
            <v>GUTHRIE</v>
          </cell>
          <cell r="L8168" t="str">
            <v>Guthrie</v>
          </cell>
          <cell r="V8168">
            <v>97335</v>
          </cell>
        </row>
        <row r="8169">
          <cell r="B8169">
            <v>1941</v>
          </cell>
          <cell r="K8169" t="str">
            <v>HARRISON</v>
          </cell>
          <cell r="L8169" t="str">
            <v>Harrison</v>
          </cell>
          <cell r="V8169">
            <v>147220</v>
          </cell>
        </row>
        <row r="8170">
          <cell r="B8170">
            <v>1941</v>
          </cell>
          <cell r="K8170" t="str">
            <v>IDA</v>
          </cell>
          <cell r="L8170" t="str">
            <v>Ida</v>
          </cell>
          <cell r="V8170">
            <v>88573</v>
          </cell>
        </row>
        <row r="8171">
          <cell r="B8171">
            <v>1941</v>
          </cell>
          <cell r="K8171" t="str">
            <v>MONONA</v>
          </cell>
          <cell r="L8171" t="str">
            <v>Monona</v>
          </cell>
          <cell r="V8171">
            <v>138508</v>
          </cell>
        </row>
        <row r="8172">
          <cell r="B8172">
            <v>1941</v>
          </cell>
          <cell r="K8172" t="str">
            <v>SAC</v>
          </cell>
          <cell r="L8172" t="str">
            <v>Sac</v>
          </cell>
          <cell r="V8172">
            <v>113302</v>
          </cell>
        </row>
        <row r="8173">
          <cell r="B8173">
            <v>1941</v>
          </cell>
          <cell r="K8173" t="str">
            <v>SHELBY</v>
          </cell>
          <cell r="L8173" t="str">
            <v>Shelby</v>
          </cell>
          <cell r="V8173">
            <v>118040</v>
          </cell>
        </row>
        <row r="8174">
          <cell r="B8174">
            <v>1941</v>
          </cell>
          <cell r="K8174" t="str">
            <v>WOODBURY</v>
          </cell>
          <cell r="L8174" t="str">
            <v>Woodbury</v>
          </cell>
          <cell r="V8174">
            <v>189076</v>
          </cell>
        </row>
        <row r="8175">
          <cell r="B8175">
            <v>1940</v>
          </cell>
          <cell r="K8175" t="str">
            <v>BOONE</v>
          </cell>
          <cell r="L8175" t="str">
            <v>Boone</v>
          </cell>
          <cell r="V8175">
            <v>113937</v>
          </cell>
        </row>
        <row r="8176">
          <cell r="B8176">
            <v>1940</v>
          </cell>
          <cell r="K8176" t="str">
            <v>DALLAS</v>
          </cell>
          <cell r="L8176" t="str">
            <v>Dallas</v>
          </cell>
          <cell r="V8176">
            <v>113527</v>
          </cell>
        </row>
        <row r="8177">
          <cell r="B8177">
            <v>1940</v>
          </cell>
          <cell r="K8177" t="str">
            <v>GRUNDY</v>
          </cell>
          <cell r="L8177" t="str">
            <v>Grundy</v>
          </cell>
          <cell r="V8177">
            <v>93810</v>
          </cell>
        </row>
        <row r="8178">
          <cell r="B8178">
            <v>1940</v>
          </cell>
          <cell r="K8178" t="str">
            <v>HAMILTON</v>
          </cell>
          <cell r="L8178" t="str">
            <v>Hamilton</v>
          </cell>
          <cell r="V8178">
            <v>119775</v>
          </cell>
        </row>
        <row r="8179">
          <cell r="B8179">
            <v>1940</v>
          </cell>
          <cell r="K8179" t="str">
            <v>HARDIN</v>
          </cell>
          <cell r="L8179" t="str">
            <v>Hardin</v>
          </cell>
          <cell r="V8179">
            <v>106640</v>
          </cell>
        </row>
        <row r="8180">
          <cell r="B8180">
            <v>1940</v>
          </cell>
          <cell r="K8180" t="str">
            <v>JASPER</v>
          </cell>
          <cell r="L8180" t="str">
            <v>Jasper</v>
          </cell>
          <cell r="V8180">
            <v>118288</v>
          </cell>
        </row>
        <row r="8181">
          <cell r="B8181">
            <v>1940</v>
          </cell>
          <cell r="K8181" t="str">
            <v>MARSHALL</v>
          </cell>
          <cell r="L8181" t="str">
            <v>Marshall</v>
          </cell>
          <cell r="V8181">
            <v>100000</v>
          </cell>
        </row>
        <row r="8182">
          <cell r="B8182">
            <v>1940</v>
          </cell>
          <cell r="K8182" t="str">
            <v>POLK</v>
          </cell>
          <cell r="L8182" t="str">
            <v>Polk</v>
          </cell>
          <cell r="V8182">
            <v>90463</v>
          </cell>
        </row>
        <row r="8183">
          <cell r="B8183">
            <v>1940</v>
          </cell>
          <cell r="K8183" t="str">
            <v>POWESHIEK</v>
          </cell>
          <cell r="L8183" t="str">
            <v>Poweshiek</v>
          </cell>
          <cell r="V8183">
            <v>90551</v>
          </cell>
        </row>
        <row r="8184">
          <cell r="B8184">
            <v>1940</v>
          </cell>
          <cell r="K8184" t="str">
            <v>STORY</v>
          </cell>
          <cell r="L8184" t="str">
            <v>Story</v>
          </cell>
          <cell r="V8184">
            <v>117152</v>
          </cell>
        </row>
        <row r="8185">
          <cell r="B8185">
            <v>1940</v>
          </cell>
          <cell r="K8185" t="str">
            <v>TAMA</v>
          </cell>
          <cell r="L8185" t="str">
            <v>Tama</v>
          </cell>
          <cell r="V8185">
            <v>109296</v>
          </cell>
        </row>
        <row r="8186">
          <cell r="B8186">
            <v>1940</v>
          </cell>
          <cell r="K8186" t="str">
            <v>WEBSTER</v>
          </cell>
          <cell r="L8186" t="str">
            <v>Webster</v>
          </cell>
          <cell r="V8186">
            <v>140650</v>
          </cell>
        </row>
        <row r="8187">
          <cell r="B8187">
            <v>1940</v>
          </cell>
          <cell r="K8187" t="str">
            <v>BENTON</v>
          </cell>
          <cell r="L8187" t="str">
            <v>Benton</v>
          </cell>
          <cell r="V8187">
            <v>120414</v>
          </cell>
        </row>
        <row r="8188">
          <cell r="B8188">
            <v>1940</v>
          </cell>
          <cell r="K8188" t="str">
            <v>CEDAR</v>
          </cell>
          <cell r="L8188" t="str">
            <v>Cedar</v>
          </cell>
          <cell r="V8188">
            <v>97348</v>
          </cell>
        </row>
        <row r="8189">
          <cell r="B8189">
            <v>1940</v>
          </cell>
          <cell r="K8189" t="str">
            <v>CLINTON</v>
          </cell>
          <cell r="L8189" t="str">
            <v>Clinton</v>
          </cell>
          <cell r="V8189">
            <v>114112</v>
          </cell>
        </row>
        <row r="8190">
          <cell r="B8190">
            <v>1940</v>
          </cell>
          <cell r="K8190" t="str">
            <v>IOWA</v>
          </cell>
          <cell r="L8190" t="str">
            <v>Iowa</v>
          </cell>
          <cell r="V8190">
            <v>81314</v>
          </cell>
        </row>
        <row r="8191">
          <cell r="B8191">
            <v>1940</v>
          </cell>
          <cell r="K8191" t="str">
            <v>JACKSON</v>
          </cell>
          <cell r="L8191" t="str">
            <v>Jackson</v>
          </cell>
          <cell r="V8191">
            <v>56815</v>
          </cell>
        </row>
        <row r="8192">
          <cell r="B8192">
            <v>1940</v>
          </cell>
          <cell r="K8192" t="str">
            <v>JOHNSON</v>
          </cell>
          <cell r="L8192" t="str">
            <v>Johnson</v>
          </cell>
          <cell r="V8192">
            <v>91382</v>
          </cell>
        </row>
        <row r="8193">
          <cell r="B8193">
            <v>1940</v>
          </cell>
          <cell r="K8193" t="str">
            <v>JONES</v>
          </cell>
          <cell r="L8193" t="str">
            <v>Jones</v>
          </cell>
          <cell r="V8193">
            <v>72154</v>
          </cell>
        </row>
        <row r="8194">
          <cell r="B8194">
            <v>1940</v>
          </cell>
          <cell r="K8194" t="str">
            <v>LINN</v>
          </cell>
          <cell r="L8194" t="str">
            <v>Linn</v>
          </cell>
          <cell r="V8194">
            <v>108638</v>
          </cell>
        </row>
        <row r="8195">
          <cell r="B8195">
            <v>1940</v>
          </cell>
          <cell r="K8195" t="str">
            <v>MUSCATINE</v>
          </cell>
          <cell r="L8195" t="str">
            <v>Muscatine</v>
          </cell>
          <cell r="V8195">
            <v>65879</v>
          </cell>
        </row>
        <row r="8196">
          <cell r="B8196">
            <v>1940</v>
          </cell>
          <cell r="K8196" t="str">
            <v>SCOTT</v>
          </cell>
          <cell r="L8196" t="str">
            <v>Scott</v>
          </cell>
          <cell r="V8196">
            <v>72436</v>
          </cell>
        </row>
        <row r="8197">
          <cell r="B8197">
            <v>1940</v>
          </cell>
          <cell r="K8197" t="str">
            <v>BUTLER</v>
          </cell>
          <cell r="L8197" t="str">
            <v>Butler</v>
          </cell>
          <cell r="V8197">
            <v>101889</v>
          </cell>
        </row>
        <row r="8198">
          <cell r="B8198">
            <v>1940</v>
          </cell>
          <cell r="K8198" t="str">
            <v>CERRO GORDO</v>
          </cell>
          <cell r="L8198" t="str">
            <v>Cerro Gordo</v>
          </cell>
          <cell r="V8198">
            <v>101492</v>
          </cell>
        </row>
        <row r="8199">
          <cell r="B8199">
            <v>1940</v>
          </cell>
          <cell r="K8199" t="str">
            <v>FLOYD</v>
          </cell>
          <cell r="L8199" t="str">
            <v>Floyd</v>
          </cell>
          <cell r="V8199">
            <v>91685</v>
          </cell>
        </row>
        <row r="8200">
          <cell r="B8200">
            <v>1940</v>
          </cell>
          <cell r="K8200" t="str">
            <v>FRANKLIN</v>
          </cell>
          <cell r="L8200" t="str">
            <v>Franklin</v>
          </cell>
          <cell r="V8200">
            <v>113907</v>
          </cell>
        </row>
        <row r="8201">
          <cell r="B8201">
            <v>1940</v>
          </cell>
          <cell r="K8201" t="str">
            <v>HANCOCK</v>
          </cell>
          <cell r="L8201" t="str">
            <v>Hancock</v>
          </cell>
          <cell r="V8201">
            <v>108760</v>
          </cell>
        </row>
        <row r="8202">
          <cell r="B8202">
            <v>1940</v>
          </cell>
          <cell r="K8202" t="str">
            <v>HUMBOLDT</v>
          </cell>
          <cell r="L8202" t="str">
            <v>Humboldt</v>
          </cell>
          <cell r="V8202">
            <v>89279</v>
          </cell>
        </row>
        <row r="8203">
          <cell r="B8203">
            <v>1940</v>
          </cell>
          <cell r="K8203" t="str">
            <v>KOSSUTH</v>
          </cell>
          <cell r="L8203" t="str">
            <v>Kossuth</v>
          </cell>
          <cell r="V8203">
            <v>189274</v>
          </cell>
        </row>
        <row r="8204">
          <cell r="B8204">
            <v>1940</v>
          </cell>
          <cell r="K8204" t="str">
            <v>MITCHELL</v>
          </cell>
          <cell r="L8204" t="str">
            <v>Mitchell</v>
          </cell>
          <cell r="V8204">
            <v>70702</v>
          </cell>
        </row>
        <row r="8205">
          <cell r="B8205">
            <v>1940</v>
          </cell>
          <cell r="K8205" t="str">
            <v>WINNEBAGO</v>
          </cell>
          <cell r="L8205" t="str">
            <v>Winnebago</v>
          </cell>
          <cell r="V8205">
            <v>71238</v>
          </cell>
        </row>
        <row r="8206">
          <cell r="B8206">
            <v>1940</v>
          </cell>
          <cell r="K8206" t="str">
            <v>WORTH</v>
          </cell>
          <cell r="L8206" t="str">
            <v>Worth</v>
          </cell>
          <cell r="V8206">
            <v>64802</v>
          </cell>
        </row>
        <row r="8207">
          <cell r="B8207">
            <v>1940</v>
          </cell>
          <cell r="K8207" t="str">
            <v>WRIGHT</v>
          </cell>
          <cell r="L8207" t="str">
            <v>Wright</v>
          </cell>
          <cell r="V8207">
            <v>118585</v>
          </cell>
        </row>
        <row r="8208">
          <cell r="B8208">
            <v>1940</v>
          </cell>
          <cell r="K8208" t="str">
            <v>ALLAMAKEE</v>
          </cell>
          <cell r="L8208" t="str">
            <v>Allamakee</v>
          </cell>
          <cell r="V8208">
            <v>43526</v>
          </cell>
        </row>
        <row r="8209">
          <cell r="B8209">
            <v>1940</v>
          </cell>
          <cell r="K8209" t="str">
            <v>BLACK HAWK</v>
          </cell>
          <cell r="L8209" t="str">
            <v>Black Hawk</v>
          </cell>
          <cell r="V8209">
            <v>89305</v>
          </cell>
        </row>
        <row r="8210">
          <cell r="B8210">
            <v>1940</v>
          </cell>
          <cell r="K8210" t="str">
            <v>BREMER</v>
          </cell>
          <cell r="L8210" t="str">
            <v>Bremer</v>
          </cell>
          <cell r="V8210">
            <v>65202</v>
          </cell>
        </row>
        <row r="8211">
          <cell r="B8211">
            <v>1940</v>
          </cell>
          <cell r="K8211" t="str">
            <v>BUCHANAN</v>
          </cell>
          <cell r="L8211" t="str">
            <v>Buchanan</v>
          </cell>
          <cell r="V8211">
            <v>91433</v>
          </cell>
        </row>
        <row r="8212">
          <cell r="B8212">
            <v>1940</v>
          </cell>
          <cell r="K8212" t="str">
            <v>CHICKASAW</v>
          </cell>
          <cell r="L8212" t="str">
            <v>Chickasaw</v>
          </cell>
          <cell r="V8212">
            <v>71614</v>
          </cell>
        </row>
        <row r="8213">
          <cell r="B8213">
            <v>1940</v>
          </cell>
          <cell r="K8213" t="str">
            <v>CLAYTON</v>
          </cell>
          <cell r="L8213" t="str">
            <v>Clayton</v>
          </cell>
          <cell r="V8213">
            <v>68879</v>
          </cell>
        </row>
        <row r="8214">
          <cell r="B8214">
            <v>1940</v>
          </cell>
          <cell r="K8214" t="str">
            <v>DELAWARE</v>
          </cell>
          <cell r="L8214" t="str">
            <v>Delaware</v>
          </cell>
          <cell r="V8214">
            <v>81014</v>
          </cell>
        </row>
        <row r="8215">
          <cell r="B8215">
            <v>1940</v>
          </cell>
          <cell r="K8215" t="str">
            <v>DUBUQUE</v>
          </cell>
          <cell r="L8215" t="str">
            <v>Dubuque</v>
          </cell>
          <cell r="V8215">
            <v>60707</v>
          </cell>
        </row>
        <row r="8216">
          <cell r="B8216">
            <v>1940</v>
          </cell>
          <cell r="K8216" t="str">
            <v>FAYETTE</v>
          </cell>
          <cell r="L8216" t="str">
            <v>Fayette</v>
          </cell>
          <cell r="V8216">
            <v>92942</v>
          </cell>
        </row>
        <row r="8217">
          <cell r="B8217">
            <v>1940</v>
          </cell>
          <cell r="K8217" t="str">
            <v>HOWARD</v>
          </cell>
          <cell r="L8217" t="str">
            <v>Howard</v>
          </cell>
          <cell r="V8217">
            <v>60362</v>
          </cell>
        </row>
        <row r="8218">
          <cell r="B8218">
            <v>1940</v>
          </cell>
          <cell r="K8218" t="str">
            <v>WINNESHIEK</v>
          </cell>
          <cell r="L8218" t="str">
            <v>Winneshiek</v>
          </cell>
          <cell r="V8218">
            <v>72083</v>
          </cell>
        </row>
        <row r="8219">
          <cell r="B8219">
            <v>1940</v>
          </cell>
          <cell r="K8219" t="str">
            <v>BUENA VISTA</v>
          </cell>
          <cell r="L8219" t="str">
            <v>Buena Vista</v>
          </cell>
          <cell r="V8219">
            <v>116999</v>
          </cell>
        </row>
        <row r="8220">
          <cell r="B8220">
            <v>1940</v>
          </cell>
          <cell r="K8220" t="str">
            <v>CHEROKEE</v>
          </cell>
          <cell r="L8220" t="str">
            <v>Cherokee</v>
          </cell>
          <cell r="V8220">
            <v>115335</v>
          </cell>
        </row>
        <row r="8221">
          <cell r="B8221">
            <v>1940</v>
          </cell>
          <cell r="K8221" t="str">
            <v>CLAY</v>
          </cell>
          <cell r="L8221" t="str">
            <v>Clay</v>
          </cell>
          <cell r="V8221">
            <v>106585</v>
          </cell>
        </row>
        <row r="8222">
          <cell r="B8222">
            <v>1940</v>
          </cell>
          <cell r="K8222" t="str">
            <v>DICKINSON</v>
          </cell>
          <cell r="L8222" t="str">
            <v>Dickinson</v>
          </cell>
          <cell r="V8222">
            <v>65459</v>
          </cell>
        </row>
        <row r="8223">
          <cell r="B8223">
            <v>1940</v>
          </cell>
          <cell r="K8223" t="str">
            <v>EMMET</v>
          </cell>
          <cell r="L8223" t="str">
            <v>Emmet</v>
          </cell>
          <cell r="V8223">
            <v>75791</v>
          </cell>
        </row>
        <row r="8224">
          <cell r="B8224">
            <v>1940</v>
          </cell>
          <cell r="K8224" t="str">
            <v>LYON</v>
          </cell>
          <cell r="L8224" t="str">
            <v>Lyon</v>
          </cell>
          <cell r="V8224">
            <v>115969</v>
          </cell>
        </row>
        <row r="8225">
          <cell r="B8225">
            <v>1940</v>
          </cell>
          <cell r="K8225" t="str">
            <v>O BRIEN</v>
          </cell>
          <cell r="L8225" t="str">
            <v>O Brien</v>
          </cell>
          <cell r="V8225">
            <v>112257</v>
          </cell>
        </row>
        <row r="8226">
          <cell r="B8226">
            <v>1940</v>
          </cell>
          <cell r="K8226" t="str">
            <v>OSCEOLA</v>
          </cell>
          <cell r="L8226" t="str">
            <v>Osceola</v>
          </cell>
          <cell r="V8226">
            <v>73544</v>
          </cell>
        </row>
        <row r="8227">
          <cell r="B8227">
            <v>1940</v>
          </cell>
          <cell r="K8227" t="str">
            <v>PALO ALTO</v>
          </cell>
          <cell r="L8227" t="str">
            <v>Palo Alto</v>
          </cell>
          <cell r="V8227">
            <v>109078</v>
          </cell>
        </row>
        <row r="8228">
          <cell r="B8228">
            <v>1940</v>
          </cell>
          <cell r="K8228" t="str">
            <v>PLYMOUTH</v>
          </cell>
          <cell r="L8228" t="str">
            <v>Plymouth</v>
          </cell>
          <cell r="V8228">
            <v>190190</v>
          </cell>
        </row>
        <row r="8229">
          <cell r="B8229">
            <v>1940</v>
          </cell>
          <cell r="K8229" t="str">
            <v>POCAHONTAS</v>
          </cell>
          <cell r="L8229" t="str">
            <v>Pocahontas</v>
          </cell>
          <cell r="V8229">
            <v>118331</v>
          </cell>
        </row>
        <row r="8230">
          <cell r="B8230">
            <v>1940</v>
          </cell>
          <cell r="K8230" t="str">
            <v>SIOUX</v>
          </cell>
          <cell r="L8230" t="str">
            <v>Sioux</v>
          </cell>
          <cell r="V8230">
            <v>166275</v>
          </cell>
        </row>
        <row r="8231">
          <cell r="B8231">
            <v>1940</v>
          </cell>
          <cell r="K8231" t="str">
            <v>APPANOOSE</v>
          </cell>
          <cell r="L8231" t="str">
            <v>Appanoose</v>
          </cell>
          <cell r="V8231">
            <v>30936</v>
          </cell>
        </row>
        <row r="8232">
          <cell r="B8232">
            <v>1940</v>
          </cell>
          <cell r="K8232" t="str">
            <v>CLARKE</v>
          </cell>
          <cell r="L8232" t="str">
            <v>Clarke</v>
          </cell>
          <cell r="V8232">
            <v>40705</v>
          </cell>
        </row>
        <row r="8233">
          <cell r="B8233">
            <v>1940</v>
          </cell>
          <cell r="K8233" t="str">
            <v>DECATUR</v>
          </cell>
          <cell r="L8233" t="str">
            <v>Decatur</v>
          </cell>
          <cell r="V8233">
            <v>41012</v>
          </cell>
        </row>
        <row r="8234">
          <cell r="B8234">
            <v>1940</v>
          </cell>
          <cell r="K8234" t="str">
            <v>LUCAS</v>
          </cell>
          <cell r="L8234" t="str">
            <v>Lucas</v>
          </cell>
          <cell r="V8234">
            <v>36478</v>
          </cell>
        </row>
        <row r="8235">
          <cell r="B8235">
            <v>1940</v>
          </cell>
          <cell r="K8235" t="str">
            <v>MADISON</v>
          </cell>
          <cell r="L8235" t="str">
            <v>Madison</v>
          </cell>
          <cell r="V8235">
            <v>73259</v>
          </cell>
        </row>
        <row r="8236">
          <cell r="B8236">
            <v>1940</v>
          </cell>
          <cell r="K8236" t="str">
            <v>MARION</v>
          </cell>
          <cell r="L8236" t="str">
            <v>Marion</v>
          </cell>
          <cell r="V8236">
            <v>74230</v>
          </cell>
        </row>
        <row r="8237">
          <cell r="B8237">
            <v>1940</v>
          </cell>
          <cell r="K8237" t="str">
            <v>MONROE</v>
          </cell>
          <cell r="L8237" t="str">
            <v>Monroe</v>
          </cell>
          <cell r="V8237">
            <v>33316</v>
          </cell>
        </row>
        <row r="8238">
          <cell r="B8238">
            <v>1940</v>
          </cell>
          <cell r="K8238" t="str">
            <v>RINGGOLD</v>
          </cell>
          <cell r="L8238" t="str">
            <v>Ringgold</v>
          </cell>
          <cell r="V8238">
            <v>52256</v>
          </cell>
        </row>
        <row r="8239">
          <cell r="B8239">
            <v>1940</v>
          </cell>
          <cell r="K8239" t="str">
            <v>UNION</v>
          </cell>
          <cell r="L8239" t="str">
            <v>Union</v>
          </cell>
          <cell r="V8239">
            <v>49650</v>
          </cell>
        </row>
        <row r="8240">
          <cell r="B8240">
            <v>1940</v>
          </cell>
          <cell r="K8240" t="str">
            <v>WARREN</v>
          </cell>
          <cell r="L8240" t="str">
            <v>Warren</v>
          </cell>
          <cell r="V8240">
            <v>71705</v>
          </cell>
        </row>
        <row r="8241">
          <cell r="B8241">
            <v>1940</v>
          </cell>
          <cell r="K8241" t="str">
            <v>WAYNE</v>
          </cell>
          <cell r="L8241" t="str">
            <v>Wayne</v>
          </cell>
          <cell r="V8241">
            <v>44077</v>
          </cell>
        </row>
        <row r="8242">
          <cell r="B8242">
            <v>1940</v>
          </cell>
          <cell r="K8242" t="str">
            <v>DAVIS</v>
          </cell>
          <cell r="L8242" t="str">
            <v>Davis</v>
          </cell>
          <cell r="V8242">
            <v>34460</v>
          </cell>
        </row>
        <row r="8243">
          <cell r="B8243">
            <v>1940</v>
          </cell>
          <cell r="K8243" t="str">
            <v>DES MOINES</v>
          </cell>
          <cell r="L8243" t="str">
            <v>Des Moines</v>
          </cell>
          <cell r="V8243">
            <v>54547</v>
          </cell>
        </row>
        <row r="8244">
          <cell r="B8244">
            <v>1940</v>
          </cell>
          <cell r="K8244" t="str">
            <v>HENRY</v>
          </cell>
          <cell r="L8244" t="str">
            <v>Henry</v>
          </cell>
          <cell r="V8244">
            <v>56144</v>
          </cell>
        </row>
        <row r="8245">
          <cell r="B8245">
            <v>1940</v>
          </cell>
          <cell r="K8245" t="str">
            <v>JEFFERSON</v>
          </cell>
          <cell r="L8245" t="str">
            <v>Jefferson</v>
          </cell>
          <cell r="V8245">
            <v>47764</v>
          </cell>
        </row>
        <row r="8246">
          <cell r="B8246">
            <v>1940</v>
          </cell>
          <cell r="K8246" t="str">
            <v>KEOKUK</v>
          </cell>
          <cell r="L8246" t="str">
            <v>Keokuk</v>
          </cell>
          <cell r="V8246">
            <v>81055</v>
          </cell>
        </row>
        <row r="8247">
          <cell r="B8247">
            <v>1940</v>
          </cell>
          <cell r="K8247" t="str">
            <v>LEE</v>
          </cell>
          <cell r="L8247" t="str">
            <v>Lee</v>
          </cell>
          <cell r="V8247">
            <v>45704</v>
          </cell>
        </row>
        <row r="8248">
          <cell r="B8248">
            <v>1940</v>
          </cell>
          <cell r="K8248" t="str">
            <v>LOUISA</v>
          </cell>
          <cell r="L8248" t="str">
            <v>Louisa</v>
          </cell>
          <cell r="V8248">
            <v>57279</v>
          </cell>
        </row>
        <row r="8249">
          <cell r="B8249">
            <v>1940</v>
          </cell>
          <cell r="K8249" t="str">
            <v>MAHASKA</v>
          </cell>
          <cell r="L8249" t="str">
            <v>Mahaska</v>
          </cell>
          <cell r="V8249">
            <v>87203</v>
          </cell>
        </row>
        <row r="8250">
          <cell r="B8250">
            <v>1940</v>
          </cell>
          <cell r="K8250" t="str">
            <v>VAN BUREN</v>
          </cell>
          <cell r="L8250" t="str">
            <v>Van Buren</v>
          </cell>
          <cell r="V8250">
            <v>32894</v>
          </cell>
        </row>
        <row r="8251">
          <cell r="B8251">
            <v>1940</v>
          </cell>
          <cell r="K8251" t="str">
            <v>WAPELLO</v>
          </cell>
          <cell r="L8251" t="str">
            <v>Wapello</v>
          </cell>
          <cell r="V8251">
            <v>43528</v>
          </cell>
        </row>
        <row r="8252">
          <cell r="B8252">
            <v>1940</v>
          </cell>
          <cell r="K8252" t="str">
            <v>WASHINGTON</v>
          </cell>
          <cell r="L8252" t="str">
            <v>Washington</v>
          </cell>
          <cell r="V8252">
            <v>87097</v>
          </cell>
        </row>
        <row r="8253">
          <cell r="B8253">
            <v>1940</v>
          </cell>
          <cell r="K8253" t="str">
            <v>ADAIR</v>
          </cell>
          <cell r="L8253" t="str">
            <v>Adair</v>
          </cell>
          <cell r="V8253">
            <v>88837</v>
          </cell>
        </row>
        <row r="8254">
          <cell r="B8254">
            <v>1940</v>
          </cell>
          <cell r="K8254" t="str">
            <v>ADAMS</v>
          </cell>
          <cell r="L8254" t="str">
            <v>Adams</v>
          </cell>
          <cell r="V8254">
            <v>61815</v>
          </cell>
        </row>
        <row r="8255">
          <cell r="B8255">
            <v>1940</v>
          </cell>
          <cell r="K8255" t="str">
            <v>CASS</v>
          </cell>
          <cell r="L8255" t="str">
            <v>Cass</v>
          </cell>
          <cell r="V8255">
            <v>104692</v>
          </cell>
        </row>
        <row r="8256">
          <cell r="B8256">
            <v>1940</v>
          </cell>
          <cell r="K8256" t="str">
            <v>FREMONT</v>
          </cell>
          <cell r="L8256" t="str">
            <v>Fremont</v>
          </cell>
          <cell r="V8256">
            <v>121407</v>
          </cell>
        </row>
        <row r="8257">
          <cell r="B8257">
            <v>1940</v>
          </cell>
          <cell r="K8257" t="str">
            <v>MILLS</v>
          </cell>
          <cell r="L8257" t="str">
            <v>Mills</v>
          </cell>
          <cell r="V8257">
            <v>94833</v>
          </cell>
        </row>
        <row r="8258">
          <cell r="B8258">
            <v>1940</v>
          </cell>
          <cell r="K8258" t="str">
            <v>MONTGOMERY</v>
          </cell>
          <cell r="L8258" t="str">
            <v>Montgomery</v>
          </cell>
          <cell r="V8258">
            <v>80113</v>
          </cell>
        </row>
        <row r="8259">
          <cell r="B8259">
            <v>1940</v>
          </cell>
          <cell r="K8259" t="str">
            <v>PAGE</v>
          </cell>
          <cell r="L8259" t="str">
            <v>Page</v>
          </cell>
          <cell r="V8259">
            <v>96195</v>
          </cell>
        </row>
        <row r="8260">
          <cell r="B8260">
            <v>1940</v>
          </cell>
          <cell r="K8260" t="str">
            <v>POTTAWATTAMIE</v>
          </cell>
          <cell r="L8260" t="str">
            <v>Pottawattamie</v>
          </cell>
          <cell r="V8260">
            <v>202556</v>
          </cell>
        </row>
        <row r="8261">
          <cell r="B8261">
            <v>1940</v>
          </cell>
          <cell r="K8261" t="str">
            <v>TAYLOR</v>
          </cell>
          <cell r="L8261" t="str">
            <v>Taylor</v>
          </cell>
          <cell r="V8261">
            <v>71466</v>
          </cell>
        </row>
        <row r="8262">
          <cell r="B8262">
            <v>1940</v>
          </cell>
          <cell r="K8262" t="str">
            <v>AUDUBON</v>
          </cell>
          <cell r="L8262" t="str">
            <v>Audubon</v>
          </cell>
          <cell r="V8262">
            <v>79190</v>
          </cell>
        </row>
        <row r="8263">
          <cell r="B8263">
            <v>1940</v>
          </cell>
          <cell r="K8263" t="str">
            <v>CALHOUN</v>
          </cell>
          <cell r="L8263" t="str">
            <v>Calhoun</v>
          </cell>
          <cell r="V8263">
            <v>116776</v>
          </cell>
        </row>
        <row r="8264">
          <cell r="B8264">
            <v>1940</v>
          </cell>
          <cell r="K8264" t="str">
            <v>CARROLL</v>
          </cell>
          <cell r="L8264" t="str">
            <v>Carroll</v>
          </cell>
          <cell r="V8264">
            <v>116182</v>
          </cell>
        </row>
        <row r="8265">
          <cell r="B8265">
            <v>1940</v>
          </cell>
          <cell r="K8265" t="str">
            <v>CRAWFORD</v>
          </cell>
          <cell r="L8265" t="str">
            <v>Crawford</v>
          </cell>
          <cell r="V8265">
            <v>139236</v>
          </cell>
        </row>
        <row r="8266">
          <cell r="B8266">
            <v>1940</v>
          </cell>
          <cell r="K8266" t="str">
            <v>GREENE</v>
          </cell>
          <cell r="L8266" t="str">
            <v>Greene</v>
          </cell>
          <cell r="V8266">
            <v>126847</v>
          </cell>
        </row>
        <row r="8267">
          <cell r="B8267">
            <v>1940</v>
          </cell>
          <cell r="K8267" t="str">
            <v>GUTHRIE</v>
          </cell>
          <cell r="L8267" t="str">
            <v>Guthrie</v>
          </cell>
          <cell r="V8267">
            <v>97229</v>
          </cell>
        </row>
        <row r="8268">
          <cell r="B8268">
            <v>1940</v>
          </cell>
          <cell r="K8268" t="str">
            <v>HARRISON</v>
          </cell>
          <cell r="L8268" t="str">
            <v>Harrison</v>
          </cell>
          <cell r="V8268">
            <v>147014</v>
          </cell>
        </row>
        <row r="8269">
          <cell r="B8269">
            <v>1940</v>
          </cell>
          <cell r="K8269" t="str">
            <v>IDA</v>
          </cell>
          <cell r="L8269" t="str">
            <v>Ida</v>
          </cell>
          <cell r="V8269">
            <v>91285</v>
          </cell>
        </row>
        <row r="8270">
          <cell r="B8270">
            <v>1940</v>
          </cell>
          <cell r="K8270" t="str">
            <v>MONONA</v>
          </cell>
          <cell r="L8270" t="str">
            <v>Monona</v>
          </cell>
          <cell r="V8270">
            <v>139477</v>
          </cell>
        </row>
        <row r="8271">
          <cell r="B8271">
            <v>1940</v>
          </cell>
          <cell r="K8271" t="str">
            <v>SAC</v>
          </cell>
          <cell r="L8271" t="str">
            <v>Sac</v>
          </cell>
          <cell r="V8271">
            <v>116063</v>
          </cell>
        </row>
        <row r="8272">
          <cell r="B8272">
            <v>1940</v>
          </cell>
          <cell r="K8272" t="str">
            <v>SHELBY</v>
          </cell>
          <cell r="L8272" t="str">
            <v>Shelby</v>
          </cell>
          <cell r="V8272">
            <v>113821</v>
          </cell>
        </row>
        <row r="8273">
          <cell r="B8273">
            <v>1940</v>
          </cell>
          <cell r="K8273" t="str">
            <v>WOODBURY</v>
          </cell>
          <cell r="L8273" t="str">
            <v>Woodbury</v>
          </cell>
          <cell r="V8273">
            <v>191593</v>
          </cell>
        </row>
        <row r="8274">
          <cell r="B8274">
            <v>1939</v>
          </cell>
          <cell r="K8274" t="str">
            <v>BOONE</v>
          </cell>
          <cell r="L8274" t="str">
            <v>Boone</v>
          </cell>
          <cell r="V8274">
            <v>118017</v>
          </cell>
        </row>
        <row r="8275">
          <cell r="B8275">
            <v>1939</v>
          </cell>
          <cell r="K8275" t="str">
            <v>DALLAS</v>
          </cell>
          <cell r="L8275" t="str">
            <v>Dallas</v>
          </cell>
          <cell r="V8275">
            <v>117868</v>
          </cell>
        </row>
        <row r="8276">
          <cell r="B8276">
            <v>1939</v>
          </cell>
          <cell r="K8276" t="str">
            <v>GRUNDY</v>
          </cell>
          <cell r="L8276" t="str">
            <v>Grundy</v>
          </cell>
          <cell r="V8276">
            <v>96346</v>
          </cell>
        </row>
        <row r="8277">
          <cell r="B8277">
            <v>1939</v>
          </cell>
          <cell r="K8277" t="str">
            <v>HAMILTON</v>
          </cell>
          <cell r="L8277" t="str">
            <v>Hamilton</v>
          </cell>
          <cell r="V8277">
            <v>123478</v>
          </cell>
        </row>
        <row r="8278">
          <cell r="B8278">
            <v>1939</v>
          </cell>
          <cell r="K8278" t="str">
            <v>HARDIN</v>
          </cell>
          <cell r="L8278" t="str">
            <v>Hardin</v>
          </cell>
          <cell r="V8278">
            <v>113129</v>
          </cell>
        </row>
        <row r="8279">
          <cell r="B8279">
            <v>1939</v>
          </cell>
          <cell r="K8279" t="str">
            <v>JASPER</v>
          </cell>
          <cell r="L8279" t="str">
            <v>Jasper</v>
          </cell>
          <cell r="V8279">
            <v>126980</v>
          </cell>
        </row>
        <row r="8280">
          <cell r="B8280">
            <v>1939</v>
          </cell>
          <cell r="K8280" t="str">
            <v>MARSHALL</v>
          </cell>
          <cell r="L8280" t="str">
            <v>Marshall</v>
          </cell>
          <cell r="V8280">
            <v>103775</v>
          </cell>
        </row>
        <row r="8281">
          <cell r="B8281">
            <v>1939</v>
          </cell>
          <cell r="K8281" t="str">
            <v>POLK</v>
          </cell>
          <cell r="L8281" t="str">
            <v>Polk</v>
          </cell>
          <cell r="V8281">
            <v>96442</v>
          </cell>
        </row>
        <row r="8282">
          <cell r="B8282">
            <v>1939</v>
          </cell>
          <cell r="K8282" t="str">
            <v>POWESHIEK</v>
          </cell>
          <cell r="L8282" t="str">
            <v>Poweshiek</v>
          </cell>
          <cell r="V8282">
            <v>97142</v>
          </cell>
        </row>
        <row r="8283">
          <cell r="B8283">
            <v>1939</v>
          </cell>
          <cell r="K8283" t="str">
            <v>STORY</v>
          </cell>
          <cell r="L8283" t="str">
            <v>Story</v>
          </cell>
          <cell r="V8283">
            <v>124979</v>
          </cell>
        </row>
        <row r="8284">
          <cell r="B8284">
            <v>1939</v>
          </cell>
          <cell r="K8284" t="str">
            <v>TAMA</v>
          </cell>
          <cell r="L8284" t="str">
            <v>Tama</v>
          </cell>
          <cell r="V8284">
            <v>114383</v>
          </cell>
        </row>
        <row r="8285">
          <cell r="B8285">
            <v>1939</v>
          </cell>
          <cell r="K8285" t="str">
            <v>WEBSTER</v>
          </cell>
          <cell r="L8285" t="str">
            <v>Webster</v>
          </cell>
          <cell r="V8285">
            <v>145109</v>
          </cell>
        </row>
        <row r="8286">
          <cell r="B8286">
            <v>1939</v>
          </cell>
          <cell r="K8286" t="str">
            <v>BENTON</v>
          </cell>
          <cell r="L8286" t="str">
            <v>Benton</v>
          </cell>
          <cell r="V8286">
            <v>126714</v>
          </cell>
        </row>
        <row r="8287">
          <cell r="B8287">
            <v>1939</v>
          </cell>
          <cell r="K8287" t="str">
            <v>CEDAR</v>
          </cell>
          <cell r="L8287" t="str">
            <v>Cedar</v>
          </cell>
          <cell r="V8287">
            <v>98603</v>
          </cell>
        </row>
        <row r="8288">
          <cell r="B8288">
            <v>1939</v>
          </cell>
          <cell r="K8288" t="str">
            <v>CLINTON</v>
          </cell>
          <cell r="L8288" t="str">
            <v>Clinton</v>
          </cell>
          <cell r="V8288">
            <v>118659</v>
          </cell>
        </row>
        <row r="8289">
          <cell r="B8289">
            <v>1939</v>
          </cell>
          <cell r="K8289" t="str">
            <v>IOWA</v>
          </cell>
          <cell r="L8289" t="str">
            <v>Iowa</v>
          </cell>
          <cell r="V8289">
            <v>86500</v>
          </cell>
        </row>
        <row r="8290">
          <cell r="B8290">
            <v>1939</v>
          </cell>
          <cell r="K8290" t="str">
            <v>JACKSON</v>
          </cell>
          <cell r="L8290" t="str">
            <v>Jackson</v>
          </cell>
          <cell r="V8290">
            <v>59020</v>
          </cell>
        </row>
        <row r="8291">
          <cell r="B8291">
            <v>1939</v>
          </cell>
          <cell r="K8291" t="str">
            <v>JOHNSON</v>
          </cell>
          <cell r="L8291" t="str">
            <v>Johnson</v>
          </cell>
          <cell r="V8291">
            <v>96627</v>
          </cell>
        </row>
        <row r="8292">
          <cell r="B8292">
            <v>1939</v>
          </cell>
          <cell r="K8292" t="str">
            <v>JONES</v>
          </cell>
          <cell r="L8292" t="str">
            <v>Jones</v>
          </cell>
          <cell r="V8292">
            <v>74730</v>
          </cell>
        </row>
        <row r="8293">
          <cell r="B8293">
            <v>1939</v>
          </cell>
          <cell r="K8293" t="str">
            <v>LINN</v>
          </cell>
          <cell r="L8293" t="str">
            <v>Linn</v>
          </cell>
          <cell r="V8293">
            <v>111766</v>
          </cell>
        </row>
        <row r="8294">
          <cell r="B8294">
            <v>1939</v>
          </cell>
          <cell r="K8294" t="str">
            <v>MUSCATINE</v>
          </cell>
          <cell r="L8294" t="str">
            <v>Muscatine</v>
          </cell>
          <cell r="V8294">
            <v>67799</v>
          </cell>
        </row>
        <row r="8295">
          <cell r="B8295">
            <v>1939</v>
          </cell>
          <cell r="K8295" t="str">
            <v>SCOTT</v>
          </cell>
          <cell r="L8295" t="str">
            <v>Scott</v>
          </cell>
          <cell r="V8295">
            <v>73746</v>
          </cell>
        </row>
        <row r="8296">
          <cell r="B8296">
            <v>1939</v>
          </cell>
          <cell r="K8296" t="str">
            <v>BUTLER</v>
          </cell>
          <cell r="L8296" t="str">
            <v>Butler</v>
          </cell>
          <cell r="V8296">
            <v>104172</v>
          </cell>
        </row>
        <row r="8297">
          <cell r="B8297">
            <v>1939</v>
          </cell>
          <cell r="K8297" t="str">
            <v>CERRO GORDO</v>
          </cell>
          <cell r="L8297" t="str">
            <v>Cerro Gordo</v>
          </cell>
          <cell r="V8297">
            <v>105138</v>
          </cell>
        </row>
        <row r="8298">
          <cell r="B8298">
            <v>1939</v>
          </cell>
          <cell r="K8298" t="str">
            <v>FLOYD</v>
          </cell>
          <cell r="L8298" t="str">
            <v>Floyd</v>
          </cell>
          <cell r="V8298">
            <v>92096</v>
          </cell>
        </row>
        <row r="8299">
          <cell r="B8299">
            <v>1939</v>
          </cell>
          <cell r="K8299" t="str">
            <v>FRANKLIN</v>
          </cell>
          <cell r="L8299" t="str">
            <v>Franklin</v>
          </cell>
          <cell r="V8299">
            <v>120105</v>
          </cell>
        </row>
        <row r="8300">
          <cell r="B8300">
            <v>1939</v>
          </cell>
          <cell r="K8300" t="str">
            <v>HANCOCK</v>
          </cell>
          <cell r="L8300" t="str">
            <v>Hancock</v>
          </cell>
          <cell r="V8300">
            <v>111276</v>
          </cell>
        </row>
        <row r="8301">
          <cell r="B8301">
            <v>1939</v>
          </cell>
          <cell r="K8301" t="str">
            <v>HUMBOLDT</v>
          </cell>
          <cell r="L8301" t="str">
            <v>Humboldt</v>
          </cell>
          <cell r="V8301">
            <v>92813</v>
          </cell>
        </row>
        <row r="8302">
          <cell r="B8302">
            <v>1939</v>
          </cell>
          <cell r="K8302" t="str">
            <v>KOSSUTH</v>
          </cell>
          <cell r="L8302" t="str">
            <v>Kossuth</v>
          </cell>
          <cell r="V8302">
            <v>193708</v>
          </cell>
        </row>
        <row r="8303">
          <cell r="B8303">
            <v>1939</v>
          </cell>
          <cell r="K8303" t="str">
            <v>MITCHELL</v>
          </cell>
          <cell r="L8303" t="str">
            <v>Mitchell</v>
          </cell>
          <cell r="V8303">
            <v>72048</v>
          </cell>
        </row>
        <row r="8304">
          <cell r="B8304">
            <v>1939</v>
          </cell>
          <cell r="K8304" t="str">
            <v>WINNEBAGO</v>
          </cell>
          <cell r="L8304" t="str">
            <v>Winnebago</v>
          </cell>
          <cell r="V8304">
            <v>73389</v>
          </cell>
        </row>
        <row r="8305">
          <cell r="B8305">
            <v>1939</v>
          </cell>
          <cell r="K8305" t="str">
            <v>WORTH</v>
          </cell>
          <cell r="L8305" t="str">
            <v>Worth</v>
          </cell>
          <cell r="V8305">
            <v>64718</v>
          </cell>
        </row>
        <row r="8306">
          <cell r="B8306">
            <v>1939</v>
          </cell>
          <cell r="K8306" t="str">
            <v>WRIGHT</v>
          </cell>
          <cell r="L8306" t="str">
            <v>Wright</v>
          </cell>
          <cell r="V8306">
            <v>124586</v>
          </cell>
        </row>
        <row r="8307">
          <cell r="B8307">
            <v>1939</v>
          </cell>
          <cell r="K8307" t="str">
            <v>ALLAMAKEE</v>
          </cell>
          <cell r="L8307" t="str">
            <v>Allamakee</v>
          </cell>
          <cell r="V8307">
            <v>45088</v>
          </cell>
        </row>
        <row r="8308">
          <cell r="B8308">
            <v>1939</v>
          </cell>
          <cell r="K8308" t="str">
            <v>BLACK HAWK</v>
          </cell>
          <cell r="L8308" t="str">
            <v>Black Hawk</v>
          </cell>
          <cell r="V8308">
            <v>94931</v>
          </cell>
        </row>
        <row r="8309">
          <cell r="B8309">
            <v>1939</v>
          </cell>
          <cell r="K8309" t="str">
            <v>BREMER</v>
          </cell>
          <cell r="L8309" t="str">
            <v>Bremer</v>
          </cell>
          <cell r="V8309">
            <v>67476</v>
          </cell>
        </row>
        <row r="8310">
          <cell r="B8310">
            <v>1939</v>
          </cell>
          <cell r="K8310" t="str">
            <v>BUCHANAN</v>
          </cell>
          <cell r="L8310" t="str">
            <v>Buchanan</v>
          </cell>
          <cell r="V8310">
            <v>98149</v>
          </cell>
        </row>
        <row r="8311">
          <cell r="B8311">
            <v>1939</v>
          </cell>
          <cell r="K8311" t="str">
            <v>CHICKASAW</v>
          </cell>
          <cell r="L8311" t="str">
            <v>Chickasaw</v>
          </cell>
          <cell r="V8311">
            <v>72305</v>
          </cell>
        </row>
        <row r="8312">
          <cell r="B8312">
            <v>1939</v>
          </cell>
          <cell r="K8312" t="str">
            <v>CLAYTON</v>
          </cell>
          <cell r="L8312" t="str">
            <v>Clayton</v>
          </cell>
          <cell r="V8312">
            <v>73047</v>
          </cell>
        </row>
        <row r="8313">
          <cell r="B8313">
            <v>1939</v>
          </cell>
          <cell r="K8313" t="str">
            <v>DELAWARE</v>
          </cell>
          <cell r="L8313" t="str">
            <v>Delaware</v>
          </cell>
          <cell r="V8313">
            <v>86932</v>
          </cell>
        </row>
        <row r="8314">
          <cell r="B8314">
            <v>1939</v>
          </cell>
          <cell r="K8314" t="str">
            <v>DUBUQUE</v>
          </cell>
          <cell r="L8314" t="str">
            <v>Dubuque</v>
          </cell>
          <cell r="V8314">
            <v>63951</v>
          </cell>
        </row>
        <row r="8315">
          <cell r="B8315">
            <v>1939</v>
          </cell>
          <cell r="K8315" t="str">
            <v>FAYETTE</v>
          </cell>
          <cell r="L8315" t="str">
            <v>Fayette</v>
          </cell>
          <cell r="V8315">
            <v>95645</v>
          </cell>
        </row>
        <row r="8316">
          <cell r="B8316">
            <v>1939</v>
          </cell>
          <cell r="K8316" t="str">
            <v>HOWARD</v>
          </cell>
          <cell r="L8316" t="str">
            <v>Howard</v>
          </cell>
          <cell r="V8316">
            <v>60187</v>
          </cell>
        </row>
        <row r="8317">
          <cell r="B8317">
            <v>1939</v>
          </cell>
          <cell r="K8317" t="str">
            <v>WINNESHIEK</v>
          </cell>
          <cell r="L8317" t="str">
            <v>Winneshiek</v>
          </cell>
          <cell r="V8317">
            <v>75446</v>
          </cell>
        </row>
        <row r="8318">
          <cell r="B8318">
            <v>1939</v>
          </cell>
          <cell r="K8318" t="str">
            <v>BUENA VISTA</v>
          </cell>
          <cell r="L8318" t="str">
            <v>Buena Vista</v>
          </cell>
          <cell r="V8318">
            <v>122529</v>
          </cell>
        </row>
        <row r="8319">
          <cell r="B8319">
            <v>1939</v>
          </cell>
          <cell r="K8319" t="str">
            <v>CHEROKEE</v>
          </cell>
          <cell r="L8319" t="str">
            <v>Cherokee</v>
          </cell>
          <cell r="V8319">
            <v>116105</v>
          </cell>
        </row>
        <row r="8320">
          <cell r="B8320">
            <v>1939</v>
          </cell>
          <cell r="K8320" t="str">
            <v>CLAY</v>
          </cell>
          <cell r="L8320" t="str">
            <v>Clay</v>
          </cell>
          <cell r="V8320">
            <v>111210</v>
          </cell>
        </row>
        <row r="8321">
          <cell r="B8321">
            <v>1939</v>
          </cell>
          <cell r="K8321" t="str">
            <v>DICKINSON</v>
          </cell>
          <cell r="L8321" t="str">
            <v>Dickinson</v>
          </cell>
          <cell r="V8321">
            <v>69600</v>
          </cell>
        </row>
        <row r="8322">
          <cell r="B8322">
            <v>1939</v>
          </cell>
          <cell r="K8322" t="str">
            <v>EMMET</v>
          </cell>
          <cell r="L8322" t="str">
            <v>Emmet</v>
          </cell>
          <cell r="V8322">
            <v>76543</v>
          </cell>
        </row>
        <row r="8323">
          <cell r="B8323">
            <v>1939</v>
          </cell>
          <cell r="K8323" t="str">
            <v>LYON</v>
          </cell>
          <cell r="L8323" t="str">
            <v>Lyon</v>
          </cell>
          <cell r="V8323">
            <v>116141</v>
          </cell>
        </row>
        <row r="8324">
          <cell r="B8324">
            <v>1939</v>
          </cell>
          <cell r="K8324" t="str">
            <v>O BRIEN</v>
          </cell>
          <cell r="L8324" t="str">
            <v>O Brien</v>
          </cell>
          <cell r="V8324">
            <v>115339</v>
          </cell>
        </row>
        <row r="8325">
          <cell r="B8325">
            <v>1939</v>
          </cell>
          <cell r="K8325" t="str">
            <v>OSCEOLA</v>
          </cell>
          <cell r="L8325" t="str">
            <v>Osceola</v>
          </cell>
          <cell r="V8325">
            <v>77898</v>
          </cell>
        </row>
        <row r="8326">
          <cell r="B8326">
            <v>1939</v>
          </cell>
          <cell r="K8326" t="str">
            <v>PALO ALTO</v>
          </cell>
          <cell r="L8326" t="str">
            <v>Palo Alto</v>
          </cell>
          <cell r="V8326">
            <v>110921</v>
          </cell>
        </row>
        <row r="8327">
          <cell r="B8327">
            <v>1939</v>
          </cell>
          <cell r="K8327" t="str">
            <v>PLYMOUTH</v>
          </cell>
          <cell r="L8327" t="str">
            <v>Plymouth</v>
          </cell>
          <cell r="V8327">
            <v>185059</v>
          </cell>
        </row>
        <row r="8328">
          <cell r="B8328">
            <v>1939</v>
          </cell>
          <cell r="K8328" t="str">
            <v>POCAHONTAS</v>
          </cell>
          <cell r="L8328" t="str">
            <v>Pocahontas</v>
          </cell>
          <cell r="V8328">
            <v>126351</v>
          </cell>
        </row>
        <row r="8329">
          <cell r="B8329">
            <v>1939</v>
          </cell>
          <cell r="K8329" t="str">
            <v>SIOUX</v>
          </cell>
          <cell r="L8329" t="str">
            <v>Sioux</v>
          </cell>
          <cell r="V8329">
            <v>165352</v>
          </cell>
        </row>
        <row r="8330">
          <cell r="B8330">
            <v>1939</v>
          </cell>
          <cell r="K8330" t="str">
            <v>APPANOOSE</v>
          </cell>
          <cell r="L8330" t="str">
            <v>Appanoose</v>
          </cell>
          <cell r="V8330">
            <v>33725</v>
          </cell>
        </row>
        <row r="8331">
          <cell r="B8331">
            <v>1939</v>
          </cell>
          <cell r="K8331" t="str">
            <v>CLARKE</v>
          </cell>
          <cell r="L8331" t="str">
            <v>Clarke</v>
          </cell>
          <cell r="V8331">
            <v>44811</v>
          </cell>
        </row>
        <row r="8332">
          <cell r="B8332">
            <v>1939</v>
          </cell>
          <cell r="K8332" t="str">
            <v>DECATUR</v>
          </cell>
          <cell r="L8332" t="str">
            <v>Decatur</v>
          </cell>
          <cell r="V8332">
            <v>44456</v>
          </cell>
        </row>
        <row r="8333">
          <cell r="B8333">
            <v>1939</v>
          </cell>
          <cell r="K8333" t="str">
            <v>LUCAS</v>
          </cell>
          <cell r="L8333" t="str">
            <v>Lucas</v>
          </cell>
          <cell r="V8333">
            <v>39819</v>
          </cell>
        </row>
        <row r="8334">
          <cell r="B8334">
            <v>1939</v>
          </cell>
          <cell r="K8334" t="str">
            <v>MADISON</v>
          </cell>
          <cell r="L8334" t="str">
            <v>Madison</v>
          </cell>
          <cell r="V8334">
            <v>80721</v>
          </cell>
        </row>
        <row r="8335">
          <cell r="B8335">
            <v>1939</v>
          </cell>
          <cell r="K8335" t="str">
            <v>MARION</v>
          </cell>
          <cell r="L8335" t="str">
            <v>Marion</v>
          </cell>
          <cell r="V8335">
            <v>80103</v>
          </cell>
        </row>
        <row r="8336">
          <cell r="B8336">
            <v>1939</v>
          </cell>
          <cell r="K8336" t="str">
            <v>MONROE</v>
          </cell>
          <cell r="L8336" t="str">
            <v>Monroe</v>
          </cell>
          <cell r="V8336">
            <v>34192</v>
          </cell>
        </row>
        <row r="8337">
          <cell r="B8337">
            <v>1939</v>
          </cell>
          <cell r="K8337" t="str">
            <v>RINGGOLD</v>
          </cell>
          <cell r="L8337" t="str">
            <v>Ringgold</v>
          </cell>
          <cell r="V8337">
            <v>55135</v>
          </cell>
        </row>
        <row r="8338">
          <cell r="B8338">
            <v>1939</v>
          </cell>
          <cell r="K8338" t="str">
            <v>UNION</v>
          </cell>
          <cell r="L8338" t="str">
            <v>Union</v>
          </cell>
          <cell r="V8338">
            <v>53846</v>
          </cell>
        </row>
        <row r="8339">
          <cell r="B8339">
            <v>1939</v>
          </cell>
          <cell r="K8339" t="str">
            <v>WARREN</v>
          </cell>
          <cell r="L8339" t="str">
            <v>Warren</v>
          </cell>
          <cell r="V8339">
            <v>75858</v>
          </cell>
        </row>
        <row r="8340">
          <cell r="B8340">
            <v>1939</v>
          </cell>
          <cell r="K8340" t="str">
            <v>WAYNE</v>
          </cell>
          <cell r="L8340" t="str">
            <v>Wayne</v>
          </cell>
          <cell r="V8340">
            <v>46782</v>
          </cell>
        </row>
        <row r="8341">
          <cell r="B8341">
            <v>1939</v>
          </cell>
          <cell r="K8341" t="str">
            <v>DAVIS</v>
          </cell>
          <cell r="L8341" t="str">
            <v>Davis</v>
          </cell>
          <cell r="V8341">
            <v>37212</v>
          </cell>
        </row>
        <row r="8342">
          <cell r="B8342">
            <v>1939</v>
          </cell>
          <cell r="K8342" t="str">
            <v>DES MOINES</v>
          </cell>
          <cell r="L8342" t="str">
            <v>Des Moines</v>
          </cell>
          <cell r="V8342">
            <v>57160</v>
          </cell>
        </row>
        <row r="8343">
          <cell r="B8343">
            <v>1939</v>
          </cell>
          <cell r="K8343" t="str">
            <v>HENRY</v>
          </cell>
          <cell r="L8343" t="str">
            <v>Henry</v>
          </cell>
          <cell r="V8343">
            <v>59238</v>
          </cell>
        </row>
        <row r="8344">
          <cell r="B8344">
            <v>1939</v>
          </cell>
          <cell r="K8344" t="str">
            <v>JEFFERSON</v>
          </cell>
          <cell r="L8344" t="str">
            <v>Jefferson</v>
          </cell>
          <cell r="V8344">
            <v>50620</v>
          </cell>
        </row>
        <row r="8345">
          <cell r="B8345">
            <v>1939</v>
          </cell>
          <cell r="K8345" t="str">
            <v>KEOKUK</v>
          </cell>
          <cell r="L8345" t="str">
            <v>Keokuk</v>
          </cell>
          <cell r="V8345">
            <v>87973</v>
          </cell>
        </row>
        <row r="8346">
          <cell r="B8346">
            <v>1939</v>
          </cell>
          <cell r="K8346" t="str">
            <v>LEE</v>
          </cell>
          <cell r="L8346" t="str">
            <v>Lee</v>
          </cell>
          <cell r="V8346">
            <v>46098</v>
          </cell>
        </row>
        <row r="8347">
          <cell r="B8347">
            <v>1939</v>
          </cell>
          <cell r="K8347" t="str">
            <v>LOUISA</v>
          </cell>
          <cell r="L8347" t="str">
            <v>Louisa</v>
          </cell>
          <cell r="V8347">
            <v>60500</v>
          </cell>
        </row>
        <row r="8348">
          <cell r="B8348">
            <v>1939</v>
          </cell>
          <cell r="K8348" t="str">
            <v>MAHASKA</v>
          </cell>
          <cell r="L8348" t="str">
            <v>Mahaska</v>
          </cell>
          <cell r="V8348">
            <v>93857</v>
          </cell>
        </row>
        <row r="8349">
          <cell r="B8349">
            <v>1939</v>
          </cell>
          <cell r="K8349" t="str">
            <v>VAN BUREN</v>
          </cell>
          <cell r="L8349" t="str">
            <v>Van Buren</v>
          </cell>
          <cell r="V8349">
            <v>35764</v>
          </cell>
        </row>
        <row r="8350">
          <cell r="B8350">
            <v>1939</v>
          </cell>
          <cell r="K8350" t="str">
            <v>WAPELLO</v>
          </cell>
          <cell r="L8350" t="str">
            <v>Wapello</v>
          </cell>
          <cell r="V8350">
            <v>46462</v>
          </cell>
        </row>
        <row r="8351">
          <cell r="B8351">
            <v>1939</v>
          </cell>
          <cell r="K8351" t="str">
            <v>WASHINGTON</v>
          </cell>
          <cell r="L8351" t="str">
            <v>Washington</v>
          </cell>
          <cell r="V8351">
            <v>90364</v>
          </cell>
        </row>
        <row r="8352">
          <cell r="B8352">
            <v>1939</v>
          </cell>
          <cell r="K8352" t="str">
            <v>ADAIR</v>
          </cell>
          <cell r="L8352" t="str">
            <v>Adair</v>
          </cell>
          <cell r="V8352">
            <v>94100</v>
          </cell>
        </row>
        <row r="8353">
          <cell r="B8353">
            <v>1939</v>
          </cell>
          <cell r="K8353" t="str">
            <v>ADAMS</v>
          </cell>
          <cell r="L8353" t="str">
            <v>Adams</v>
          </cell>
          <cell r="V8353">
            <v>66314</v>
          </cell>
        </row>
        <row r="8354">
          <cell r="B8354">
            <v>1939</v>
          </cell>
          <cell r="K8354" t="str">
            <v>CASS</v>
          </cell>
          <cell r="L8354" t="str">
            <v>Cass</v>
          </cell>
          <cell r="V8354">
            <v>105252</v>
          </cell>
        </row>
        <row r="8355">
          <cell r="B8355">
            <v>1939</v>
          </cell>
          <cell r="K8355" t="str">
            <v>FREMONT</v>
          </cell>
          <cell r="L8355" t="str">
            <v>Fremont</v>
          </cell>
          <cell r="V8355">
            <v>125087</v>
          </cell>
        </row>
        <row r="8356">
          <cell r="B8356">
            <v>1939</v>
          </cell>
          <cell r="K8356" t="str">
            <v>MILLS</v>
          </cell>
          <cell r="L8356" t="str">
            <v>Mills</v>
          </cell>
          <cell r="V8356">
            <v>95323</v>
          </cell>
        </row>
        <row r="8357">
          <cell r="B8357">
            <v>1939</v>
          </cell>
          <cell r="K8357" t="str">
            <v>MONTGOMERY</v>
          </cell>
          <cell r="L8357" t="str">
            <v>Montgomery</v>
          </cell>
          <cell r="V8357">
            <v>83277</v>
          </cell>
        </row>
        <row r="8358">
          <cell r="B8358">
            <v>1939</v>
          </cell>
          <cell r="K8358" t="str">
            <v>PAGE</v>
          </cell>
          <cell r="L8358" t="str">
            <v>Page</v>
          </cell>
          <cell r="V8358">
            <v>100000</v>
          </cell>
        </row>
        <row r="8359">
          <cell r="B8359">
            <v>1939</v>
          </cell>
          <cell r="K8359" t="str">
            <v>POTTAWATTAMIE</v>
          </cell>
          <cell r="L8359" t="str">
            <v>Pottawattamie</v>
          </cell>
          <cell r="V8359">
            <v>206281</v>
          </cell>
        </row>
        <row r="8360">
          <cell r="B8360">
            <v>1939</v>
          </cell>
          <cell r="K8360" t="str">
            <v>TAYLOR</v>
          </cell>
          <cell r="L8360" t="str">
            <v>Taylor</v>
          </cell>
          <cell r="V8360">
            <v>77772</v>
          </cell>
        </row>
        <row r="8361">
          <cell r="B8361">
            <v>1939</v>
          </cell>
          <cell r="K8361" t="str">
            <v>AUDUBON</v>
          </cell>
          <cell r="L8361" t="str">
            <v>Audubon</v>
          </cell>
          <cell r="V8361">
            <v>81836</v>
          </cell>
        </row>
        <row r="8362">
          <cell r="B8362">
            <v>1939</v>
          </cell>
          <cell r="K8362" t="str">
            <v>CALHOUN</v>
          </cell>
          <cell r="L8362" t="str">
            <v>Calhoun</v>
          </cell>
          <cell r="V8362">
            <v>122915</v>
          </cell>
        </row>
        <row r="8363">
          <cell r="B8363">
            <v>1939</v>
          </cell>
          <cell r="K8363" t="str">
            <v>CARROLL</v>
          </cell>
          <cell r="L8363" t="str">
            <v>Carroll</v>
          </cell>
          <cell r="V8363">
            <v>119386</v>
          </cell>
        </row>
        <row r="8364">
          <cell r="B8364">
            <v>1939</v>
          </cell>
          <cell r="K8364" t="str">
            <v>CRAWFORD</v>
          </cell>
          <cell r="L8364" t="str">
            <v>Crawford</v>
          </cell>
          <cell r="V8364">
            <v>139242</v>
          </cell>
        </row>
        <row r="8365">
          <cell r="B8365">
            <v>1939</v>
          </cell>
          <cell r="K8365" t="str">
            <v>GREENE</v>
          </cell>
          <cell r="L8365" t="str">
            <v>Greene</v>
          </cell>
          <cell r="V8365">
            <v>131509</v>
          </cell>
        </row>
        <row r="8366">
          <cell r="B8366">
            <v>1939</v>
          </cell>
          <cell r="K8366" t="str">
            <v>GUTHRIE</v>
          </cell>
          <cell r="L8366" t="str">
            <v>Guthrie</v>
          </cell>
          <cell r="V8366">
            <v>101166</v>
          </cell>
        </row>
        <row r="8367">
          <cell r="B8367">
            <v>1939</v>
          </cell>
          <cell r="K8367" t="str">
            <v>HARRISON</v>
          </cell>
          <cell r="L8367" t="str">
            <v>Harrison</v>
          </cell>
          <cell r="V8367">
            <v>151083</v>
          </cell>
        </row>
        <row r="8368">
          <cell r="B8368">
            <v>1939</v>
          </cell>
          <cell r="K8368" t="str">
            <v>IDA</v>
          </cell>
          <cell r="L8368" t="str">
            <v>Ida</v>
          </cell>
          <cell r="V8368">
            <v>93808</v>
          </cell>
        </row>
        <row r="8369">
          <cell r="B8369">
            <v>1939</v>
          </cell>
          <cell r="K8369" t="str">
            <v>MONONA</v>
          </cell>
          <cell r="L8369" t="str">
            <v>Monona</v>
          </cell>
          <cell r="V8369">
            <v>141949</v>
          </cell>
        </row>
        <row r="8370">
          <cell r="B8370">
            <v>1939</v>
          </cell>
          <cell r="K8370" t="str">
            <v>SAC</v>
          </cell>
          <cell r="L8370" t="str">
            <v>Sac</v>
          </cell>
          <cell r="V8370">
            <v>120551</v>
          </cell>
        </row>
        <row r="8371">
          <cell r="B8371">
            <v>1939</v>
          </cell>
          <cell r="K8371" t="str">
            <v>SHELBY</v>
          </cell>
          <cell r="L8371" t="str">
            <v>Shelby</v>
          </cell>
          <cell r="V8371">
            <v>125832</v>
          </cell>
        </row>
        <row r="8372">
          <cell r="B8372">
            <v>1939</v>
          </cell>
          <cell r="K8372" t="str">
            <v>WOODBURY</v>
          </cell>
          <cell r="L8372" t="str">
            <v>Woodbury</v>
          </cell>
          <cell r="V8372">
            <v>190555</v>
          </cell>
        </row>
        <row r="8373">
          <cell r="B8373">
            <v>1938</v>
          </cell>
          <cell r="K8373" t="str">
            <v>BOONE</v>
          </cell>
          <cell r="L8373" t="str">
            <v>Boone</v>
          </cell>
          <cell r="V8373">
            <v>131385</v>
          </cell>
        </row>
        <row r="8374">
          <cell r="B8374">
            <v>1938</v>
          </cell>
          <cell r="K8374" t="str">
            <v>DALLAS</v>
          </cell>
          <cell r="L8374" t="str">
            <v>Dallas</v>
          </cell>
          <cell r="V8374">
            <v>135620</v>
          </cell>
        </row>
        <row r="8375">
          <cell r="B8375">
            <v>1938</v>
          </cell>
          <cell r="K8375" t="str">
            <v>GRUNDY</v>
          </cell>
          <cell r="L8375" t="str">
            <v>Grundy</v>
          </cell>
          <cell r="V8375">
            <v>104867</v>
          </cell>
        </row>
        <row r="8376">
          <cell r="B8376">
            <v>1938</v>
          </cell>
          <cell r="K8376" t="str">
            <v>HAMILTON</v>
          </cell>
          <cell r="L8376" t="str">
            <v>Hamilton</v>
          </cell>
          <cell r="V8376">
            <v>137967</v>
          </cell>
        </row>
        <row r="8377">
          <cell r="B8377">
            <v>1938</v>
          </cell>
          <cell r="K8377" t="str">
            <v>HARDIN</v>
          </cell>
          <cell r="L8377" t="str">
            <v>Hardin</v>
          </cell>
          <cell r="V8377">
            <v>119685</v>
          </cell>
        </row>
        <row r="8378">
          <cell r="B8378">
            <v>1938</v>
          </cell>
          <cell r="K8378" t="str">
            <v>JASPER</v>
          </cell>
          <cell r="L8378" t="str">
            <v>Jasper</v>
          </cell>
          <cell r="V8378">
            <v>141759</v>
          </cell>
        </row>
        <row r="8379">
          <cell r="B8379">
            <v>1938</v>
          </cell>
          <cell r="K8379" t="str">
            <v>MARSHALL</v>
          </cell>
          <cell r="L8379" t="str">
            <v>Marshall</v>
          </cell>
          <cell r="V8379">
            <v>114519</v>
          </cell>
        </row>
        <row r="8380">
          <cell r="B8380">
            <v>1938</v>
          </cell>
          <cell r="K8380" t="str">
            <v>POLK</v>
          </cell>
          <cell r="L8380" t="str">
            <v>Polk</v>
          </cell>
          <cell r="V8380">
            <v>107022</v>
          </cell>
        </row>
        <row r="8381">
          <cell r="B8381">
            <v>1938</v>
          </cell>
          <cell r="K8381" t="str">
            <v>POWESHIEK</v>
          </cell>
          <cell r="L8381" t="str">
            <v>Poweshiek</v>
          </cell>
          <cell r="V8381">
            <v>107562</v>
          </cell>
        </row>
        <row r="8382">
          <cell r="B8382">
            <v>1938</v>
          </cell>
          <cell r="K8382" t="str">
            <v>STORY</v>
          </cell>
          <cell r="L8382" t="str">
            <v>Story</v>
          </cell>
          <cell r="V8382">
            <v>137897</v>
          </cell>
        </row>
        <row r="8383">
          <cell r="B8383">
            <v>1938</v>
          </cell>
          <cell r="K8383" t="str">
            <v>TAMA</v>
          </cell>
          <cell r="L8383" t="str">
            <v>Tama</v>
          </cell>
          <cell r="V8383">
            <v>124440</v>
          </cell>
        </row>
        <row r="8384">
          <cell r="B8384">
            <v>1938</v>
          </cell>
          <cell r="K8384" t="str">
            <v>WEBSTER</v>
          </cell>
          <cell r="L8384" t="str">
            <v>Webster</v>
          </cell>
          <cell r="V8384">
            <v>164088</v>
          </cell>
        </row>
        <row r="8385">
          <cell r="B8385">
            <v>1938</v>
          </cell>
          <cell r="K8385" t="str">
            <v>BENTON</v>
          </cell>
          <cell r="L8385" t="str">
            <v>Benton</v>
          </cell>
          <cell r="V8385">
            <v>140208</v>
          </cell>
        </row>
        <row r="8386">
          <cell r="B8386">
            <v>1938</v>
          </cell>
          <cell r="K8386" t="str">
            <v>CEDAR</v>
          </cell>
          <cell r="L8386" t="str">
            <v>Cedar</v>
          </cell>
          <cell r="V8386">
            <v>109747</v>
          </cell>
        </row>
        <row r="8387">
          <cell r="B8387">
            <v>1938</v>
          </cell>
          <cell r="K8387" t="str">
            <v>CLINTON</v>
          </cell>
          <cell r="L8387" t="str">
            <v>Clinton</v>
          </cell>
          <cell r="V8387">
            <v>133660</v>
          </cell>
        </row>
        <row r="8388">
          <cell r="B8388">
            <v>1938</v>
          </cell>
          <cell r="K8388" t="str">
            <v>IOWA</v>
          </cell>
          <cell r="L8388" t="str">
            <v>Iowa</v>
          </cell>
          <cell r="V8388">
            <v>98073</v>
          </cell>
        </row>
        <row r="8389">
          <cell r="B8389">
            <v>1938</v>
          </cell>
          <cell r="K8389" t="str">
            <v>JACKSON</v>
          </cell>
          <cell r="L8389" t="str">
            <v>Jackson</v>
          </cell>
          <cell r="V8389">
            <v>64492</v>
          </cell>
        </row>
        <row r="8390">
          <cell r="B8390">
            <v>1938</v>
          </cell>
          <cell r="K8390" t="str">
            <v>JOHNSON</v>
          </cell>
          <cell r="L8390" t="str">
            <v>Johnson</v>
          </cell>
          <cell r="V8390">
            <v>108747</v>
          </cell>
        </row>
        <row r="8391">
          <cell r="B8391">
            <v>1938</v>
          </cell>
          <cell r="K8391" t="str">
            <v>JONES</v>
          </cell>
          <cell r="L8391" t="str">
            <v>Jones</v>
          </cell>
          <cell r="V8391">
            <v>82550</v>
          </cell>
        </row>
        <row r="8392">
          <cell r="B8392">
            <v>1938</v>
          </cell>
          <cell r="K8392" t="str">
            <v>LINN</v>
          </cell>
          <cell r="L8392" t="str">
            <v>Linn</v>
          </cell>
          <cell r="V8392">
            <v>122671</v>
          </cell>
        </row>
        <row r="8393">
          <cell r="B8393">
            <v>1938</v>
          </cell>
          <cell r="K8393" t="str">
            <v>MUSCATINE</v>
          </cell>
          <cell r="L8393" t="str">
            <v>Muscatine</v>
          </cell>
          <cell r="V8393">
            <v>75009</v>
          </cell>
        </row>
        <row r="8394">
          <cell r="B8394">
            <v>1938</v>
          </cell>
          <cell r="K8394" t="str">
            <v>SCOTT</v>
          </cell>
          <cell r="L8394" t="str">
            <v>Scott</v>
          </cell>
          <cell r="V8394">
            <v>79507</v>
          </cell>
        </row>
        <row r="8395">
          <cell r="B8395">
            <v>1938</v>
          </cell>
          <cell r="K8395" t="str">
            <v>BUTLER</v>
          </cell>
          <cell r="L8395" t="str">
            <v>Butler</v>
          </cell>
          <cell r="V8395">
            <v>115089</v>
          </cell>
        </row>
        <row r="8396">
          <cell r="B8396">
            <v>1938</v>
          </cell>
          <cell r="K8396" t="str">
            <v>CERRO GORDO</v>
          </cell>
          <cell r="L8396" t="str">
            <v>Cerro Gordo</v>
          </cell>
          <cell r="V8396">
            <v>113855</v>
          </cell>
        </row>
        <row r="8397">
          <cell r="B8397">
            <v>1938</v>
          </cell>
          <cell r="K8397" t="str">
            <v>FLOYD</v>
          </cell>
          <cell r="L8397" t="str">
            <v>Floyd</v>
          </cell>
          <cell r="V8397">
            <v>102143</v>
          </cell>
        </row>
        <row r="8398">
          <cell r="B8398">
            <v>1938</v>
          </cell>
          <cell r="K8398" t="str">
            <v>FRANKLIN</v>
          </cell>
          <cell r="L8398" t="str">
            <v>Franklin</v>
          </cell>
          <cell r="V8398">
            <v>130468</v>
          </cell>
        </row>
        <row r="8399">
          <cell r="B8399">
            <v>1938</v>
          </cell>
          <cell r="K8399" t="str">
            <v>HANCOCK</v>
          </cell>
          <cell r="L8399" t="str">
            <v>Hancock</v>
          </cell>
          <cell r="V8399">
            <v>122540</v>
          </cell>
        </row>
        <row r="8400">
          <cell r="B8400">
            <v>1938</v>
          </cell>
          <cell r="K8400" t="str">
            <v>HUMBOLDT</v>
          </cell>
          <cell r="L8400" t="str">
            <v>Humboldt</v>
          </cell>
          <cell r="V8400">
            <v>103436</v>
          </cell>
        </row>
        <row r="8401">
          <cell r="B8401">
            <v>1938</v>
          </cell>
          <cell r="K8401" t="str">
            <v>KOSSUTH</v>
          </cell>
          <cell r="L8401" t="str">
            <v>Kossuth</v>
          </cell>
          <cell r="V8401">
            <v>208544</v>
          </cell>
        </row>
        <row r="8402">
          <cell r="B8402">
            <v>1938</v>
          </cell>
          <cell r="K8402" t="str">
            <v>MITCHELL</v>
          </cell>
          <cell r="L8402" t="str">
            <v>Mitchell</v>
          </cell>
          <cell r="V8402">
            <v>79541</v>
          </cell>
        </row>
        <row r="8403">
          <cell r="B8403">
            <v>1938</v>
          </cell>
          <cell r="K8403" t="str">
            <v>WINNEBAGO</v>
          </cell>
          <cell r="L8403" t="str">
            <v>Winnebago</v>
          </cell>
          <cell r="V8403">
            <v>77901</v>
          </cell>
        </row>
        <row r="8404">
          <cell r="B8404">
            <v>1938</v>
          </cell>
          <cell r="K8404" t="str">
            <v>WORTH</v>
          </cell>
          <cell r="L8404" t="str">
            <v>Worth</v>
          </cell>
          <cell r="V8404">
            <v>70384</v>
          </cell>
        </row>
        <row r="8405">
          <cell r="B8405">
            <v>1938</v>
          </cell>
          <cell r="K8405" t="str">
            <v>WRIGHT</v>
          </cell>
          <cell r="L8405" t="str">
            <v>Wright</v>
          </cell>
          <cell r="V8405">
            <v>135949</v>
          </cell>
        </row>
        <row r="8406">
          <cell r="B8406">
            <v>1938</v>
          </cell>
          <cell r="K8406" t="str">
            <v>ALLAMAKEE</v>
          </cell>
          <cell r="L8406" t="str">
            <v>Allamakee</v>
          </cell>
          <cell r="V8406">
            <v>50145</v>
          </cell>
        </row>
        <row r="8407">
          <cell r="B8407">
            <v>1938</v>
          </cell>
          <cell r="K8407" t="str">
            <v>BLACK HAWK</v>
          </cell>
          <cell r="L8407" t="str">
            <v>Black Hawk</v>
          </cell>
          <cell r="V8407">
            <v>105453</v>
          </cell>
        </row>
        <row r="8408">
          <cell r="B8408">
            <v>1938</v>
          </cell>
          <cell r="K8408" t="str">
            <v>BREMER</v>
          </cell>
          <cell r="L8408" t="str">
            <v>Bremer</v>
          </cell>
          <cell r="V8408">
            <v>74004</v>
          </cell>
        </row>
        <row r="8409">
          <cell r="B8409">
            <v>1938</v>
          </cell>
          <cell r="K8409" t="str">
            <v>BUCHANAN</v>
          </cell>
          <cell r="L8409" t="str">
            <v>Buchanan</v>
          </cell>
          <cell r="V8409">
            <v>107614</v>
          </cell>
        </row>
        <row r="8410">
          <cell r="B8410">
            <v>1938</v>
          </cell>
          <cell r="K8410" t="str">
            <v>CHICKASAW</v>
          </cell>
          <cell r="L8410" t="str">
            <v>Chickasaw</v>
          </cell>
          <cell r="V8410">
            <v>81684</v>
          </cell>
        </row>
        <row r="8411">
          <cell r="B8411">
            <v>1938</v>
          </cell>
          <cell r="K8411" t="str">
            <v>CLAYTON</v>
          </cell>
          <cell r="L8411" t="str">
            <v>Clayton</v>
          </cell>
          <cell r="V8411">
            <v>79204</v>
          </cell>
        </row>
        <row r="8412">
          <cell r="B8412">
            <v>1938</v>
          </cell>
          <cell r="K8412" t="str">
            <v>DELAWARE</v>
          </cell>
          <cell r="L8412" t="str">
            <v>Delaware</v>
          </cell>
          <cell r="V8412">
            <v>97432</v>
          </cell>
        </row>
        <row r="8413">
          <cell r="B8413">
            <v>1938</v>
          </cell>
          <cell r="K8413" t="str">
            <v>DUBUQUE</v>
          </cell>
          <cell r="L8413" t="str">
            <v>Dubuque</v>
          </cell>
          <cell r="V8413">
            <v>71006</v>
          </cell>
        </row>
        <row r="8414">
          <cell r="B8414">
            <v>1938</v>
          </cell>
          <cell r="K8414" t="str">
            <v>FAYETTE</v>
          </cell>
          <cell r="L8414" t="str">
            <v>Fayette</v>
          </cell>
          <cell r="V8414">
            <v>107954</v>
          </cell>
        </row>
        <row r="8415">
          <cell r="B8415">
            <v>1938</v>
          </cell>
          <cell r="K8415" t="str">
            <v>HOWARD</v>
          </cell>
          <cell r="L8415" t="str">
            <v>Howard</v>
          </cell>
          <cell r="V8415">
            <v>65082</v>
          </cell>
        </row>
        <row r="8416">
          <cell r="B8416">
            <v>1938</v>
          </cell>
          <cell r="K8416" t="str">
            <v>WINNESHIEK</v>
          </cell>
          <cell r="L8416" t="str">
            <v>Winneshiek</v>
          </cell>
          <cell r="V8416">
            <v>84936</v>
          </cell>
        </row>
        <row r="8417">
          <cell r="B8417">
            <v>1938</v>
          </cell>
          <cell r="K8417" t="str">
            <v>BUENA VISTA</v>
          </cell>
          <cell r="L8417" t="str">
            <v>Buena Vista</v>
          </cell>
          <cell r="V8417">
            <v>135238</v>
          </cell>
        </row>
        <row r="8418">
          <cell r="B8418">
            <v>1938</v>
          </cell>
          <cell r="K8418" t="str">
            <v>CHEROKEE</v>
          </cell>
          <cell r="L8418" t="str">
            <v>Cherokee</v>
          </cell>
          <cell r="V8418">
            <v>130006</v>
          </cell>
        </row>
        <row r="8419">
          <cell r="B8419">
            <v>1938</v>
          </cell>
          <cell r="K8419" t="str">
            <v>CLAY</v>
          </cell>
          <cell r="L8419" t="str">
            <v>Clay</v>
          </cell>
          <cell r="V8419">
            <v>121344</v>
          </cell>
        </row>
        <row r="8420">
          <cell r="B8420">
            <v>1938</v>
          </cell>
          <cell r="K8420" t="str">
            <v>DICKINSON</v>
          </cell>
          <cell r="L8420" t="str">
            <v>Dickinson</v>
          </cell>
          <cell r="V8420">
            <v>76140</v>
          </cell>
        </row>
        <row r="8421">
          <cell r="B8421">
            <v>1938</v>
          </cell>
          <cell r="K8421" t="str">
            <v>EMMET</v>
          </cell>
          <cell r="L8421" t="str">
            <v>Emmet</v>
          </cell>
          <cell r="V8421">
            <v>83145</v>
          </cell>
        </row>
        <row r="8422">
          <cell r="B8422">
            <v>1938</v>
          </cell>
          <cell r="K8422" t="str">
            <v>LYON</v>
          </cell>
          <cell r="L8422" t="str">
            <v>Lyon</v>
          </cell>
          <cell r="V8422">
            <v>130560</v>
          </cell>
        </row>
        <row r="8423">
          <cell r="B8423">
            <v>1938</v>
          </cell>
          <cell r="K8423" t="str">
            <v>O BRIEN</v>
          </cell>
          <cell r="L8423" t="str">
            <v>O Brien</v>
          </cell>
          <cell r="V8423">
            <v>129396</v>
          </cell>
        </row>
        <row r="8424">
          <cell r="B8424">
            <v>1938</v>
          </cell>
          <cell r="K8424" t="str">
            <v>OSCEOLA</v>
          </cell>
          <cell r="L8424" t="str">
            <v>Osceola</v>
          </cell>
          <cell r="V8424">
            <v>86285</v>
          </cell>
        </row>
        <row r="8425">
          <cell r="B8425">
            <v>1938</v>
          </cell>
          <cell r="K8425" t="str">
            <v>PALO ALTO</v>
          </cell>
          <cell r="L8425" t="str">
            <v>Palo Alto</v>
          </cell>
          <cell r="V8425">
            <v>122729</v>
          </cell>
        </row>
        <row r="8426">
          <cell r="B8426">
            <v>1938</v>
          </cell>
          <cell r="K8426" t="str">
            <v>PLYMOUTH</v>
          </cell>
          <cell r="L8426" t="str">
            <v>Plymouth</v>
          </cell>
          <cell r="V8426">
            <v>208772</v>
          </cell>
        </row>
        <row r="8427">
          <cell r="B8427">
            <v>1938</v>
          </cell>
          <cell r="K8427" t="str">
            <v>POCAHONTAS</v>
          </cell>
          <cell r="L8427" t="str">
            <v>Pocahontas</v>
          </cell>
          <cell r="V8427">
            <v>140412</v>
          </cell>
        </row>
        <row r="8428">
          <cell r="B8428">
            <v>1938</v>
          </cell>
          <cell r="K8428" t="str">
            <v>SIOUX</v>
          </cell>
          <cell r="L8428" t="str">
            <v>Sioux</v>
          </cell>
          <cell r="V8428">
            <v>182032</v>
          </cell>
        </row>
        <row r="8429">
          <cell r="B8429">
            <v>1938</v>
          </cell>
          <cell r="K8429" t="str">
            <v>APPANOOSE</v>
          </cell>
          <cell r="L8429" t="str">
            <v>Appanoose</v>
          </cell>
          <cell r="V8429">
            <v>36597</v>
          </cell>
        </row>
        <row r="8430">
          <cell r="B8430">
            <v>1938</v>
          </cell>
          <cell r="K8430" t="str">
            <v>CLARKE</v>
          </cell>
          <cell r="L8430" t="str">
            <v>Clarke</v>
          </cell>
          <cell r="V8430">
            <v>49952</v>
          </cell>
        </row>
        <row r="8431">
          <cell r="B8431">
            <v>1938</v>
          </cell>
          <cell r="K8431" t="str">
            <v>DECATUR</v>
          </cell>
          <cell r="L8431" t="str">
            <v>Decatur</v>
          </cell>
          <cell r="V8431">
            <v>49606</v>
          </cell>
        </row>
        <row r="8432">
          <cell r="B8432">
            <v>1938</v>
          </cell>
          <cell r="K8432" t="str">
            <v>LUCAS</v>
          </cell>
          <cell r="L8432" t="str">
            <v>Lucas</v>
          </cell>
          <cell r="V8432">
            <v>43306</v>
          </cell>
        </row>
        <row r="8433">
          <cell r="B8433">
            <v>1938</v>
          </cell>
          <cell r="K8433" t="str">
            <v>MADISON</v>
          </cell>
          <cell r="L8433" t="str">
            <v>Madison</v>
          </cell>
          <cell r="V8433">
            <v>91860</v>
          </cell>
        </row>
        <row r="8434">
          <cell r="B8434">
            <v>1938</v>
          </cell>
          <cell r="K8434" t="str">
            <v>MARION</v>
          </cell>
          <cell r="L8434" t="str">
            <v>Marion</v>
          </cell>
          <cell r="V8434">
            <v>92412</v>
          </cell>
        </row>
        <row r="8435">
          <cell r="B8435">
            <v>1938</v>
          </cell>
          <cell r="K8435" t="str">
            <v>MONROE</v>
          </cell>
          <cell r="L8435" t="str">
            <v>Monroe</v>
          </cell>
          <cell r="V8435">
            <v>38118</v>
          </cell>
        </row>
        <row r="8436">
          <cell r="B8436">
            <v>1938</v>
          </cell>
          <cell r="K8436" t="str">
            <v>RINGGOLD</v>
          </cell>
          <cell r="L8436" t="str">
            <v>Ringgold</v>
          </cell>
          <cell r="V8436">
            <v>61427</v>
          </cell>
        </row>
        <row r="8437">
          <cell r="B8437">
            <v>1938</v>
          </cell>
          <cell r="K8437" t="str">
            <v>UNION</v>
          </cell>
          <cell r="L8437" t="str">
            <v>Union</v>
          </cell>
          <cell r="V8437">
            <v>63379</v>
          </cell>
        </row>
        <row r="8438">
          <cell r="B8438">
            <v>1938</v>
          </cell>
          <cell r="K8438" t="str">
            <v>WARREN</v>
          </cell>
          <cell r="L8438" t="str">
            <v>Warren</v>
          </cell>
          <cell r="V8438">
            <v>89643</v>
          </cell>
        </row>
        <row r="8439">
          <cell r="B8439">
            <v>1938</v>
          </cell>
          <cell r="K8439" t="str">
            <v>WAYNE</v>
          </cell>
          <cell r="L8439" t="str">
            <v>Wayne</v>
          </cell>
          <cell r="V8439">
            <v>51764</v>
          </cell>
        </row>
        <row r="8440">
          <cell r="B8440">
            <v>1938</v>
          </cell>
          <cell r="K8440" t="str">
            <v>DAVIS</v>
          </cell>
          <cell r="L8440" t="str">
            <v>Davis</v>
          </cell>
          <cell r="V8440">
            <v>41679</v>
          </cell>
        </row>
        <row r="8441">
          <cell r="B8441">
            <v>1938</v>
          </cell>
          <cell r="K8441" t="str">
            <v>DES MOINES</v>
          </cell>
          <cell r="L8441" t="str">
            <v>Des Moines</v>
          </cell>
          <cell r="V8441">
            <v>64268</v>
          </cell>
        </row>
        <row r="8442">
          <cell r="B8442">
            <v>1938</v>
          </cell>
          <cell r="K8442" t="str">
            <v>HENRY</v>
          </cell>
          <cell r="L8442" t="str">
            <v>Henry</v>
          </cell>
          <cell r="V8442">
            <v>67737</v>
          </cell>
        </row>
        <row r="8443">
          <cell r="B8443">
            <v>1938</v>
          </cell>
          <cell r="K8443" t="str">
            <v>JEFFERSON</v>
          </cell>
          <cell r="L8443" t="str">
            <v>Jefferson</v>
          </cell>
          <cell r="V8443">
            <v>56642</v>
          </cell>
        </row>
        <row r="8444">
          <cell r="B8444">
            <v>1938</v>
          </cell>
          <cell r="K8444" t="str">
            <v>KEOKUK</v>
          </cell>
          <cell r="L8444" t="str">
            <v>Keokuk</v>
          </cell>
          <cell r="V8444">
            <v>98502</v>
          </cell>
        </row>
        <row r="8445">
          <cell r="B8445">
            <v>1938</v>
          </cell>
          <cell r="K8445" t="str">
            <v>LEE</v>
          </cell>
          <cell r="L8445" t="str">
            <v>Lee</v>
          </cell>
          <cell r="V8445">
            <v>52331</v>
          </cell>
        </row>
        <row r="8446">
          <cell r="B8446">
            <v>1938</v>
          </cell>
          <cell r="K8446" t="str">
            <v>LOUISA</v>
          </cell>
          <cell r="L8446" t="str">
            <v>Louisa</v>
          </cell>
          <cell r="V8446">
            <v>67386</v>
          </cell>
        </row>
        <row r="8447">
          <cell r="B8447">
            <v>1938</v>
          </cell>
          <cell r="K8447" t="str">
            <v>MAHASKA</v>
          </cell>
          <cell r="L8447" t="str">
            <v>Mahaska</v>
          </cell>
          <cell r="V8447">
            <v>108024</v>
          </cell>
        </row>
        <row r="8448">
          <cell r="B8448">
            <v>1938</v>
          </cell>
          <cell r="K8448" t="str">
            <v>VAN BUREN</v>
          </cell>
          <cell r="L8448" t="str">
            <v>Van Buren</v>
          </cell>
          <cell r="V8448">
            <v>41097</v>
          </cell>
        </row>
        <row r="8449">
          <cell r="B8449">
            <v>1938</v>
          </cell>
          <cell r="K8449" t="str">
            <v>WAPELLO</v>
          </cell>
          <cell r="L8449" t="str">
            <v>Wapello</v>
          </cell>
          <cell r="V8449">
            <v>53672</v>
          </cell>
        </row>
        <row r="8450">
          <cell r="B8450">
            <v>1938</v>
          </cell>
          <cell r="K8450" t="str">
            <v>WASHINGTON</v>
          </cell>
          <cell r="L8450" t="str">
            <v>Washington</v>
          </cell>
          <cell r="V8450">
            <v>102783</v>
          </cell>
        </row>
        <row r="8451">
          <cell r="B8451">
            <v>1938</v>
          </cell>
          <cell r="K8451" t="str">
            <v>ADAIR</v>
          </cell>
          <cell r="L8451" t="str">
            <v>Adair</v>
          </cell>
          <cell r="V8451">
            <v>108755</v>
          </cell>
        </row>
        <row r="8452">
          <cell r="B8452">
            <v>1938</v>
          </cell>
          <cell r="K8452" t="str">
            <v>ADAMS</v>
          </cell>
          <cell r="L8452" t="str">
            <v>Adams</v>
          </cell>
          <cell r="V8452">
            <v>77338</v>
          </cell>
        </row>
        <row r="8453">
          <cell r="B8453">
            <v>1938</v>
          </cell>
          <cell r="K8453" t="str">
            <v>CASS</v>
          </cell>
          <cell r="L8453" t="str">
            <v>Cass</v>
          </cell>
          <cell r="V8453">
            <v>121731</v>
          </cell>
        </row>
        <row r="8454">
          <cell r="B8454">
            <v>1938</v>
          </cell>
          <cell r="K8454" t="str">
            <v>FREMONT</v>
          </cell>
          <cell r="L8454" t="str">
            <v>Fremont</v>
          </cell>
          <cell r="V8454">
            <v>133667</v>
          </cell>
        </row>
        <row r="8455">
          <cell r="B8455">
            <v>1938</v>
          </cell>
          <cell r="K8455" t="str">
            <v>MILLS</v>
          </cell>
          <cell r="L8455" t="str">
            <v>Mills</v>
          </cell>
          <cell r="V8455">
            <v>108861</v>
          </cell>
        </row>
        <row r="8456">
          <cell r="B8456">
            <v>1938</v>
          </cell>
          <cell r="K8456" t="str">
            <v>MONTGOMERY</v>
          </cell>
          <cell r="L8456" t="str">
            <v>Montgomery</v>
          </cell>
          <cell r="V8456">
            <v>95542</v>
          </cell>
        </row>
        <row r="8457">
          <cell r="B8457">
            <v>1938</v>
          </cell>
          <cell r="K8457" t="str">
            <v>PAGE</v>
          </cell>
          <cell r="L8457" t="str">
            <v>Page</v>
          </cell>
          <cell r="V8457">
            <v>110040</v>
          </cell>
        </row>
        <row r="8458">
          <cell r="B8458">
            <v>1938</v>
          </cell>
          <cell r="K8458" t="str">
            <v>POTTAWATTAMIE</v>
          </cell>
          <cell r="L8458" t="str">
            <v>Pottawattamie</v>
          </cell>
          <cell r="V8458">
            <v>224053</v>
          </cell>
        </row>
        <row r="8459">
          <cell r="B8459">
            <v>1938</v>
          </cell>
          <cell r="K8459" t="str">
            <v>TAYLOR</v>
          </cell>
          <cell r="L8459" t="str">
            <v>Taylor</v>
          </cell>
          <cell r="V8459">
            <v>85794</v>
          </cell>
        </row>
        <row r="8460">
          <cell r="B8460">
            <v>1938</v>
          </cell>
          <cell r="K8460" t="str">
            <v>AUDUBON</v>
          </cell>
          <cell r="L8460" t="str">
            <v>Audubon</v>
          </cell>
          <cell r="V8460">
            <v>93528</v>
          </cell>
        </row>
        <row r="8461">
          <cell r="B8461">
            <v>1938</v>
          </cell>
          <cell r="K8461" t="str">
            <v>CALHOUN</v>
          </cell>
          <cell r="L8461" t="str">
            <v>Calhoun</v>
          </cell>
          <cell r="V8461">
            <v>136105</v>
          </cell>
        </row>
        <row r="8462">
          <cell r="B8462">
            <v>1938</v>
          </cell>
          <cell r="K8462" t="str">
            <v>CARROLL</v>
          </cell>
          <cell r="L8462" t="str">
            <v>Carroll</v>
          </cell>
          <cell r="V8462">
            <v>137963</v>
          </cell>
        </row>
        <row r="8463">
          <cell r="B8463">
            <v>1938</v>
          </cell>
          <cell r="K8463" t="str">
            <v>CRAWFORD</v>
          </cell>
          <cell r="L8463" t="str">
            <v>Crawford</v>
          </cell>
          <cell r="V8463">
            <v>149787</v>
          </cell>
        </row>
        <row r="8464">
          <cell r="B8464">
            <v>1938</v>
          </cell>
          <cell r="K8464" t="str">
            <v>GREENE</v>
          </cell>
          <cell r="L8464" t="str">
            <v>Greene</v>
          </cell>
          <cell r="V8464">
            <v>150272</v>
          </cell>
        </row>
        <row r="8465">
          <cell r="B8465">
            <v>1938</v>
          </cell>
          <cell r="K8465" t="str">
            <v>GUTHRIE</v>
          </cell>
          <cell r="L8465" t="str">
            <v>Guthrie</v>
          </cell>
          <cell r="V8465">
            <v>113869</v>
          </cell>
        </row>
        <row r="8466">
          <cell r="B8466">
            <v>1938</v>
          </cell>
          <cell r="K8466" t="str">
            <v>HARRISON</v>
          </cell>
          <cell r="L8466" t="str">
            <v>Harrison</v>
          </cell>
          <cell r="V8466">
            <v>164767</v>
          </cell>
        </row>
        <row r="8467">
          <cell r="B8467">
            <v>1938</v>
          </cell>
          <cell r="K8467" t="str">
            <v>IDA</v>
          </cell>
          <cell r="L8467" t="str">
            <v>Ida</v>
          </cell>
          <cell r="V8467">
            <v>102249</v>
          </cell>
        </row>
        <row r="8468">
          <cell r="B8468">
            <v>1938</v>
          </cell>
          <cell r="K8468" t="str">
            <v>MONONA</v>
          </cell>
          <cell r="L8468" t="str">
            <v>Monona</v>
          </cell>
          <cell r="V8468">
            <v>154972</v>
          </cell>
        </row>
        <row r="8469">
          <cell r="B8469">
            <v>1938</v>
          </cell>
          <cell r="K8469" t="str">
            <v>SAC</v>
          </cell>
          <cell r="L8469" t="str">
            <v>Sac</v>
          </cell>
          <cell r="V8469">
            <v>132433</v>
          </cell>
        </row>
        <row r="8470">
          <cell r="B8470">
            <v>1938</v>
          </cell>
          <cell r="K8470" t="str">
            <v>SHELBY</v>
          </cell>
          <cell r="L8470" t="str">
            <v>Shelby</v>
          </cell>
          <cell r="V8470">
            <v>142094</v>
          </cell>
        </row>
        <row r="8471">
          <cell r="B8471">
            <v>1938</v>
          </cell>
          <cell r="K8471" t="str">
            <v>WOODBURY</v>
          </cell>
          <cell r="L8471" t="str">
            <v>Woodbury</v>
          </cell>
          <cell r="V8471">
            <v>210097</v>
          </cell>
        </row>
        <row r="8472">
          <cell r="B8472">
            <v>1937</v>
          </cell>
          <cell r="K8472" t="str">
            <v>BOONE</v>
          </cell>
          <cell r="L8472" t="str">
            <v>Boone</v>
          </cell>
          <cell r="V8472">
            <v>141780</v>
          </cell>
        </row>
        <row r="8473">
          <cell r="B8473">
            <v>1937</v>
          </cell>
          <cell r="K8473" t="str">
            <v>DALLAS</v>
          </cell>
          <cell r="L8473" t="str">
            <v>Dallas</v>
          </cell>
          <cell r="V8473">
            <v>144946</v>
          </cell>
        </row>
        <row r="8474">
          <cell r="B8474">
            <v>1937</v>
          </cell>
          <cell r="K8474" t="str">
            <v>GRUNDY</v>
          </cell>
          <cell r="L8474" t="str">
            <v>Grundy</v>
          </cell>
          <cell r="V8474">
            <v>114624</v>
          </cell>
        </row>
        <row r="8475">
          <cell r="B8475">
            <v>1937</v>
          </cell>
          <cell r="K8475" t="str">
            <v>HAMILTON</v>
          </cell>
          <cell r="L8475" t="str">
            <v>Hamilton</v>
          </cell>
          <cell r="V8475">
            <v>148713</v>
          </cell>
        </row>
        <row r="8476">
          <cell r="B8476">
            <v>1937</v>
          </cell>
          <cell r="K8476" t="str">
            <v>HARDIN</v>
          </cell>
          <cell r="L8476" t="str">
            <v>Hardin</v>
          </cell>
          <cell r="V8476">
            <v>134270</v>
          </cell>
        </row>
        <row r="8477">
          <cell r="B8477">
            <v>1937</v>
          </cell>
          <cell r="K8477" t="str">
            <v>JASPER</v>
          </cell>
          <cell r="L8477" t="str">
            <v>Jasper</v>
          </cell>
          <cell r="V8477">
            <v>160458</v>
          </cell>
        </row>
        <row r="8478">
          <cell r="B8478">
            <v>1937</v>
          </cell>
          <cell r="K8478" t="str">
            <v>MARSHALL</v>
          </cell>
          <cell r="L8478" t="str">
            <v>Marshall</v>
          </cell>
          <cell r="V8478">
            <v>129641</v>
          </cell>
        </row>
        <row r="8479">
          <cell r="B8479">
            <v>1937</v>
          </cell>
          <cell r="K8479" t="str">
            <v>POLK</v>
          </cell>
          <cell r="L8479" t="str">
            <v>Polk</v>
          </cell>
          <cell r="V8479">
            <v>115623</v>
          </cell>
        </row>
        <row r="8480">
          <cell r="B8480">
            <v>1937</v>
          </cell>
          <cell r="K8480" t="str">
            <v>POWESHIEK</v>
          </cell>
          <cell r="L8480" t="str">
            <v>Poweshiek</v>
          </cell>
          <cell r="V8480">
            <v>124106</v>
          </cell>
        </row>
        <row r="8481">
          <cell r="B8481">
            <v>1937</v>
          </cell>
          <cell r="K8481" t="str">
            <v>STORY</v>
          </cell>
          <cell r="L8481" t="str">
            <v>Story</v>
          </cell>
          <cell r="V8481">
            <v>152463</v>
          </cell>
        </row>
        <row r="8482">
          <cell r="B8482">
            <v>1937</v>
          </cell>
          <cell r="K8482" t="str">
            <v>TAMA</v>
          </cell>
          <cell r="L8482" t="str">
            <v>Tama</v>
          </cell>
          <cell r="V8482">
            <v>140149</v>
          </cell>
        </row>
        <row r="8483">
          <cell r="B8483">
            <v>1937</v>
          </cell>
          <cell r="K8483" t="str">
            <v>WEBSTER</v>
          </cell>
          <cell r="L8483" t="str">
            <v>Webster</v>
          </cell>
          <cell r="V8483">
            <v>175470</v>
          </cell>
        </row>
        <row r="8484">
          <cell r="B8484">
            <v>1937</v>
          </cell>
          <cell r="K8484" t="str">
            <v>BENTON</v>
          </cell>
          <cell r="L8484" t="str">
            <v>Benton</v>
          </cell>
          <cell r="V8484">
            <v>159314</v>
          </cell>
        </row>
        <row r="8485">
          <cell r="B8485">
            <v>1937</v>
          </cell>
          <cell r="K8485" t="str">
            <v>CEDAR</v>
          </cell>
          <cell r="L8485" t="str">
            <v>Cedar</v>
          </cell>
          <cell r="V8485">
            <v>121525</v>
          </cell>
        </row>
        <row r="8486">
          <cell r="B8486">
            <v>1937</v>
          </cell>
          <cell r="K8486" t="str">
            <v>CLINTON</v>
          </cell>
          <cell r="L8486" t="str">
            <v>Clinton</v>
          </cell>
          <cell r="V8486">
            <v>150318</v>
          </cell>
        </row>
        <row r="8487">
          <cell r="B8487">
            <v>1937</v>
          </cell>
          <cell r="K8487" t="str">
            <v>IOWA</v>
          </cell>
          <cell r="L8487" t="str">
            <v>Iowa</v>
          </cell>
          <cell r="V8487">
            <v>111444</v>
          </cell>
        </row>
        <row r="8488">
          <cell r="B8488">
            <v>1937</v>
          </cell>
          <cell r="K8488" t="str">
            <v>JACKSON</v>
          </cell>
          <cell r="L8488" t="str">
            <v>Jackson</v>
          </cell>
          <cell r="V8488">
            <v>74537</v>
          </cell>
        </row>
        <row r="8489">
          <cell r="B8489">
            <v>1937</v>
          </cell>
          <cell r="K8489" t="str">
            <v>JOHNSON</v>
          </cell>
          <cell r="L8489" t="str">
            <v>Johnson</v>
          </cell>
          <cell r="V8489">
            <v>120637</v>
          </cell>
        </row>
        <row r="8490">
          <cell r="B8490">
            <v>1937</v>
          </cell>
          <cell r="K8490" t="str">
            <v>JONES</v>
          </cell>
          <cell r="L8490" t="str">
            <v>Jones</v>
          </cell>
          <cell r="V8490">
            <v>94262</v>
          </cell>
        </row>
        <row r="8491">
          <cell r="B8491">
            <v>1937</v>
          </cell>
          <cell r="K8491" t="str">
            <v>LINN</v>
          </cell>
          <cell r="L8491" t="str">
            <v>Linn</v>
          </cell>
          <cell r="V8491">
            <v>135856</v>
          </cell>
        </row>
        <row r="8492">
          <cell r="B8492">
            <v>1937</v>
          </cell>
          <cell r="K8492" t="str">
            <v>MUSCATINE</v>
          </cell>
          <cell r="L8492" t="str">
            <v>Muscatine</v>
          </cell>
          <cell r="V8492">
            <v>82291</v>
          </cell>
        </row>
        <row r="8493">
          <cell r="B8493">
            <v>1937</v>
          </cell>
          <cell r="K8493" t="str">
            <v>SCOTT</v>
          </cell>
          <cell r="L8493" t="str">
            <v>Scott</v>
          </cell>
          <cell r="V8493">
            <v>90423</v>
          </cell>
        </row>
        <row r="8494">
          <cell r="B8494">
            <v>1937</v>
          </cell>
          <cell r="K8494" t="str">
            <v>BUTLER</v>
          </cell>
          <cell r="L8494" t="str">
            <v>Butler</v>
          </cell>
          <cell r="V8494">
            <v>120371</v>
          </cell>
        </row>
        <row r="8495">
          <cell r="B8495">
            <v>1937</v>
          </cell>
          <cell r="K8495" t="str">
            <v>CERRO GORDO</v>
          </cell>
          <cell r="L8495" t="str">
            <v>Cerro Gordo</v>
          </cell>
          <cell r="V8495">
            <v>118790</v>
          </cell>
        </row>
        <row r="8496">
          <cell r="B8496">
            <v>1937</v>
          </cell>
          <cell r="K8496" t="str">
            <v>FLOYD</v>
          </cell>
          <cell r="L8496" t="str">
            <v>Floyd</v>
          </cell>
          <cell r="V8496">
            <v>106580</v>
          </cell>
        </row>
        <row r="8497">
          <cell r="B8497">
            <v>1937</v>
          </cell>
          <cell r="K8497" t="str">
            <v>FRANKLIN</v>
          </cell>
          <cell r="L8497" t="str">
            <v>Franklin</v>
          </cell>
          <cell r="V8497">
            <v>139567</v>
          </cell>
        </row>
        <row r="8498">
          <cell r="B8498">
            <v>1937</v>
          </cell>
          <cell r="K8498" t="str">
            <v>HANCOCK</v>
          </cell>
          <cell r="L8498" t="str">
            <v>Hancock</v>
          </cell>
          <cell r="V8498">
            <v>130977</v>
          </cell>
        </row>
        <row r="8499">
          <cell r="B8499">
            <v>1937</v>
          </cell>
          <cell r="K8499" t="str">
            <v>HUMBOLDT</v>
          </cell>
          <cell r="L8499" t="str">
            <v>Humboldt</v>
          </cell>
          <cell r="V8499">
            <v>107841</v>
          </cell>
        </row>
        <row r="8500">
          <cell r="B8500">
            <v>1937</v>
          </cell>
          <cell r="K8500" t="str">
            <v>KOSSUTH</v>
          </cell>
          <cell r="L8500" t="str">
            <v>Kossuth</v>
          </cell>
          <cell r="V8500">
            <v>231785</v>
          </cell>
        </row>
        <row r="8501">
          <cell r="B8501">
            <v>1937</v>
          </cell>
          <cell r="K8501" t="str">
            <v>MITCHELL</v>
          </cell>
          <cell r="L8501" t="str">
            <v>Mitchell</v>
          </cell>
          <cell r="V8501">
            <v>85098</v>
          </cell>
        </row>
        <row r="8502">
          <cell r="B8502">
            <v>1937</v>
          </cell>
          <cell r="K8502" t="str">
            <v>WINNEBAGO</v>
          </cell>
          <cell r="L8502" t="str">
            <v>Winnebago</v>
          </cell>
          <cell r="V8502">
            <v>85586</v>
          </cell>
        </row>
        <row r="8503">
          <cell r="B8503">
            <v>1937</v>
          </cell>
          <cell r="K8503" t="str">
            <v>WORTH</v>
          </cell>
          <cell r="L8503" t="str">
            <v>Worth</v>
          </cell>
          <cell r="V8503">
            <v>74357</v>
          </cell>
        </row>
        <row r="8504">
          <cell r="B8504">
            <v>1937</v>
          </cell>
          <cell r="K8504" t="str">
            <v>WRIGHT</v>
          </cell>
          <cell r="L8504" t="str">
            <v>Wright</v>
          </cell>
          <cell r="V8504">
            <v>146549</v>
          </cell>
        </row>
        <row r="8505">
          <cell r="B8505">
            <v>1937</v>
          </cell>
          <cell r="K8505" t="str">
            <v>ALLAMAKEE</v>
          </cell>
          <cell r="L8505" t="str">
            <v>Allamakee</v>
          </cell>
          <cell r="V8505">
            <v>48920</v>
          </cell>
        </row>
        <row r="8506">
          <cell r="B8506">
            <v>1937</v>
          </cell>
          <cell r="K8506" t="str">
            <v>BLACK HAWK</v>
          </cell>
          <cell r="L8506" t="str">
            <v>Black Hawk</v>
          </cell>
          <cell r="V8506">
            <v>116141</v>
          </cell>
        </row>
        <row r="8507">
          <cell r="B8507">
            <v>1937</v>
          </cell>
          <cell r="K8507" t="str">
            <v>BREMER</v>
          </cell>
          <cell r="L8507" t="str">
            <v>Bremer</v>
          </cell>
          <cell r="V8507">
            <v>76877</v>
          </cell>
        </row>
        <row r="8508">
          <cell r="B8508">
            <v>1937</v>
          </cell>
          <cell r="K8508" t="str">
            <v>BUCHANAN</v>
          </cell>
          <cell r="L8508" t="str">
            <v>Buchanan</v>
          </cell>
          <cell r="V8508">
            <v>116017</v>
          </cell>
        </row>
        <row r="8509">
          <cell r="B8509">
            <v>1937</v>
          </cell>
          <cell r="K8509" t="str">
            <v>CHICKASAW</v>
          </cell>
          <cell r="L8509" t="str">
            <v>Chickasaw</v>
          </cell>
          <cell r="V8509">
            <v>83109</v>
          </cell>
        </row>
        <row r="8510">
          <cell r="B8510">
            <v>1937</v>
          </cell>
          <cell r="K8510" t="str">
            <v>CLAYTON</v>
          </cell>
          <cell r="L8510" t="str">
            <v>Clayton</v>
          </cell>
          <cell r="V8510">
            <v>86616</v>
          </cell>
        </row>
        <row r="8511">
          <cell r="B8511">
            <v>1937</v>
          </cell>
          <cell r="K8511" t="str">
            <v>DELAWARE</v>
          </cell>
          <cell r="L8511" t="str">
            <v>Delaware</v>
          </cell>
          <cell r="V8511">
            <v>105369</v>
          </cell>
        </row>
        <row r="8512">
          <cell r="B8512">
            <v>1937</v>
          </cell>
          <cell r="K8512" t="str">
            <v>DUBUQUE</v>
          </cell>
          <cell r="L8512" t="str">
            <v>Dubuque</v>
          </cell>
          <cell r="V8512">
            <v>79647</v>
          </cell>
        </row>
        <row r="8513">
          <cell r="B8513">
            <v>1937</v>
          </cell>
          <cell r="K8513" t="str">
            <v>FAYETTE</v>
          </cell>
          <cell r="L8513" t="str">
            <v>Fayette</v>
          </cell>
          <cell r="V8513">
            <v>112311</v>
          </cell>
        </row>
        <row r="8514">
          <cell r="B8514">
            <v>1937</v>
          </cell>
          <cell r="K8514" t="str">
            <v>HOWARD</v>
          </cell>
          <cell r="L8514" t="str">
            <v>Howard</v>
          </cell>
          <cell r="V8514">
            <v>67195</v>
          </cell>
        </row>
        <row r="8515">
          <cell r="B8515">
            <v>1937</v>
          </cell>
          <cell r="K8515" t="str">
            <v>WINNESHIEK</v>
          </cell>
          <cell r="L8515" t="str">
            <v>Winneshiek</v>
          </cell>
          <cell r="V8515">
            <v>88522</v>
          </cell>
        </row>
        <row r="8516">
          <cell r="B8516">
            <v>1937</v>
          </cell>
          <cell r="K8516" t="str">
            <v>BUENA VISTA</v>
          </cell>
          <cell r="L8516" t="str">
            <v>Buena Vista</v>
          </cell>
          <cell r="V8516">
            <v>145254</v>
          </cell>
        </row>
        <row r="8517">
          <cell r="B8517">
            <v>1937</v>
          </cell>
          <cell r="K8517" t="str">
            <v>CHEROKEE</v>
          </cell>
          <cell r="L8517" t="str">
            <v>Cherokee</v>
          </cell>
          <cell r="V8517">
            <v>136080</v>
          </cell>
        </row>
        <row r="8518">
          <cell r="B8518">
            <v>1937</v>
          </cell>
          <cell r="K8518" t="str">
            <v>CLAY</v>
          </cell>
          <cell r="L8518" t="str">
            <v>Clay</v>
          </cell>
          <cell r="V8518">
            <v>133055</v>
          </cell>
        </row>
        <row r="8519">
          <cell r="B8519">
            <v>1937</v>
          </cell>
          <cell r="K8519" t="str">
            <v>DICKINSON</v>
          </cell>
          <cell r="L8519" t="str">
            <v>Dickinson</v>
          </cell>
          <cell r="V8519">
            <v>83767</v>
          </cell>
        </row>
        <row r="8520">
          <cell r="B8520">
            <v>1937</v>
          </cell>
          <cell r="K8520" t="str">
            <v>EMMET</v>
          </cell>
          <cell r="L8520" t="str">
            <v>Emmet</v>
          </cell>
          <cell r="V8520">
            <v>93023</v>
          </cell>
        </row>
        <row r="8521">
          <cell r="B8521">
            <v>1937</v>
          </cell>
          <cell r="K8521" t="str">
            <v>LYON</v>
          </cell>
          <cell r="L8521" t="str">
            <v>Lyon</v>
          </cell>
          <cell r="V8521">
            <v>137102</v>
          </cell>
        </row>
        <row r="8522">
          <cell r="B8522">
            <v>1937</v>
          </cell>
          <cell r="K8522" t="str">
            <v>O BRIEN</v>
          </cell>
          <cell r="L8522" t="str">
            <v>O Brien</v>
          </cell>
          <cell r="V8522">
            <v>138328</v>
          </cell>
        </row>
        <row r="8523">
          <cell r="B8523">
            <v>1937</v>
          </cell>
          <cell r="K8523" t="str">
            <v>OSCEOLA</v>
          </cell>
          <cell r="L8523" t="str">
            <v>Osceola</v>
          </cell>
          <cell r="V8523">
            <v>95473</v>
          </cell>
        </row>
        <row r="8524">
          <cell r="B8524">
            <v>1937</v>
          </cell>
          <cell r="K8524" t="str">
            <v>PALO ALTO</v>
          </cell>
          <cell r="L8524" t="str">
            <v>Palo Alto</v>
          </cell>
          <cell r="V8524">
            <v>133109</v>
          </cell>
        </row>
        <row r="8525">
          <cell r="B8525">
            <v>1937</v>
          </cell>
          <cell r="K8525" t="str">
            <v>PLYMOUTH</v>
          </cell>
          <cell r="L8525" t="str">
            <v>Plymouth</v>
          </cell>
          <cell r="V8525">
            <v>215384</v>
          </cell>
        </row>
        <row r="8526">
          <cell r="B8526">
            <v>1937</v>
          </cell>
          <cell r="K8526" t="str">
            <v>POCAHONTAS</v>
          </cell>
          <cell r="L8526" t="str">
            <v>Pocahontas</v>
          </cell>
          <cell r="V8526">
            <v>152291</v>
          </cell>
        </row>
        <row r="8527">
          <cell r="B8527">
            <v>1937</v>
          </cell>
          <cell r="K8527" t="str">
            <v>SIOUX</v>
          </cell>
          <cell r="L8527" t="str">
            <v>Sioux</v>
          </cell>
          <cell r="V8527">
            <v>187395</v>
          </cell>
        </row>
        <row r="8528">
          <cell r="B8528">
            <v>1937</v>
          </cell>
          <cell r="K8528" t="str">
            <v>APPANOOSE</v>
          </cell>
          <cell r="L8528" t="str">
            <v>Appanoose</v>
          </cell>
          <cell r="V8528">
            <v>37427</v>
          </cell>
        </row>
        <row r="8529">
          <cell r="B8529">
            <v>1937</v>
          </cell>
          <cell r="K8529" t="str">
            <v>CLARKE</v>
          </cell>
          <cell r="L8529" t="str">
            <v>Clarke</v>
          </cell>
          <cell r="V8529">
            <v>50978</v>
          </cell>
        </row>
        <row r="8530">
          <cell r="B8530">
            <v>1937</v>
          </cell>
          <cell r="K8530" t="str">
            <v>DECATUR</v>
          </cell>
          <cell r="L8530" t="str">
            <v>Decatur</v>
          </cell>
          <cell r="V8530">
            <v>47149</v>
          </cell>
        </row>
        <row r="8531">
          <cell r="B8531">
            <v>1937</v>
          </cell>
          <cell r="K8531" t="str">
            <v>LUCAS</v>
          </cell>
          <cell r="L8531" t="str">
            <v>Lucas</v>
          </cell>
          <cell r="V8531">
            <v>43360</v>
          </cell>
        </row>
        <row r="8532">
          <cell r="B8532">
            <v>1937</v>
          </cell>
          <cell r="K8532" t="str">
            <v>MADISON</v>
          </cell>
          <cell r="L8532" t="str">
            <v>Madison</v>
          </cell>
          <cell r="V8532">
            <v>92215</v>
          </cell>
        </row>
        <row r="8533">
          <cell r="B8533">
            <v>1937</v>
          </cell>
          <cell r="K8533" t="str">
            <v>MARION</v>
          </cell>
          <cell r="L8533" t="str">
            <v>Marion</v>
          </cell>
          <cell r="V8533">
            <v>96037</v>
          </cell>
        </row>
        <row r="8534">
          <cell r="B8534">
            <v>1937</v>
          </cell>
          <cell r="K8534" t="str">
            <v>MONROE</v>
          </cell>
          <cell r="L8534" t="str">
            <v>Monroe</v>
          </cell>
          <cell r="V8534">
            <v>39184</v>
          </cell>
        </row>
        <row r="8535">
          <cell r="B8535">
            <v>1937</v>
          </cell>
          <cell r="K8535" t="str">
            <v>RINGGOLD</v>
          </cell>
          <cell r="L8535" t="str">
            <v>Ringgold</v>
          </cell>
          <cell r="V8535">
            <v>60976</v>
          </cell>
        </row>
        <row r="8536">
          <cell r="B8536">
            <v>1937</v>
          </cell>
          <cell r="K8536" t="str">
            <v>UNION</v>
          </cell>
          <cell r="L8536" t="str">
            <v>Union</v>
          </cell>
          <cell r="V8536">
            <v>63262</v>
          </cell>
        </row>
        <row r="8537">
          <cell r="B8537">
            <v>1937</v>
          </cell>
          <cell r="K8537" t="str">
            <v>WARREN</v>
          </cell>
          <cell r="L8537" t="str">
            <v>Warren</v>
          </cell>
          <cell r="V8537">
            <v>90162</v>
          </cell>
        </row>
        <row r="8538">
          <cell r="B8538">
            <v>1937</v>
          </cell>
          <cell r="K8538" t="str">
            <v>WAYNE</v>
          </cell>
          <cell r="L8538" t="str">
            <v>Wayne</v>
          </cell>
          <cell r="V8538">
            <v>52960</v>
          </cell>
        </row>
        <row r="8539">
          <cell r="B8539">
            <v>1937</v>
          </cell>
          <cell r="K8539" t="str">
            <v>DAVIS</v>
          </cell>
          <cell r="L8539" t="str">
            <v>Davis</v>
          </cell>
          <cell r="V8539">
            <v>43752</v>
          </cell>
        </row>
        <row r="8540">
          <cell r="B8540">
            <v>1937</v>
          </cell>
          <cell r="K8540" t="str">
            <v>DES MOINES</v>
          </cell>
          <cell r="L8540" t="str">
            <v>Des Moines</v>
          </cell>
          <cell r="V8540">
            <v>69211</v>
          </cell>
        </row>
        <row r="8541">
          <cell r="B8541">
            <v>1937</v>
          </cell>
          <cell r="K8541" t="str">
            <v>HENRY</v>
          </cell>
          <cell r="L8541" t="str">
            <v>Henry</v>
          </cell>
          <cell r="V8541">
            <v>71897</v>
          </cell>
        </row>
        <row r="8542">
          <cell r="B8542">
            <v>1937</v>
          </cell>
          <cell r="K8542" t="str">
            <v>JEFFERSON</v>
          </cell>
          <cell r="L8542" t="str">
            <v>Jefferson</v>
          </cell>
          <cell r="V8542">
            <v>62411</v>
          </cell>
        </row>
        <row r="8543">
          <cell r="B8543">
            <v>1937</v>
          </cell>
          <cell r="K8543" t="str">
            <v>KEOKUK</v>
          </cell>
          <cell r="L8543" t="str">
            <v>Keokuk</v>
          </cell>
          <cell r="V8543">
            <v>108395</v>
          </cell>
        </row>
        <row r="8544">
          <cell r="B8544">
            <v>1937</v>
          </cell>
          <cell r="K8544" t="str">
            <v>LEE</v>
          </cell>
          <cell r="L8544" t="str">
            <v>Lee</v>
          </cell>
          <cell r="V8544">
            <v>50577</v>
          </cell>
        </row>
        <row r="8545">
          <cell r="B8545">
            <v>1937</v>
          </cell>
          <cell r="K8545" t="str">
            <v>LOUISA</v>
          </cell>
          <cell r="L8545" t="str">
            <v>Louisa</v>
          </cell>
          <cell r="V8545">
            <v>74618</v>
          </cell>
        </row>
        <row r="8546">
          <cell r="B8546">
            <v>1937</v>
          </cell>
          <cell r="K8546" t="str">
            <v>MAHASKA</v>
          </cell>
          <cell r="L8546" t="str">
            <v>Mahaska</v>
          </cell>
          <cell r="V8546">
            <v>114124</v>
          </cell>
        </row>
        <row r="8547">
          <cell r="B8547">
            <v>1937</v>
          </cell>
          <cell r="K8547" t="str">
            <v>VAN BUREN</v>
          </cell>
          <cell r="L8547" t="str">
            <v>Van Buren</v>
          </cell>
          <cell r="V8547">
            <v>41085</v>
          </cell>
        </row>
        <row r="8548">
          <cell r="B8548">
            <v>1937</v>
          </cell>
          <cell r="K8548" t="str">
            <v>WAPELLO</v>
          </cell>
          <cell r="L8548" t="str">
            <v>Wapello</v>
          </cell>
          <cell r="V8548">
            <v>54503</v>
          </cell>
        </row>
        <row r="8549">
          <cell r="B8549">
            <v>1937</v>
          </cell>
          <cell r="K8549" t="str">
            <v>WASHINGTON</v>
          </cell>
          <cell r="L8549" t="str">
            <v>Washington</v>
          </cell>
          <cell r="V8549">
            <v>112629</v>
          </cell>
        </row>
        <row r="8550">
          <cell r="B8550">
            <v>1937</v>
          </cell>
          <cell r="K8550" t="str">
            <v>ADAIR</v>
          </cell>
          <cell r="L8550" t="str">
            <v>Adair</v>
          </cell>
          <cell r="V8550">
            <v>114545</v>
          </cell>
        </row>
        <row r="8551">
          <cell r="B8551">
            <v>1937</v>
          </cell>
          <cell r="K8551" t="str">
            <v>ADAMS</v>
          </cell>
          <cell r="L8551" t="str">
            <v>Adams</v>
          </cell>
          <cell r="V8551">
            <v>76586</v>
          </cell>
        </row>
        <row r="8552">
          <cell r="B8552">
            <v>1937</v>
          </cell>
          <cell r="K8552" t="str">
            <v>CASS</v>
          </cell>
          <cell r="L8552" t="str">
            <v>Cass</v>
          </cell>
          <cell r="V8552">
            <v>126348</v>
          </cell>
        </row>
        <row r="8553">
          <cell r="B8553">
            <v>1937</v>
          </cell>
          <cell r="K8553" t="str">
            <v>FREMONT</v>
          </cell>
          <cell r="L8553" t="str">
            <v>Fremont</v>
          </cell>
          <cell r="V8553">
            <v>135322</v>
          </cell>
        </row>
        <row r="8554">
          <cell r="B8554">
            <v>1937</v>
          </cell>
          <cell r="K8554" t="str">
            <v>MILLS</v>
          </cell>
          <cell r="L8554" t="str">
            <v>Mills</v>
          </cell>
          <cell r="V8554">
            <v>110230</v>
          </cell>
        </row>
        <row r="8555">
          <cell r="B8555">
            <v>1937</v>
          </cell>
          <cell r="K8555" t="str">
            <v>MONTGOMERY</v>
          </cell>
          <cell r="L8555" t="str">
            <v>Montgomery</v>
          </cell>
          <cell r="V8555">
            <v>93974</v>
          </cell>
        </row>
        <row r="8556">
          <cell r="B8556">
            <v>1937</v>
          </cell>
          <cell r="K8556" t="str">
            <v>PAGE</v>
          </cell>
          <cell r="L8556" t="str">
            <v>Page</v>
          </cell>
          <cell r="V8556">
            <v>109141</v>
          </cell>
        </row>
        <row r="8557">
          <cell r="B8557">
            <v>1937</v>
          </cell>
          <cell r="K8557" t="str">
            <v>POTTAWATTAMIE</v>
          </cell>
          <cell r="L8557" t="str">
            <v>Pottawattamie</v>
          </cell>
          <cell r="V8557">
            <v>232944</v>
          </cell>
        </row>
        <row r="8558">
          <cell r="B8558">
            <v>1937</v>
          </cell>
          <cell r="K8558" t="str">
            <v>TAYLOR</v>
          </cell>
          <cell r="L8558" t="str">
            <v>Taylor</v>
          </cell>
          <cell r="V8558">
            <v>82193</v>
          </cell>
        </row>
        <row r="8559">
          <cell r="B8559">
            <v>1937</v>
          </cell>
          <cell r="K8559" t="str">
            <v>AUDUBON</v>
          </cell>
          <cell r="L8559" t="str">
            <v>Audubon</v>
          </cell>
          <cell r="V8559">
            <v>100762</v>
          </cell>
        </row>
        <row r="8560">
          <cell r="B8560">
            <v>1937</v>
          </cell>
          <cell r="K8560" t="str">
            <v>CALHOUN</v>
          </cell>
          <cell r="L8560" t="str">
            <v>Calhoun</v>
          </cell>
          <cell r="V8560">
            <v>148068</v>
          </cell>
        </row>
        <row r="8561">
          <cell r="B8561">
            <v>1937</v>
          </cell>
          <cell r="K8561" t="str">
            <v>CARROLL</v>
          </cell>
          <cell r="L8561" t="str">
            <v>Carroll</v>
          </cell>
          <cell r="V8561">
            <v>143640</v>
          </cell>
        </row>
        <row r="8562">
          <cell r="B8562">
            <v>1937</v>
          </cell>
          <cell r="K8562" t="str">
            <v>CRAWFORD</v>
          </cell>
          <cell r="L8562" t="str">
            <v>Crawford</v>
          </cell>
          <cell r="V8562">
            <v>157093</v>
          </cell>
        </row>
        <row r="8563">
          <cell r="B8563">
            <v>1937</v>
          </cell>
          <cell r="K8563" t="str">
            <v>GREENE</v>
          </cell>
          <cell r="L8563" t="str">
            <v>Greene</v>
          </cell>
          <cell r="V8563">
            <v>158011</v>
          </cell>
        </row>
        <row r="8564">
          <cell r="B8564">
            <v>1937</v>
          </cell>
          <cell r="K8564" t="str">
            <v>GUTHRIE</v>
          </cell>
          <cell r="L8564" t="str">
            <v>Guthrie</v>
          </cell>
          <cell r="V8564">
            <v>121893</v>
          </cell>
        </row>
        <row r="8565">
          <cell r="B8565">
            <v>1937</v>
          </cell>
          <cell r="K8565" t="str">
            <v>HARRISON</v>
          </cell>
          <cell r="L8565" t="str">
            <v>Harrison</v>
          </cell>
          <cell r="V8565">
            <v>167137</v>
          </cell>
        </row>
        <row r="8566">
          <cell r="B8566">
            <v>1937</v>
          </cell>
          <cell r="K8566" t="str">
            <v>IDA</v>
          </cell>
          <cell r="L8566" t="str">
            <v>Ida</v>
          </cell>
          <cell r="V8566">
            <v>107467</v>
          </cell>
        </row>
        <row r="8567">
          <cell r="B8567">
            <v>1937</v>
          </cell>
          <cell r="K8567" t="str">
            <v>MONONA</v>
          </cell>
          <cell r="L8567" t="str">
            <v>Monona</v>
          </cell>
          <cell r="V8567">
            <v>158640</v>
          </cell>
        </row>
        <row r="8568">
          <cell r="B8568">
            <v>1937</v>
          </cell>
          <cell r="K8568" t="str">
            <v>SAC</v>
          </cell>
          <cell r="L8568" t="str">
            <v>Sac</v>
          </cell>
          <cell r="V8568">
            <v>143370</v>
          </cell>
        </row>
        <row r="8569">
          <cell r="B8569">
            <v>1937</v>
          </cell>
          <cell r="K8569" t="str">
            <v>SHELBY</v>
          </cell>
          <cell r="L8569" t="str">
            <v>Shelby</v>
          </cell>
          <cell r="V8569">
            <v>150207</v>
          </cell>
        </row>
        <row r="8570">
          <cell r="B8570">
            <v>1937</v>
          </cell>
          <cell r="K8570" t="str">
            <v>WOODBURY</v>
          </cell>
          <cell r="L8570" t="str">
            <v>Woodbury</v>
          </cell>
          <cell r="V8570">
            <v>222181</v>
          </cell>
        </row>
        <row r="8571">
          <cell r="B8571">
            <v>1936</v>
          </cell>
          <cell r="K8571" t="str">
            <v>BOONE</v>
          </cell>
          <cell r="L8571" t="str">
            <v>Boone</v>
          </cell>
          <cell r="V8571">
            <v>140981</v>
          </cell>
        </row>
        <row r="8572">
          <cell r="B8572">
            <v>1936</v>
          </cell>
          <cell r="K8572" t="str">
            <v>DALLAS</v>
          </cell>
          <cell r="L8572" t="str">
            <v>Dallas</v>
          </cell>
          <cell r="V8572">
            <v>142976</v>
          </cell>
        </row>
        <row r="8573">
          <cell r="B8573">
            <v>1936</v>
          </cell>
          <cell r="K8573" t="str">
            <v>GRUNDY</v>
          </cell>
          <cell r="L8573" t="str">
            <v>Grundy</v>
          </cell>
          <cell r="V8573">
            <v>109698</v>
          </cell>
        </row>
        <row r="8574">
          <cell r="B8574">
            <v>1936</v>
          </cell>
          <cell r="K8574" t="str">
            <v>HAMILTON</v>
          </cell>
          <cell r="L8574" t="str">
            <v>Hamilton</v>
          </cell>
          <cell r="V8574">
            <v>148819</v>
          </cell>
        </row>
        <row r="8575">
          <cell r="B8575">
            <v>1936</v>
          </cell>
          <cell r="K8575" t="str">
            <v>HARDIN</v>
          </cell>
          <cell r="L8575" t="str">
            <v>Hardin</v>
          </cell>
          <cell r="V8575">
            <v>133392</v>
          </cell>
        </row>
        <row r="8576">
          <cell r="B8576">
            <v>1936</v>
          </cell>
          <cell r="K8576" t="str">
            <v>JASPER</v>
          </cell>
          <cell r="L8576" t="str">
            <v>Jasper</v>
          </cell>
          <cell r="V8576">
            <v>152913</v>
          </cell>
        </row>
        <row r="8577">
          <cell r="B8577">
            <v>1936</v>
          </cell>
          <cell r="K8577" t="str">
            <v>MARSHALL</v>
          </cell>
          <cell r="L8577" t="str">
            <v>Marshall</v>
          </cell>
          <cell r="V8577">
            <v>122066</v>
          </cell>
        </row>
        <row r="8578">
          <cell r="B8578">
            <v>1936</v>
          </cell>
          <cell r="K8578" t="str">
            <v>POLK</v>
          </cell>
          <cell r="L8578" t="str">
            <v>Polk</v>
          </cell>
          <cell r="V8578">
            <v>116875</v>
          </cell>
        </row>
        <row r="8579">
          <cell r="B8579">
            <v>1936</v>
          </cell>
          <cell r="K8579" t="str">
            <v>POWESHIEK</v>
          </cell>
          <cell r="L8579" t="str">
            <v>Poweshiek</v>
          </cell>
          <cell r="V8579">
            <v>114083</v>
          </cell>
        </row>
        <row r="8580">
          <cell r="B8580">
            <v>1936</v>
          </cell>
          <cell r="K8580" t="str">
            <v>STORY</v>
          </cell>
          <cell r="L8580" t="str">
            <v>Story</v>
          </cell>
          <cell r="V8580">
            <v>148800</v>
          </cell>
        </row>
        <row r="8581">
          <cell r="B8581">
            <v>1936</v>
          </cell>
          <cell r="K8581" t="str">
            <v>TAMA</v>
          </cell>
          <cell r="L8581" t="str">
            <v>Tama</v>
          </cell>
          <cell r="V8581">
            <v>133755</v>
          </cell>
        </row>
        <row r="8582">
          <cell r="B8582">
            <v>1936</v>
          </cell>
          <cell r="K8582" t="str">
            <v>WEBSTER</v>
          </cell>
          <cell r="L8582" t="str">
            <v>Webster</v>
          </cell>
          <cell r="V8582">
            <v>176326</v>
          </cell>
        </row>
        <row r="8583">
          <cell r="B8583">
            <v>1936</v>
          </cell>
          <cell r="K8583" t="str">
            <v>BENTON</v>
          </cell>
          <cell r="L8583" t="str">
            <v>Benton</v>
          </cell>
          <cell r="V8583">
            <v>145498</v>
          </cell>
        </row>
        <row r="8584">
          <cell r="B8584">
            <v>1936</v>
          </cell>
          <cell r="K8584" t="str">
            <v>CEDAR</v>
          </cell>
          <cell r="L8584" t="str">
            <v>Cedar</v>
          </cell>
          <cell r="V8584">
            <v>112442</v>
          </cell>
        </row>
        <row r="8585">
          <cell r="B8585">
            <v>1936</v>
          </cell>
          <cell r="K8585" t="str">
            <v>CLINTON</v>
          </cell>
          <cell r="L8585" t="str">
            <v>Clinton</v>
          </cell>
          <cell r="V8585">
            <v>138138</v>
          </cell>
        </row>
        <row r="8586">
          <cell r="B8586">
            <v>1936</v>
          </cell>
          <cell r="K8586" t="str">
            <v>IOWA</v>
          </cell>
          <cell r="L8586" t="str">
            <v>Iowa</v>
          </cell>
          <cell r="V8586">
            <v>101796</v>
          </cell>
        </row>
        <row r="8587">
          <cell r="B8587">
            <v>1936</v>
          </cell>
          <cell r="K8587" t="str">
            <v>JACKSON</v>
          </cell>
          <cell r="L8587" t="str">
            <v>Jackson</v>
          </cell>
          <cell r="V8587">
            <v>67837</v>
          </cell>
        </row>
        <row r="8588">
          <cell r="B8588">
            <v>1936</v>
          </cell>
          <cell r="K8588" t="str">
            <v>JOHNSON</v>
          </cell>
          <cell r="L8588" t="str">
            <v>Johnson</v>
          </cell>
          <cell r="V8588">
            <v>109756</v>
          </cell>
        </row>
        <row r="8589">
          <cell r="B8589">
            <v>1936</v>
          </cell>
          <cell r="K8589" t="str">
            <v>JONES</v>
          </cell>
          <cell r="L8589" t="str">
            <v>Jones</v>
          </cell>
          <cell r="V8589">
            <v>86562</v>
          </cell>
        </row>
        <row r="8590">
          <cell r="B8590">
            <v>1936</v>
          </cell>
          <cell r="K8590" t="str">
            <v>LINN</v>
          </cell>
          <cell r="L8590" t="str">
            <v>Linn</v>
          </cell>
          <cell r="V8590">
            <v>126510</v>
          </cell>
        </row>
        <row r="8591">
          <cell r="B8591">
            <v>1936</v>
          </cell>
          <cell r="K8591" t="str">
            <v>MUSCATINE</v>
          </cell>
          <cell r="L8591" t="str">
            <v>Muscatine</v>
          </cell>
          <cell r="V8591">
            <v>77869</v>
          </cell>
        </row>
        <row r="8592">
          <cell r="B8592">
            <v>1936</v>
          </cell>
          <cell r="K8592" t="str">
            <v>SCOTT</v>
          </cell>
          <cell r="L8592" t="str">
            <v>Scott</v>
          </cell>
          <cell r="V8592">
            <v>83970</v>
          </cell>
        </row>
        <row r="8593">
          <cell r="B8593">
            <v>1936</v>
          </cell>
          <cell r="K8593" t="str">
            <v>BUTLER</v>
          </cell>
          <cell r="L8593" t="str">
            <v>Butler</v>
          </cell>
          <cell r="V8593">
            <v>119579</v>
          </cell>
        </row>
        <row r="8594">
          <cell r="B8594">
            <v>1936</v>
          </cell>
          <cell r="K8594" t="str">
            <v>CERRO GORDO</v>
          </cell>
          <cell r="L8594" t="str">
            <v>Cerro Gordo</v>
          </cell>
          <cell r="V8594">
            <v>120246</v>
          </cell>
        </row>
        <row r="8595">
          <cell r="B8595">
            <v>1936</v>
          </cell>
          <cell r="K8595" t="str">
            <v>FLOYD</v>
          </cell>
          <cell r="L8595" t="str">
            <v>Floyd</v>
          </cell>
          <cell r="V8595">
            <v>106046</v>
          </cell>
        </row>
        <row r="8596">
          <cell r="B8596">
            <v>1936</v>
          </cell>
          <cell r="K8596" t="str">
            <v>FRANKLIN</v>
          </cell>
          <cell r="L8596" t="str">
            <v>Franklin</v>
          </cell>
          <cell r="V8596">
            <v>139274</v>
          </cell>
        </row>
        <row r="8597">
          <cell r="B8597">
            <v>1936</v>
          </cell>
          <cell r="K8597" t="str">
            <v>HANCOCK</v>
          </cell>
          <cell r="L8597" t="str">
            <v>Hancock</v>
          </cell>
          <cell r="V8597">
            <v>132382</v>
          </cell>
        </row>
        <row r="8598">
          <cell r="B8598">
            <v>1936</v>
          </cell>
          <cell r="K8598" t="str">
            <v>HUMBOLDT</v>
          </cell>
          <cell r="L8598" t="str">
            <v>Humboldt</v>
          </cell>
          <cell r="V8598">
            <v>112698</v>
          </cell>
        </row>
        <row r="8599">
          <cell r="B8599">
            <v>1936</v>
          </cell>
          <cell r="K8599" t="str">
            <v>KOSSUTH</v>
          </cell>
          <cell r="L8599" t="str">
            <v>Kossuth</v>
          </cell>
          <cell r="V8599">
            <v>235923</v>
          </cell>
        </row>
        <row r="8600">
          <cell r="B8600">
            <v>1936</v>
          </cell>
          <cell r="K8600" t="str">
            <v>MITCHELL</v>
          </cell>
          <cell r="L8600" t="str">
            <v>Mitchell</v>
          </cell>
          <cell r="V8600">
            <v>82304</v>
          </cell>
        </row>
        <row r="8601">
          <cell r="B8601">
            <v>1936</v>
          </cell>
          <cell r="K8601" t="str">
            <v>WINNEBAGO</v>
          </cell>
          <cell r="L8601" t="str">
            <v>Winnebago</v>
          </cell>
          <cell r="V8601">
            <v>84445</v>
          </cell>
        </row>
        <row r="8602">
          <cell r="B8602">
            <v>1936</v>
          </cell>
          <cell r="K8602" t="str">
            <v>WORTH</v>
          </cell>
          <cell r="L8602" t="str">
            <v>Worth</v>
          </cell>
          <cell r="V8602">
            <v>73358</v>
          </cell>
        </row>
        <row r="8603">
          <cell r="B8603">
            <v>1936</v>
          </cell>
          <cell r="K8603" t="str">
            <v>WRIGHT</v>
          </cell>
          <cell r="L8603" t="str">
            <v>Wright</v>
          </cell>
          <cell r="V8603">
            <v>148517</v>
          </cell>
        </row>
        <row r="8604">
          <cell r="B8604">
            <v>1936</v>
          </cell>
          <cell r="K8604" t="str">
            <v>ALLAMAKEE</v>
          </cell>
          <cell r="L8604" t="str">
            <v>Allamakee</v>
          </cell>
          <cell r="V8604">
            <v>48162</v>
          </cell>
        </row>
        <row r="8605">
          <cell r="B8605">
            <v>1936</v>
          </cell>
          <cell r="K8605" t="str">
            <v>BLACK HAWK</v>
          </cell>
          <cell r="L8605" t="str">
            <v>Black Hawk</v>
          </cell>
          <cell r="V8605">
            <v>111274</v>
          </cell>
        </row>
        <row r="8606">
          <cell r="B8606">
            <v>1936</v>
          </cell>
          <cell r="K8606" t="str">
            <v>BREMER</v>
          </cell>
          <cell r="L8606" t="str">
            <v>Bremer</v>
          </cell>
          <cell r="V8606">
            <v>74410</v>
          </cell>
        </row>
        <row r="8607">
          <cell r="B8607">
            <v>1936</v>
          </cell>
          <cell r="K8607" t="str">
            <v>BUCHANAN</v>
          </cell>
          <cell r="L8607" t="str">
            <v>Buchanan</v>
          </cell>
          <cell r="V8607">
            <v>110932</v>
          </cell>
        </row>
        <row r="8608">
          <cell r="B8608">
            <v>1936</v>
          </cell>
          <cell r="K8608" t="str">
            <v>CHICKASAW</v>
          </cell>
          <cell r="L8608" t="str">
            <v>Chickasaw</v>
          </cell>
          <cell r="V8608">
            <v>79788</v>
          </cell>
        </row>
        <row r="8609">
          <cell r="B8609">
            <v>1936</v>
          </cell>
          <cell r="K8609" t="str">
            <v>CLAYTON</v>
          </cell>
          <cell r="L8609" t="str">
            <v>Clayton</v>
          </cell>
          <cell r="V8609">
            <v>83099</v>
          </cell>
        </row>
        <row r="8610">
          <cell r="B8610">
            <v>1936</v>
          </cell>
          <cell r="K8610" t="str">
            <v>DELAWARE</v>
          </cell>
          <cell r="L8610" t="str">
            <v>Delaware</v>
          </cell>
          <cell r="V8610">
            <v>99796</v>
          </cell>
        </row>
        <row r="8611">
          <cell r="B8611">
            <v>1936</v>
          </cell>
          <cell r="K8611" t="str">
            <v>DUBUQUE</v>
          </cell>
          <cell r="L8611" t="str">
            <v>Dubuque</v>
          </cell>
          <cell r="V8611">
            <v>73162</v>
          </cell>
        </row>
        <row r="8612">
          <cell r="B8612">
            <v>1936</v>
          </cell>
          <cell r="K8612" t="str">
            <v>FAYETTE</v>
          </cell>
          <cell r="L8612" t="str">
            <v>Fayette</v>
          </cell>
          <cell r="V8612">
            <v>107226</v>
          </cell>
        </row>
        <row r="8613">
          <cell r="B8613">
            <v>1936</v>
          </cell>
          <cell r="K8613" t="str">
            <v>HOWARD</v>
          </cell>
          <cell r="L8613" t="str">
            <v>Howard</v>
          </cell>
          <cell r="V8613">
            <v>64342</v>
          </cell>
        </row>
        <row r="8614">
          <cell r="B8614">
            <v>1936</v>
          </cell>
          <cell r="K8614" t="str">
            <v>WINNESHIEK</v>
          </cell>
          <cell r="L8614" t="str">
            <v>Winneshiek</v>
          </cell>
          <cell r="V8614">
            <v>86447</v>
          </cell>
        </row>
        <row r="8615">
          <cell r="B8615">
            <v>1936</v>
          </cell>
          <cell r="K8615" t="str">
            <v>BUENA VISTA</v>
          </cell>
          <cell r="L8615" t="str">
            <v>Buena Vista</v>
          </cell>
          <cell r="V8615">
            <v>145942</v>
          </cell>
        </row>
        <row r="8616">
          <cell r="B8616">
            <v>1936</v>
          </cell>
          <cell r="K8616" t="str">
            <v>CHEROKEE</v>
          </cell>
          <cell r="L8616" t="str">
            <v>Cherokee</v>
          </cell>
          <cell r="V8616">
            <v>134538</v>
          </cell>
        </row>
        <row r="8617">
          <cell r="B8617">
            <v>1936</v>
          </cell>
          <cell r="K8617" t="str">
            <v>CLAY</v>
          </cell>
          <cell r="L8617" t="str">
            <v>Clay</v>
          </cell>
          <cell r="V8617">
            <v>131871</v>
          </cell>
        </row>
        <row r="8618">
          <cell r="B8618">
            <v>1936</v>
          </cell>
          <cell r="K8618" t="str">
            <v>DICKINSON</v>
          </cell>
          <cell r="L8618" t="str">
            <v>Dickinson</v>
          </cell>
          <cell r="V8618">
            <v>83967</v>
          </cell>
        </row>
        <row r="8619">
          <cell r="B8619">
            <v>1936</v>
          </cell>
          <cell r="K8619" t="str">
            <v>EMMET</v>
          </cell>
          <cell r="L8619" t="str">
            <v>Emmet</v>
          </cell>
          <cell r="V8619">
            <v>92722</v>
          </cell>
        </row>
        <row r="8620">
          <cell r="B8620">
            <v>1936</v>
          </cell>
          <cell r="K8620" t="str">
            <v>LYON</v>
          </cell>
          <cell r="L8620" t="str">
            <v>Lyon</v>
          </cell>
          <cell r="V8620">
            <v>139009</v>
          </cell>
        </row>
        <row r="8621">
          <cell r="B8621">
            <v>1936</v>
          </cell>
          <cell r="K8621" t="str">
            <v>O BRIEN</v>
          </cell>
          <cell r="L8621" t="str">
            <v>O Brien</v>
          </cell>
          <cell r="V8621">
            <v>139648</v>
          </cell>
        </row>
        <row r="8622">
          <cell r="B8622">
            <v>1936</v>
          </cell>
          <cell r="K8622" t="str">
            <v>OSCEOLA</v>
          </cell>
          <cell r="L8622" t="str">
            <v>Osceola</v>
          </cell>
          <cell r="V8622">
            <v>95166</v>
          </cell>
        </row>
        <row r="8623">
          <cell r="B8623">
            <v>1936</v>
          </cell>
          <cell r="K8623" t="str">
            <v>PALO ALTO</v>
          </cell>
          <cell r="L8623" t="str">
            <v>Palo Alto</v>
          </cell>
          <cell r="V8623">
            <v>133128</v>
          </cell>
        </row>
        <row r="8624">
          <cell r="B8624">
            <v>1936</v>
          </cell>
          <cell r="K8624" t="str">
            <v>PLYMOUTH</v>
          </cell>
          <cell r="L8624" t="str">
            <v>Plymouth</v>
          </cell>
          <cell r="V8624">
            <v>209834</v>
          </cell>
        </row>
        <row r="8625">
          <cell r="B8625">
            <v>1936</v>
          </cell>
          <cell r="K8625" t="str">
            <v>POCAHONTAS</v>
          </cell>
          <cell r="L8625" t="str">
            <v>Pocahontas</v>
          </cell>
          <cell r="V8625">
            <v>151797</v>
          </cell>
        </row>
        <row r="8626">
          <cell r="B8626">
            <v>1936</v>
          </cell>
          <cell r="K8626" t="str">
            <v>SIOUX</v>
          </cell>
          <cell r="L8626" t="str">
            <v>Sioux</v>
          </cell>
          <cell r="V8626">
            <v>177743</v>
          </cell>
        </row>
        <row r="8627">
          <cell r="B8627">
            <v>1936</v>
          </cell>
          <cell r="K8627" t="str">
            <v>APPANOOSE</v>
          </cell>
          <cell r="L8627" t="str">
            <v>Appanoose</v>
          </cell>
          <cell r="V8627">
            <v>36120</v>
          </cell>
        </row>
        <row r="8628">
          <cell r="B8628">
            <v>1936</v>
          </cell>
          <cell r="K8628" t="str">
            <v>CLARKE</v>
          </cell>
          <cell r="L8628" t="str">
            <v>Clarke</v>
          </cell>
          <cell r="V8628">
            <v>54017</v>
          </cell>
        </row>
        <row r="8629">
          <cell r="B8629">
            <v>1936</v>
          </cell>
          <cell r="K8629" t="str">
            <v>DECATUR</v>
          </cell>
          <cell r="L8629" t="str">
            <v>Decatur</v>
          </cell>
          <cell r="V8629">
            <v>48792</v>
          </cell>
        </row>
        <row r="8630">
          <cell r="B8630">
            <v>1936</v>
          </cell>
          <cell r="K8630" t="str">
            <v>LUCAS</v>
          </cell>
          <cell r="L8630" t="str">
            <v>Lucas</v>
          </cell>
          <cell r="V8630">
            <v>44974</v>
          </cell>
        </row>
        <row r="8631">
          <cell r="B8631">
            <v>1936</v>
          </cell>
          <cell r="K8631" t="str">
            <v>MADISON</v>
          </cell>
          <cell r="L8631" t="str">
            <v>Madison</v>
          </cell>
          <cell r="V8631">
            <v>96113</v>
          </cell>
        </row>
        <row r="8632">
          <cell r="B8632">
            <v>1936</v>
          </cell>
          <cell r="K8632" t="str">
            <v>MARION</v>
          </cell>
          <cell r="L8632" t="str">
            <v>Marion</v>
          </cell>
          <cell r="V8632">
            <v>101716</v>
          </cell>
        </row>
        <row r="8633">
          <cell r="B8633">
            <v>1936</v>
          </cell>
          <cell r="K8633" t="str">
            <v>MONROE</v>
          </cell>
          <cell r="L8633" t="str">
            <v>Monroe</v>
          </cell>
          <cell r="V8633">
            <v>38902</v>
          </cell>
        </row>
        <row r="8634">
          <cell r="B8634">
            <v>1936</v>
          </cell>
          <cell r="K8634" t="str">
            <v>RINGGOLD</v>
          </cell>
          <cell r="L8634" t="str">
            <v>Ringgold</v>
          </cell>
          <cell r="V8634">
            <v>67786</v>
          </cell>
        </row>
        <row r="8635">
          <cell r="B8635">
            <v>1936</v>
          </cell>
          <cell r="K8635" t="str">
            <v>UNION</v>
          </cell>
          <cell r="L8635" t="str">
            <v>Union</v>
          </cell>
          <cell r="V8635">
            <v>64369</v>
          </cell>
        </row>
        <row r="8636">
          <cell r="B8636">
            <v>1936</v>
          </cell>
          <cell r="K8636" t="str">
            <v>WARREN</v>
          </cell>
          <cell r="L8636" t="str">
            <v>Warren</v>
          </cell>
          <cell r="V8636">
            <v>94753</v>
          </cell>
        </row>
        <row r="8637">
          <cell r="B8637">
            <v>1936</v>
          </cell>
          <cell r="K8637" t="str">
            <v>WAYNE</v>
          </cell>
          <cell r="L8637" t="str">
            <v>Wayne</v>
          </cell>
          <cell r="V8637">
            <v>55349</v>
          </cell>
        </row>
        <row r="8638">
          <cell r="B8638">
            <v>1936</v>
          </cell>
          <cell r="K8638" t="str">
            <v>DAVIS</v>
          </cell>
          <cell r="L8638" t="str">
            <v>Davis</v>
          </cell>
          <cell r="V8638">
            <v>43779</v>
          </cell>
        </row>
        <row r="8639">
          <cell r="B8639">
            <v>1936</v>
          </cell>
          <cell r="K8639" t="str">
            <v>DES MOINES</v>
          </cell>
          <cell r="L8639" t="str">
            <v>Des Moines</v>
          </cell>
          <cell r="V8639">
            <v>67228</v>
          </cell>
        </row>
        <row r="8640">
          <cell r="B8640">
            <v>1936</v>
          </cell>
          <cell r="K8640" t="str">
            <v>HENRY</v>
          </cell>
          <cell r="L8640" t="str">
            <v>Henry</v>
          </cell>
          <cell r="V8640">
            <v>68238</v>
          </cell>
        </row>
        <row r="8641">
          <cell r="B8641">
            <v>1936</v>
          </cell>
          <cell r="K8641" t="str">
            <v>JEFFERSON</v>
          </cell>
          <cell r="L8641" t="str">
            <v>Jefferson</v>
          </cell>
          <cell r="V8641">
            <v>61679</v>
          </cell>
        </row>
        <row r="8642">
          <cell r="B8642">
            <v>1936</v>
          </cell>
          <cell r="K8642" t="str">
            <v>KEOKUK</v>
          </cell>
          <cell r="L8642" t="str">
            <v>Keokuk</v>
          </cell>
          <cell r="V8642">
            <v>102683</v>
          </cell>
        </row>
        <row r="8643">
          <cell r="B8643">
            <v>1936</v>
          </cell>
          <cell r="K8643" t="str">
            <v>LEE</v>
          </cell>
          <cell r="L8643" t="str">
            <v>Lee</v>
          </cell>
          <cell r="V8643">
            <v>49803</v>
          </cell>
        </row>
        <row r="8644">
          <cell r="B8644">
            <v>1936</v>
          </cell>
          <cell r="K8644" t="str">
            <v>LOUISA</v>
          </cell>
          <cell r="L8644" t="str">
            <v>Louisa</v>
          </cell>
          <cell r="V8644">
            <v>73442</v>
          </cell>
        </row>
        <row r="8645">
          <cell r="B8645">
            <v>1936</v>
          </cell>
          <cell r="K8645" t="str">
            <v>MAHASKA</v>
          </cell>
          <cell r="L8645" t="str">
            <v>Mahaska</v>
          </cell>
          <cell r="V8645">
            <v>110333</v>
          </cell>
        </row>
        <row r="8646">
          <cell r="B8646">
            <v>1936</v>
          </cell>
          <cell r="K8646" t="str">
            <v>VAN BUREN</v>
          </cell>
          <cell r="L8646" t="str">
            <v>Van Buren</v>
          </cell>
          <cell r="V8646">
            <v>42108</v>
          </cell>
        </row>
        <row r="8647">
          <cell r="B8647">
            <v>1936</v>
          </cell>
          <cell r="K8647" t="str">
            <v>WAPELLO</v>
          </cell>
          <cell r="L8647" t="str">
            <v>Wapello</v>
          </cell>
          <cell r="V8647">
            <v>53789</v>
          </cell>
        </row>
        <row r="8648">
          <cell r="B8648">
            <v>1936</v>
          </cell>
          <cell r="K8648" t="str">
            <v>WASHINGTON</v>
          </cell>
          <cell r="L8648" t="str">
            <v>Washington</v>
          </cell>
          <cell r="V8648">
            <v>105058</v>
          </cell>
        </row>
        <row r="8649">
          <cell r="B8649">
            <v>1936</v>
          </cell>
          <cell r="K8649" t="str">
            <v>ADAIR</v>
          </cell>
          <cell r="L8649" t="str">
            <v>Adair</v>
          </cell>
          <cell r="V8649">
            <v>115420</v>
          </cell>
        </row>
        <row r="8650">
          <cell r="B8650">
            <v>1936</v>
          </cell>
          <cell r="K8650" t="str">
            <v>ADAMS</v>
          </cell>
          <cell r="L8650" t="str">
            <v>Adams</v>
          </cell>
          <cell r="V8650">
            <v>82071</v>
          </cell>
        </row>
        <row r="8651">
          <cell r="B8651">
            <v>1936</v>
          </cell>
          <cell r="K8651" t="str">
            <v>CASS</v>
          </cell>
          <cell r="L8651" t="str">
            <v>Cass</v>
          </cell>
          <cell r="V8651">
            <v>125202</v>
          </cell>
        </row>
        <row r="8652">
          <cell r="B8652">
            <v>1936</v>
          </cell>
          <cell r="K8652" t="str">
            <v>FREMONT</v>
          </cell>
          <cell r="L8652" t="str">
            <v>Fremont</v>
          </cell>
          <cell r="V8652">
            <v>148723</v>
          </cell>
        </row>
        <row r="8653">
          <cell r="B8653">
            <v>1936</v>
          </cell>
          <cell r="K8653" t="str">
            <v>MILLS</v>
          </cell>
          <cell r="L8653" t="str">
            <v>Mills</v>
          </cell>
          <cell r="V8653">
            <v>118500</v>
          </cell>
        </row>
        <row r="8654">
          <cell r="B8654">
            <v>1936</v>
          </cell>
          <cell r="K8654" t="str">
            <v>MONTGOMERY</v>
          </cell>
          <cell r="L8654" t="str">
            <v>Montgomery</v>
          </cell>
          <cell r="V8654">
            <v>100678</v>
          </cell>
        </row>
        <row r="8655">
          <cell r="B8655">
            <v>1936</v>
          </cell>
          <cell r="K8655" t="str">
            <v>PAGE</v>
          </cell>
          <cell r="L8655" t="str">
            <v>Page</v>
          </cell>
          <cell r="V8655">
            <v>110815</v>
          </cell>
        </row>
        <row r="8656">
          <cell r="B8656">
            <v>1936</v>
          </cell>
          <cell r="K8656" t="str">
            <v>POTTAWATTAMIE</v>
          </cell>
          <cell r="L8656" t="str">
            <v>Pottawattamie</v>
          </cell>
          <cell r="V8656">
            <v>245370</v>
          </cell>
        </row>
        <row r="8657">
          <cell r="B8657">
            <v>1936</v>
          </cell>
          <cell r="K8657" t="str">
            <v>TAYLOR</v>
          </cell>
          <cell r="L8657" t="str">
            <v>Taylor</v>
          </cell>
          <cell r="V8657">
            <v>87479</v>
          </cell>
        </row>
        <row r="8658">
          <cell r="B8658">
            <v>1936</v>
          </cell>
          <cell r="K8658" t="str">
            <v>AUDUBON</v>
          </cell>
          <cell r="L8658" t="str">
            <v>Audubon</v>
          </cell>
          <cell r="V8658">
            <v>98809</v>
          </cell>
        </row>
        <row r="8659">
          <cell r="B8659">
            <v>1936</v>
          </cell>
          <cell r="K8659" t="str">
            <v>CALHOUN</v>
          </cell>
          <cell r="L8659" t="str">
            <v>Calhoun</v>
          </cell>
          <cell r="V8659">
            <v>148936</v>
          </cell>
        </row>
        <row r="8660">
          <cell r="B8660">
            <v>1936</v>
          </cell>
          <cell r="K8660" t="str">
            <v>CARROLL</v>
          </cell>
          <cell r="L8660" t="str">
            <v>Carroll</v>
          </cell>
          <cell r="V8660">
            <v>141482</v>
          </cell>
        </row>
        <row r="8661">
          <cell r="B8661">
            <v>1936</v>
          </cell>
          <cell r="K8661" t="str">
            <v>CRAWFORD</v>
          </cell>
          <cell r="L8661" t="str">
            <v>Crawford</v>
          </cell>
          <cell r="V8661">
            <v>157470</v>
          </cell>
        </row>
        <row r="8662">
          <cell r="B8662">
            <v>1936</v>
          </cell>
          <cell r="K8662" t="str">
            <v>GREENE</v>
          </cell>
          <cell r="L8662" t="str">
            <v>Greene</v>
          </cell>
          <cell r="V8662">
            <v>153410</v>
          </cell>
        </row>
        <row r="8663">
          <cell r="B8663">
            <v>1936</v>
          </cell>
          <cell r="K8663" t="str">
            <v>GUTHRIE</v>
          </cell>
          <cell r="L8663" t="str">
            <v>Guthrie</v>
          </cell>
          <cell r="V8663">
            <v>120273</v>
          </cell>
        </row>
        <row r="8664">
          <cell r="B8664">
            <v>1936</v>
          </cell>
          <cell r="K8664" t="str">
            <v>HARRISON</v>
          </cell>
          <cell r="L8664" t="str">
            <v>Harrison</v>
          </cell>
          <cell r="V8664">
            <v>165923</v>
          </cell>
        </row>
        <row r="8665">
          <cell r="B8665">
            <v>1936</v>
          </cell>
          <cell r="K8665" t="str">
            <v>IDA</v>
          </cell>
          <cell r="L8665" t="str">
            <v>Ida</v>
          </cell>
          <cell r="V8665">
            <v>107632</v>
          </cell>
        </row>
        <row r="8666">
          <cell r="B8666">
            <v>1936</v>
          </cell>
          <cell r="K8666" t="str">
            <v>MONONA</v>
          </cell>
          <cell r="L8666" t="str">
            <v>Monona</v>
          </cell>
          <cell r="V8666">
            <v>166602</v>
          </cell>
        </row>
        <row r="8667">
          <cell r="B8667">
            <v>1936</v>
          </cell>
          <cell r="K8667" t="str">
            <v>SAC</v>
          </cell>
          <cell r="L8667" t="str">
            <v>Sac</v>
          </cell>
          <cell r="V8667">
            <v>134299</v>
          </cell>
        </row>
        <row r="8668">
          <cell r="B8668">
            <v>1936</v>
          </cell>
          <cell r="K8668" t="str">
            <v>SHELBY</v>
          </cell>
          <cell r="L8668" t="str">
            <v>Shelby</v>
          </cell>
          <cell r="V8668">
            <v>152974</v>
          </cell>
        </row>
        <row r="8669">
          <cell r="B8669">
            <v>1936</v>
          </cell>
          <cell r="K8669" t="str">
            <v>WOODBURY</v>
          </cell>
          <cell r="L8669" t="str">
            <v>Woodbury</v>
          </cell>
          <cell r="V8669">
            <v>196064</v>
          </cell>
        </row>
        <row r="8670">
          <cell r="B8670">
            <v>1935</v>
          </cell>
          <cell r="K8670" t="str">
            <v>BOONE</v>
          </cell>
          <cell r="L8670" t="str">
            <v>Boone</v>
          </cell>
          <cell r="V8670">
            <v>127004</v>
          </cell>
        </row>
        <row r="8671">
          <cell r="B8671">
            <v>1935</v>
          </cell>
          <cell r="K8671" t="str">
            <v>DALLAS</v>
          </cell>
          <cell r="L8671" t="str">
            <v>Dallas</v>
          </cell>
          <cell r="V8671">
            <v>124967</v>
          </cell>
        </row>
        <row r="8672">
          <cell r="B8672">
            <v>1935</v>
          </cell>
          <cell r="K8672" t="str">
            <v>GRUNDY</v>
          </cell>
          <cell r="L8672" t="str">
            <v>Grundy</v>
          </cell>
          <cell r="V8672">
            <v>103489</v>
          </cell>
        </row>
        <row r="8673">
          <cell r="B8673">
            <v>1935</v>
          </cell>
          <cell r="K8673" t="str">
            <v>HAMILTON</v>
          </cell>
          <cell r="L8673" t="str">
            <v>Hamilton</v>
          </cell>
          <cell r="V8673">
            <v>134248</v>
          </cell>
        </row>
        <row r="8674">
          <cell r="B8674">
            <v>1935</v>
          </cell>
          <cell r="K8674" t="str">
            <v>HARDIN</v>
          </cell>
          <cell r="L8674" t="str">
            <v>Hardin</v>
          </cell>
          <cell r="V8674">
            <v>123633</v>
          </cell>
        </row>
        <row r="8675">
          <cell r="B8675">
            <v>1935</v>
          </cell>
          <cell r="K8675" t="str">
            <v>JASPER</v>
          </cell>
          <cell r="L8675" t="str">
            <v>Jasper</v>
          </cell>
          <cell r="V8675">
            <v>139410</v>
          </cell>
        </row>
        <row r="8676">
          <cell r="B8676">
            <v>1935</v>
          </cell>
          <cell r="K8676" t="str">
            <v>MARSHALL</v>
          </cell>
          <cell r="L8676" t="str">
            <v>Marshall</v>
          </cell>
          <cell r="V8676">
            <v>115388</v>
          </cell>
        </row>
        <row r="8677">
          <cell r="B8677">
            <v>1935</v>
          </cell>
          <cell r="K8677" t="str">
            <v>POLK</v>
          </cell>
          <cell r="L8677" t="str">
            <v>Polk</v>
          </cell>
          <cell r="V8677">
            <v>103681</v>
          </cell>
        </row>
        <row r="8678">
          <cell r="B8678">
            <v>1935</v>
          </cell>
          <cell r="K8678" t="str">
            <v>POWESHIEK</v>
          </cell>
          <cell r="L8678" t="str">
            <v>Poweshiek</v>
          </cell>
          <cell r="V8678">
            <v>102082</v>
          </cell>
        </row>
        <row r="8679">
          <cell r="B8679">
            <v>1935</v>
          </cell>
          <cell r="K8679" t="str">
            <v>STORY</v>
          </cell>
          <cell r="L8679" t="str">
            <v>Story</v>
          </cell>
          <cell r="V8679">
            <v>135821</v>
          </cell>
        </row>
        <row r="8680">
          <cell r="B8680">
            <v>1935</v>
          </cell>
          <cell r="K8680" t="str">
            <v>TAMA</v>
          </cell>
          <cell r="L8680" t="str">
            <v>Tama</v>
          </cell>
          <cell r="V8680">
            <v>126889</v>
          </cell>
        </row>
        <row r="8681">
          <cell r="B8681">
            <v>1935</v>
          </cell>
          <cell r="K8681" t="str">
            <v>WEBSTER</v>
          </cell>
          <cell r="L8681" t="str">
            <v>Webster</v>
          </cell>
          <cell r="V8681">
            <v>161179</v>
          </cell>
        </row>
        <row r="8682">
          <cell r="B8682">
            <v>1935</v>
          </cell>
          <cell r="K8682" t="str">
            <v>BENTON</v>
          </cell>
          <cell r="L8682" t="str">
            <v>Benton</v>
          </cell>
          <cell r="V8682">
            <v>133477</v>
          </cell>
        </row>
        <row r="8683">
          <cell r="B8683">
            <v>1935</v>
          </cell>
          <cell r="K8683" t="str">
            <v>CEDAR</v>
          </cell>
          <cell r="L8683" t="str">
            <v>Cedar</v>
          </cell>
          <cell r="V8683">
            <v>105162</v>
          </cell>
        </row>
        <row r="8684">
          <cell r="B8684">
            <v>1935</v>
          </cell>
          <cell r="K8684" t="str">
            <v>CLINTON</v>
          </cell>
          <cell r="L8684" t="str">
            <v>Clinton</v>
          </cell>
          <cell r="V8684">
            <v>127892</v>
          </cell>
        </row>
        <row r="8685">
          <cell r="B8685">
            <v>1935</v>
          </cell>
          <cell r="K8685" t="str">
            <v>IOWA</v>
          </cell>
          <cell r="L8685" t="str">
            <v>Iowa</v>
          </cell>
          <cell r="V8685">
            <v>90355</v>
          </cell>
        </row>
        <row r="8686">
          <cell r="B8686">
            <v>1935</v>
          </cell>
          <cell r="K8686" t="str">
            <v>JACKSON</v>
          </cell>
          <cell r="L8686" t="str">
            <v>Jackson</v>
          </cell>
          <cell r="V8686">
            <v>66558</v>
          </cell>
        </row>
        <row r="8687">
          <cell r="B8687">
            <v>1935</v>
          </cell>
          <cell r="K8687" t="str">
            <v>JOHNSON</v>
          </cell>
          <cell r="L8687" t="str">
            <v>Johnson</v>
          </cell>
          <cell r="V8687">
            <v>101160</v>
          </cell>
        </row>
        <row r="8688">
          <cell r="B8688">
            <v>1935</v>
          </cell>
          <cell r="K8688" t="str">
            <v>JONES</v>
          </cell>
          <cell r="L8688" t="str">
            <v>Jones</v>
          </cell>
          <cell r="V8688">
            <v>82040</v>
          </cell>
        </row>
        <row r="8689">
          <cell r="B8689">
            <v>1935</v>
          </cell>
          <cell r="K8689" t="str">
            <v>LINN</v>
          </cell>
          <cell r="L8689" t="str">
            <v>Linn</v>
          </cell>
          <cell r="V8689">
            <v>115225</v>
          </cell>
        </row>
        <row r="8690">
          <cell r="B8690">
            <v>1935</v>
          </cell>
          <cell r="K8690" t="str">
            <v>MUSCATINE</v>
          </cell>
          <cell r="L8690" t="str">
            <v>Muscatine</v>
          </cell>
          <cell r="V8690">
            <v>73028</v>
          </cell>
        </row>
        <row r="8691">
          <cell r="B8691">
            <v>1935</v>
          </cell>
          <cell r="K8691" t="str">
            <v>SCOTT</v>
          </cell>
          <cell r="L8691" t="str">
            <v>Scott</v>
          </cell>
          <cell r="V8691">
            <v>77381</v>
          </cell>
        </row>
        <row r="8692">
          <cell r="B8692">
            <v>1935</v>
          </cell>
          <cell r="K8692" t="str">
            <v>BUTLER</v>
          </cell>
          <cell r="L8692" t="str">
            <v>Butler</v>
          </cell>
          <cell r="V8692">
            <v>111032</v>
          </cell>
        </row>
        <row r="8693">
          <cell r="B8693">
            <v>1935</v>
          </cell>
          <cell r="K8693" t="str">
            <v>CERRO GORDO</v>
          </cell>
          <cell r="L8693" t="str">
            <v>Cerro Gordo</v>
          </cell>
          <cell r="V8693">
            <v>108834</v>
          </cell>
        </row>
        <row r="8694">
          <cell r="B8694">
            <v>1935</v>
          </cell>
          <cell r="K8694" t="str">
            <v>FLOYD</v>
          </cell>
          <cell r="L8694" t="str">
            <v>Floyd</v>
          </cell>
          <cell r="V8694">
            <v>96169</v>
          </cell>
        </row>
        <row r="8695">
          <cell r="B8695">
            <v>1935</v>
          </cell>
          <cell r="K8695" t="str">
            <v>FRANKLIN</v>
          </cell>
          <cell r="L8695" t="str">
            <v>Franklin</v>
          </cell>
          <cell r="V8695">
            <v>127973</v>
          </cell>
        </row>
        <row r="8696">
          <cell r="B8696">
            <v>1935</v>
          </cell>
          <cell r="K8696" t="str">
            <v>HANCOCK</v>
          </cell>
          <cell r="L8696" t="str">
            <v>Hancock</v>
          </cell>
          <cell r="V8696">
            <v>122607</v>
          </cell>
        </row>
        <row r="8697">
          <cell r="B8697">
            <v>1935</v>
          </cell>
          <cell r="K8697" t="str">
            <v>HUMBOLDT</v>
          </cell>
          <cell r="L8697" t="str">
            <v>Humboldt</v>
          </cell>
          <cell r="V8697">
            <v>102227</v>
          </cell>
        </row>
        <row r="8698">
          <cell r="B8698">
            <v>1935</v>
          </cell>
          <cell r="K8698" t="str">
            <v>KOSSUTH</v>
          </cell>
          <cell r="L8698" t="str">
            <v>Kossuth</v>
          </cell>
          <cell r="V8698">
            <v>213702</v>
          </cell>
        </row>
        <row r="8699">
          <cell r="B8699">
            <v>1935</v>
          </cell>
          <cell r="K8699" t="str">
            <v>MITCHELL</v>
          </cell>
          <cell r="L8699" t="str">
            <v>Mitchell</v>
          </cell>
          <cell r="V8699">
            <v>72433</v>
          </cell>
        </row>
        <row r="8700">
          <cell r="B8700">
            <v>1935</v>
          </cell>
          <cell r="K8700" t="str">
            <v>WINNEBAGO</v>
          </cell>
          <cell r="L8700" t="str">
            <v>Winnebago</v>
          </cell>
          <cell r="V8700">
            <v>76193</v>
          </cell>
        </row>
        <row r="8701">
          <cell r="B8701">
            <v>1935</v>
          </cell>
          <cell r="K8701" t="str">
            <v>WORTH</v>
          </cell>
          <cell r="L8701" t="str">
            <v>Worth</v>
          </cell>
          <cell r="V8701">
            <v>65761</v>
          </cell>
        </row>
        <row r="8702">
          <cell r="B8702">
            <v>1935</v>
          </cell>
          <cell r="K8702" t="str">
            <v>WRIGHT</v>
          </cell>
          <cell r="L8702" t="str">
            <v>Wright</v>
          </cell>
          <cell r="V8702">
            <v>133078</v>
          </cell>
        </row>
        <row r="8703">
          <cell r="B8703">
            <v>1935</v>
          </cell>
          <cell r="K8703" t="str">
            <v>ALLAMAKEE</v>
          </cell>
          <cell r="L8703" t="str">
            <v>Allamakee</v>
          </cell>
          <cell r="V8703">
            <v>45561</v>
          </cell>
        </row>
        <row r="8704">
          <cell r="B8704">
            <v>1935</v>
          </cell>
          <cell r="K8704" t="str">
            <v>BLACK HAWK</v>
          </cell>
          <cell r="L8704" t="str">
            <v>Black Hawk</v>
          </cell>
          <cell r="V8704">
            <v>101912</v>
          </cell>
        </row>
        <row r="8705">
          <cell r="B8705">
            <v>1935</v>
          </cell>
          <cell r="K8705" t="str">
            <v>BREMER</v>
          </cell>
          <cell r="L8705" t="str">
            <v>Bremer</v>
          </cell>
          <cell r="V8705">
            <v>69874</v>
          </cell>
        </row>
        <row r="8706">
          <cell r="B8706">
            <v>1935</v>
          </cell>
          <cell r="K8706" t="str">
            <v>BUCHANAN</v>
          </cell>
          <cell r="L8706" t="str">
            <v>Buchanan</v>
          </cell>
          <cell r="V8706">
            <v>101992</v>
          </cell>
        </row>
        <row r="8707">
          <cell r="B8707">
            <v>1935</v>
          </cell>
          <cell r="K8707" t="str">
            <v>CHICKASAW</v>
          </cell>
          <cell r="L8707" t="str">
            <v>Chickasaw</v>
          </cell>
          <cell r="V8707">
            <v>74606</v>
          </cell>
        </row>
        <row r="8708">
          <cell r="B8708">
            <v>1935</v>
          </cell>
          <cell r="K8708" t="str">
            <v>CLAYTON</v>
          </cell>
          <cell r="L8708" t="str">
            <v>Clayton</v>
          </cell>
          <cell r="V8708">
            <v>77291</v>
          </cell>
        </row>
        <row r="8709">
          <cell r="B8709">
            <v>1935</v>
          </cell>
          <cell r="K8709" t="str">
            <v>DELAWARE</v>
          </cell>
          <cell r="L8709" t="str">
            <v>Delaware</v>
          </cell>
          <cell r="V8709">
            <v>91515</v>
          </cell>
        </row>
        <row r="8710">
          <cell r="B8710">
            <v>1935</v>
          </cell>
          <cell r="K8710" t="str">
            <v>DUBUQUE</v>
          </cell>
          <cell r="L8710" t="str">
            <v>Dubuque</v>
          </cell>
          <cell r="V8710">
            <v>68819</v>
          </cell>
        </row>
        <row r="8711">
          <cell r="B8711">
            <v>1935</v>
          </cell>
          <cell r="K8711" t="str">
            <v>FAYETTE</v>
          </cell>
          <cell r="L8711" t="str">
            <v>Fayette</v>
          </cell>
          <cell r="V8711">
            <v>101920</v>
          </cell>
        </row>
        <row r="8712">
          <cell r="B8712">
            <v>1935</v>
          </cell>
          <cell r="K8712" t="str">
            <v>HOWARD</v>
          </cell>
          <cell r="L8712" t="str">
            <v>Howard</v>
          </cell>
          <cell r="V8712">
            <v>60845</v>
          </cell>
        </row>
        <row r="8713">
          <cell r="B8713">
            <v>1935</v>
          </cell>
          <cell r="K8713" t="str">
            <v>WINNESHIEK</v>
          </cell>
          <cell r="L8713" t="str">
            <v>Winneshiek</v>
          </cell>
          <cell r="V8713">
            <v>80361</v>
          </cell>
        </row>
        <row r="8714">
          <cell r="B8714">
            <v>1935</v>
          </cell>
          <cell r="K8714" t="str">
            <v>BUENA VISTA</v>
          </cell>
          <cell r="L8714" t="str">
            <v>Buena Vista</v>
          </cell>
          <cell r="V8714">
            <v>133938</v>
          </cell>
        </row>
        <row r="8715">
          <cell r="B8715">
            <v>1935</v>
          </cell>
          <cell r="K8715" t="str">
            <v>CHEROKEE</v>
          </cell>
          <cell r="L8715" t="str">
            <v>Cherokee</v>
          </cell>
          <cell r="V8715">
            <v>122806</v>
          </cell>
        </row>
        <row r="8716">
          <cell r="B8716">
            <v>1935</v>
          </cell>
          <cell r="K8716" t="str">
            <v>CLAY</v>
          </cell>
          <cell r="L8716" t="str">
            <v>Clay</v>
          </cell>
          <cell r="V8716">
            <v>119502</v>
          </cell>
        </row>
        <row r="8717">
          <cell r="B8717">
            <v>1935</v>
          </cell>
          <cell r="K8717" t="str">
            <v>DICKINSON</v>
          </cell>
          <cell r="L8717" t="str">
            <v>Dickinson</v>
          </cell>
          <cell r="V8717">
            <v>75258</v>
          </cell>
        </row>
        <row r="8718">
          <cell r="B8718">
            <v>1935</v>
          </cell>
          <cell r="K8718" t="str">
            <v>EMMET</v>
          </cell>
          <cell r="L8718" t="str">
            <v>Emmet</v>
          </cell>
          <cell r="V8718">
            <v>84298</v>
          </cell>
        </row>
        <row r="8719">
          <cell r="B8719">
            <v>1935</v>
          </cell>
          <cell r="K8719" t="str">
            <v>LYON</v>
          </cell>
          <cell r="L8719" t="str">
            <v>Lyon</v>
          </cell>
          <cell r="V8719">
            <v>127486</v>
          </cell>
        </row>
        <row r="8720">
          <cell r="B8720">
            <v>1935</v>
          </cell>
          <cell r="K8720" t="str">
            <v>O BRIEN</v>
          </cell>
          <cell r="L8720" t="str">
            <v>O Brien</v>
          </cell>
          <cell r="V8720">
            <v>125262</v>
          </cell>
        </row>
        <row r="8721">
          <cell r="B8721">
            <v>1935</v>
          </cell>
          <cell r="K8721" t="str">
            <v>OSCEOLA</v>
          </cell>
          <cell r="L8721" t="str">
            <v>Osceola</v>
          </cell>
          <cell r="V8721">
            <v>85915</v>
          </cell>
        </row>
        <row r="8722">
          <cell r="B8722">
            <v>1935</v>
          </cell>
          <cell r="K8722" t="str">
            <v>PALO ALTO</v>
          </cell>
          <cell r="L8722" t="str">
            <v>Palo Alto</v>
          </cell>
          <cell r="V8722">
            <v>123328</v>
          </cell>
        </row>
        <row r="8723">
          <cell r="B8723">
            <v>1935</v>
          </cell>
          <cell r="K8723" t="str">
            <v>PLYMOUTH</v>
          </cell>
          <cell r="L8723" t="str">
            <v>Plymouth</v>
          </cell>
          <cell r="V8723">
            <v>195181</v>
          </cell>
        </row>
        <row r="8724">
          <cell r="B8724">
            <v>1935</v>
          </cell>
          <cell r="K8724" t="str">
            <v>POCAHONTAS</v>
          </cell>
          <cell r="L8724" t="str">
            <v>Pocahontas</v>
          </cell>
          <cell r="V8724">
            <v>136048</v>
          </cell>
        </row>
        <row r="8725">
          <cell r="B8725">
            <v>1935</v>
          </cell>
          <cell r="K8725" t="str">
            <v>SIOUX</v>
          </cell>
          <cell r="L8725" t="str">
            <v>Sioux</v>
          </cell>
          <cell r="V8725">
            <v>176048</v>
          </cell>
        </row>
        <row r="8726">
          <cell r="B8726">
            <v>1935</v>
          </cell>
          <cell r="K8726" t="str">
            <v>APPANOOSE</v>
          </cell>
          <cell r="L8726" t="str">
            <v>Appanoose</v>
          </cell>
          <cell r="V8726">
            <v>28959</v>
          </cell>
        </row>
        <row r="8727">
          <cell r="B8727">
            <v>1935</v>
          </cell>
          <cell r="K8727" t="str">
            <v>CLARKE</v>
          </cell>
          <cell r="L8727" t="str">
            <v>Clarke</v>
          </cell>
          <cell r="V8727">
            <v>44893</v>
          </cell>
        </row>
        <row r="8728">
          <cell r="B8728">
            <v>1935</v>
          </cell>
          <cell r="K8728" t="str">
            <v>DECATUR</v>
          </cell>
          <cell r="L8728" t="str">
            <v>Decatur</v>
          </cell>
          <cell r="V8728">
            <v>39312</v>
          </cell>
        </row>
        <row r="8729">
          <cell r="B8729">
            <v>1935</v>
          </cell>
          <cell r="K8729" t="str">
            <v>LUCAS</v>
          </cell>
          <cell r="L8729" t="str">
            <v>Lucas</v>
          </cell>
          <cell r="V8729">
            <v>35444</v>
          </cell>
        </row>
        <row r="8730">
          <cell r="B8730">
            <v>1935</v>
          </cell>
          <cell r="K8730" t="str">
            <v>MADISON</v>
          </cell>
          <cell r="L8730" t="str">
            <v>Madison</v>
          </cell>
          <cell r="V8730">
            <v>82274</v>
          </cell>
        </row>
        <row r="8731">
          <cell r="B8731">
            <v>1935</v>
          </cell>
          <cell r="K8731" t="str">
            <v>MARION</v>
          </cell>
          <cell r="L8731" t="str">
            <v>Marion</v>
          </cell>
          <cell r="V8731">
            <v>83188</v>
          </cell>
        </row>
        <row r="8732">
          <cell r="B8732">
            <v>1935</v>
          </cell>
          <cell r="K8732" t="str">
            <v>MONROE</v>
          </cell>
          <cell r="L8732" t="str">
            <v>Monroe</v>
          </cell>
          <cell r="V8732">
            <v>32959</v>
          </cell>
        </row>
        <row r="8733">
          <cell r="B8733">
            <v>1935</v>
          </cell>
          <cell r="K8733" t="str">
            <v>RINGGOLD</v>
          </cell>
          <cell r="L8733" t="str">
            <v>Ringgold</v>
          </cell>
          <cell r="V8733">
            <v>54398</v>
          </cell>
        </row>
        <row r="8734">
          <cell r="B8734">
            <v>1935</v>
          </cell>
          <cell r="K8734" t="str">
            <v>UNION</v>
          </cell>
          <cell r="L8734" t="str">
            <v>Union</v>
          </cell>
          <cell r="V8734">
            <v>54745</v>
          </cell>
        </row>
        <row r="8735">
          <cell r="B8735">
            <v>1935</v>
          </cell>
          <cell r="K8735" t="str">
            <v>WARREN</v>
          </cell>
          <cell r="L8735" t="str">
            <v>Warren</v>
          </cell>
          <cell r="V8735">
            <v>75716</v>
          </cell>
        </row>
        <row r="8736">
          <cell r="B8736">
            <v>1935</v>
          </cell>
          <cell r="K8736" t="str">
            <v>WAYNE</v>
          </cell>
          <cell r="L8736" t="str">
            <v>Wayne</v>
          </cell>
          <cell r="V8736">
            <v>44152</v>
          </cell>
        </row>
        <row r="8737">
          <cell r="B8737">
            <v>1935</v>
          </cell>
          <cell r="K8737" t="str">
            <v>DAVIS</v>
          </cell>
          <cell r="L8737" t="str">
            <v>Davis</v>
          </cell>
          <cell r="V8737">
            <v>36933</v>
          </cell>
        </row>
        <row r="8738">
          <cell r="B8738">
            <v>1935</v>
          </cell>
          <cell r="K8738" t="str">
            <v>DES MOINES</v>
          </cell>
          <cell r="L8738" t="str">
            <v>Des Moines</v>
          </cell>
          <cell r="V8738">
            <v>57943</v>
          </cell>
        </row>
        <row r="8739">
          <cell r="B8739">
            <v>1935</v>
          </cell>
          <cell r="K8739" t="str">
            <v>HENRY</v>
          </cell>
          <cell r="L8739" t="str">
            <v>Henry</v>
          </cell>
          <cell r="V8739">
            <v>57989</v>
          </cell>
        </row>
        <row r="8740">
          <cell r="B8740">
            <v>1935</v>
          </cell>
          <cell r="K8740" t="str">
            <v>JEFFERSON</v>
          </cell>
          <cell r="L8740" t="str">
            <v>Jefferson</v>
          </cell>
          <cell r="V8740">
            <v>52219</v>
          </cell>
        </row>
        <row r="8741">
          <cell r="B8741">
            <v>1935</v>
          </cell>
          <cell r="K8741" t="str">
            <v>KEOKUK</v>
          </cell>
          <cell r="L8741" t="str">
            <v>Keokuk</v>
          </cell>
          <cell r="V8741">
            <v>88828</v>
          </cell>
        </row>
        <row r="8742">
          <cell r="B8742">
            <v>1935</v>
          </cell>
          <cell r="K8742" t="str">
            <v>LEE</v>
          </cell>
          <cell r="L8742" t="str">
            <v>Lee</v>
          </cell>
          <cell r="V8742">
            <v>39726</v>
          </cell>
        </row>
        <row r="8743">
          <cell r="B8743">
            <v>1935</v>
          </cell>
          <cell r="K8743" t="str">
            <v>LOUISA</v>
          </cell>
          <cell r="L8743" t="str">
            <v>Louisa</v>
          </cell>
          <cell r="V8743">
            <v>61718</v>
          </cell>
        </row>
        <row r="8744">
          <cell r="B8744">
            <v>1935</v>
          </cell>
          <cell r="K8744" t="str">
            <v>MAHASKA</v>
          </cell>
          <cell r="L8744" t="str">
            <v>Mahaska</v>
          </cell>
          <cell r="V8744">
            <v>93778</v>
          </cell>
        </row>
        <row r="8745">
          <cell r="B8745">
            <v>1935</v>
          </cell>
          <cell r="K8745" t="str">
            <v>VAN BUREN</v>
          </cell>
          <cell r="L8745" t="str">
            <v>Van Buren</v>
          </cell>
          <cell r="V8745">
            <v>34592</v>
          </cell>
        </row>
        <row r="8746">
          <cell r="B8746">
            <v>1935</v>
          </cell>
          <cell r="K8746" t="str">
            <v>WAPELLO</v>
          </cell>
          <cell r="L8746" t="str">
            <v>Wapello</v>
          </cell>
          <cell r="V8746">
            <v>44336</v>
          </cell>
        </row>
        <row r="8747">
          <cell r="B8747">
            <v>1935</v>
          </cell>
          <cell r="K8747" t="str">
            <v>WASHINGTON</v>
          </cell>
          <cell r="L8747" t="str">
            <v>Washington</v>
          </cell>
          <cell r="V8747">
            <v>92445</v>
          </cell>
        </row>
        <row r="8748">
          <cell r="B8748">
            <v>1935</v>
          </cell>
          <cell r="K8748" t="str">
            <v>ADAIR</v>
          </cell>
          <cell r="L8748" t="str">
            <v>Adair</v>
          </cell>
          <cell r="V8748">
            <v>103761</v>
          </cell>
        </row>
        <row r="8749">
          <cell r="B8749">
            <v>1935</v>
          </cell>
          <cell r="K8749" t="str">
            <v>ADAMS</v>
          </cell>
          <cell r="L8749" t="str">
            <v>Adams</v>
          </cell>
          <cell r="V8749">
            <v>72921</v>
          </cell>
        </row>
        <row r="8750">
          <cell r="B8750">
            <v>1935</v>
          </cell>
          <cell r="K8750" t="str">
            <v>CASS</v>
          </cell>
          <cell r="L8750" t="str">
            <v>Cass</v>
          </cell>
          <cell r="V8750">
            <v>112496</v>
          </cell>
        </row>
        <row r="8751">
          <cell r="B8751">
            <v>1935</v>
          </cell>
          <cell r="K8751" t="str">
            <v>FREMONT</v>
          </cell>
          <cell r="L8751" t="str">
            <v>Fremont</v>
          </cell>
          <cell r="V8751">
            <v>131398</v>
          </cell>
        </row>
        <row r="8752">
          <cell r="B8752">
            <v>1935</v>
          </cell>
          <cell r="K8752" t="str">
            <v>MILLS</v>
          </cell>
          <cell r="L8752" t="str">
            <v>Mills</v>
          </cell>
          <cell r="V8752">
            <v>101369</v>
          </cell>
        </row>
        <row r="8753">
          <cell r="B8753">
            <v>1935</v>
          </cell>
          <cell r="K8753" t="str">
            <v>MONTGOMERY</v>
          </cell>
          <cell r="L8753" t="str">
            <v>Montgomery</v>
          </cell>
          <cell r="V8753">
            <v>89384</v>
          </cell>
        </row>
        <row r="8754">
          <cell r="B8754">
            <v>1935</v>
          </cell>
          <cell r="K8754" t="str">
            <v>PAGE</v>
          </cell>
          <cell r="L8754" t="str">
            <v>Page</v>
          </cell>
          <cell r="V8754">
            <v>101360</v>
          </cell>
        </row>
        <row r="8755">
          <cell r="B8755">
            <v>1935</v>
          </cell>
          <cell r="K8755" t="str">
            <v>POTTAWATTAMIE</v>
          </cell>
          <cell r="L8755" t="str">
            <v>Pottawattamie</v>
          </cell>
          <cell r="V8755">
            <v>218169</v>
          </cell>
        </row>
        <row r="8756">
          <cell r="B8756">
            <v>1935</v>
          </cell>
          <cell r="K8756" t="str">
            <v>TAYLOR</v>
          </cell>
          <cell r="L8756" t="str">
            <v>Taylor</v>
          </cell>
          <cell r="V8756">
            <v>73530</v>
          </cell>
        </row>
        <row r="8757">
          <cell r="B8757">
            <v>1935</v>
          </cell>
          <cell r="K8757" t="str">
            <v>AUDUBON</v>
          </cell>
          <cell r="L8757" t="str">
            <v>Audubon</v>
          </cell>
          <cell r="V8757">
            <v>87578</v>
          </cell>
        </row>
        <row r="8758">
          <cell r="B8758">
            <v>1935</v>
          </cell>
          <cell r="K8758" t="str">
            <v>CALHOUN</v>
          </cell>
          <cell r="L8758" t="str">
            <v>Calhoun</v>
          </cell>
          <cell r="V8758">
            <v>135610</v>
          </cell>
        </row>
        <row r="8759">
          <cell r="B8759">
            <v>1935</v>
          </cell>
          <cell r="K8759" t="str">
            <v>CARROLL</v>
          </cell>
          <cell r="L8759" t="str">
            <v>Carroll</v>
          </cell>
          <cell r="V8759">
            <v>127376</v>
          </cell>
        </row>
        <row r="8760">
          <cell r="B8760">
            <v>1935</v>
          </cell>
          <cell r="K8760" t="str">
            <v>CRAWFORD</v>
          </cell>
          <cell r="L8760" t="str">
            <v>Crawford</v>
          </cell>
          <cell r="V8760">
            <v>145072</v>
          </cell>
        </row>
        <row r="8761">
          <cell r="B8761">
            <v>1935</v>
          </cell>
          <cell r="K8761" t="str">
            <v>GREENE</v>
          </cell>
          <cell r="L8761" t="str">
            <v>Greene</v>
          </cell>
          <cell r="V8761">
            <v>140370</v>
          </cell>
        </row>
        <row r="8762">
          <cell r="B8762">
            <v>1935</v>
          </cell>
          <cell r="K8762" t="str">
            <v>GUTHRIE</v>
          </cell>
          <cell r="L8762" t="str">
            <v>Guthrie</v>
          </cell>
          <cell r="V8762">
            <v>108936</v>
          </cell>
        </row>
        <row r="8763">
          <cell r="B8763">
            <v>1935</v>
          </cell>
          <cell r="K8763" t="str">
            <v>HARRISON</v>
          </cell>
          <cell r="L8763" t="str">
            <v>Harrison</v>
          </cell>
          <cell r="V8763">
            <v>161344</v>
          </cell>
        </row>
        <row r="8764">
          <cell r="B8764">
            <v>1935</v>
          </cell>
          <cell r="K8764" t="str">
            <v>IDA</v>
          </cell>
          <cell r="L8764" t="str">
            <v>Ida</v>
          </cell>
          <cell r="V8764">
            <v>94117</v>
          </cell>
        </row>
        <row r="8765">
          <cell r="B8765">
            <v>1935</v>
          </cell>
          <cell r="K8765" t="str">
            <v>MONONA</v>
          </cell>
          <cell r="L8765" t="str">
            <v>Monona</v>
          </cell>
          <cell r="V8765">
            <v>147054</v>
          </cell>
        </row>
        <row r="8766">
          <cell r="B8766">
            <v>1935</v>
          </cell>
          <cell r="K8766" t="str">
            <v>SAC</v>
          </cell>
          <cell r="L8766" t="str">
            <v>Sac</v>
          </cell>
          <cell r="V8766">
            <v>126298</v>
          </cell>
        </row>
        <row r="8767">
          <cell r="B8767">
            <v>1935</v>
          </cell>
          <cell r="K8767" t="str">
            <v>SHELBY</v>
          </cell>
          <cell r="L8767" t="str">
            <v>Shelby</v>
          </cell>
          <cell r="V8767">
            <v>129941</v>
          </cell>
        </row>
        <row r="8768">
          <cell r="B8768">
            <v>1935</v>
          </cell>
          <cell r="K8768" t="str">
            <v>WOODBURY</v>
          </cell>
          <cell r="L8768" t="str">
            <v>Woodbury</v>
          </cell>
          <cell r="V8768">
            <v>200525</v>
          </cell>
        </row>
        <row r="8769">
          <cell r="B8769">
            <v>1934</v>
          </cell>
          <cell r="K8769" t="str">
            <v>BOONE</v>
          </cell>
          <cell r="L8769" t="str">
            <v>Boone</v>
          </cell>
          <cell r="V8769">
            <v>127004</v>
          </cell>
        </row>
        <row r="8770">
          <cell r="B8770">
            <v>1934</v>
          </cell>
          <cell r="K8770" t="str">
            <v>DALLAS</v>
          </cell>
          <cell r="L8770" t="str">
            <v>Dallas</v>
          </cell>
          <cell r="V8770">
            <v>124967</v>
          </cell>
        </row>
        <row r="8771">
          <cell r="B8771">
            <v>1934</v>
          </cell>
          <cell r="K8771" t="str">
            <v>GRUNDY</v>
          </cell>
          <cell r="L8771" t="str">
            <v>Grundy</v>
          </cell>
          <cell r="V8771">
            <v>103489</v>
          </cell>
        </row>
        <row r="8772">
          <cell r="B8772">
            <v>1934</v>
          </cell>
          <cell r="K8772" t="str">
            <v>HAMILTON</v>
          </cell>
          <cell r="L8772" t="str">
            <v>Hamilton</v>
          </cell>
          <cell r="V8772">
            <v>134248</v>
          </cell>
        </row>
        <row r="8773">
          <cell r="B8773">
            <v>1934</v>
          </cell>
          <cell r="K8773" t="str">
            <v>HARDIN</v>
          </cell>
          <cell r="L8773" t="str">
            <v>Hardin</v>
          </cell>
          <cell r="V8773">
            <v>123633</v>
          </cell>
        </row>
        <row r="8774">
          <cell r="B8774">
            <v>1934</v>
          </cell>
          <cell r="K8774" t="str">
            <v>JASPER</v>
          </cell>
          <cell r="L8774" t="str">
            <v>Jasper</v>
          </cell>
          <cell r="V8774">
            <v>139410</v>
          </cell>
        </row>
        <row r="8775">
          <cell r="B8775">
            <v>1934</v>
          </cell>
          <cell r="K8775" t="str">
            <v>MARSHALL</v>
          </cell>
          <cell r="L8775" t="str">
            <v>Marshall</v>
          </cell>
          <cell r="V8775">
            <v>115388</v>
          </cell>
        </row>
        <row r="8776">
          <cell r="B8776">
            <v>1934</v>
          </cell>
          <cell r="K8776" t="str">
            <v>POLK</v>
          </cell>
          <cell r="L8776" t="str">
            <v>Polk</v>
          </cell>
          <cell r="V8776">
            <v>103681</v>
          </cell>
        </row>
        <row r="8777">
          <cell r="B8777">
            <v>1934</v>
          </cell>
          <cell r="K8777" t="str">
            <v>POWESHIEK</v>
          </cell>
          <cell r="L8777" t="str">
            <v>Poweshiek</v>
          </cell>
          <cell r="V8777">
            <v>102082</v>
          </cell>
        </row>
        <row r="8778">
          <cell r="B8778">
            <v>1934</v>
          </cell>
          <cell r="K8778" t="str">
            <v>STORY</v>
          </cell>
          <cell r="L8778" t="str">
            <v>Story</v>
          </cell>
          <cell r="V8778">
            <v>135821</v>
          </cell>
        </row>
        <row r="8779">
          <cell r="B8779">
            <v>1934</v>
          </cell>
          <cell r="K8779" t="str">
            <v>TAMA</v>
          </cell>
          <cell r="L8779" t="str">
            <v>Tama</v>
          </cell>
          <cell r="V8779">
            <v>126889</v>
          </cell>
        </row>
        <row r="8780">
          <cell r="B8780">
            <v>1934</v>
          </cell>
          <cell r="K8780" t="str">
            <v>WEBSTER</v>
          </cell>
          <cell r="L8780" t="str">
            <v>Webster</v>
          </cell>
          <cell r="V8780">
            <v>161179</v>
          </cell>
        </row>
        <row r="8781">
          <cell r="B8781">
            <v>1934</v>
          </cell>
          <cell r="K8781" t="str">
            <v>BENTON</v>
          </cell>
          <cell r="L8781" t="str">
            <v>Benton</v>
          </cell>
          <cell r="V8781">
            <v>133477</v>
          </cell>
        </row>
        <row r="8782">
          <cell r="B8782">
            <v>1934</v>
          </cell>
          <cell r="K8782" t="str">
            <v>CEDAR</v>
          </cell>
          <cell r="L8782" t="str">
            <v>Cedar</v>
          </cell>
          <cell r="V8782">
            <v>105162</v>
          </cell>
        </row>
        <row r="8783">
          <cell r="B8783">
            <v>1934</v>
          </cell>
          <cell r="K8783" t="str">
            <v>CLINTON</v>
          </cell>
          <cell r="L8783" t="str">
            <v>Clinton</v>
          </cell>
          <cell r="V8783">
            <v>127892</v>
          </cell>
        </row>
        <row r="8784">
          <cell r="B8784">
            <v>1934</v>
          </cell>
          <cell r="K8784" t="str">
            <v>IOWA</v>
          </cell>
          <cell r="L8784" t="str">
            <v>Iowa</v>
          </cell>
          <cell r="V8784">
            <v>90355</v>
          </cell>
        </row>
        <row r="8785">
          <cell r="B8785">
            <v>1934</v>
          </cell>
          <cell r="K8785" t="str">
            <v>JACKSON</v>
          </cell>
          <cell r="L8785" t="str">
            <v>Jackson</v>
          </cell>
          <cell r="V8785">
            <v>66558</v>
          </cell>
        </row>
        <row r="8786">
          <cell r="B8786">
            <v>1934</v>
          </cell>
          <cell r="K8786" t="str">
            <v>JOHNSON</v>
          </cell>
          <cell r="L8786" t="str">
            <v>Johnson</v>
          </cell>
          <cell r="V8786">
            <v>101160</v>
          </cell>
        </row>
        <row r="8787">
          <cell r="B8787">
            <v>1934</v>
          </cell>
          <cell r="K8787" t="str">
            <v>JONES</v>
          </cell>
          <cell r="L8787" t="str">
            <v>Jones</v>
          </cell>
          <cell r="V8787">
            <v>82040</v>
          </cell>
        </row>
        <row r="8788">
          <cell r="B8788">
            <v>1934</v>
          </cell>
          <cell r="K8788" t="str">
            <v>LINN</v>
          </cell>
          <cell r="L8788" t="str">
            <v>Linn</v>
          </cell>
          <cell r="V8788">
            <v>115225</v>
          </cell>
        </row>
        <row r="8789">
          <cell r="B8789">
            <v>1934</v>
          </cell>
          <cell r="K8789" t="str">
            <v>MUSCATINE</v>
          </cell>
          <cell r="L8789" t="str">
            <v>Muscatine</v>
          </cell>
          <cell r="V8789">
            <v>73028</v>
          </cell>
        </row>
        <row r="8790">
          <cell r="B8790">
            <v>1934</v>
          </cell>
          <cell r="K8790" t="str">
            <v>SCOTT</v>
          </cell>
          <cell r="L8790" t="str">
            <v>Scott</v>
          </cell>
          <cell r="V8790">
            <v>77381</v>
          </cell>
        </row>
        <row r="8791">
          <cell r="B8791">
            <v>1934</v>
          </cell>
          <cell r="K8791" t="str">
            <v>BUTLER</v>
          </cell>
          <cell r="L8791" t="str">
            <v>Butler</v>
          </cell>
          <cell r="V8791">
            <v>111032</v>
          </cell>
        </row>
        <row r="8792">
          <cell r="B8792">
            <v>1934</v>
          </cell>
          <cell r="K8792" t="str">
            <v>CERRO GORDO</v>
          </cell>
          <cell r="L8792" t="str">
            <v>Cerro Gordo</v>
          </cell>
          <cell r="V8792">
            <v>108834</v>
          </cell>
        </row>
        <row r="8793">
          <cell r="B8793">
            <v>1934</v>
          </cell>
          <cell r="K8793" t="str">
            <v>FLOYD</v>
          </cell>
          <cell r="L8793" t="str">
            <v>Floyd</v>
          </cell>
          <cell r="V8793">
            <v>96169</v>
          </cell>
        </row>
        <row r="8794">
          <cell r="B8794">
            <v>1934</v>
          </cell>
          <cell r="K8794" t="str">
            <v>FRANKLIN</v>
          </cell>
          <cell r="L8794" t="str">
            <v>Franklin</v>
          </cell>
          <cell r="V8794">
            <v>127973</v>
          </cell>
        </row>
        <row r="8795">
          <cell r="B8795">
            <v>1934</v>
          </cell>
          <cell r="K8795" t="str">
            <v>HANCOCK</v>
          </cell>
          <cell r="L8795" t="str">
            <v>Hancock</v>
          </cell>
          <cell r="V8795">
            <v>122607</v>
          </cell>
        </row>
        <row r="8796">
          <cell r="B8796">
            <v>1934</v>
          </cell>
          <cell r="K8796" t="str">
            <v>HUMBOLDT</v>
          </cell>
          <cell r="L8796" t="str">
            <v>Humboldt</v>
          </cell>
          <cell r="V8796">
            <v>102227</v>
          </cell>
        </row>
        <row r="8797">
          <cell r="B8797">
            <v>1934</v>
          </cell>
          <cell r="K8797" t="str">
            <v>KOSSUTH</v>
          </cell>
          <cell r="L8797" t="str">
            <v>Kossuth</v>
          </cell>
          <cell r="V8797">
            <v>213702</v>
          </cell>
        </row>
        <row r="8798">
          <cell r="B8798">
            <v>1934</v>
          </cell>
          <cell r="K8798" t="str">
            <v>MITCHELL</v>
          </cell>
          <cell r="L8798" t="str">
            <v>Mitchell</v>
          </cell>
          <cell r="V8798">
            <v>72433</v>
          </cell>
        </row>
        <row r="8799">
          <cell r="B8799">
            <v>1934</v>
          </cell>
          <cell r="K8799" t="str">
            <v>WINNEBAGO</v>
          </cell>
          <cell r="L8799" t="str">
            <v>Winnebago</v>
          </cell>
          <cell r="V8799">
            <v>76193</v>
          </cell>
        </row>
        <row r="8800">
          <cell r="B8800">
            <v>1934</v>
          </cell>
          <cell r="K8800" t="str">
            <v>WORTH</v>
          </cell>
          <cell r="L8800" t="str">
            <v>Worth</v>
          </cell>
          <cell r="V8800">
            <v>65761</v>
          </cell>
        </row>
        <row r="8801">
          <cell r="B8801">
            <v>1934</v>
          </cell>
          <cell r="K8801" t="str">
            <v>WRIGHT</v>
          </cell>
          <cell r="L8801" t="str">
            <v>Wright</v>
          </cell>
          <cell r="V8801">
            <v>133078</v>
          </cell>
        </row>
        <row r="8802">
          <cell r="B8802">
            <v>1934</v>
          </cell>
          <cell r="K8802" t="str">
            <v>ALLAMAKEE</v>
          </cell>
          <cell r="L8802" t="str">
            <v>Allamakee</v>
          </cell>
          <cell r="V8802">
            <v>45561</v>
          </cell>
        </row>
        <row r="8803">
          <cell r="B8803">
            <v>1934</v>
          </cell>
          <cell r="K8803" t="str">
            <v>BLACK HAWK</v>
          </cell>
          <cell r="L8803" t="str">
            <v>Black Hawk</v>
          </cell>
          <cell r="V8803">
            <v>101912</v>
          </cell>
        </row>
        <row r="8804">
          <cell r="B8804">
            <v>1934</v>
          </cell>
          <cell r="K8804" t="str">
            <v>BREMER</v>
          </cell>
          <cell r="L8804" t="str">
            <v>Bremer</v>
          </cell>
          <cell r="V8804">
            <v>69874</v>
          </cell>
        </row>
        <row r="8805">
          <cell r="B8805">
            <v>1934</v>
          </cell>
          <cell r="K8805" t="str">
            <v>BUCHANAN</v>
          </cell>
          <cell r="L8805" t="str">
            <v>Buchanan</v>
          </cell>
          <cell r="V8805">
            <v>101992</v>
          </cell>
        </row>
        <row r="8806">
          <cell r="B8806">
            <v>1934</v>
          </cell>
          <cell r="K8806" t="str">
            <v>CHICKASAW</v>
          </cell>
          <cell r="L8806" t="str">
            <v>Chickasaw</v>
          </cell>
          <cell r="V8806">
            <v>74606</v>
          </cell>
        </row>
        <row r="8807">
          <cell r="B8807">
            <v>1934</v>
          </cell>
          <cell r="K8807" t="str">
            <v>CLAYTON</v>
          </cell>
          <cell r="L8807" t="str">
            <v>Clayton</v>
          </cell>
          <cell r="V8807">
            <v>77291</v>
          </cell>
        </row>
        <row r="8808">
          <cell r="B8808">
            <v>1934</v>
          </cell>
          <cell r="K8808" t="str">
            <v>DELAWARE</v>
          </cell>
          <cell r="L8808" t="str">
            <v>Delaware</v>
          </cell>
          <cell r="V8808">
            <v>91515</v>
          </cell>
        </row>
        <row r="8809">
          <cell r="B8809">
            <v>1934</v>
          </cell>
          <cell r="K8809" t="str">
            <v>DUBUQUE</v>
          </cell>
          <cell r="L8809" t="str">
            <v>Dubuque</v>
          </cell>
          <cell r="V8809">
            <v>68819</v>
          </cell>
        </row>
        <row r="8810">
          <cell r="B8810">
            <v>1934</v>
          </cell>
          <cell r="K8810" t="str">
            <v>FAYETTE</v>
          </cell>
          <cell r="L8810" t="str">
            <v>Fayette</v>
          </cell>
          <cell r="V8810">
            <v>101920</v>
          </cell>
        </row>
        <row r="8811">
          <cell r="B8811">
            <v>1934</v>
          </cell>
          <cell r="K8811" t="str">
            <v>HOWARD</v>
          </cell>
          <cell r="L8811" t="str">
            <v>Howard</v>
          </cell>
          <cell r="V8811">
            <v>60845</v>
          </cell>
        </row>
        <row r="8812">
          <cell r="B8812">
            <v>1934</v>
          </cell>
          <cell r="K8812" t="str">
            <v>WINNESHIEK</v>
          </cell>
          <cell r="L8812" t="str">
            <v>Winneshiek</v>
          </cell>
          <cell r="V8812">
            <v>80361</v>
          </cell>
        </row>
        <row r="8813">
          <cell r="B8813">
            <v>1934</v>
          </cell>
          <cell r="K8813" t="str">
            <v>BUENA VISTA</v>
          </cell>
          <cell r="L8813" t="str">
            <v>Buena Vista</v>
          </cell>
          <cell r="V8813">
            <v>133938</v>
          </cell>
        </row>
        <row r="8814">
          <cell r="B8814">
            <v>1934</v>
          </cell>
          <cell r="K8814" t="str">
            <v>CHEROKEE</v>
          </cell>
          <cell r="L8814" t="str">
            <v>Cherokee</v>
          </cell>
          <cell r="V8814">
            <v>122806</v>
          </cell>
        </row>
        <row r="8815">
          <cell r="B8815">
            <v>1934</v>
          </cell>
          <cell r="K8815" t="str">
            <v>CLAY</v>
          </cell>
          <cell r="L8815" t="str">
            <v>Clay</v>
          </cell>
          <cell r="V8815">
            <v>119502</v>
          </cell>
        </row>
        <row r="8816">
          <cell r="B8816">
            <v>1934</v>
          </cell>
          <cell r="K8816" t="str">
            <v>DICKINSON</v>
          </cell>
          <cell r="L8816" t="str">
            <v>Dickinson</v>
          </cell>
          <cell r="V8816">
            <v>75258</v>
          </cell>
        </row>
        <row r="8817">
          <cell r="B8817">
            <v>1934</v>
          </cell>
          <cell r="K8817" t="str">
            <v>EMMET</v>
          </cell>
          <cell r="L8817" t="str">
            <v>Emmet</v>
          </cell>
          <cell r="V8817">
            <v>84298</v>
          </cell>
        </row>
        <row r="8818">
          <cell r="B8818">
            <v>1934</v>
          </cell>
          <cell r="K8818" t="str">
            <v>LYON</v>
          </cell>
          <cell r="L8818" t="str">
            <v>Lyon</v>
          </cell>
          <cell r="V8818">
            <v>127486</v>
          </cell>
        </row>
        <row r="8819">
          <cell r="B8819">
            <v>1934</v>
          </cell>
          <cell r="K8819" t="str">
            <v>O BRIEN</v>
          </cell>
          <cell r="L8819" t="str">
            <v>O Brien</v>
          </cell>
          <cell r="V8819">
            <v>125262</v>
          </cell>
        </row>
        <row r="8820">
          <cell r="B8820">
            <v>1934</v>
          </cell>
          <cell r="K8820" t="str">
            <v>OSCEOLA</v>
          </cell>
          <cell r="L8820" t="str">
            <v>Osceola</v>
          </cell>
          <cell r="V8820">
            <v>85915</v>
          </cell>
        </row>
        <row r="8821">
          <cell r="B8821">
            <v>1934</v>
          </cell>
          <cell r="K8821" t="str">
            <v>PALO ALTO</v>
          </cell>
          <cell r="L8821" t="str">
            <v>Palo Alto</v>
          </cell>
          <cell r="V8821">
            <v>123328</v>
          </cell>
        </row>
        <row r="8822">
          <cell r="B8822">
            <v>1934</v>
          </cell>
          <cell r="K8822" t="str">
            <v>PLYMOUTH</v>
          </cell>
          <cell r="L8822" t="str">
            <v>Plymouth</v>
          </cell>
          <cell r="V8822">
            <v>195181</v>
          </cell>
        </row>
        <row r="8823">
          <cell r="B8823">
            <v>1934</v>
          </cell>
          <cell r="K8823" t="str">
            <v>POCAHONTAS</v>
          </cell>
          <cell r="L8823" t="str">
            <v>Pocahontas</v>
          </cell>
          <cell r="V8823">
            <v>136048</v>
          </cell>
        </row>
        <row r="8824">
          <cell r="B8824">
            <v>1934</v>
          </cell>
          <cell r="K8824" t="str">
            <v>SIOUX</v>
          </cell>
          <cell r="L8824" t="str">
            <v>Sioux</v>
          </cell>
          <cell r="V8824">
            <v>176048</v>
          </cell>
        </row>
        <row r="8825">
          <cell r="B8825">
            <v>1934</v>
          </cell>
          <cell r="K8825" t="str">
            <v>APPANOOSE</v>
          </cell>
          <cell r="L8825" t="str">
            <v>Appanoose</v>
          </cell>
          <cell r="V8825">
            <v>28959</v>
          </cell>
        </row>
        <row r="8826">
          <cell r="B8826">
            <v>1934</v>
          </cell>
          <cell r="K8826" t="str">
            <v>CLARKE</v>
          </cell>
          <cell r="L8826" t="str">
            <v>Clarke</v>
          </cell>
          <cell r="V8826">
            <v>44893</v>
          </cell>
        </row>
        <row r="8827">
          <cell r="B8827">
            <v>1934</v>
          </cell>
          <cell r="K8827" t="str">
            <v>DECATUR</v>
          </cell>
          <cell r="L8827" t="str">
            <v>Decatur</v>
          </cell>
          <cell r="V8827">
            <v>39312</v>
          </cell>
        </row>
        <row r="8828">
          <cell r="B8828">
            <v>1934</v>
          </cell>
          <cell r="K8828" t="str">
            <v>LUCAS</v>
          </cell>
          <cell r="L8828" t="str">
            <v>Lucas</v>
          </cell>
          <cell r="V8828">
            <v>35444</v>
          </cell>
        </row>
        <row r="8829">
          <cell r="B8829">
            <v>1934</v>
          </cell>
          <cell r="K8829" t="str">
            <v>MADISON</v>
          </cell>
          <cell r="L8829" t="str">
            <v>Madison</v>
          </cell>
          <cell r="V8829">
            <v>82274</v>
          </cell>
        </row>
        <row r="8830">
          <cell r="B8830">
            <v>1934</v>
          </cell>
          <cell r="K8830" t="str">
            <v>MARION</v>
          </cell>
          <cell r="L8830" t="str">
            <v>Marion</v>
          </cell>
          <cell r="V8830">
            <v>83188</v>
          </cell>
        </row>
        <row r="8831">
          <cell r="B8831">
            <v>1934</v>
          </cell>
          <cell r="K8831" t="str">
            <v>MONROE</v>
          </cell>
          <cell r="L8831" t="str">
            <v>Monroe</v>
          </cell>
          <cell r="V8831">
            <v>32959</v>
          </cell>
        </row>
        <row r="8832">
          <cell r="B8832">
            <v>1934</v>
          </cell>
          <cell r="K8832" t="str">
            <v>RINGGOLD</v>
          </cell>
          <cell r="L8832" t="str">
            <v>Ringgold</v>
          </cell>
          <cell r="V8832">
            <v>54398</v>
          </cell>
        </row>
        <row r="8833">
          <cell r="B8833">
            <v>1934</v>
          </cell>
          <cell r="K8833" t="str">
            <v>UNION</v>
          </cell>
          <cell r="L8833" t="str">
            <v>Union</v>
          </cell>
          <cell r="V8833">
            <v>54745</v>
          </cell>
        </row>
        <row r="8834">
          <cell r="B8834">
            <v>1934</v>
          </cell>
          <cell r="K8834" t="str">
            <v>WARREN</v>
          </cell>
          <cell r="L8834" t="str">
            <v>Warren</v>
          </cell>
          <cell r="V8834">
            <v>75716</v>
          </cell>
        </row>
        <row r="8835">
          <cell r="B8835">
            <v>1934</v>
          </cell>
          <cell r="K8835" t="str">
            <v>WAYNE</v>
          </cell>
          <cell r="L8835" t="str">
            <v>Wayne</v>
          </cell>
          <cell r="V8835">
            <v>44152</v>
          </cell>
        </row>
        <row r="8836">
          <cell r="B8836">
            <v>1934</v>
          </cell>
          <cell r="K8836" t="str">
            <v>DAVIS</v>
          </cell>
          <cell r="L8836" t="str">
            <v>Davis</v>
          </cell>
          <cell r="V8836">
            <v>36933</v>
          </cell>
        </row>
        <row r="8837">
          <cell r="B8837">
            <v>1934</v>
          </cell>
          <cell r="K8837" t="str">
            <v>DES MOINES</v>
          </cell>
          <cell r="L8837" t="str">
            <v>Des Moines</v>
          </cell>
          <cell r="V8837">
            <v>57943</v>
          </cell>
        </row>
        <row r="8838">
          <cell r="B8838">
            <v>1934</v>
          </cell>
          <cell r="K8838" t="str">
            <v>HENRY</v>
          </cell>
          <cell r="L8838" t="str">
            <v>Henry</v>
          </cell>
          <cell r="V8838">
            <v>57989</v>
          </cell>
        </row>
        <row r="8839">
          <cell r="B8839">
            <v>1934</v>
          </cell>
          <cell r="K8839" t="str">
            <v>JEFFERSON</v>
          </cell>
          <cell r="L8839" t="str">
            <v>Jefferson</v>
          </cell>
          <cell r="V8839">
            <v>52219</v>
          </cell>
        </row>
        <row r="8840">
          <cell r="B8840">
            <v>1934</v>
          </cell>
          <cell r="K8840" t="str">
            <v>KEOKUK</v>
          </cell>
          <cell r="L8840" t="str">
            <v>Keokuk</v>
          </cell>
          <cell r="V8840">
            <v>88828</v>
          </cell>
        </row>
        <row r="8841">
          <cell r="B8841">
            <v>1934</v>
          </cell>
          <cell r="K8841" t="str">
            <v>LEE</v>
          </cell>
          <cell r="L8841" t="str">
            <v>Lee</v>
          </cell>
          <cell r="V8841">
            <v>39726</v>
          </cell>
        </row>
        <row r="8842">
          <cell r="B8842">
            <v>1934</v>
          </cell>
          <cell r="K8842" t="str">
            <v>LOUISA</v>
          </cell>
          <cell r="L8842" t="str">
            <v>Louisa</v>
          </cell>
          <cell r="V8842">
            <v>61718</v>
          </cell>
        </row>
        <row r="8843">
          <cell r="B8843">
            <v>1934</v>
          </cell>
          <cell r="K8843" t="str">
            <v>MAHASKA</v>
          </cell>
          <cell r="L8843" t="str">
            <v>Mahaska</v>
          </cell>
          <cell r="V8843">
            <v>93778</v>
          </cell>
        </row>
        <row r="8844">
          <cell r="B8844">
            <v>1934</v>
          </cell>
          <cell r="K8844" t="str">
            <v>VAN BUREN</v>
          </cell>
          <cell r="L8844" t="str">
            <v>Van Buren</v>
          </cell>
          <cell r="V8844">
            <v>34592</v>
          </cell>
        </row>
        <row r="8845">
          <cell r="B8845">
            <v>1934</v>
          </cell>
          <cell r="K8845" t="str">
            <v>WAPELLO</v>
          </cell>
          <cell r="L8845" t="str">
            <v>Wapello</v>
          </cell>
          <cell r="V8845">
            <v>44336</v>
          </cell>
        </row>
        <row r="8846">
          <cell r="B8846">
            <v>1934</v>
          </cell>
          <cell r="K8846" t="str">
            <v>WASHINGTON</v>
          </cell>
          <cell r="L8846" t="str">
            <v>Washington</v>
          </cell>
          <cell r="V8846">
            <v>92445</v>
          </cell>
        </row>
        <row r="8847">
          <cell r="B8847">
            <v>1934</v>
          </cell>
          <cell r="K8847" t="str">
            <v>ADAIR</v>
          </cell>
          <cell r="L8847" t="str">
            <v>Adair</v>
          </cell>
          <cell r="V8847">
            <v>103761</v>
          </cell>
        </row>
        <row r="8848">
          <cell r="B8848">
            <v>1934</v>
          </cell>
          <cell r="K8848" t="str">
            <v>ADAMS</v>
          </cell>
          <cell r="L8848" t="str">
            <v>Adams</v>
          </cell>
          <cell r="V8848">
            <v>72921</v>
          </cell>
        </row>
        <row r="8849">
          <cell r="B8849">
            <v>1934</v>
          </cell>
          <cell r="K8849" t="str">
            <v>CASS</v>
          </cell>
          <cell r="L8849" t="str">
            <v>Cass</v>
          </cell>
          <cell r="V8849">
            <v>112496</v>
          </cell>
        </row>
        <row r="8850">
          <cell r="B8850">
            <v>1934</v>
          </cell>
          <cell r="K8850" t="str">
            <v>FREMONT</v>
          </cell>
          <cell r="L8850" t="str">
            <v>Fremont</v>
          </cell>
          <cell r="V8850">
            <v>131398</v>
          </cell>
        </row>
        <row r="8851">
          <cell r="B8851">
            <v>1934</v>
          </cell>
          <cell r="K8851" t="str">
            <v>MILLS</v>
          </cell>
          <cell r="L8851" t="str">
            <v>Mills</v>
          </cell>
          <cell r="V8851">
            <v>101369</v>
          </cell>
        </row>
        <row r="8852">
          <cell r="B8852">
            <v>1934</v>
          </cell>
          <cell r="K8852" t="str">
            <v>MONTGOMERY</v>
          </cell>
          <cell r="L8852" t="str">
            <v>Montgomery</v>
          </cell>
          <cell r="V8852">
            <v>89384</v>
          </cell>
        </row>
        <row r="8853">
          <cell r="B8853">
            <v>1934</v>
          </cell>
          <cell r="K8853" t="str">
            <v>PAGE</v>
          </cell>
          <cell r="L8853" t="str">
            <v>Page</v>
          </cell>
          <cell r="V8853">
            <v>101360</v>
          </cell>
        </row>
        <row r="8854">
          <cell r="B8854">
            <v>1934</v>
          </cell>
          <cell r="K8854" t="str">
            <v>POTTAWATTAMIE</v>
          </cell>
          <cell r="L8854" t="str">
            <v>Pottawattamie</v>
          </cell>
          <cell r="V8854">
            <v>218169</v>
          </cell>
        </row>
        <row r="8855">
          <cell r="B8855">
            <v>1934</v>
          </cell>
          <cell r="K8855" t="str">
            <v>TAYLOR</v>
          </cell>
          <cell r="L8855" t="str">
            <v>Taylor</v>
          </cell>
          <cell r="V8855">
            <v>73530</v>
          </cell>
        </row>
        <row r="8856">
          <cell r="B8856">
            <v>1934</v>
          </cell>
          <cell r="K8856" t="str">
            <v>AUDUBON</v>
          </cell>
          <cell r="L8856" t="str">
            <v>Audubon</v>
          </cell>
          <cell r="V8856">
            <v>87578</v>
          </cell>
        </row>
        <row r="8857">
          <cell r="B8857">
            <v>1934</v>
          </cell>
          <cell r="K8857" t="str">
            <v>CALHOUN</v>
          </cell>
          <cell r="L8857" t="str">
            <v>Calhoun</v>
          </cell>
          <cell r="V8857">
            <v>135610</v>
          </cell>
        </row>
        <row r="8858">
          <cell r="B8858">
            <v>1934</v>
          </cell>
          <cell r="K8858" t="str">
            <v>CARROLL</v>
          </cell>
          <cell r="L8858" t="str">
            <v>Carroll</v>
          </cell>
          <cell r="V8858">
            <v>127376</v>
          </cell>
        </row>
        <row r="8859">
          <cell r="B8859">
            <v>1934</v>
          </cell>
          <cell r="K8859" t="str">
            <v>CRAWFORD</v>
          </cell>
          <cell r="L8859" t="str">
            <v>Crawford</v>
          </cell>
          <cell r="V8859">
            <v>145072</v>
          </cell>
        </row>
        <row r="8860">
          <cell r="B8860">
            <v>1934</v>
          </cell>
          <cell r="K8860" t="str">
            <v>GREENE</v>
          </cell>
          <cell r="L8860" t="str">
            <v>Greene</v>
          </cell>
          <cell r="V8860">
            <v>140370</v>
          </cell>
        </row>
        <row r="8861">
          <cell r="B8861">
            <v>1934</v>
          </cell>
          <cell r="K8861" t="str">
            <v>GUTHRIE</v>
          </cell>
          <cell r="L8861" t="str">
            <v>Guthrie</v>
          </cell>
          <cell r="V8861">
            <v>108936</v>
          </cell>
        </row>
        <row r="8862">
          <cell r="B8862">
            <v>1934</v>
          </cell>
          <cell r="K8862" t="str">
            <v>HARRISON</v>
          </cell>
          <cell r="L8862" t="str">
            <v>Harrison</v>
          </cell>
          <cell r="V8862">
            <v>161344</v>
          </cell>
        </row>
        <row r="8863">
          <cell r="B8863">
            <v>1934</v>
          </cell>
          <cell r="K8863" t="str">
            <v>IDA</v>
          </cell>
          <cell r="L8863" t="str">
            <v>Ida</v>
          </cell>
          <cell r="V8863">
            <v>94117</v>
          </cell>
        </row>
        <row r="8864">
          <cell r="B8864">
            <v>1934</v>
          </cell>
          <cell r="K8864" t="str">
            <v>MONONA</v>
          </cell>
          <cell r="L8864" t="str">
            <v>Monona</v>
          </cell>
          <cell r="V8864">
            <v>147054</v>
          </cell>
        </row>
        <row r="8865">
          <cell r="B8865">
            <v>1934</v>
          </cell>
          <cell r="K8865" t="str">
            <v>SAC</v>
          </cell>
          <cell r="L8865" t="str">
            <v>Sac</v>
          </cell>
          <cell r="V8865">
            <v>126298</v>
          </cell>
        </row>
        <row r="8866">
          <cell r="B8866">
            <v>1934</v>
          </cell>
          <cell r="K8866" t="str">
            <v>SHELBY</v>
          </cell>
          <cell r="L8866" t="str">
            <v>Shelby</v>
          </cell>
          <cell r="V8866">
            <v>129941</v>
          </cell>
        </row>
        <row r="8867">
          <cell r="B8867">
            <v>1934</v>
          </cell>
          <cell r="K8867" t="str">
            <v>WOODBURY</v>
          </cell>
          <cell r="L8867" t="str">
            <v>Woodbury</v>
          </cell>
          <cell r="V8867">
            <v>200525</v>
          </cell>
        </row>
        <row r="8868">
          <cell r="B8868">
            <v>1933</v>
          </cell>
          <cell r="K8868" t="str">
            <v>BOONE</v>
          </cell>
          <cell r="L8868" t="str">
            <v>Boone</v>
          </cell>
          <cell r="V8868">
            <v>140927</v>
          </cell>
        </row>
        <row r="8869">
          <cell r="B8869">
            <v>1933</v>
          </cell>
          <cell r="K8869" t="str">
            <v>DALLAS</v>
          </cell>
          <cell r="L8869" t="str">
            <v>Dallas</v>
          </cell>
          <cell r="V8869">
            <v>144903</v>
          </cell>
        </row>
        <row r="8870">
          <cell r="B8870">
            <v>1933</v>
          </cell>
          <cell r="K8870" t="str">
            <v>GRUNDY</v>
          </cell>
          <cell r="L8870" t="str">
            <v>Grundy</v>
          </cell>
          <cell r="V8870">
            <v>113361</v>
          </cell>
        </row>
        <row r="8871">
          <cell r="B8871">
            <v>1933</v>
          </cell>
          <cell r="K8871" t="str">
            <v>HAMILTON</v>
          </cell>
          <cell r="L8871" t="str">
            <v>Hamilton</v>
          </cell>
          <cell r="V8871">
            <v>148518</v>
          </cell>
        </row>
        <row r="8872">
          <cell r="B8872">
            <v>1933</v>
          </cell>
          <cell r="K8872" t="str">
            <v>HARDIN</v>
          </cell>
          <cell r="L8872" t="str">
            <v>Hardin</v>
          </cell>
          <cell r="V8872">
            <v>138529</v>
          </cell>
        </row>
        <row r="8873">
          <cell r="B8873">
            <v>1933</v>
          </cell>
          <cell r="K8873" t="str">
            <v>JASPER</v>
          </cell>
          <cell r="L8873" t="str">
            <v>Jasper</v>
          </cell>
          <cell r="V8873">
            <v>153758</v>
          </cell>
        </row>
        <row r="8874">
          <cell r="B8874">
            <v>1933</v>
          </cell>
          <cell r="K8874" t="str">
            <v>MARSHALL</v>
          </cell>
          <cell r="L8874" t="str">
            <v>Marshall</v>
          </cell>
          <cell r="V8874">
            <v>124439</v>
          </cell>
        </row>
        <row r="8875">
          <cell r="B8875">
            <v>1933</v>
          </cell>
          <cell r="K8875" t="str">
            <v>POLK</v>
          </cell>
          <cell r="L8875" t="str">
            <v>Polk</v>
          </cell>
          <cell r="V8875">
            <v>116708</v>
          </cell>
        </row>
        <row r="8876">
          <cell r="B8876">
            <v>1933</v>
          </cell>
          <cell r="K8876" t="str">
            <v>POWESHIEK</v>
          </cell>
          <cell r="L8876" t="str">
            <v>Poweshiek</v>
          </cell>
          <cell r="V8876">
            <v>116454</v>
          </cell>
        </row>
        <row r="8877">
          <cell r="B8877">
            <v>1933</v>
          </cell>
          <cell r="K8877" t="str">
            <v>STORY</v>
          </cell>
          <cell r="L8877" t="str">
            <v>Story</v>
          </cell>
          <cell r="V8877">
            <v>152883</v>
          </cell>
        </row>
        <row r="8878">
          <cell r="B8878">
            <v>1933</v>
          </cell>
          <cell r="K8878" t="str">
            <v>TAMA</v>
          </cell>
          <cell r="L8878" t="str">
            <v>Tama</v>
          </cell>
          <cell r="V8878">
            <v>135344</v>
          </cell>
        </row>
        <row r="8879">
          <cell r="B8879">
            <v>1933</v>
          </cell>
          <cell r="K8879" t="str">
            <v>WEBSTER</v>
          </cell>
          <cell r="L8879" t="str">
            <v>Webster</v>
          </cell>
          <cell r="V8879">
            <v>172480</v>
          </cell>
        </row>
        <row r="8880">
          <cell r="B8880">
            <v>1933</v>
          </cell>
          <cell r="K8880" t="str">
            <v>BENTON</v>
          </cell>
          <cell r="L8880" t="str">
            <v>Benton</v>
          </cell>
          <cell r="V8880">
            <v>146764</v>
          </cell>
        </row>
        <row r="8881">
          <cell r="B8881">
            <v>1933</v>
          </cell>
          <cell r="K8881" t="str">
            <v>CEDAR</v>
          </cell>
          <cell r="L8881" t="str">
            <v>Cedar</v>
          </cell>
          <cell r="V8881">
            <v>108956</v>
          </cell>
        </row>
        <row r="8882">
          <cell r="B8882">
            <v>1933</v>
          </cell>
          <cell r="K8882" t="str">
            <v>CLINTON</v>
          </cell>
          <cell r="L8882" t="str">
            <v>Clinton</v>
          </cell>
          <cell r="V8882">
            <v>136834</v>
          </cell>
        </row>
        <row r="8883">
          <cell r="B8883">
            <v>1933</v>
          </cell>
          <cell r="K8883" t="str">
            <v>IOWA</v>
          </cell>
          <cell r="L8883" t="str">
            <v>Iowa</v>
          </cell>
          <cell r="V8883">
            <v>102293</v>
          </cell>
        </row>
        <row r="8884">
          <cell r="B8884">
            <v>1933</v>
          </cell>
          <cell r="K8884" t="str">
            <v>JACKSON</v>
          </cell>
          <cell r="L8884" t="str">
            <v>Jackson</v>
          </cell>
          <cell r="V8884">
            <v>71972</v>
          </cell>
        </row>
        <row r="8885">
          <cell r="B8885">
            <v>1933</v>
          </cell>
          <cell r="K8885" t="str">
            <v>JOHNSON</v>
          </cell>
          <cell r="L8885" t="str">
            <v>Johnson</v>
          </cell>
          <cell r="V8885">
            <v>108145</v>
          </cell>
        </row>
        <row r="8886">
          <cell r="B8886">
            <v>1933</v>
          </cell>
          <cell r="K8886" t="str">
            <v>JONES</v>
          </cell>
          <cell r="L8886" t="str">
            <v>Jones</v>
          </cell>
          <cell r="V8886">
            <v>88745</v>
          </cell>
        </row>
        <row r="8887">
          <cell r="B8887">
            <v>1933</v>
          </cell>
          <cell r="K8887" t="str">
            <v>LINN</v>
          </cell>
          <cell r="L8887" t="str">
            <v>Linn</v>
          </cell>
          <cell r="V8887">
            <v>125586</v>
          </cell>
        </row>
        <row r="8888">
          <cell r="B8888">
            <v>1933</v>
          </cell>
          <cell r="K8888" t="str">
            <v>MUSCATINE</v>
          </cell>
          <cell r="L8888" t="str">
            <v>Muscatine</v>
          </cell>
          <cell r="V8888">
            <v>75258</v>
          </cell>
        </row>
        <row r="8889">
          <cell r="B8889">
            <v>1933</v>
          </cell>
          <cell r="K8889" t="str">
            <v>SCOTT</v>
          </cell>
          <cell r="L8889" t="str">
            <v>Scott</v>
          </cell>
          <cell r="V8889">
            <v>82254</v>
          </cell>
        </row>
        <row r="8890">
          <cell r="B8890">
            <v>1933</v>
          </cell>
          <cell r="K8890" t="str">
            <v>BUTLER</v>
          </cell>
          <cell r="L8890" t="str">
            <v>Butler</v>
          </cell>
          <cell r="V8890">
            <v>122726</v>
          </cell>
        </row>
        <row r="8891">
          <cell r="B8891">
            <v>1933</v>
          </cell>
          <cell r="K8891" t="str">
            <v>CERRO GORDO</v>
          </cell>
          <cell r="L8891" t="str">
            <v>Cerro Gordo</v>
          </cell>
          <cell r="V8891">
            <v>123545</v>
          </cell>
        </row>
        <row r="8892">
          <cell r="B8892">
            <v>1933</v>
          </cell>
          <cell r="K8892" t="str">
            <v>FLOYD</v>
          </cell>
          <cell r="L8892" t="str">
            <v>Floyd</v>
          </cell>
          <cell r="V8892">
            <v>102867</v>
          </cell>
        </row>
        <row r="8893">
          <cell r="B8893">
            <v>1933</v>
          </cell>
          <cell r="K8893" t="str">
            <v>FRANKLIN</v>
          </cell>
          <cell r="L8893" t="str">
            <v>Franklin</v>
          </cell>
          <cell r="V8893">
            <v>142383</v>
          </cell>
        </row>
        <row r="8894">
          <cell r="B8894">
            <v>1933</v>
          </cell>
          <cell r="K8894" t="str">
            <v>HANCOCK</v>
          </cell>
          <cell r="L8894" t="str">
            <v>Hancock</v>
          </cell>
          <cell r="V8894">
            <v>135356</v>
          </cell>
        </row>
        <row r="8895">
          <cell r="B8895">
            <v>1933</v>
          </cell>
          <cell r="K8895" t="str">
            <v>HUMBOLDT</v>
          </cell>
          <cell r="L8895" t="str">
            <v>Humboldt</v>
          </cell>
          <cell r="V8895">
            <v>113201</v>
          </cell>
        </row>
        <row r="8896">
          <cell r="B8896">
            <v>1933</v>
          </cell>
          <cell r="K8896" t="str">
            <v>KOSSUTH</v>
          </cell>
          <cell r="L8896" t="str">
            <v>Kossuth</v>
          </cell>
          <cell r="V8896">
            <v>239319</v>
          </cell>
        </row>
        <row r="8897">
          <cell r="B8897">
            <v>1933</v>
          </cell>
          <cell r="K8897" t="str">
            <v>MITCHELL</v>
          </cell>
          <cell r="L8897" t="str">
            <v>Mitchell</v>
          </cell>
          <cell r="V8897">
            <v>83225</v>
          </cell>
        </row>
        <row r="8898">
          <cell r="B8898">
            <v>1933</v>
          </cell>
          <cell r="K8898" t="str">
            <v>WINNEBAGO</v>
          </cell>
          <cell r="L8898" t="str">
            <v>Winnebago</v>
          </cell>
          <cell r="V8898">
            <v>86459</v>
          </cell>
        </row>
        <row r="8899">
          <cell r="B8899">
            <v>1933</v>
          </cell>
          <cell r="K8899" t="str">
            <v>WORTH</v>
          </cell>
          <cell r="L8899" t="str">
            <v>Worth</v>
          </cell>
          <cell r="V8899">
            <v>73393</v>
          </cell>
        </row>
        <row r="8900">
          <cell r="B8900">
            <v>1933</v>
          </cell>
          <cell r="K8900" t="str">
            <v>WRIGHT</v>
          </cell>
          <cell r="L8900" t="str">
            <v>Wright</v>
          </cell>
          <cell r="V8900">
            <v>151124</v>
          </cell>
        </row>
        <row r="8901">
          <cell r="B8901">
            <v>1933</v>
          </cell>
          <cell r="K8901" t="str">
            <v>ALLAMAKEE</v>
          </cell>
          <cell r="L8901" t="str">
            <v>Allamakee</v>
          </cell>
          <cell r="V8901">
            <v>50688</v>
          </cell>
        </row>
        <row r="8902">
          <cell r="B8902">
            <v>1933</v>
          </cell>
          <cell r="K8902" t="str">
            <v>BLACK HAWK</v>
          </cell>
          <cell r="L8902" t="str">
            <v>Black Hawk</v>
          </cell>
          <cell r="V8902">
            <v>114342</v>
          </cell>
        </row>
        <row r="8903">
          <cell r="B8903">
            <v>1933</v>
          </cell>
          <cell r="K8903" t="str">
            <v>BREMER</v>
          </cell>
          <cell r="L8903" t="str">
            <v>Bremer</v>
          </cell>
          <cell r="V8903">
            <v>77201</v>
          </cell>
        </row>
        <row r="8904">
          <cell r="B8904">
            <v>1933</v>
          </cell>
          <cell r="K8904" t="str">
            <v>BUCHANAN</v>
          </cell>
          <cell r="L8904" t="str">
            <v>Buchanan</v>
          </cell>
          <cell r="V8904">
            <v>114535</v>
          </cell>
        </row>
        <row r="8905">
          <cell r="B8905">
            <v>1933</v>
          </cell>
          <cell r="K8905" t="str">
            <v>CHICKASAW</v>
          </cell>
          <cell r="L8905" t="str">
            <v>Chickasaw</v>
          </cell>
          <cell r="V8905">
            <v>84057</v>
          </cell>
        </row>
        <row r="8906">
          <cell r="B8906">
            <v>1933</v>
          </cell>
          <cell r="K8906" t="str">
            <v>CLAYTON</v>
          </cell>
          <cell r="L8906" t="str">
            <v>Clayton</v>
          </cell>
          <cell r="V8906">
            <v>90983</v>
          </cell>
        </row>
        <row r="8907">
          <cell r="B8907">
            <v>1933</v>
          </cell>
          <cell r="K8907" t="str">
            <v>DELAWARE</v>
          </cell>
          <cell r="L8907" t="str">
            <v>Delaware</v>
          </cell>
          <cell r="V8907">
            <v>103828</v>
          </cell>
        </row>
        <row r="8908">
          <cell r="B8908">
            <v>1933</v>
          </cell>
          <cell r="K8908" t="str">
            <v>DUBUQUE</v>
          </cell>
          <cell r="L8908" t="str">
            <v>Dubuque</v>
          </cell>
          <cell r="V8908">
            <v>78672</v>
          </cell>
        </row>
        <row r="8909">
          <cell r="B8909">
            <v>1933</v>
          </cell>
          <cell r="K8909" t="str">
            <v>FAYETTE</v>
          </cell>
          <cell r="L8909" t="str">
            <v>Fayette</v>
          </cell>
          <cell r="V8909">
            <v>112342</v>
          </cell>
        </row>
        <row r="8910">
          <cell r="B8910">
            <v>1933</v>
          </cell>
          <cell r="K8910" t="str">
            <v>HOWARD</v>
          </cell>
          <cell r="L8910" t="str">
            <v>Howard</v>
          </cell>
          <cell r="V8910">
            <v>68053</v>
          </cell>
        </row>
        <row r="8911">
          <cell r="B8911">
            <v>1933</v>
          </cell>
          <cell r="K8911" t="str">
            <v>WINNESHIEK</v>
          </cell>
          <cell r="L8911" t="str">
            <v>Winneshiek</v>
          </cell>
          <cell r="V8911">
            <v>89804</v>
          </cell>
        </row>
        <row r="8912">
          <cell r="B8912">
            <v>1933</v>
          </cell>
          <cell r="K8912" t="str">
            <v>BUENA VISTA</v>
          </cell>
          <cell r="L8912" t="str">
            <v>Buena Vista</v>
          </cell>
          <cell r="V8912">
            <v>146414</v>
          </cell>
        </row>
        <row r="8913">
          <cell r="B8913">
            <v>1933</v>
          </cell>
          <cell r="K8913" t="str">
            <v>CHEROKEE</v>
          </cell>
          <cell r="L8913" t="str">
            <v>Cherokee</v>
          </cell>
          <cell r="V8913">
            <v>142084</v>
          </cell>
        </row>
        <row r="8914">
          <cell r="B8914">
            <v>1933</v>
          </cell>
          <cell r="K8914" t="str">
            <v>CLAY</v>
          </cell>
          <cell r="L8914" t="str">
            <v>Clay</v>
          </cell>
          <cell r="V8914">
            <v>136783</v>
          </cell>
        </row>
        <row r="8915">
          <cell r="B8915">
            <v>1933</v>
          </cell>
          <cell r="K8915" t="str">
            <v>DICKINSON</v>
          </cell>
          <cell r="L8915" t="str">
            <v>Dickinson</v>
          </cell>
          <cell r="V8915">
            <v>86357</v>
          </cell>
        </row>
        <row r="8916">
          <cell r="B8916">
            <v>1933</v>
          </cell>
          <cell r="K8916" t="str">
            <v>EMMET</v>
          </cell>
          <cell r="L8916" t="str">
            <v>Emmet</v>
          </cell>
          <cell r="V8916">
            <v>96898</v>
          </cell>
        </row>
        <row r="8917">
          <cell r="B8917">
            <v>1933</v>
          </cell>
          <cell r="K8917" t="str">
            <v>LYON</v>
          </cell>
          <cell r="L8917" t="str">
            <v>Lyon</v>
          </cell>
          <cell r="V8917">
            <v>140908</v>
          </cell>
        </row>
        <row r="8918">
          <cell r="B8918">
            <v>1933</v>
          </cell>
          <cell r="K8918" t="str">
            <v>O BRIEN</v>
          </cell>
          <cell r="L8918" t="str">
            <v>O Brien</v>
          </cell>
          <cell r="V8918">
            <v>137935</v>
          </cell>
        </row>
        <row r="8919">
          <cell r="B8919">
            <v>1933</v>
          </cell>
          <cell r="K8919" t="str">
            <v>OSCEOLA</v>
          </cell>
          <cell r="L8919" t="str">
            <v>Osceola</v>
          </cell>
          <cell r="V8919">
            <v>95175</v>
          </cell>
        </row>
        <row r="8920">
          <cell r="B8920">
            <v>1933</v>
          </cell>
          <cell r="K8920" t="str">
            <v>PALO ALTO</v>
          </cell>
          <cell r="L8920" t="str">
            <v>Palo Alto</v>
          </cell>
          <cell r="V8920">
            <v>138136</v>
          </cell>
        </row>
        <row r="8921">
          <cell r="B8921">
            <v>1933</v>
          </cell>
          <cell r="K8921" t="str">
            <v>PLYMOUTH</v>
          </cell>
          <cell r="L8921" t="str">
            <v>Plymouth</v>
          </cell>
          <cell r="V8921">
            <v>220983</v>
          </cell>
        </row>
        <row r="8922">
          <cell r="B8922">
            <v>1933</v>
          </cell>
          <cell r="K8922" t="str">
            <v>POCAHONTAS</v>
          </cell>
          <cell r="L8922" t="str">
            <v>Pocahontas</v>
          </cell>
          <cell r="V8922">
            <v>154580</v>
          </cell>
        </row>
        <row r="8923">
          <cell r="B8923">
            <v>1933</v>
          </cell>
          <cell r="K8923" t="str">
            <v>SIOUX</v>
          </cell>
          <cell r="L8923" t="str">
            <v>Sioux</v>
          </cell>
          <cell r="V8923">
            <v>194726</v>
          </cell>
        </row>
        <row r="8924">
          <cell r="B8924">
            <v>1933</v>
          </cell>
          <cell r="K8924" t="str">
            <v>APPANOOSE</v>
          </cell>
          <cell r="L8924" t="str">
            <v>Appanoose</v>
          </cell>
          <cell r="V8924">
            <v>48200</v>
          </cell>
        </row>
        <row r="8925">
          <cell r="B8925">
            <v>1933</v>
          </cell>
          <cell r="K8925" t="str">
            <v>CLARKE</v>
          </cell>
          <cell r="L8925" t="str">
            <v>Clarke</v>
          </cell>
          <cell r="V8925">
            <v>61451</v>
          </cell>
        </row>
        <row r="8926">
          <cell r="B8926">
            <v>1933</v>
          </cell>
          <cell r="K8926" t="str">
            <v>DECATUR</v>
          </cell>
          <cell r="L8926" t="str">
            <v>Decatur</v>
          </cell>
          <cell r="V8926">
            <v>68168</v>
          </cell>
        </row>
        <row r="8927">
          <cell r="B8927">
            <v>1933</v>
          </cell>
          <cell r="K8927" t="str">
            <v>LUCAS</v>
          </cell>
          <cell r="L8927" t="str">
            <v>Lucas</v>
          </cell>
          <cell r="V8927">
            <v>54830</v>
          </cell>
        </row>
        <row r="8928">
          <cell r="B8928">
            <v>1933</v>
          </cell>
          <cell r="K8928" t="str">
            <v>MADISON</v>
          </cell>
          <cell r="L8928" t="str">
            <v>Madison</v>
          </cell>
          <cell r="V8928">
            <v>99916</v>
          </cell>
        </row>
        <row r="8929">
          <cell r="B8929">
            <v>1933</v>
          </cell>
          <cell r="K8929" t="str">
            <v>MARION</v>
          </cell>
          <cell r="L8929" t="str">
            <v>Marion</v>
          </cell>
          <cell r="V8929">
            <v>102905</v>
          </cell>
        </row>
        <row r="8930">
          <cell r="B8930">
            <v>1933</v>
          </cell>
          <cell r="K8930" t="str">
            <v>MONROE</v>
          </cell>
          <cell r="L8930" t="str">
            <v>Monroe</v>
          </cell>
          <cell r="V8930">
            <v>49807</v>
          </cell>
        </row>
        <row r="8931">
          <cell r="B8931">
            <v>1933</v>
          </cell>
          <cell r="K8931" t="str">
            <v>RINGGOLD</v>
          </cell>
          <cell r="L8931" t="str">
            <v>Ringgold</v>
          </cell>
          <cell r="V8931">
            <v>82208</v>
          </cell>
        </row>
        <row r="8932">
          <cell r="B8932">
            <v>1933</v>
          </cell>
          <cell r="K8932" t="str">
            <v>UNION</v>
          </cell>
          <cell r="L8932" t="str">
            <v>Union</v>
          </cell>
          <cell r="V8932">
            <v>69034</v>
          </cell>
        </row>
        <row r="8933">
          <cell r="B8933">
            <v>1933</v>
          </cell>
          <cell r="K8933" t="str">
            <v>WARREN</v>
          </cell>
          <cell r="L8933" t="str">
            <v>Warren</v>
          </cell>
          <cell r="V8933">
            <v>97609</v>
          </cell>
        </row>
        <row r="8934">
          <cell r="B8934">
            <v>1933</v>
          </cell>
          <cell r="K8934" t="str">
            <v>WAYNE</v>
          </cell>
          <cell r="L8934" t="str">
            <v>Wayne</v>
          </cell>
          <cell r="V8934">
            <v>71034</v>
          </cell>
        </row>
        <row r="8935">
          <cell r="B8935">
            <v>1933</v>
          </cell>
          <cell r="K8935" t="str">
            <v>DAVIS</v>
          </cell>
          <cell r="L8935" t="str">
            <v>Davis</v>
          </cell>
          <cell r="V8935">
            <v>49984</v>
          </cell>
        </row>
        <row r="8936">
          <cell r="B8936">
            <v>1933</v>
          </cell>
          <cell r="K8936" t="str">
            <v>DES MOINES</v>
          </cell>
          <cell r="L8936" t="str">
            <v>Des Moines</v>
          </cell>
          <cell r="V8936">
            <v>67221</v>
          </cell>
        </row>
        <row r="8937">
          <cell r="B8937">
            <v>1933</v>
          </cell>
          <cell r="K8937" t="str">
            <v>HENRY</v>
          </cell>
          <cell r="L8937" t="str">
            <v>Henry</v>
          </cell>
          <cell r="V8937">
            <v>72715</v>
          </cell>
        </row>
        <row r="8938">
          <cell r="B8938">
            <v>1933</v>
          </cell>
          <cell r="K8938" t="str">
            <v>JEFFERSON</v>
          </cell>
          <cell r="L8938" t="str">
            <v>Jefferson</v>
          </cell>
          <cell r="V8938">
            <v>66834</v>
          </cell>
        </row>
        <row r="8939">
          <cell r="B8939">
            <v>1933</v>
          </cell>
          <cell r="K8939" t="str">
            <v>KEOKUK</v>
          </cell>
          <cell r="L8939" t="str">
            <v>Keokuk</v>
          </cell>
          <cell r="V8939">
            <v>104523</v>
          </cell>
        </row>
        <row r="8940">
          <cell r="B8940">
            <v>1933</v>
          </cell>
          <cell r="K8940" t="str">
            <v>LEE</v>
          </cell>
          <cell r="L8940" t="str">
            <v>Lee</v>
          </cell>
          <cell r="V8940">
            <v>55783</v>
          </cell>
        </row>
        <row r="8941">
          <cell r="B8941">
            <v>1933</v>
          </cell>
          <cell r="K8941" t="str">
            <v>LOUISA</v>
          </cell>
          <cell r="L8941" t="str">
            <v>Louisa</v>
          </cell>
          <cell r="V8941">
            <v>69927</v>
          </cell>
        </row>
        <row r="8942">
          <cell r="B8942">
            <v>1933</v>
          </cell>
          <cell r="K8942" t="str">
            <v>MAHASKA</v>
          </cell>
          <cell r="L8942" t="str">
            <v>Mahaska</v>
          </cell>
          <cell r="V8942">
            <v>113829</v>
          </cell>
        </row>
        <row r="8943">
          <cell r="B8943">
            <v>1933</v>
          </cell>
          <cell r="K8943" t="str">
            <v>VAN BUREN</v>
          </cell>
          <cell r="L8943" t="str">
            <v>Van Buren</v>
          </cell>
          <cell r="V8943">
            <v>48092</v>
          </cell>
        </row>
        <row r="8944">
          <cell r="B8944">
            <v>1933</v>
          </cell>
          <cell r="K8944" t="str">
            <v>WAPELLO</v>
          </cell>
          <cell r="L8944" t="str">
            <v>Wapello</v>
          </cell>
          <cell r="V8944">
            <v>60428</v>
          </cell>
        </row>
        <row r="8945">
          <cell r="B8945">
            <v>1933</v>
          </cell>
          <cell r="K8945" t="str">
            <v>WASHINGTON</v>
          </cell>
          <cell r="L8945" t="str">
            <v>Washington</v>
          </cell>
          <cell r="V8945">
            <v>105241</v>
          </cell>
        </row>
        <row r="8946">
          <cell r="B8946">
            <v>1933</v>
          </cell>
          <cell r="K8946" t="str">
            <v>ADAIR</v>
          </cell>
          <cell r="L8946" t="str">
            <v>Adair</v>
          </cell>
          <cell r="V8946">
            <v>118868</v>
          </cell>
        </row>
        <row r="8947">
          <cell r="B8947">
            <v>1933</v>
          </cell>
          <cell r="K8947" t="str">
            <v>ADAMS</v>
          </cell>
          <cell r="L8947" t="str">
            <v>Adams</v>
          </cell>
          <cell r="V8947">
            <v>82347</v>
          </cell>
        </row>
        <row r="8948">
          <cell r="B8948">
            <v>1933</v>
          </cell>
          <cell r="K8948" t="str">
            <v>CASS</v>
          </cell>
          <cell r="L8948" t="str">
            <v>Cass</v>
          </cell>
          <cell r="V8948">
            <v>130177</v>
          </cell>
        </row>
        <row r="8949">
          <cell r="B8949">
            <v>1933</v>
          </cell>
          <cell r="K8949" t="str">
            <v>FREMONT</v>
          </cell>
          <cell r="L8949" t="str">
            <v>Fremont</v>
          </cell>
          <cell r="V8949">
            <v>165177</v>
          </cell>
        </row>
        <row r="8950">
          <cell r="B8950">
            <v>1933</v>
          </cell>
          <cell r="K8950" t="str">
            <v>MILLS</v>
          </cell>
          <cell r="L8950" t="str">
            <v>Mills</v>
          </cell>
          <cell r="V8950">
            <v>127356</v>
          </cell>
        </row>
        <row r="8951">
          <cell r="B8951">
            <v>1933</v>
          </cell>
          <cell r="K8951" t="str">
            <v>MONTGOMERY</v>
          </cell>
          <cell r="L8951" t="str">
            <v>Montgomery</v>
          </cell>
          <cell r="V8951">
            <v>108181</v>
          </cell>
        </row>
        <row r="8952">
          <cell r="B8952">
            <v>1933</v>
          </cell>
          <cell r="K8952" t="str">
            <v>PAGE</v>
          </cell>
          <cell r="L8952" t="str">
            <v>Page</v>
          </cell>
          <cell r="V8952">
            <v>132470</v>
          </cell>
        </row>
        <row r="8953">
          <cell r="B8953">
            <v>1933</v>
          </cell>
          <cell r="K8953" t="str">
            <v>POTTAWATTAMIE</v>
          </cell>
          <cell r="L8953" t="str">
            <v>Pottawattamie</v>
          </cell>
          <cell r="V8953">
            <v>265033</v>
          </cell>
        </row>
        <row r="8954">
          <cell r="B8954">
            <v>1933</v>
          </cell>
          <cell r="K8954" t="str">
            <v>TAYLOR</v>
          </cell>
          <cell r="L8954" t="str">
            <v>Taylor</v>
          </cell>
          <cell r="V8954">
            <v>103968</v>
          </cell>
        </row>
        <row r="8955">
          <cell r="B8955">
            <v>1933</v>
          </cell>
          <cell r="K8955" t="str">
            <v>AUDUBON</v>
          </cell>
          <cell r="L8955" t="str">
            <v>Audubon</v>
          </cell>
          <cell r="V8955">
            <v>102350</v>
          </cell>
        </row>
        <row r="8956">
          <cell r="B8956">
            <v>1933</v>
          </cell>
          <cell r="K8956" t="str">
            <v>CALHOUN</v>
          </cell>
          <cell r="L8956" t="str">
            <v>Calhoun</v>
          </cell>
          <cell r="V8956">
            <v>150415</v>
          </cell>
        </row>
        <row r="8957">
          <cell r="B8957">
            <v>1933</v>
          </cell>
          <cell r="K8957" t="str">
            <v>CARROLL</v>
          </cell>
          <cell r="L8957" t="str">
            <v>Carroll</v>
          </cell>
          <cell r="V8957">
            <v>144538</v>
          </cell>
        </row>
        <row r="8958">
          <cell r="B8958">
            <v>1933</v>
          </cell>
          <cell r="K8958" t="str">
            <v>CRAWFORD</v>
          </cell>
          <cell r="L8958" t="str">
            <v>Crawford</v>
          </cell>
          <cell r="V8958">
            <v>168045</v>
          </cell>
        </row>
        <row r="8959">
          <cell r="B8959">
            <v>1933</v>
          </cell>
          <cell r="K8959" t="str">
            <v>GREENE</v>
          </cell>
          <cell r="L8959" t="str">
            <v>Greene</v>
          </cell>
          <cell r="V8959">
            <v>158895</v>
          </cell>
        </row>
        <row r="8960">
          <cell r="B8960">
            <v>1933</v>
          </cell>
          <cell r="K8960" t="str">
            <v>GUTHRIE</v>
          </cell>
          <cell r="L8960" t="str">
            <v>Guthrie</v>
          </cell>
          <cell r="V8960">
            <v>123519</v>
          </cell>
        </row>
        <row r="8961">
          <cell r="B8961">
            <v>1933</v>
          </cell>
          <cell r="K8961" t="str">
            <v>HARRISON</v>
          </cell>
          <cell r="L8961" t="str">
            <v>Harrison</v>
          </cell>
          <cell r="V8961">
            <v>194735</v>
          </cell>
        </row>
        <row r="8962">
          <cell r="B8962">
            <v>1933</v>
          </cell>
          <cell r="K8962" t="str">
            <v>IDA</v>
          </cell>
          <cell r="L8962" t="str">
            <v>Ida</v>
          </cell>
          <cell r="V8962">
            <v>116766</v>
          </cell>
        </row>
        <row r="8963">
          <cell r="B8963">
            <v>1933</v>
          </cell>
          <cell r="K8963" t="str">
            <v>MONONA</v>
          </cell>
          <cell r="L8963" t="str">
            <v>Monona</v>
          </cell>
          <cell r="V8963">
            <v>184000</v>
          </cell>
        </row>
        <row r="8964">
          <cell r="B8964">
            <v>1933</v>
          </cell>
          <cell r="K8964" t="str">
            <v>SAC</v>
          </cell>
          <cell r="L8964" t="str">
            <v>Sac</v>
          </cell>
          <cell r="V8964">
            <v>149878</v>
          </cell>
        </row>
        <row r="8965">
          <cell r="B8965">
            <v>1933</v>
          </cell>
          <cell r="K8965" t="str">
            <v>SHELBY</v>
          </cell>
          <cell r="L8965" t="str">
            <v>Shelby</v>
          </cell>
          <cell r="V8965">
            <v>155059</v>
          </cell>
        </row>
        <row r="8966">
          <cell r="B8966">
            <v>1933</v>
          </cell>
          <cell r="K8966" t="str">
            <v>WOODBURY</v>
          </cell>
          <cell r="L8966" t="str">
            <v>Woodbury</v>
          </cell>
          <cell r="V8966">
            <v>237291</v>
          </cell>
        </row>
        <row r="8967">
          <cell r="B8967">
            <v>1932</v>
          </cell>
          <cell r="K8967" t="str">
            <v>BOONE</v>
          </cell>
          <cell r="L8967" t="str">
            <v>Boone</v>
          </cell>
          <cell r="V8967">
            <v>146508</v>
          </cell>
        </row>
        <row r="8968">
          <cell r="B8968">
            <v>1932</v>
          </cell>
          <cell r="K8968" t="str">
            <v>DALLAS</v>
          </cell>
          <cell r="L8968" t="str">
            <v>Dallas</v>
          </cell>
          <cell r="V8968">
            <v>153038</v>
          </cell>
        </row>
        <row r="8969">
          <cell r="B8969">
            <v>1932</v>
          </cell>
          <cell r="K8969" t="str">
            <v>GRUNDY</v>
          </cell>
          <cell r="L8969" t="str">
            <v>Grundy</v>
          </cell>
          <cell r="V8969">
            <v>118561</v>
          </cell>
        </row>
        <row r="8970">
          <cell r="B8970">
            <v>1932</v>
          </cell>
          <cell r="K8970" t="str">
            <v>HAMILTON</v>
          </cell>
          <cell r="L8970" t="str">
            <v>Hamilton</v>
          </cell>
          <cell r="V8970">
            <v>152765</v>
          </cell>
        </row>
        <row r="8971">
          <cell r="B8971">
            <v>1932</v>
          </cell>
          <cell r="K8971" t="str">
            <v>HARDIN</v>
          </cell>
          <cell r="L8971" t="str">
            <v>Hardin</v>
          </cell>
          <cell r="V8971">
            <v>144142</v>
          </cell>
        </row>
        <row r="8972">
          <cell r="B8972">
            <v>1932</v>
          </cell>
          <cell r="K8972" t="str">
            <v>JASPER</v>
          </cell>
          <cell r="L8972" t="str">
            <v>Jasper</v>
          </cell>
          <cell r="V8972">
            <v>167330</v>
          </cell>
        </row>
        <row r="8973">
          <cell r="B8973">
            <v>1932</v>
          </cell>
          <cell r="K8973" t="str">
            <v>MARSHALL</v>
          </cell>
          <cell r="L8973" t="str">
            <v>Marshall</v>
          </cell>
          <cell r="V8973">
            <v>133205</v>
          </cell>
        </row>
        <row r="8974">
          <cell r="B8974">
            <v>1932</v>
          </cell>
          <cell r="K8974" t="str">
            <v>POLK</v>
          </cell>
          <cell r="L8974" t="str">
            <v>Polk</v>
          </cell>
          <cell r="V8974">
            <v>124642</v>
          </cell>
        </row>
        <row r="8975">
          <cell r="B8975">
            <v>1932</v>
          </cell>
          <cell r="K8975" t="str">
            <v>POWESHIEK</v>
          </cell>
          <cell r="L8975" t="str">
            <v>Poweshiek</v>
          </cell>
          <cell r="V8975">
            <v>127492</v>
          </cell>
        </row>
        <row r="8976">
          <cell r="B8976">
            <v>1932</v>
          </cell>
          <cell r="K8976" t="str">
            <v>STORY</v>
          </cell>
          <cell r="L8976" t="str">
            <v>Story</v>
          </cell>
          <cell r="V8976">
            <v>161107</v>
          </cell>
        </row>
        <row r="8977">
          <cell r="B8977">
            <v>1932</v>
          </cell>
          <cell r="K8977" t="str">
            <v>TAMA</v>
          </cell>
          <cell r="L8977" t="str">
            <v>Tama</v>
          </cell>
          <cell r="V8977">
            <v>143071</v>
          </cell>
        </row>
        <row r="8978">
          <cell r="B8978">
            <v>1932</v>
          </cell>
          <cell r="K8978" t="str">
            <v>WEBSTER</v>
          </cell>
          <cell r="L8978" t="str">
            <v>Webster</v>
          </cell>
          <cell r="V8978">
            <v>174085</v>
          </cell>
        </row>
        <row r="8979">
          <cell r="B8979">
            <v>1932</v>
          </cell>
          <cell r="K8979" t="str">
            <v>BENTON</v>
          </cell>
          <cell r="L8979" t="str">
            <v>Benton</v>
          </cell>
          <cell r="V8979">
            <v>158453</v>
          </cell>
        </row>
        <row r="8980">
          <cell r="B8980">
            <v>1932</v>
          </cell>
          <cell r="K8980" t="str">
            <v>CEDAR</v>
          </cell>
          <cell r="L8980" t="str">
            <v>Cedar</v>
          </cell>
          <cell r="V8980">
            <v>115161</v>
          </cell>
        </row>
        <row r="8981">
          <cell r="B8981">
            <v>1932</v>
          </cell>
          <cell r="K8981" t="str">
            <v>CLINTON</v>
          </cell>
          <cell r="L8981" t="str">
            <v>Clinton</v>
          </cell>
          <cell r="V8981">
            <v>140945</v>
          </cell>
        </row>
        <row r="8982">
          <cell r="B8982">
            <v>1932</v>
          </cell>
          <cell r="K8982" t="str">
            <v>IOWA</v>
          </cell>
          <cell r="L8982" t="str">
            <v>Iowa</v>
          </cell>
          <cell r="V8982">
            <v>107770</v>
          </cell>
        </row>
        <row r="8983">
          <cell r="B8983">
            <v>1932</v>
          </cell>
          <cell r="K8983" t="str">
            <v>JACKSON</v>
          </cell>
          <cell r="L8983" t="str">
            <v>Jackson</v>
          </cell>
          <cell r="V8983">
            <v>73874</v>
          </cell>
        </row>
        <row r="8984">
          <cell r="B8984">
            <v>1932</v>
          </cell>
          <cell r="K8984" t="str">
            <v>JOHNSON</v>
          </cell>
          <cell r="L8984" t="str">
            <v>Johnson</v>
          </cell>
          <cell r="V8984">
            <v>112416</v>
          </cell>
        </row>
        <row r="8985">
          <cell r="B8985">
            <v>1932</v>
          </cell>
          <cell r="K8985" t="str">
            <v>JONES</v>
          </cell>
          <cell r="L8985" t="str">
            <v>Jones</v>
          </cell>
          <cell r="V8985">
            <v>95140</v>
          </cell>
        </row>
        <row r="8986">
          <cell r="B8986">
            <v>1932</v>
          </cell>
          <cell r="K8986" t="str">
            <v>LINN</v>
          </cell>
          <cell r="L8986" t="str">
            <v>Linn</v>
          </cell>
          <cell r="V8986">
            <v>136834</v>
          </cell>
        </row>
        <row r="8987">
          <cell r="B8987">
            <v>1932</v>
          </cell>
          <cell r="K8987" t="str">
            <v>MUSCATINE</v>
          </cell>
          <cell r="L8987" t="str">
            <v>Muscatine</v>
          </cell>
          <cell r="V8987">
            <v>80165</v>
          </cell>
        </row>
        <row r="8988">
          <cell r="B8988">
            <v>1932</v>
          </cell>
          <cell r="K8988" t="str">
            <v>SCOTT</v>
          </cell>
          <cell r="L8988" t="str">
            <v>Scott</v>
          </cell>
          <cell r="V8988">
            <v>84763</v>
          </cell>
        </row>
        <row r="8989">
          <cell r="B8989">
            <v>1932</v>
          </cell>
          <cell r="K8989" t="str">
            <v>BUTLER</v>
          </cell>
          <cell r="L8989" t="str">
            <v>Butler</v>
          </cell>
          <cell r="V8989">
            <v>126169</v>
          </cell>
        </row>
        <row r="8990">
          <cell r="B8990">
            <v>1932</v>
          </cell>
          <cell r="K8990" t="str">
            <v>CERRO GORDO</v>
          </cell>
          <cell r="L8990" t="str">
            <v>Cerro Gordo</v>
          </cell>
          <cell r="V8990">
            <v>126540</v>
          </cell>
        </row>
        <row r="8991">
          <cell r="B8991">
            <v>1932</v>
          </cell>
          <cell r="K8991" t="str">
            <v>FLOYD</v>
          </cell>
          <cell r="L8991" t="str">
            <v>Floyd</v>
          </cell>
          <cell r="V8991">
            <v>107420</v>
          </cell>
        </row>
        <row r="8992">
          <cell r="B8992">
            <v>1932</v>
          </cell>
          <cell r="K8992" t="str">
            <v>FRANKLIN</v>
          </cell>
          <cell r="L8992" t="str">
            <v>Franklin</v>
          </cell>
          <cell r="V8992">
            <v>148997</v>
          </cell>
        </row>
        <row r="8993">
          <cell r="B8993">
            <v>1932</v>
          </cell>
          <cell r="K8993" t="str">
            <v>HANCOCK</v>
          </cell>
          <cell r="L8993" t="str">
            <v>Hancock</v>
          </cell>
          <cell r="V8993">
            <v>133164</v>
          </cell>
        </row>
        <row r="8994">
          <cell r="B8994">
            <v>1932</v>
          </cell>
          <cell r="K8994" t="str">
            <v>HUMBOLDT</v>
          </cell>
          <cell r="L8994" t="str">
            <v>Humboldt</v>
          </cell>
          <cell r="V8994">
            <v>114152</v>
          </cell>
        </row>
        <row r="8995">
          <cell r="B8995">
            <v>1932</v>
          </cell>
          <cell r="K8995" t="str">
            <v>KOSSUTH</v>
          </cell>
          <cell r="L8995" t="str">
            <v>Kossuth</v>
          </cell>
          <cell r="V8995">
            <v>239910</v>
          </cell>
        </row>
        <row r="8996">
          <cell r="B8996">
            <v>1932</v>
          </cell>
          <cell r="K8996" t="str">
            <v>MITCHELL</v>
          </cell>
          <cell r="L8996" t="str">
            <v>Mitchell</v>
          </cell>
          <cell r="V8996">
            <v>83957</v>
          </cell>
        </row>
        <row r="8997">
          <cell r="B8997">
            <v>1932</v>
          </cell>
          <cell r="K8997" t="str">
            <v>WINNEBAGO</v>
          </cell>
          <cell r="L8997" t="str">
            <v>Winnebago</v>
          </cell>
          <cell r="V8997">
            <v>86880</v>
          </cell>
        </row>
        <row r="8998">
          <cell r="B8998">
            <v>1932</v>
          </cell>
          <cell r="K8998" t="str">
            <v>WORTH</v>
          </cell>
          <cell r="L8998" t="str">
            <v>Worth</v>
          </cell>
          <cell r="V8998">
            <v>74706</v>
          </cell>
        </row>
        <row r="8999">
          <cell r="B8999">
            <v>1932</v>
          </cell>
          <cell r="K8999" t="str">
            <v>WRIGHT</v>
          </cell>
          <cell r="L8999" t="str">
            <v>Wright</v>
          </cell>
          <cell r="V8999">
            <v>153322</v>
          </cell>
        </row>
        <row r="9000">
          <cell r="B9000">
            <v>1932</v>
          </cell>
          <cell r="K9000" t="str">
            <v>ALLAMAKEE</v>
          </cell>
          <cell r="L9000" t="str">
            <v>Allamakee</v>
          </cell>
          <cell r="V9000">
            <v>48918</v>
          </cell>
        </row>
        <row r="9001">
          <cell r="B9001">
            <v>1932</v>
          </cell>
          <cell r="K9001" t="str">
            <v>BLACK HAWK</v>
          </cell>
          <cell r="L9001" t="str">
            <v>Black Hawk</v>
          </cell>
          <cell r="V9001">
            <v>119169</v>
          </cell>
        </row>
        <row r="9002">
          <cell r="B9002">
            <v>1932</v>
          </cell>
          <cell r="K9002" t="str">
            <v>BREMER</v>
          </cell>
          <cell r="L9002" t="str">
            <v>Bremer</v>
          </cell>
          <cell r="V9002">
            <v>78332</v>
          </cell>
        </row>
        <row r="9003">
          <cell r="B9003">
            <v>1932</v>
          </cell>
          <cell r="K9003" t="str">
            <v>BUCHANAN</v>
          </cell>
          <cell r="L9003" t="str">
            <v>Buchanan</v>
          </cell>
          <cell r="V9003">
            <v>121243</v>
          </cell>
        </row>
        <row r="9004">
          <cell r="B9004">
            <v>1932</v>
          </cell>
          <cell r="K9004" t="str">
            <v>CHICKASAW</v>
          </cell>
          <cell r="L9004" t="str">
            <v>Chickasaw</v>
          </cell>
          <cell r="V9004">
            <v>82672</v>
          </cell>
        </row>
        <row r="9005">
          <cell r="B9005">
            <v>1932</v>
          </cell>
          <cell r="K9005" t="str">
            <v>CLAYTON</v>
          </cell>
          <cell r="L9005" t="str">
            <v>Clayton</v>
          </cell>
          <cell r="V9005">
            <v>89950</v>
          </cell>
        </row>
        <row r="9006">
          <cell r="B9006">
            <v>1932</v>
          </cell>
          <cell r="K9006" t="str">
            <v>DELAWARE</v>
          </cell>
          <cell r="L9006" t="str">
            <v>Delaware</v>
          </cell>
          <cell r="V9006">
            <v>105874</v>
          </cell>
        </row>
        <row r="9007">
          <cell r="B9007">
            <v>1932</v>
          </cell>
          <cell r="K9007" t="str">
            <v>DUBUQUE</v>
          </cell>
          <cell r="L9007" t="str">
            <v>Dubuque</v>
          </cell>
          <cell r="V9007">
            <v>79304</v>
          </cell>
        </row>
        <row r="9008">
          <cell r="B9008">
            <v>1932</v>
          </cell>
          <cell r="K9008" t="str">
            <v>FAYETTE</v>
          </cell>
          <cell r="L9008" t="str">
            <v>Fayette</v>
          </cell>
          <cell r="V9008">
            <v>112627</v>
          </cell>
        </row>
        <row r="9009">
          <cell r="B9009">
            <v>1932</v>
          </cell>
          <cell r="K9009" t="str">
            <v>HOWARD</v>
          </cell>
          <cell r="L9009" t="str">
            <v>Howard</v>
          </cell>
          <cell r="V9009">
            <v>68749</v>
          </cell>
        </row>
        <row r="9010">
          <cell r="B9010">
            <v>1932</v>
          </cell>
          <cell r="K9010" t="str">
            <v>WINNESHIEK</v>
          </cell>
          <cell r="L9010" t="str">
            <v>Winneshiek</v>
          </cell>
          <cell r="V9010">
            <v>91335</v>
          </cell>
        </row>
        <row r="9011">
          <cell r="B9011">
            <v>1932</v>
          </cell>
          <cell r="K9011" t="str">
            <v>BUENA VISTA</v>
          </cell>
          <cell r="L9011" t="str">
            <v>Buena Vista</v>
          </cell>
          <cell r="V9011">
            <v>152661</v>
          </cell>
        </row>
        <row r="9012">
          <cell r="B9012">
            <v>1932</v>
          </cell>
          <cell r="K9012" t="str">
            <v>CHEROKEE</v>
          </cell>
          <cell r="L9012" t="str">
            <v>Cherokee</v>
          </cell>
          <cell r="V9012">
            <v>145768</v>
          </cell>
        </row>
        <row r="9013">
          <cell r="B9013">
            <v>1932</v>
          </cell>
          <cell r="K9013" t="str">
            <v>CLAY</v>
          </cell>
          <cell r="L9013" t="str">
            <v>Clay</v>
          </cell>
          <cell r="V9013">
            <v>138462</v>
          </cell>
        </row>
        <row r="9014">
          <cell r="B9014">
            <v>1932</v>
          </cell>
          <cell r="K9014" t="str">
            <v>DICKINSON</v>
          </cell>
          <cell r="L9014" t="str">
            <v>Dickinson</v>
          </cell>
          <cell r="V9014">
            <v>86677</v>
          </cell>
        </row>
        <row r="9015">
          <cell r="B9015">
            <v>1932</v>
          </cell>
          <cell r="K9015" t="str">
            <v>EMMET</v>
          </cell>
          <cell r="L9015" t="str">
            <v>Emmet</v>
          </cell>
          <cell r="V9015">
            <v>94297</v>
          </cell>
        </row>
        <row r="9016">
          <cell r="B9016">
            <v>1932</v>
          </cell>
          <cell r="K9016" t="str">
            <v>LYON</v>
          </cell>
          <cell r="L9016" t="str">
            <v>Lyon</v>
          </cell>
          <cell r="V9016">
            <v>144646</v>
          </cell>
        </row>
        <row r="9017">
          <cell r="B9017">
            <v>1932</v>
          </cell>
          <cell r="K9017" t="str">
            <v>O BRIEN</v>
          </cell>
          <cell r="L9017" t="str">
            <v>O Brien</v>
          </cell>
          <cell r="V9017">
            <v>144348</v>
          </cell>
        </row>
        <row r="9018">
          <cell r="B9018">
            <v>1932</v>
          </cell>
          <cell r="K9018" t="str">
            <v>OSCEOLA</v>
          </cell>
          <cell r="L9018" t="str">
            <v>Osceola</v>
          </cell>
          <cell r="V9018">
            <v>98475</v>
          </cell>
        </row>
        <row r="9019">
          <cell r="B9019">
            <v>1932</v>
          </cell>
          <cell r="K9019" t="str">
            <v>PALO ALTO</v>
          </cell>
          <cell r="L9019" t="str">
            <v>Palo Alto</v>
          </cell>
          <cell r="V9019">
            <v>137577</v>
          </cell>
        </row>
        <row r="9020">
          <cell r="B9020">
            <v>1932</v>
          </cell>
          <cell r="K9020" t="str">
            <v>PLYMOUTH</v>
          </cell>
          <cell r="L9020" t="str">
            <v>Plymouth</v>
          </cell>
          <cell r="V9020">
            <v>215484</v>
          </cell>
        </row>
        <row r="9021">
          <cell r="B9021">
            <v>1932</v>
          </cell>
          <cell r="K9021" t="str">
            <v>POCAHONTAS</v>
          </cell>
          <cell r="L9021" t="str">
            <v>Pocahontas</v>
          </cell>
          <cell r="V9021">
            <v>156442</v>
          </cell>
        </row>
        <row r="9022">
          <cell r="B9022">
            <v>1932</v>
          </cell>
          <cell r="K9022" t="str">
            <v>SIOUX</v>
          </cell>
          <cell r="L9022" t="str">
            <v>Sioux</v>
          </cell>
          <cell r="V9022">
            <v>196722</v>
          </cell>
        </row>
        <row r="9023">
          <cell r="B9023">
            <v>1932</v>
          </cell>
          <cell r="K9023" t="str">
            <v>APPANOOSE</v>
          </cell>
          <cell r="L9023" t="str">
            <v>Appanoose</v>
          </cell>
          <cell r="V9023">
            <v>50751</v>
          </cell>
        </row>
        <row r="9024">
          <cell r="B9024">
            <v>1932</v>
          </cell>
          <cell r="K9024" t="str">
            <v>CLARKE</v>
          </cell>
          <cell r="L9024" t="str">
            <v>Clarke</v>
          </cell>
          <cell r="V9024">
            <v>64158</v>
          </cell>
        </row>
        <row r="9025">
          <cell r="B9025">
            <v>1932</v>
          </cell>
          <cell r="K9025" t="str">
            <v>DECATUR</v>
          </cell>
          <cell r="L9025" t="str">
            <v>Decatur</v>
          </cell>
          <cell r="V9025">
            <v>69224</v>
          </cell>
        </row>
        <row r="9026">
          <cell r="B9026">
            <v>1932</v>
          </cell>
          <cell r="K9026" t="str">
            <v>LUCAS</v>
          </cell>
          <cell r="L9026" t="str">
            <v>Lucas</v>
          </cell>
          <cell r="V9026">
            <v>56183</v>
          </cell>
        </row>
        <row r="9027">
          <cell r="B9027">
            <v>1932</v>
          </cell>
          <cell r="K9027" t="str">
            <v>MADISON</v>
          </cell>
          <cell r="L9027" t="str">
            <v>Madison</v>
          </cell>
          <cell r="V9027">
            <v>106650</v>
          </cell>
        </row>
        <row r="9028">
          <cell r="B9028">
            <v>1932</v>
          </cell>
          <cell r="K9028" t="str">
            <v>MARION</v>
          </cell>
          <cell r="L9028" t="str">
            <v>Marion</v>
          </cell>
          <cell r="V9028">
            <v>108470</v>
          </cell>
        </row>
        <row r="9029">
          <cell r="B9029">
            <v>1932</v>
          </cell>
          <cell r="K9029" t="str">
            <v>MONROE</v>
          </cell>
          <cell r="L9029" t="str">
            <v>Monroe</v>
          </cell>
          <cell r="V9029">
            <v>51116</v>
          </cell>
        </row>
        <row r="9030">
          <cell r="B9030">
            <v>1932</v>
          </cell>
          <cell r="K9030" t="str">
            <v>RINGGOLD</v>
          </cell>
          <cell r="L9030" t="str">
            <v>Ringgold</v>
          </cell>
          <cell r="V9030">
            <v>89752</v>
          </cell>
        </row>
        <row r="9031">
          <cell r="B9031">
            <v>1932</v>
          </cell>
          <cell r="K9031" t="str">
            <v>UNION</v>
          </cell>
          <cell r="L9031" t="str">
            <v>Union</v>
          </cell>
          <cell r="V9031">
            <v>76994</v>
          </cell>
        </row>
        <row r="9032">
          <cell r="B9032">
            <v>1932</v>
          </cell>
          <cell r="K9032" t="str">
            <v>WARREN</v>
          </cell>
          <cell r="L9032" t="str">
            <v>Warren</v>
          </cell>
          <cell r="V9032">
            <v>104648</v>
          </cell>
        </row>
        <row r="9033">
          <cell r="B9033">
            <v>1932</v>
          </cell>
          <cell r="K9033" t="str">
            <v>WAYNE</v>
          </cell>
          <cell r="L9033" t="str">
            <v>Wayne</v>
          </cell>
          <cell r="V9033">
            <v>75995</v>
          </cell>
        </row>
        <row r="9034">
          <cell r="B9034">
            <v>1932</v>
          </cell>
          <cell r="K9034" t="str">
            <v>DAVIS</v>
          </cell>
          <cell r="L9034" t="str">
            <v>Davis</v>
          </cell>
          <cell r="V9034">
            <v>52367</v>
          </cell>
        </row>
        <row r="9035">
          <cell r="B9035">
            <v>1932</v>
          </cell>
          <cell r="K9035" t="str">
            <v>DES MOINES</v>
          </cell>
          <cell r="L9035" t="str">
            <v>Des Moines</v>
          </cell>
          <cell r="V9035">
            <v>72482</v>
          </cell>
        </row>
        <row r="9036">
          <cell r="B9036">
            <v>1932</v>
          </cell>
          <cell r="K9036" t="str">
            <v>HENRY</v>
          </cell>
          <cell r="L9036" t="str">
            <v>Henry</v>
          </cell>
          <cell r="V9036">
            <v>77612</v>
          </cell>
        </row>
        <row r="9037">
          <cell r="B9037">
            <v>1932</v>
          </cell>
          <cell r="K9037" t="str">
            <v>JEFFERSON</v>
          </cell>
          <cell r="L9037" t="str">
            <v>Jefferson</v>
          </cell>
          <cell r="V9037">
            <v>70170</v>
          </cell>
        </row>
        <row r="9038">
          <cell r="B9038">
            <v>1932</v>
          </cell>
          <cell r="K9038" t="str">
            <v>KEOKUK</v>
          </cell>
          <cell r="L9038" t="str">
            <v>Keokuk</v>
          </cell>
          <cell r="V9038">
            <v>111919</v>
          </cell>
        </row>
        <row r="9039">
          <cell r="B9039">
            <v>1932</v>
          </cell>
          <cell r="K9039" t="str">
            <v>LEE</v>
          </cell>
          <cell r="L9039" t="str">
            <v>Lee</v>
          </cell>
          <cell r="V9039">
            <v>59920</v>
          </cell>
        </row>
        <row r="9040">
          <cell r="B9040">
            <v>1932</v>
          </cell>
          <cell r="K9040" t="str">
            <v>LOUISA</v>
          </cell>
          <cell r="L9040" t="str">
            <v>Louisa</v>
          </cell>
          <cell r="V9040">
            <v>75396</v>
          </cell>
        </row>
        <row r="9041">
          <cell r="B9041">
            <v>1932</v>
          </cell>
          <cell r="K9041" t="str">
            <v>MAHASKA</v>
          </cell>
          <cell r="L9041" t="str">
            <v>Mahaska</v>
          </cell>
          <cell r="V9041">
            <v>121501</v>
          </cell>
        </row>
        <row r="9042">
          <cell r="B9042">
            <v>1932</v>
          </cell>
          <cell r="K9042" t="str">
            <v>VAN BUREN</v>
          </cell>
          <cell r="L9042" t="str">
            <v>Van Buren</v>
          </cell>
          <cell r="V9042">
            <v>48800</v>
          </cell>
        </row>
        <row r="9043">
          <cell r="B9043">
            <v>1932</v>
          </cell>
          <cell r="K9043" t="str">
            <v>WAPELLO</v>
          </cell>
          <cell r="L9043" t="str">
            <v>Wapello</v>
          </cell>
          <cell r="V9043">
            <v>63117</v>
          </cell>
        </row>
        <row r="9044">
          <cell r="B9044">
            <v>1932</v>
          </cell>
          <cell r="K9044" t="str">
            <v>WASHINGTON</v>
          </cell>
          <cell r="L9044" t="str">
            <v>Washington</v>
          </cell>
          <cell r="V9044">
            <v>113185</v>
          </cell>
        </row>
        <row r="9045">
          <cell r="B9045">
            <v>1932</v>
          </cell>
          <cell r="K9045" t="str">
            <v>ADAIR</v>
          </cell>
          <cell r="L9045" t="str">
            <v>Adair</v>
          </cell>
          <cell r="V9045">
            <v>125334</v>
          </cell>
        </row>
        <row r="9046">
          <cell r="B9046">
            <v>1932</v>
          </cell>
          <cell r="K9046" t="str">
            <v>ADAMS</v>
          </cell>
          <cell r="L9046" t="str">
            <v>Adams</v>
          </cell>
          <cell r="V9046">
            <v>92145</v>
          </cell>
        </row>
        <row r="9047">
          <cell r="B9047">
            <v>1932</v>
          </cell>
          <cell r="K9047" t="str">
            <v>CASS</v>
          </cell>
          <cell r="L9047" t="str">
            <v>Cass</v>
          </cell>
          <cell r="V9047">
            <v>133185</v>
          </cell>
        </row>
        <row r="9048">
          <cell r="B9048">
            <v>1932</v>
          </cell>
          <cell r="K9048" t="str">
            <v>FREMONT</v>
          </cell>
          <cell r="L9048" t="str">
            <v>Fremont</v>
          </cell>
          <cell r="V9048">
            <v>165347</v>
          </cell>
        </row>
        <row r="9049">
          <cell r="B9049">
            <v>1932</v>
          </cell>
          <cell r="K9049" t="str">
            <v>MILLS</v>
          </cell>
          <cell r="L9049" t="str">
            <v>Mills</v>
          </cell>
          <cell r="V9049">
            <v>128075</v>
          </cell>
        </row>
        <row r="9050">
          <cell r="B9050">
            <v>1932</v>
          </cell>
          <cell r="K9050" t="str">
            <v>MONTGOMERY</v>
          </cell>
          <cell r="L9050" t="str">
            <v>Montgomery</v>
          </cell>
          <cell r="V9050">
            <v>113459</v>
          </cell>
        </row>
        <row r="9051">
          <cell r="B9051">
            <v>1932</v>
          </cell>
          <cell r="K9051" t="str">
            <v>PAGE</v>
          </cell>
          <cell r="L9051" t="str">
            <v>Page</v>
          </cell>
          <cell r="V9051">
            <v>139345</v>
          </cell>
        </row>
        <row r="9052">
          <cell r="B9052">
            <v>1932</v>
          </cell>
          <cell r="K9052" t="str">
            <v>POTTAWATTAMIE</v>
          </cell>
          <cell r="L9052" t="str">
            <v>Pottawattamie</v>
          </cell>
          <cell r="V9052">
            <v>262350</v>
          </cell>
        </row>
        <row r="9053">
          <cell r="B9053">
            <v>1932</v>
          </cell>
          <cell r="K9053" t="str">
            <v>TAYLOR</v>
          </cell>
          <cell r="L9053" t="str">
            <v>Taylor</v>
          </cell>
          <cell r="V9053">
            <v>112585</v>
          </cell>
        </row>
        <row r="9054">
          <cell r="B9054">
            <v>1932</v>
          </cell>
          <cell r="K9054" t="str">
            <v>AUDUBON</v>
          </cell>
          <cell r="L9054" t="str">
            <v>Audubon</v>
          </cell>
          <cell r="V9054">
            <v>104560</v>
          </cell>
        </row>
        <row r="9055">
          <cell r="B9055">
            <v>1932</v>
          </cell>
          <cell r="K9055" t="str">
            <v>CALHOUN</v>
          </cell>
          <cell r="L9055" t="str">
            <v>Calhoun</v>
          </cell>
          <cell r="V9055">
            <v>151482</v>
          </cell>
        </row>
        <row r="9056">
          <cell r="B9056">
            <v>1932</v>
          </cell>
          <cell r="K9056" t="str">
            <v>CARROLL</v>
          </cell>
          <cell r="L9056" t="str">
            <v>Carroll</v>
          </cell>
          <cell r="V9056">
            <v>144881</v>
          </cell>
        </row>
        <row r="9057">
          <cell r="B9057">
            <v>1932</v>
          </cell>
          <cell r="K9057" t="str">
            <v>CRAWFORD</v>
          </cell>
          <cell r="L9057" t="str">
            <v>Crawford</v>
          </cell>
          <cell r="V9057">
            <v>170577</v>
          </cell>
        </row>
        <row r="9058">
          <cell r="B9058">
            <v>1932</v>
          </cell>
          <cell r="K9058" t="str">
            <v>GREENE</v>
          </cell>
          <cell r="L9058" t="str">
            <v>Greene</v>
          </cell>
          <cell r="V9058">
            <v>162436</v>
          </cell>
        </row>
        <row r="9059">
          <cell r="B9059">
            <v>1932</v>
          </cell>
          <cell r="K9059" t="str">
            <v>GUTHRIE</v>
          </cell>
          <cell r="L9059" t="str">
            <v>Guthrie</v>
          </cell>
          <cell r="V9059">
            <v>129107</v>
          </cell>
        </row>
        <row r="9060">
          <cell r="B9060">
            <v>1932</v>
          </cell>
          <cell r="K9060" t="str">
            <v>HARRISON</v>
          </cell>
          <cell r="L9060" t="str">
            <v>Harrison</v>
          </cell>
          <cell r="V9060">
            <v>197260</v>
          </cell>
        </row>
        <row r="9061">
          <cell r="B9061">
            <v>1932</v>
          </cell>
          <cell r="K9061" t="str">
            <v>IDA</v>
          </cell>
          <cell r="L9061" t="str">
            <v>Ida</v>
          </cell>
          <cell r="V9061">
            <v>115916</v>
          </cell>
        </row>
        <row r="9062">
          <cell r="B9062">
            <v>1932</v>
          </cell>
          <cell r="K9062" t="str">
            <v>MONONA</v>
          </cell>
          <cell r="L9062" t="str">
            <v>Monona</v>
          </cell>
          <cell r="V9062">
            <v>181380</v>
          </cell>
        </row>
        <row r="9063">
          <cell r="B9063">
            <v>1932</v>
          </cell>
          <cell r="K9063" t="str">
            <v>SAC</v>
          </cell>
          <cell r="L9063" t="str">
            <v>Sac</v>
          </cell>
          <cell r="V9063">
            <v>147813</v>
          </cell>
        </row>
        <row r="9064">
          <cell r="B9064">
            <v>1932</v>
          </cell>
          <cell r="K9064" t="str">
            <v>SHELBY</v>
          </cell>
          <cell r="L9064" t="str">
            <v>Shelby</v>
          </cell>
          <cell r="V9064">
            <v>157057</v>
          </cell>
        </row>
        <row r="9065">
          <cell r="B9065">
            <v>1932</v>
          </cell>
          <cell r="K9065" t="str">
            <v>WOODBURY</v>
          </cell>
          <cell r="L9065" t="str">
            <v>Woodbury</v>
          </cell>
          <cell r="V9065">
            <v>237880</v>
          </cell>
        </row>
        <row r="9066">
          <cell r="B9066">
            <v>1931</v>
          </cell>
          <cell r="K9066" t="str">
            <v>BOONE</v>
          </cell>
          <cell r="L9066" t="str">
            <v>Boone</v>
          </cell>
          <cell r="V9066">
            <v>146880</v>
          </cell>
        </row>
        <row r="9067">
          <cell r="B9067">
            <v>1931</v>
          </cell>
          <cell r="K9067" t="str">
            <v>DALLAS</v>
          </cell>
          <cell r="L9067" t="str">
            <v>Dallas</v>
          </cell>
          <cell r="V9067">
            <v>155202</v>
          </cell>
        </row>
        <row r="9068">
          <cell r="B9068">
            <v>1931</v>
          </cell>
          <cell r="K9068" t="str">
            <v>GRUNDY</v>
          </cell>
          <cell r="L9068" t="str">
            <v>Grundy</v>
          </cell>
          <cell r="V9068">
            <v>116885</v>
          </cell>
        </row>
        <row r="9069">
          <cell r="B9069">
            <v>1931</v>
          </cell>
          <cell r="K9069" t="str">
            <v>HAMILTON</v>
          </cell>
          <cell r="L9069" t="str">
            <v>Hamilton</v>
          </cell>
          <cell r="V9069">
            <v>154337</v>
          </cell>
        </row>
        <row r="9070">
          <cell r="B9070">
            <v>1931</v>
          </cell>
          <cell r="K9070" t="str">
            <v>HARDIN</v>
          </cell>
          <cell r="L9070" t="str">
            <v>Hardin</v>
          </cell>
          <cell r="V9070">
            <v>141443</v>
          </cell>
        </row>
        <row r="9071">
          <cell r="B9071">
            <v>1931</v>
          </cell>
          <cell r="K9071" t="str">
            <v>JASPER</v>
          </cell>
          <cell r="L9071" t="str">
            <v>Jasper</v>
          </cell>
          <cell r="V9071">
            <v>165623</v>
          </cell>
        </row>
        <row r="9072">
          <cell r="B9072">
            <v>1931</v>
          </cell>
          <cell r="K9072" t="str">
            <v>MARSHALL</v>
          </cell>
          <cell r="L9072" t="str">
            <v>Marshall</v>
          </cell>
          <cell r="V9072">
            <v>136182</v>
          </cell>
        </row>
        <row r="9073">
          <cell r="B9073">
            <v>1931</v>
          </cell>
          <cell r="K9073" t="str">
            <v>POLK</v>
          </cell>
          <cell r="L9073" t="str">
            <v>Polk</v>
          </cell>
          <cell r="V9073">
            <v>125907</v>
          </cell>
        </row>
        <row r="9074">
          <cell r="B9074">
            <v>1931</v>
          </cell>
          <cell r="K9074" t="str">
            <v>POWESHIEK</v>
          </cell>
          <cell r="L9074" t="str">
            <v>Poweshiek</v>
          </cell>
          <cell r="V9074">
            <v>125573</v>
          </cell>
        </row>
        <row r="9075">
          <cell r="B9075">
            <v>1931</v>
          </cell>
          <cell r="K9075" t="str">
            <v>STORY</v>
          </cell>
          <cell r="L9075" t="str">
            <v>Story</v>
          </cell>
          <cell r="V9075">
            <v>163558</v>
          </cell>
        </row>
        <row r="9076">
          <cell r="B9076">
            <v>1931</v>
          </cell>
          <cell r="K9076" t="str">
            <v>TAMA</v>
          </cell>
          <cell r="L9076" t="str">
            <v>Tama</v>
          </cell>
          <cell r="V9076">
            <v>143267</v>
          </cell>
        </row>
        <row r="9077">
          <cell r="B9077">
            <v>1931</v>
          </cell>
          <cell r="K9077" t="str">
            <v>WEBSTER</v>
          </cell>
          <cell r="L9077" t="str">
            <v>Webster</v>
          </cell>
          <cell r="V9077">
            <v>178930</v>
          </cell>
        </row>
        <row r="9078">
          <cell r="B9078">
            <v>1931</v>
          </cell>
          <cell r="K9078" t="str">
            <v>BENTON</v>
          </cell>
          <cell r="L9078" t="str">
            <v>Benton</v>
          </cell>
          <cell r="V9078">
            <v>154053</v>
          </cell>
        </row>
        <row r="9079">
          <cell r="B9079">
            <v>1931</v>
          </cell>
          <cell r="K9079" t="str">
            <v>CEDAR</v>
          </cell>
          <cell r="L9079" t="str">
            <v>Cedar</v>
          </cell>
          <cell r="V9079">
            <v>111951</v>
          </cell>
        </row>
        <row r="9080">
          <cell r="B9080">
            <v>1931</v>
          </cell>
          <cell r="K9080" t="str">
            <v>CLINTON</v>
          </cell>
          <cell r="L9080" t="str">
            <v>Clinton</v>
          </cell>
          <cell r="V9080">
            <v>136577</v>
          </cell>
        </row>
        <row r="9081">
          <cell r="B9081">
            <v>1931</v>
          </cell>
          <cell r="K9081" t="str">
            <v>IOWA</v>
          </cell>
          <cell r="L9081" t="str">
            <v>Iowa</v>
          </cell>
          <cell r="V9081">
            <v>103628</v>
          </cell>
        </row>
        <row r="9082">
          <cell r="B9082">
            <v>1931</v>
          </cell>
          <cell r="K9082" t="str">
            <v>JACKSON</v>
          </cell>
          <cell r="L9082" t="str">
            <v>Jackson</v>
          </cell>
          <cell r="V9082">
            <v>72832</v>
          </cell>
        </row>
        <row r="9083">
          <cell r="B9083">
            <v>1931</v>
          </cell>
          <cell r="K9083" t="str">
            <v>JOHNSON</v>
          </cell>
          <cell r="L9083" t="str">
            <v>Johnson</v>
          </cell>
          <cell r="V9083">
            <v>111325</v>
          </cell>
        </row>
        <row r="9084">
          <cell r="B9084">
            <v>1931</v>
          </cell>
          <cell r="K9084" t="str">
            <v>JONES</v>
          </cell>
          <cell r="L9084" t="str">
            <v>Jones</v>
          </cell>
          <cell r="V9084">
            <v>88871</v>
          </cell>
        </row>
        <row r="9085">
          <cell r="B9085">
            <v>1931</v>
          </cell>
          <cell r="K9085" t="str">
            <v>LINN</v>
          </cell>
          <cell r="L9085" t="str">
            <v>Linn</v>
          </cell>
          <cell r="V9085">
            <v>129452</v>
          </cell>
        </row>
        <row r="9086">
          <cell r="B9086">
            <v>1931</v>
          </cell>
          <cell r="K9086" t="str">
            <v>MUSCATINE</v>
          </cell>
          <cell r="L9086" t="str">
            <v>Muscatine</v>
          </cell>
          <cell r="V9086">
            <v>78096</v>
          </cell>
        </row>
        <row r="9087">
          <cell r="B9087">
            <v>1931</v>
          </cell>
          <cell r="K9087" t="str">
            <v>SCOTT</v>
          </cell>
          <cell r="L9087" t="str">
            <v>Scott</v>
          </cell>
          <cell r="V9087">
            <v>82367</v>
          </cell>
        </row>
        <row r="9088">
          <cell r="B9088">
            <v>1931</v>
          </cell>
          <cell r="K9088" t="str">
            <v>BUTLER</v>
          </cell>
          <cell r="L9088" t="str">
            <v>Butler</v>
          </cell>
          <cell r="V9088">
            <v>123271</v>
          </cell>
        </row>
        <row r="9089">
          <cell r="B9089">
            <v>1931</v>
          </cell>
          <cell r="K9089" t="str">
            <v>CERRO GORDO</v>
          </cell>
          <cell r="L9089" t="str">
            <v>Cerro Gordo</v>
          </cell>
          <cell r="V9089">
            <v>123868</v>
          </cell>
        </row>
        <row r="9090">
          <cell r="B9090">
            <v>1931</v>
          </cell>
          <cell r="K9090" t="str">
            <v>FLOYD</v>
          </cell>
          <cell r="L9090" t="str">
            <v>Floyd</v>
          </cell>
          <cell r="V9090">
            <v>107828</v>
          </cell>
        </row>
        <row r="9091">
          <cell r="B9091">
            <v>1931</v>
          </cell>
          <cell r="K9091" t="str">
            <v>FRANKLIN</v>
          </cell>
          <cell r="L9091" t="str">
            <v>Franklin</v>
          </cell>
          <cell r="V9091">
            <v>146297</v>
          </cell>
        </row>
        <row r="9092">
          <cell r="B9092">
            <v>1931</v>
          </cell>
          <cell r="K9092" t="str">
            <v>HANCOCK</v>
          </cell>
          <cell r="L9092" t="str">
            <v>Hancock</v>
          </cell>
          <cell r="V9092">
            <v>137104</v>
          </cell>
        </row>
        <row r="9093">
          <cell r="B9093">
            <v>1931</v>
          </cell>
          <cell r="K9093" t="str">
            <v>HUMBOLDT</v>
          </cell>
          <cell r="L9093" t="str">
            <v>Humboldt</v>
          </cell>
          <cell r="V9093">
            <v>116159</v>
          </cell>
        </row>
        <row r="9094">
          <cell r="B9094">
            <v>1931</v>
          </cell>
          <cell r="K9094" t="str">
            <v>KOSSUTH</v>
          </cell>
          <cell r="L9094" t="str">
            <v>Kossuth</v>
          </cell>
          <cell r="V9094">
            <v>245248</v>
          </cell>
        </row>
        <row r="9095">
          <cell r="B9095">
            <v>1931</v>
          </cell>
          <cell r="K9095" t="str">
            <v>MITCHELL</v>
          </cell>
          <cell r="L9095" t="str">
            <v>Mitchell</v>
          </cell>
          <cell r="V9095">
            <v>83297</v>
          </cell>
        </row>
        <row r="9096">
          <cell r="B9096">
            <v>1931</v>
          </cell>
          <cell r="K9096" t="str">
            <v>WINNEBAGO</v>
          </cell>
          <cell r="L9096" t="str">
            <v>Winnebago</v>
          </cell>
          <cell r="V9096">
            <v>88161</v>
          </cell>
        </row>
        <row r="9097">
          <cell r="B9097">
            <v>1931</v>
          </cell>
          <cell r="K9097" t="str">
            <v>WORTH</v>
          </cell>
          <cell r="L9097" t="str">
            <v>Worth</v>
          </cell>
          <cell r="V9097">
            <v>72446</v>
          </cell>
        </row>
        <row r="9098">
          <cell r="B9098">
            <v>1931</v>
          </cell>
          <cell r="K9098" t="str">
            <v>WRIGHT</v>
          </cell>
          <cell r="L9098" t="str">
            <v>Wright</v>
          </cell>
          <cell r="V9098">
            <v>156915</v>
          </cell>
        </row>
        <row r="9099">
          <cell r="B9099">
            <v>1931</v>
          </cell>
          <cell r="K9099" t="str">
            <v>ALLAMAKEE</v>
          </cell>
          <cell r="L9099" t="str">
            <v>Allamakee</v>
          </cell>
          <cell r="V9099">
            <v>49272</v>
          </cell>
        </row>
        <row r="9100">
          <cell r="B9100">
            <v>1931</v>
          </cell>
          <cell r="K9100" t="str">
            <v>BLACK HAWK</v>
          </cell>
          <cell r="L9100" t="str">
            <v>Black Hawk</v>
          </cell>
          <cell r="V9100">
            <v>114604</v>
          </cell>
        </row>
        <row r="9101">
          <cell r="B9101">
            <v>1931</v>
          </cell>
          <cell r="K9101" t="str">
            <v>BREMER</v>
          </cell>
          <cell r="L9101" t="str">
            <v>Bremer</v>
          </cell>
          <cell r="V9101">
            <v>75073</v>
          </cell>
        </row>
        <row r="9102">
          <cell r="B9102">
            <v>1931</v>
          </cell>
          <cell r="K9102" t="str">
            <v>BUCHANAN</v>
          </cell>
          <cell r="L9102" t="str">
            <v>Buchanan</v>
          </cell>
          <cell r="V9102">
            <v>115504</v>
          </cell>
        </row>
        <row r="9103">
          <cell r="B9103">
            <v>1931</v>
          </cell>
          <cell r="K9103" t="str">
            <v>CHICKASAW</v>
          </cell>
          <cell r="L9103" t="str">
            <v>Chickasaw</v>
          </cell>
          <cell r="V9103">
            <v>79520</v>
          </cell>
        </row>
        <row r="9104">
          <cell r="B9104">
            <v>1931</v>
          </cell>
          <cell r="K9104" t="str">
            <v>CLAYTON</v>
          </cell>
          <cell r="L9104" t="str">
            <v>Clayton</v>
          </cell>
          <cell r="V9104">
            <v>86873</v>
          </cell>
        </row>
        <row r="9105">
          <cell r="B9105">
            <v>1931</v>
          </cell>
          <cell r="K9105" t="str">
            <v>DELAWARE</v>
          </cell>
          <cell r="L9105" t="str">
            <v>Delaware</v>
          </cell>
          <cell r="V9105">
            <v>100705</v>
          </cell>
        </row>
        <row r="9106">
          <cell r="B9106">
            <v>1931</v>
          </cell>
          <cell r="K9106" t="str">
            <v>DUBUQUE</v>
          </cell>
          <cell r="L9106" t="str">
            <v>Dubuque</v>
          </cell>
          <cell r="V9106">
            <v>74466</v>
          </cell>
        </row>
        <row r="9107">
          <cell r="B9107">
            <v>1931</v>
          </cell>
          <cell r="K9107" t="str">
            <v>FAYETTE</v>
          </cell>
          <cell r="L9107" t="str">
            <v>Fayette</v>
          </cell>
          <cell r="V9107">
            <v>108080</v>
          </cell>
        </row>
        <row r="9108">
          <cell r="B9108">
            <v>1931</v>
          </cell>
          <cell r="K9108" t="str">
            <v>HOWARD</v>
          </cell>
          <cell r="L9108" t="str">
            <v>Howard</v>
          </cell>
          <cell r="V9108">
            <v>67894</v>
          </cell>
        </row>
        <row r="9109">
          <cell r="B9109">
            <v>1931</v>
          </cell>
          <cell r="K9109" t="str">
            <v>WINNESHIEK</v>
          </cell>
          <cell r="L9109" t="str">
            <v>Winneshiek</v>
          </cell>
          <cell r="V9109">
            <v>90700</v>
          </cell>
        </row>
        <row r="9110">
          <cell r="B9110">
            <v>1931</v>
          </cell>
          <cell r="K9110" t="str">
            <v>BUENA VISTA</v>
          </cell>
          <cell r="L9110" t="str">
            <v>Buena Vista</v>
          </cell>
          <cell r="V9110">
            <v>152952</v>
          </cell>
        </row>
        <row r="9111">
          <cell r="B9111">
            <v>1931</v>
          </cell>
          <cell r="K9111" t="str">
            <v>CHEROKEE</v>
          </cell>
          <cell r="L9111" t="str">
            <v>Cherokee</v>
          </cell>
          <cell r="V9111">
            <v>146852</v>
          </cell>
        </row>
        <row r="9112">
          <cell r="B9112">
            <v>1931</v>
          </cell>
          <cell r="K9112" t="str">
            <v>CLAY</v>
          </cell>
          <cell r="L9112" t="str">
            <v>Clay</v>
          </cell>
          <cell r="V9112">
            <v>139459</v>
          </cell>
        </row>
        <row r="9113">
          <cell r="B9113">
            <v>1931</v>
          </cell>
          <cell r="K9113" t="str">
            <v>DICKINSON</v>
          </cell>
          <cell r="L9113" t="str">
            <v>Dickinson</v>
          </cell>
          <cell r="V9113">
            <v>87272</v>
          </cell>
        </row>
        <row r="9114">
          <cell r="B9114">
            <v>1931</v>
          </cell>
          <cell r="K9114" t="str">
            <v>EMMET</v>
          </cell>
          <cell r="L9114" t="str">
            <v>Emmet</v>
          </cell>
          <cell r="V9114">
            <v>96363</v>
          </cell>
        </row>
        <row r="9115">
          <cell r="B9115">
            <v>1931</v>
          </cell>
          <cell r="K9115" t="str">
            <v>LYON</v>
          </cell>
          <cell r="L9115" t="str">
            <v>Lyon</v>
          </cell>
          <cell r="V9115">
            <v>146976</v>
          </cell>
        </row>
        <row r="9116">
          <cell r="B9116">
            <v>1931</v>
          </cell>
          <cell r="K9116" t="str">
            <v>O BRIEN</v>
          </cell>
          <cell r="L9116" t="str">
            <v>O Brien</v>
          </cell>
          <cell r="V9116">
            <v>144297</v>
          </cell>
        </row>
        <row r="9117">
          <cell r="B9117">
            <v>1931</v>
          </cell>
          <cell r="K9117" t="str">
            <v>OSCEOLA</v>
          </cell>
          <cell r="L9117" t="str">
            <v>Osceola</v>
          </cell>
          <cell r="V9117">
            <v>100424</v>
          </cell>
        </row>
        <row r="9118">
          <cell r="B9118">
            <v>1931</v>
          </cell>
          <cell r="K9118" t="str">
            <v>PALO ALTO</v>
          </cell>
          <cell r="L9118" t="str">
            <v>Palo Alto</v>
          </cell>
          <cell r="V9118">
            <v>139002</v>
          </cell>
        </row>
        <row r="9119">
          <cell r="B9119">
            <v>1931</v>
          </cell>
          <cell r="K9119" t="str">
            <v>PLYMOUTH</v>
          </cell>
          <cell r="L9119" t="str">
            <v>Plymouth</v>
          </cell>
          <cell r="V9119">
            <v>222909</v>
          </cell>
        </row>
        <row r="9120">
          <cell r="B9120">
            <v>1931</v>
          </cell>
          <cell r="K9120" t="str">
            <v>POCAHONTAS</v>
          </cell>
          <cell r="L9120" t="str">
            <v>Pocahontas</v>
          </cell>
          <cell r="V9120">
            <v>159538</v>
          </cell>
        </row>
        <row r="9121">
          <cell r="B9121">
            <v>1931</v>
          </cell>
          <cell r="K9121" t="str">
            <v>SIOUX</v>
          </cell>
          <cell r="L9121" t="str">
            <v>Sioux</v>
          </cell>
          <cell r="V9121">
            <v>198217</v>
          </cell>
        </row>
        <row r="9122">
          <cell r="B9122">
            <v>1931</v>
          </cell>
          <cell r="K9122" t="str">
            <v>APPANOOSE</v>
          </cell>
          <cell r="L9122" t="str">
            <v>Appanoose</v>
          </cell>
          <cell r="V9122">
            <v>52849</v>
          </cell>
        </row>
        <row r="9123">
          <cell r="B9123">
            <v>1931</v>
          </cell>
          <cell r="K9123" t="str">
            <v>CLARKE</v>
          </cell>
          <cell r="L9123" t="str">
            <v>Clarke</v>
          </cell>
          <cell r="V9123">
            <v>68598</v>
          </cell>
        </row>
        <row r="9124">
          <cell r="B9124">
            <v>1931</v>
          </cell>
          <cell r="K9124" t="str">
            <v>DECATUR</v>
          </cell>
          <cell r="L9124" t="str">
            <v>Decatur</v>
          </cell>
          <cell r="V9124">
            <v>74227</v>
          </cell>
        </row>
        <row r="9125">
          <cell r="B9125">
            <v>1931</v>
          </cell>
          <cell r="K9125" t="str">
            <v>LUCAS</v>
          </cell>
          <cell r="L9125" t="str">
            <v>Lucas</v>
          </cell>
          <cell r="V9125">
            <v>60696</v>
          </cell>
        </row>
        <row r="9126">
          <cell r="B9126">
            <v>1931</v>
          </cell>
          <cell r="K9126" t="str">
            <v>MADISON</v>
          </cell>
          <cell r="L9126" t="str">
            <v>Madison</v>
          </cell>
          <cell r="V9126">
            <v>107003</v>
          </cell>
        </row>
        <row r="9127">
          <cell r="B9127">
            <v>1931</v>
          </cell>
          <cell r="K9127" t="str">
            <v>MARION</v>
          </cell>
          <cell r="L9127" t="str">
            <v>Marion</v>
          </cell>
          <cell r="V9127">
            <v>107311</v>
          </cell>
        </row>
        <row r="9128">
          <cell r="B9128">
            <v>1931</v>
          </cell>
          <cell r="K9128" t="str">
            <v>MONROE</v>
          </cell>
          <cell r="L9128" t="str">
            <v>Monroe</v>
          </cell>
          <cell r="V9128">
            <v>51468</v>
          </cell>
        </row>
        <row r="9129">
          <cell r="B9129">
            <v>1931</v>
          </cell>
          <cell r="K9129" t="str">
            <v>RINGGOLD</v>
          </cell>
          <cell r="L9129" t="str">
            <v>Ringgold</v>
          </cell>
          <cell r="V9129">
            <v>86564</v>
          </cell>
        </row>
        <row r="9130">
          <cell r="B9130">
            <v>1931</v>
          </cell>
          <cell r="K9130" t="str">
            <v>UNION</v>
          </cell>
          <cell r="L9130" t="str">
            <v>Union</v>
          </cell>
          <cell r="V9130">
            <v>74550</v>
          </cell>
        </row>
        <row r="9131">
          <cell r="B9131">
            <v>1931</v>
          </cell>
          <cell r="K9131" t="str">
            <v>WARREN</v>
          </cell>
          <cell r="L9131" t="str">
            <v>Warren</v>
          </cell>
          <cell r="V9131">
            <v>103848</v>
          </cell>
        </row>
        <row r="9132">
          <cell r="B9132">
            <v>1931</v>
          </cell>
          <cell r="K9132" t="str">
            <v>WAYNE</v>
          </cell>
          <cell r="L9132" t="str">
            <v>Wayne</v>
          </cell>
          <cell r="V9132">
            <v>81407</v>
          </cell>
        </row>
        <row r="9133">
          <cell r="B9133">
            <v>1931</v>
          </cell>
          <cell r="K9133" t="str">
            <v>DAVIS</v>
          </cell>
          <cell r="L9133" t="str">
            <v>Davis</v>
          </cell>
          <cell r="V9133">
            <v>52590</v>
          </cell>
        </row>
        <row r="9134">
          <cell r="B9134">
            <v>1931</v>
          </cell>
          <cell r="K9134" t="str">
            <v>DES MOINES</v>
          </cell>
          <cell r="L9134" t="str">
            <v>Des Moines</v>
          </cell>
          <cell r="V9134">
            <v>69790</v>
          </cell>
        </row>
        <row r="9135">
          <cell r="B9135">
            <v>1931</v>
          </cell>
          <cell r="K9135" t="str">
            <v>HENRY</v>
          </cell>
          <cell r="L9135" t="str">
            <v>Henry</v>
          </cell>
          <cell r="V9135">
            <v>74823</v>
          </cell>
        </row>
        <row r="9136">
          <cell r="B9136">
            <v>1931</v>
          </cell>
          <cell r="K9136" t="str">
            <v>JEFFERSON</v>
          </cell>
          <cell r="L9136" t="str">
            <v>Jefferson</v>
          </cell>
          <cell r="V9136">
            <v>65300</v>
          </cell>
        </row>
        <row r="9137">
          <cell r="B9137">
            <v>1931</v>
          </cell>
          <cell r="K9137" t="str">
            <v>KEOKUK</v>
          </cell>
          <cell r="L9137" t="str">
            <v>Keokuk</v>
          </cell>
          <cell r="V9137">
            <v>106808</v>
          </cell>
        </row>
        <row r="9138">
          <cell r="B9138">
            <v>1931</v>
          </cell>
          <cell r="K9138" t="str">
            <v>LEE</v>
          </cell>
          <cell r="L9138" t="str">
            <v>Lee</v>
          </cell>
          <cell r="V9138">
            <v>58702</v>
          </cell>
        </row>
        <row r="9139">
          <cell r="B9139">
            <v>1931</v>
          </cell>
          <cell r="K9139" t="str">
            <v>LOUISA</v>
          </cell>
          <cell r="L9139" t="str">
            <v>Louisa</v>
          </cell>
          <cell r="V9139">
            <v>75136</v>
          </cell>
        </row>
        <row r="9140">
          <cell r="B9140">
            <v>1931</v>
          </cell>
          <cell r="K9140" t="str">
            <v>MAHASKA</v>
          </cell>
          <cell r="L9140" t="str">
            <v>Mahaska</v>
          </cell>
          <cell r="V9140">
            <v>118310</v>
          </cell>
        </row>
        <row r="9141">
          <cell r="B9141">
            <v>1931</v>
          </cell>
          <cell r="K9141" t="str">
            <v>VAN BUREN</v>
          </cell>
          <cell r="L9141" t="str">
            <v>Van Buren</v>
          </cell>
          <cell r="V9141">
            <v>49357</v>
          </cell>
        </row>
        <row r="9142">
          <cell r="B9142">
            <v>1931</v>
          </cell>
          <cell r="K9142" t="str">
            <v>WAPELLO</v>
          </cell>
          <cell r="L9142" t="str">
            <v>Wapello</v>
          </cell>
          <cell r="V9142">
            <v>62466</v>
          </cell>
        </row>
        <row r="9143">
          <cell r="B9143">
            <v>1931</v>
          </cell>
          <cell r="K9143" t="str">
            <v>WASHINGTON</v>
          </cell>
          <cell r="L9143" t="str">
            <v>Washington</v>
          </cell>
          <cell r="V9143">
            <v>108090</v>
          </cell>
        </row>
        <row r="9144">
          <cell r="B9144">
            <v>1931</v>
          </cell>
          <cell r="K9144" t="str">
            <v>ADAIR</v>
          </cell>
          <cell r="L9144" t="str">
            <v>Adair</v>
          </cell>
          <cell r="V9144">
            <v>125117</v>
          </cell>
        </row>
        <row r="9145">
          <cell r="B9145">
            <v>1931</v>
          </cell>
          <cell r="K9145" t="str">
            <v>ADAMS</v>
          </cell>
          <cell r="L9145" t="str">
            <v>Adams</v>
          </cell>
          <cell r="V9145">
            <v>86191</v>
          </cell>
        </row>
        <row r="9146">
          <cell r="B9146">
            <v>1931</v>
          </cell>
          <cell r="K9146" t="str">
            <v>CASS</v>
          </cell>
          <cell r="L9146" t="str">
            <v>Cass</v>
          </cell>
          <cell r="V9146">
            <v>133932</v>
          </cell>
        </row>
        <row r="9147">
          <cell r="B9147">
            <v>1931</v>
          </cell>
          <cell r="K9147" t="str">
            <v>FREMONT</v>
          </cell>
          <cell r="L9147" t="str">
            <v>Fremont</v>
          </cell>
          <cell r="V9147">
            <v>163043</v>
          </cell>
        </row>
        <row r="9148">
          <cell r="B9148">
            <v>1931</v>
          </cell>
          <cell r="K9148" t="str">
            <v>MILLS</v>
          </cell>
          <cell r="L9148" t="str">
            <v>Mills</v>
          </cell>
          <cell r="V9148">
            <v>126228</v>
          </cell>
        </row>
        <row r="9149">
          <cell r="B9149">
            <v>1931</v>
          </cell>
          <cell r="K9149" t="str">
            <v>MONTGOMERY</v>
          </cell>
          <cell r="L9149" t="str">
            <v>Montgomery</v>
          </cell>
          <cell r="V9149">
            <v>109990</v>
          </cell>
        </row>
        <row r="9150">
          <cell r="B9150">
            <v>1931</v>
          </cell>
          <cell r="K9150" t="str">
            <v>PAGE</v>
          </cell>
          <cell r="L9150" t="str">
            <v>Page</v>
          </cell>
          <cell r="V9150">
            <v>132786</v>
          </cell>
        </row>
        <row r="9151">
          <cell r="B9151">
            <v>1931</v>
          </cell>
          <cell r="K9151" t="str">
            <v>POTTAWATTAMIE</v>
          </cell>
          <cell r="L9151" t="str">
            <v>Pottawattamie</v>
          </cell>
          <cell r="V9151">
            <v>264140</v>
          </cell>
        </row>
        <row r="9152">
          <cell r="B9152">
            <v>1931</v>
          </cell>
          <cell r="K9152" t="str">
            <v>TAYLOR</v>
          </cell>
          <cell r="L9152" t="str">
            <v>Taylor</v>
          </cell>
          <cell r="V9152">
            <v>104953</v>
          </cell>
        </row>
        <row r="9153">
          <cell r="B9153">
            <v>1931</v>
          </cell>
          <cell r="K9153" t="str">
            <v>AUDUBON</v>
          </cell>
          <cell r="L9153" t="str">
            <v>Audubon</v>
          </cell>
          <cell r="V9153">
            <v>105965</v>
          </cell>
        </row>
        <row r="9154">
          <cell r="B9154">
            <v>1931</v>
          </cell>
          <cell r="K9154" t="str">
            <v>CALHOUN</v>
          </cell>
          <cell r="L9154" t="str">
            <v>Calhoun</v>
          </cell>
          <cell r="V9154">
            <v>155835</v>
          </cell>
        </row>
        <row r="9155">
          <cell r="B9155">
            <v>1931</v>
          </cell>
          <cell r="K9155" t="str">
            <v>CARROLL</v>
          </cell>
          <cell r="L9155" t="str">
            <v>Carroll</v>
          </cell>
          <cell r="V9155">
            <v>146303</v>
          </cell>
        </row>
        <row r="9156">
          <cell r="B9156">
            <v>1931</v>
          </cell>
          <cell r="K9156" t="str">
            <v>CRAWFORD</v>
          </cell>
          <cell r="L9156" t="str">
            <v>Crawford</v>
          </cell>
          <cell r="V9156">
            <v>170849</v>
          </cell>
        </row>
        <row r="9157">
          <cell r="B9157">
            <v>1931</v>
          </cell>
          <cell r="K9157" t="str">
            <v>GREENE</v>
          </cell>
          <cell r="L9157" t="str">
            <v>Greene</v>
          </cell>
          <cell r="V9157">
            <v>162312</v>
          </cell>
        </row>
        <row r="9158">
          <cell r="B9158">
            <v>1931</v>
          </cell>
          <cell r="K9158" t="str">
            <v>GUTHRIE</v>
          </cell>
          <cell r="L9158" t="str">
            <v>Guthrie</v>
          </cell>
          <cell r="V9158">
            <v>131568</v>
          </cell>
        </row>
        <row r="9159">
          <cell r="B9159">
            <v>1931</v>
          </cell>
          <cell r="K9159" t="str">
            <v>HARRISON</v>
          </cell>
          <cell r="L9159" t="str">
            <v>Harrison</v>
          </cell>
          <cell r="V9159">
            <v>197890</v>
          </cell>
        </row>
        <row r="9160">
          <cell r="B9160">
            <v>1931</v>
          </cell>
          <cell r="K9160" t="str">
            <v>IDA</v>
          </cell>
          <cell r="L9160" t="str">
            <v>Ida</v>
          </cell>
          <cell r="V9160">
            <v>117131</v>
          </cell>
        </row>
        <row r="9161">
          <cell r="B9161">
            <v>1931</v>
          </cell>
          <cell r="K9161" t="str">
            <v>MONONA</v>
          </cell>
          <cell r="L9161" t="str">
            <v>Monona</v>
          </cell>
          <cell r="V9161">
            <v>176352</v>
          </cell>
        </row>
        <row r="9162">
          <cell r="B9162">
            <v>1931</v>
          </cell>
          <cell r="K9162" t="str">
            <v>SAC</v>
          </cell>
          <cell r="L9162" t="str">
            <v>Sac</v>
          </cell>
          <cell r="V9162">
            <v>146895</v>
          </cell>
        </row>
        <row r="9163">
          <cell r="B9163">
            <v>1931</v>
          </cell>
          <cell r="K9163" t="str">
            <v>SHELBY</v>
          </cell>
          <cell r="L9163" t="str">
            <v>Shelby</v>
          </cell>
          <cell r="V9163">
            <v>157488</v>
          </cell>
        </row>
        <row r="9164">
          <cell r="B9164">
            <v>1931</v>
          </cell>
          <cell r="K9164" t="str">
            <v>WOODBURY</v>
          </cell>
          <cell r="L9164" t="str">
            <v>Woodbury</v>
          </cell>
          <cell r="V9164">
            <v>245654</v>
          </cell>
        </row>
        <row r="9165">
          <cell r="B9165">
            <v>1930</v>
          </cell>
          <cell r="K9165" t="str">
            <v>BOONE</v>
          </cell>
          <cell r="L9165" t="str">
            <v>Boone</v>
          </cell>
          <cell r="V9165">
            <v>144580</v>
          </cell>
        </row>
        <row r="9166">
          <cell r="B9166">
            <v>1930</v>
          </cell>
          <cell r="K9166" t="str">
            <v>DALLAS</v>
          </cell>
          <cell r="L9166" t="str">
            <v>Dallas</v>
          </cell>
          <cell r="V9166">
            <v>147598</v>
          </cell>
        </row>
        <row r="9167">
          <cell r="B9167">
            <v>1930</v>
          </cell>
          <cell r="K9167" t="str">
            <v>GRUNDY</v>
          </cell>
          <cell r="L9167" t="str">
            <v>Grundy</v>
          </cell>
          <cell r="V9167">
            <v>111487</v>
          </cell>
        </row>
        <row r="9168">
          <cell r="B9168">
            <v>1930</v>
          </cell>
          <cell r="K9168" t="str">
            <v>HAMILTON</v>
          </cell>
          <cell r="L9168" t="str">
            <v>Hamilton</v>
          </cell>
          <cell r="V9168">
            <v>150518</v>
          </cell>
        </row>
        <row r="9169">
          <cell r="B9169">
            <v>1930</v>
          </cell>
          <cell r="K9169" t="str">
            <v>HARDIN</v>
          </cell>
          <cell r="L9169" t="str">
            <v>Hardin</v>
          </cell>
          <cell r="V9169">
            <v>138772</v>
          </cell>
        </row>
        <row r="9170">
          <cell r="B9170">
            <v>1930</v>
          </cell>
          <cell r="K9170" t="str">
            <v>JASPER</v>
          </cell>
          <cell r="L9170" t="str">
            <v>Jasper</v>
          </cell>
          <cell r="V9170">
            <v>155282</v>
          </cell>
        </row>
        <row r="9171">
          <cell r="B9171">
            <v>1930</v>
          </cell>
          <cell r="K9171" t="str">
            <v>MARSHALL</v>
          </cell>
          <cell r="L9171" t="str">
            <v>Marshall</v>
          </cell>
          <cell r="V9171">
            <v>125519</v>
          </cell>
        </row>
        <row r="9172">
          <cell r="B9172">
            <v>1930</v>
          </cell>
          <cell r="K9172" t="str">
            <v>POLK</v>
          </cell>
          <cell r="L9172" t="str">
            <v>Polk</v>
          </cell>
          <cell r="V9172">
            <v>121223</v>
          </cell>
        </row>
        <row r="9173">
          <cell r="B9173">
            <v>1930</v>
          </cell>
          <cell r="K9173" t="str">
            <v>POWESHIEK</v>
          </cell>
          <cell r="L9173" t="str">
            <v>Poweshiek</v>
          </cell>
          <cell r="V9173">
            <v>124057</v>
          </cell>
        </row>
        <row r="9174">
          <cell r="B9174">
            <v>1930</v>
          </cell>
          <cell r="K9174" t="str">
            <v>STORY</v>
          </cell>
          <cell r="L9174" t="str">
            <v>Story</v>
          </cell>
          <cell r="V9174">
            <v>155706</v>
          </cell>
        </row>
        <row r="9175">
          <cell r="B9175">
            <v>1930</v>
          </cell>
          <cell r="K9175" t="str">
            <v>TAMA</v>
          </cell>
          <cell r="L9175" t="str">
            <v>Tama</v>
          </cell>
          <cell r="V9175">
            <v>136290</v>
          </cell>
        </row>
        <row r="9176">
          <cell r="B9176">
            <v>1930</v>
          </cell>
          <cell r="K9176" t="str">
            <v>WEBSTER</v>
          </cell>
          <cell r="L9176" t="str">
            <v>Webster</v>
          </cell>
          <cell r="V9176">
            <v>175621</v>
          </cell>
        </row>
        <row r="9177">
          <cell r="B9177">
            <v>1930</v>
          </cell>
          <cell r="K9177" t="str">
            <v>BENTON</v>
          </cell>
          <cell r="L9177" t="str">
            <v>Benton</v>
          </cell>
          <cell r="V9177">
            <v>150694</v>
          </cell>
        </row>
        <row r="9178">
          <cell r="B9178">
            <v>1930</v>
          </cell>
          <cell r="K9178" t="str">
            <v>CEDAR</v>
          </cell>
          <cell r="L9178" t="str">
            <v>Cedar</v>
          </cell>
          <cell r="V9178">
            <v>110680</v>
          </cell>
        </row>
        <row r="9179">
          <cell r="B9179">
            <v>1930</v>
          </cell>
          <cell r="K9179" t="str">
            <v>CLINTON</v>
          </cell>
          <cell r="L9179" t="str">
            <v>Clinton</v>
          </cell>
          <cell r="V9179">
            <v>131861</v>
          </cell>
        </row>
        <row r="9180">
          <cell r="B9180">
            <v>1930</v>
          </cell>
          <cell r="K9180" t="str">
            <v>IOWA</v>
          </cell>
          <cell r="L9180" t="str">
            <v>Iowa</v>
          </cell>
          <cell r="V9180">
            <v>105708</v>
          </cell>
        </row>
        <row r="9181">
          <cell r="B9181">
            <v>1930</v>
          </cell>
          <cell r="K9181" t="str">
            <v>JACKSON</v>
          </cell>
          <cell r="L9181" t="str">
            <v>Jackson</v>
          </cell>
          <cell r="V9181">
            <v>68385</v>
          </cell>
        </row>
        <row r="9182">
          <cell r="B9182">
            <v>1930</v>
          </cell>
          <cell r="K9182" t="str">
            <v>JOHNSON</v>
          </cell>
          <cell r="L9182" t="str">
            <v>Johnson</v>
          </cell>
          <cell r="V9182">
            <v>110236</v>
          </cell>
        </row>
        <row r="9183">
          <cell r="B9183">
            <v>1930</v>
          </cell>
          <cell r="K9183" t="str">
            <v>JONES</v>
          </cell>
          <cell r="L9183" t="str">
            <v>Jones</v>
          </cell>
          <cell r="V9183">
            <v>87428</v>
          </cell>
        </row>
        <row r="9184">
          <cell r="B9184">
            <v>1930</v>
          </cell>
          <cell r="K9184" t="str">
            <v>LINN</v>
          </cell>
          <cell r="L9184" t="str">
            <v>Linn</v>
          </cell>
          <cell r="V9184">
            <v>127593</v>
          </cell>
        </row>
        <row r="9185">
          <cell r="B9185">
            <v>1930</v>
          </cell>
          <cell r="K9185" t="str">
            <v>MUSCATINE</v>
          </cell>
          <cell r="L9185" t="str">
            <v>Muscatine</v>
          </cell>
          <cell r="V9185">
            <v>77592</v>
          </cell>
        </row>
        <row r="9186">
          <cell r="B9186">
            <v>1930</v>
          </cell>
          <cell r="K9186" t="str">
            <v>SCOTT</v>
          </cell>
          <cell r="L9186" t="str">
            <v>Scott</v>
          </cell>
          <cell r="V9186">
            <v>80242</v>
          </cell>
        </row>
        <row r="9187">
          <cell r="B9187">
            <v>1930</v>
          </cell>
          <cell r="K9187" t="str">
            <v>BUTLER</v>
          </cell>
          <cell r="L9187" t="str">
            <v>Butler</v>
          </cell>
          <cell r="V9187">
            <v>119508</v>
          </cell>
        </row>
        <row r="9188">
          <cell r="B9188">
            <v>1930</v>
          </cell>
          <cell r="K9188" t="str">
            <v>CERRO GORDO</v>
          </cell>
          <cell r="L9188" t="str">
            <v>Cerro Gordo</v>
          </cell>
          <cell r="V9188">
            <v>116981</v>
          </cell>
        </row>
        <row r="9189">
          <cell r="B9189">
            <v>1930</v>
          </cell>
          <cell r="K9189" t="str">
            <v>FLOYD</v>
          </cell>
          <cell r="L9189" t="str">
            <v>Floyd</v>
          </cell>
          <cell r="V9189">
            <v>103300</v>
          </cell>
        </row>
        <row r="9190">
          <cell r="B9190">
            <v>1930</v>
          </cell>
          <cell r="K9190" t="str">
            <v>FRANKLIN</v>
          </cell>
          <cell r="L9190" t="str">
            <v>Franklin</v>
          </cell>
          <cell r="V9190">
            <v>142804</v>
          </cell>
        </row>
        <row r="9191">
          <cell r="B9191">
            <v>1930</v>
          </cell>
          <cell r="K9191" t="str">
            <v>HANCOCK</v>
          </cell>
          <cell r="L9191" t="str">
            <v>Hancock</v>
          </cell>
          <cell r="V9191">
            <v>130412</v>
          </cell>
        </row>
        <row r="9192">
          <cell r="B9192">
            <v>1930</v>
          </cell>
          <cell r="K9192" t="str">
            <v>HUMBOLDT</v>
          </cell>
          <cell r="L9192" t="str">
            <v>Humboldt</v>
          </cell>
          <cell r="V9192">
            <v>111951</v>
          </cell>
        </row>
        <row r="9193">
          <cell r="B9193">
            <v>1930</v>
          </cell>
          <cell r="K9193" t="str">
            <v>KOSSUTH</v>
          </cell>
          <cell r="L9193" t="str">
            <v>Kossuth</v>
          </cell>
          <cell r="V9193">
            <v>236876</v>
          </cell>
        </row>
        <row r="9194">
          <cell r="B9194">
            <v>1930</v>
          </cell>
          <cell r="K9194" t="str">
            <v>MITCHELL</v>
          </cell>
          <cell r="L9194" t="str">
            <v>Mitchell</v>
          </cell>
          <cell r="V9194">
            <v>79116</v>
          </cell>
        </row>
        <row r="9195">
          <cell r="B9195">
            <v>1930</v>
          </cell>
          <cell r="K9195" t="str">
            <v>WINNEBAGO</v>
          </cell>
          <cell r="L9195" t="str">
            <v>Winnebago</v>
          </cell>
          <cell r="V9195">
            <v>83716</v>
          </cell>
        </row>
        <row r="9196">
          <cell r="B9196">
            <v>1930</v>
          </cell>
          <cell r="K9196" t="str">
            <v>WORTH</v>
          </cell>
          <cell r="L9196" t="str">
            <v>Worth</v>
          </cell>
          <cell r="V9196">
            <v>70509</v>
          </cell>
        </row>
        <row r="9197">
          <cell r="B9197">
            <v>1930</v>
          </cell>
          <cell r="K9197" t="str">
            <v>WRIGHT</v>
          </cell>
          <cell r="L9197" t="str">
            <v>Wright</v>
          </cell>
          <cell r="V9197">
            <v>153684</v>
          </cell>
        </row>
        <row r="9198">
          <cell r="B9198">
            <v>1930</v>
          </cell>
          <cell r="K9198" t="str">
            <v>ALLAMAKEE</v>
          </cell>
          <cell r="L9198" t="str">
            <v>Allamakee</v>
          </cell>
          <cell r="V9198">
            <v>49120</v>
          </cell>
        </row>
        <row r="9199">
          <cell r="B9199">
            <v>1930</v>
          </cell>
          <cell r="K9199" t="str">
            <v>BLACK HAWK</v>
          </cell>
          <cell r="L9199" t="str">
            <v>Black Hawk</v>
          </cell>
          <cell r="V9199">
            <v>114026</v>
          </cell>
        </row>
        <row r="9200">
          <cell r="B9200">
            <v>1930</v>
          </cell>
          <cell r="K9200" t="str">
            <v>BREMER</v>
          </cell>
          <cell r="L9200" t="str">
            <v>Bremer</v>
          </cell>
          <cell r="V9200">
            <v>74223</v>
          </cell>
        </row>
        <row r="9201">
          <cell r="B9201">
            <v>1930</v>
          </cell>
          <cell r="K9201" t="str">
            <v>BUCHANAN</v>
          </cell>
          <cell r="L9201" t="str">
            <v>Buchanan</v>
          </cell>
          <cell r="V9201">
            <v>111686</v>
          </cell>
        </row>
        <row r="9202">
          <cell r="B9202">
            <v>1930</v>
          </cell>
          <cell r="K9202" t="str">
            <v>CHICKASAW</v>
          </cell>
          <cell r="L9202" t="str">
            <v>Chickasaw</v>
          </cell>
          <cell r="V9202">
            <v>77679</v>
          </cell>
        </row>
        <row r="9203">
          <cell r="B9203">
            <v>1930</v>
          </cell>
          <cell r="K9203" t="str">
            <v>CLAYTON</v>
          </cell>
          <cell r="L9203" t="str">
            <v>Clayton</v>
          </cell>
          <cell r="V9203">
            <v>85212</v>
          </cell>
        </row>
        <row r="9204">
          <cell r="B9204">
            <v>1930</v>
          </cell>
          <cell r="K9204" t="str">
            <v>DELAWARE</v>
          </cell>
          <cell r="L9204" t="str">
            <v>Delaware</v>
          </cell>
          <cell r="V9204">
            <v>99278</v>
          </cell>
        </row>
        <row r="9205">
          <cell r="B9205">
            <v>1930</v>
          </cell>
          <cell r="K9205" t="str">
            <v>DUBUQUE</v>
          </cell>
          <cell r="L9205" t="str">
            <v>Dubuque</v>
          </cell>
          <cell r="V9205">
            <v>75290</v>
          </cell>
        </row>
        <row r="9206">
          <cell r="B9206">
            <v>1930</v>
          </cell>
          <cell r="K9206" t="str">
            <v>FAYETTE</v>
          </cell>
          <cell r="L9206" t="str">
            <v>Fayette</v>
          </cell>
          <cell r="V9206">
            <v>106661</v>
          </cell>
        </row>
        <row r="9207">
          <cell r="B9207">
            <v>1930</v>
          </cell>
          <cell r="K9207" t="str">
            <v>HOWARD</v>
          </cell>
          <cell r="L9207" t="str">
            <v>Howard</v>
          </cell>
          <cell r="V9207">
            <v>63301</v>
          </cell>
        </row>
        <row r="9208">
          <cell r="B9208">
            <v>1930</v>
          </cell>
          <cell r="K9208" t="str">
            <v>WINNESHIEK</v>
          </cell>
          <cell r="L9208" t="str">
            <v>Winneshiek</v>
          </cell>
          <cell r="V9208">
            <v>90356</v>
          </cell>
        </row>
        <row r="9209">
          <cell r="B9209">
            <v>1930</v>
          </cell>
          <cell r="K9209" t="str">
            <v>BUENA VISTA</v>
          </cell>
          <cell r="L9209" t="str">
            <v>Buena Vista</v>
          </cell>
          <cell r="V9209">
            <v>150160</v>
          </cell>
        </row>
        <row r="9210">
          <cell r="B9210">
            <v>1930</v>
          </cell>
          <cell r="K9210" t="str">
            <v>CHEROKEE</v>
          </cell>
          <cell r="L9210" t="str">
            <v>Cherokee</v>
          </cell>
          <cell r="V9210">
            <v>141115</v>
          </cell>
        </row>
        <row r="9211">
          <cell r="B9211">
            <v>1930</v>
          </cell>
          <cell r="K9211" t="str">
            <v>CLAY</v>
          </cell>
          <cell r="L9211" t="str">
            <v>Clay</v>
          </cell>
          <cell r="V9211">
            <v>133280</v>
          </cell>
        </row>
        <row r="9212">
          <cell r="B9212">
            <v>1930</v>
          </cell>
          <cell r="K9212" t="str">
            <v>DICKINSON</v>
          </cell>
          <cell r="L9212" t="str">
            <v>Dickinson</v>
          </cell>
          <cell r="V9212">
            <v>85868</v>
          </cell>
        </row>
        <row r="9213">
          <cell r="B9213">
            <v>1930</v>
          </cell>
          <cell r="K9213" t="str">
            <v>EMMET</v>
          </cell>
          <cell r="L9213" t="str">
            <v>Emmet</v>
          </cell>
          <cell r="V9213">
            <v>92916</v>
          </cell>
        </row>
        <row r="9214">
          <cell r="B9214">
            <v>1930</v>
          </cell>
          <cell r="K9214" t="str">
            <v>LYON</v>
          </cell>
          <cell r="L9214" t="str">
            <v>Lyon</v>
          </cell>
          <cell r="V9214">
            <v>146385</v>
          </cell>
        </row>
        <row r="9215">
          <cell r="B9215">
            <v>1930</v>
          </cell>
          <cell r="K9215" t="str">
            <v>O BRIEN</v>
          </cell>
          <cell r="L9215" t="str">
            <v>O Brien</v>
          </cell>
          <cell r="V9215">
            <v>140862</v>
          </cell>
        </row>
        <row r="9216">
          <cell r="B9216">
            <v>1930</v>
          </cell>
          <cell r="K9216" t="str">
            <v>OSCEOLA</v>
          </cell>
          <cell r="L9216" t="str">
            <v>Osceola</v>
          </cell>
          <cell r="V9216">
            <v>96292</v>
          </cell>
        </row>
        <row r="9217">
          <cell r="B9217">
            <v>1930</v>
          </cell>
          <cell r="K9217" t="str">
            <v>PALO ALTO</v>
          </cell>
          <cell r="L9217" t="str">
            <v>Palo Alto</v>
          </cell>
          <cell r="V9217">
            <v>137136</v>
          </cell>
        </row>
        <row r="9218">
          <cell r="B9218">
            <v>1930</v>
          </cell>
          <cell r="K9218" t="str">
            <v>PLYMOUTH</v>
          </cell>
          <cell r="L9218" t="str">
            <v>Plymouth</v>
          </cell>
          <cell r="V9218">
            <v>221568</v>
          </cell>
        </row>
        <row r="9219">
          <cell r="B9219">
            <v>1930</v>
          </cell>
          <cell r="K9219" t="str">
            <v>POCAHONTAS</v>
          </cell>
          <cell r="L9219" t="str">
            <v>Pocahontas</v>
          </cell>
          <cell r="V9219">
            <v>156836</v>
          </cell>
        </row>
        <row r="9220">
          <cell r="B9220">
            <v>1930</v>
          </cell>
          <cell r="K9220" t="str">
            <v>SIOUX</v>
          </cell>
          <cell r="L9220" t="str">
            <v>Sioux</v>
          </cell>
          <cell r="V9220">
            <v>197744</v>
          </cell>
        </row>
        <row r="9221">
          <cell r="B9221">
            <v>1930</v>
          </cell>
          <cell r="K9221" t="str">
            <v>APPANOOSE</v>
          </cell>
          <cell r="L9221" t="str">
            <v>Appanoose</v>
          </cell>
          <cell r="V9221">
            <v>51968</v>
          </cell>
        </row>
        <row r="9222">
          <cell r="B9222">
            <v>1930</v>
          </cell>
          <cell r="K9222" t="str">
            <v>CLARKE</v>
          </cell>
          <cell r="L9222" t="str">
            <v>Clarke</v>
          </cell>
          <cell r="V9222">
            <v>66684</v>
          </cell>
        </row>
        <row r="9223">
          <cell r="B9223">
            <v>1930</v>
          </cell>
          <cell r="K9223" t="str">
            <v>DECATUR</v>
          </cell>
          <cell r="L9223" t="str">
            <v>Decatur</v>
          </cell>
          <cell r="V9223">
            <v>69840</v>
          </cell>
        </row>
        <row r="9224">
          <cell r="B9224">
            <v>1930</v>
          </cell>
          <cell r="K9224" t="str">
            <v>LUCAS</v>
          </cell>
          <cell r="L9224" t="str">
            <v>Lucas</v>
          </cell>
          <cell r="V9224">
            <v>59393</v>
          </cell>
        </row>
        <row r="9225">
          <cell r="B9225">
            <v>1930</v>
          </cell>
          <cell r="K9225" t="str">
            <v>MADISON</v>
          </cell>
          <cell r="L9225" t="str">
            <v>Madison</v>
          </cell>
          <cell r="V9225">
            <v>101621</v>
          </cell>
        </row>
        <row r="9226">
          <cell r="B9226">
            <v>1930</v>
          </cell>
          <cell r="K9226" t="str">
            <v>MARION</v>
          </cell>
          <cell r="L9226" t="str">
            <v>Marion</v>
          </cell>
          <cell r="V9226">
            <v>102277</v>
          </cell>
        </row>
        <row r="9227">
          <cell r="B9227">
            <v>1930</v>
          </cell>
          <cell r="K9227" t="str">
            <v>MONROE</v>
          </cell>
          <cell r="L9227" t="str">
            <v>Monroe</v>
          </cell>
          <cell r="V9227">
            <v>48864</v>
          </cell>
        </row>
        <row r="9228">
          <cell r="B9228">
            <v>1930</v>
          </cell>
          <cell r="K9228" t="str">
            <v>RINGGOLD</v>
          </cell>
          <cell r="L9228" t="str">
            <v>Ringgold</v>
          </cell>
          <cell r="V9228">
            <v>83012</v>
          </cell>
        </row>
        <row r="9229">
          <cell r="B9229">
            <v>1930</v>
          </cell>
          <cell r="K9229" t="str">
            <v>UNION</v>
          </cell>
          <cell r="L9229" t="str">
            <v>Union</v>
          </cell>
          <cell r="V9229">
            <v>72421</v>
          </cell>
        </row>
        <row r="9230">
          <cell r="B9230">
            <v>1930</v>
          </cell>
          <cell r="K9230" t="str">
            <v>WARREN</v>
          </cell>
          <cell r="L9230" t="str">
            <v>Warren</v>
          </cell>
          <cell r="V9230">
            <v>97341</v>
          </cell>
        </row>
        <row r="9231">
          <cell r="B9231">
            <v>1930</v>
          </cell>
          <cell r="K9231" t="str">
            <v>WAYNE</v>
          </cell>
          <cell r="L9231" t="str">
            <v>Wayne</v>
          </cell>
          <cell r="V9231">
            <v>78220</v>
          </cell>
        </row>
        <row r="9232">
          <cell r="B9232">
            <v>1930</v>
          </cell>
          <cell r="K9232" t="str">
            <v>DAVIS</v>
          </cell>
          <cell r="L9232" t="str">
            <v>Davis</v>
          </cell>
          <cell r="V9232">
            <v>49912</v>
          </cell>
        </row>
        <row r="9233">
          <cell r="B9233">
            <v>1930</v>
          </cell>
          <cell r="K9233" t="str">
            <v>DES MOINES</v>
          </cell>
          <cell r="L9233" t="str">
            <v>Des Moines</v>
          </cell>
          <cell r="V9233">
            <v>66809</v>
          </cell>
        </row>
        <row r="9234">
          <cell r="B9234">
            <v>1930</v>
          </cell>
          <cell r="K9234" t="str">
            <v>HENRY</v>
          </cell>
          <cell r="L9234" t="str">
            <v>Henry</v>
          </cell>
          <cell r="V9234">
            <v>69586</v>
          </cell>
        </row>
        <row r="9235">
          <cell r="B9235">
            <v>1930</v>
          </cell>
          <cell r="K9235" t="str">
            <v>JEFFERSON</v>
          </cell>
          <cell r="L9235" t="str">
            <v>Jefferson</v>
          </cell>
          <cell r="V9235">
            <v>64213</v>
          </cell>
        </row>
        <row r="9236">
          <cell r="B9236">
            <v>1930</v>
          </cell>
          <cell r="K9236" t="str">
            <v>KEOKUK</v>
          </cell>
          <cell r="L9236" t="str">
            <v>Keokuk</v>
          </cell>
          <cell r="V9236">
            <v>105583</v>
          </cell>
        </row>
        <row r="9237">
          <cell r="B9237">
            <v>1930</v>
          </cell>
          <cell r="K9237" t="str">
            <v>LEE</v>
          </cell>
          <cell r="L9237" t="str">
            <v>Lee</v>
          </cell>
          <cell r="V9237">
            <v>58326</v>
          </cell>
        </row>
        <row r="9238">
          <cell r="B9238">
            <v>1930</v>
          </cell>
          <cell r="K9238" t="str">
            <v>LOUISA</v>
          </cell>
          <cell r="L9238" t="str">
            <v>Louisa</v>
          </cell>
          <cell r="V9238">
            <v>71779</v>
          </cell>
        </row>
        <row r="9239">
          <cell r="B9239">
            <v>1930</v>
          </cell>
          <cell r="K9239" t="str">
            <v>MAHASKA</v>
          </cell>
          <cell r="L9239" t="str">
            <v>Mahaska</v>
          </cell>
          <cell r="V9239">
            <v>114079</v>
          </cell>
        </row>
        <row r="9240">
          <cell r="B9240">
            <v>1930</v>
          </cell>
          <cell r="K9240" t="str">
            <v>VAN BUREN</v>
          </cell>
          <cell r="L9240" t="str">
            <v>Van Buren</v>
          </cell>
          <cell r="V9240">
            <v>47888</v>
          </cell>
        </row>
        <row r="9241">
          <cell r="B9241">
            <v>1930</v>
          </cell>
          <cell r="K9241" t="str">
            <v>WAPELLO</v>
          </cell>
          <cell r="L9241" t="str">
            <v>Wapello</v>
          </cell>
          <cell r="V9241">
            <v>61298</v>
          </cell>
        </row>
        <row r="9242">
          <cell r="B9242">
            <v>1930</v>
          </cell>
          <cell r="K9242" t="str">
            <v>WASHINGTON</v>
          </cell>
          <cell r="L9242" t="str">
            <v>Washington</v>
          </cell>
          <cell r="V9242">
            <v>103200</v>
          </cell>
        </row>
        <row r="9243">
          <cell r="B9243">
            <v>1930</v>
          </cell>
          <cell r="K9243" t="str">
            <v>ADAIR</v>
          </cell>
          <cell r="L9243" t="str">
            <v>Adair</v>
          </cell>
          <cell r="V9243">
            <v>123630</v>
          </cell>
        </row>
        <row r="9244">
          <cell r="B9244">
            <v>1930</v>
          </cell>
          <cell r="K9244" t="str">
            <v>ADAMS</v>
          </cell>
          <cell r="L9244" t="str">
            <v>Adams</v>
          </cell>
          <cell r="V9244">
            <v>82815</v>
          </cell>
        </row>
        <row r="9245">
          <cell r="B9245">
            <v>1930</v>
          </cell>
          <cell r="K9245" t="str">
            <v>CASS</v>
          </cell>
          <cell r="L9245" t="str">
            <v>Cass</v>
          </cell>
          <cell r="V9245">
            <v>132436</v>
          </cell>
        </row>
        <row r="9246">
          <cell r="B9246">
            <v>1930</v>
          </cell>
          <cell r="K9246" t="str">
            <v>FREMONT</v>
          </cell>
          <cell r="L9246" t="str">
            <v>Fremont</v>
          </cell>
          <cell r="V9246">
            <v>159085</v>
          </cell>
        </row>
        <row r="9247">
          <cell r="B9247">
            <v>1930</v>
          </cell>
          <cell r="K9247" t="str">
            <v>MILLS</v>
          </cell>
          <cell r="L9247" t="str">
            <v>Mills</v>
          </cell>
          <cell r="V9247">
            <v>127642</v>
          </cell>
        </row>
        <row r="9248">
          <cell r="B9248">
            <v>1930</v>
          </cell>
          <cell r="K9248" t="str">
            <v>MONTGOMERY</v>
          </cell>
          <cell r="L9248" t="str">
            <v>Montgomery</v>
          </cell>
          <cell r="V9248">
            <v>106465</v>
          </cell>
        </row>
        <row r="9249">
          <cell r="B9249">
            <v>1930</v>
          </cell>
          <cell r="K9249" t="str">
            <v>PAGE</v>
          </cell>
          <cell r="L9249" t="str">
            <v>Page</v>
          </cell>
          <cell r="V9249">
            <v>129777</v>
          </cell>
        </row>
        <row r="9250">
          <cell r="B9250">
            <v>1930</v>
          </cell>
          <cell r="K9250" t="str">
            <v>POTTAWATTAMIE</v>
          </cell>
          <cell r="L9250" t="str">
            <v>Pottawattamie</v>
          </cell>
          <cell r="V9250">
            <v>259549</v>
          </cell>
        </row>
        <row r="9251">
          <cell r="B9251">
            <v>1930</v>
          </cell>
          <cell r="K9251" t="str">
            <v>TAYLOR</v>
          </cell>
          <cell r="L9251" t="str">
            <v>Taylor</v>
          </cell>
          <cell r="V9251">
            <v>102766</v>
          </cell>
        </row>
        <row r="9252">
          <cell r="B9252">
            <v>1930</v>
          </cell>
          <cell r="K9252" t="str">
            <v>AUDUBON</v>
          </cell>
          <cell r="L9252" t="str">
            <v>Audubon</v>
          </cell>
          <cell r="V9252">
            <v>101436</v>
          </cell>
        </row>
        <row r="9253">
          <cell r="B9253">
            <v>1930</v>
          </cell>
          <cell r="K9253" t="str">
            <v>CALHOUN</v>
          </cell>
          <cell r="L9253" t="str">
            <v>Calhoun</v>
          </cell>
          <cell r="V9253">
            <v>154835</v>
          </cell>
        </row>
        <row r="9254">
          <cell r="B9254">
            <v>1930</v>
          </cell>
          <cell r="K9254" t="str">
            <v>CARROLL</v>
          </cell>
          <cell r="L9254" t="str">
            <v>Carroll</v>
          </cell>
          <cell r="V9254">
            <v>142540</v>
          </cell>
        </row>
        <row r="9255">
          <cell r="B9255">
            <v>1930</v>
          </cell>
          <cell r="K9255" t="str">
            <v>CRAWFORD</v>
          </cell>
          <cell r="L9255" t="str">
            <v>Crawford</v>
          </cell>
          <cell r="V9255">
            <v>163210</v>
          </cell>
        </row>
        <row r="9256">
          <cell r="B9256">
            <v>1930</v>
          </cell>
          <cell r="K9256" t="str">
            <v>GREENE</v>
          </cell>
          <cell r="L9256" t="str">
            <v>Greene</v>
          </cell>
          <cell r="V9256">
            <v>159706</v>
          </cell>
        </row>
        <row r="9257">
          <cell r="B9257">
            <v>1930</v>
          </cell>
          <cell r="K9257" t="str">
            <v>GUTHRIE</v>
          </cell>
          <cell r="L9257" t="str">
            <v>Guthrie</v>
          </cell>
          <cell r="V9257">
            <v>125923</v>
          </cell>
        </row>
        <row r="9258">
          <cell r="B9258">
            <v>1930</v>
          </cell>
          <cell r="K9258" t="str">
            <v>HARRISON</v>
          </cell>
          <cell r="L9258" t="str">
            <v>Harrison</v>
          </cell>
          <cell r="V9258">
            <v>193427</v>
          </cell>
        </row>
        <row r="9259">
          <cell r="B9259">
            <v>1930</v>
          </cell>
          <cell r="K9259" t="str">
            <v>IDA</v>
          </cell>
          <cell r="L9259" t="str">
            <v>Ida</v>
          </cell>
          <cell r="V9259">
            <v>108111</v>
          </cell>
        </row>
        <row r="9260">
          <cell r="B9260">
            <v>1930</v>
          </cell>
          <cell r="K9260" t="str">
            <v>MONONA</v>
          </cell>
          <cell r="L9260" t="str">
            <v>Monona</v>
          </cell>
          <cell r="V9260">
            <v>171990</v>
          </cell>
        </row>
        <row r="9261">
          <cell r="B9261">
            <v>1930</v>
          </cell>
          <cell r="K9261" t="str">
            <v>SAC</v>
          </cell>
          <cell r="L9261" t="str">
            <v>Sac</v>
          </cell>
          <cell r="V9261">
            <v>133844</v>
          </cell>
        </row>
        <row r="9262">
          <cell r="B9262">
            <v>1930</v>
          </cell>
          <cell r="K9262" t="str">
            <v>SHELBY</v>
          </cell>
          <cell r="L9262" t="str">
            <v>Shelby</v>
          </cell>
          <cell r="V9262">
            <v>153098</v>
          </cell>
        </row>
        <row r="9263">
          <cell r="B9263">
            <v>1930</v>
          </cell>
          <cell r="K9263" t="str">
            <v>WOODBURY</v>
          </cell>
          <cell r="L9263" t="str">
            <v>Woodbury</v>
          </cell>
          <cell r="V9263">
            <v>239478</v>
          </cell>
        </row>
        <row r="9264">
          <cell r="B9264">
            <v>1929</v>
          </cell>
          <cell r="K9264" t="str">
            <v>BOONE</v>
          </cell>
          <cell r="L9264" t="str">
            <v>Boone</v>
          </cell>
          <cell r="V9264">
            <v>143200</v>
          </cell>
        </row>
        <row r="9265">
          <cell r="B9265">
            <v>1929</v>
          </cell>
          <cell r="K9265" t="str">
            <v>DALLAS</v>
          </cell>
          <cell r="L9265" t="str">
            <v>Dallas</v>
          </cell>
          <cell r="V9265">
            <v>144594</v>
          </cell>
        </row>
        <row r="9266">
          <cell r="B9266">
            <v>1929</v>
          </cell>
          <cell r="K9266" t="str">
            <v>GRUNDY</v>
          </cell>
          <cell r="L9266" t="str">
            <v>Grundy</v>
          </cell>
          <cell r="V9266">
            <v>108125</v>
          </cell>
        </row>
        <row r="9267">
          <cell r="B9267">
            <v>1929</v>
          </cell>
          <cell r="K9267" t="str">
            <v>HAMILTON</v>
          </cell>
          <cell r="L9267" t="str">
            <v>Hamilton</v>
          </cell>
          <cell r="V9267">
            <v>145114</v>
          </cell>
        </row>
        <row r="9268">
          <cell r="B9268">
            <v>1929</v>
          </cell>
          <cell r="K9268" t="str">
            <v>HARDIN</v>
          </cell>
          <cell r="L9268" t="str">
            <v>Hardin</v>
          </cell>
          <cell r="V9268">
            <v>132235</v>
          </cell>
        </row>
        <row r="9269">
          <cell r="B9269">
            <v>1929</v>
          </cell>
          <cell r="K9269" t="str">
            <v>JASPER</v>
          </cell>
          <cell r="L9269" t="str">
            <v>Jasper</v>
          </cell>
          <cell r="V9269">
            <v>150816</v>
          </cell>
        </row>
        <row r="9270">
          <cell r="B9270">
            <v>1929</v>
          </cell>
          <cell r="K9270" t="str">
            <v>MARSHALL</v>
          </cell>
          <cell r="L9270" t="str">
            <v>Marshall</v>
          </cell>
          <cell r="V9270">
            <v>121477</v>
          </cell>
        </row>
        <row r="9271">
          <cell r="B9271">
            <v>1929</v>
          </cell>
          <cell r="K9271" t="str">
            <v>POLK</v>
          </cell>
          <cell r="L9271" t="str">
            <v>Polk</v>
          </cell>
          <cell r="V9271">
            <v>119357</v>
          </cell>
        </row>
        <row r="9272">
          <cell r="B9272">
            <v>1929</v>
          </cell>
          <cell r="K9272" t="str">
            <v>POWESHIEK</v>
          </cell>
          <cell r="L9272" t="str">
            <v>Poweshiek</v>
          </cell>
          <cell r="V9272">
            <v>118233</v>
          </cell>
        </row>
        <row r="9273">
          <cell r="B9273">
            <v>1929</v>
          </cell>
          <cell r="K9273" t="str">
            <v>STORY</v>
          </cell>
          <cell r="L9273" t="str">
            <v>Story</v>
          </cell>
          <cell r="V9273">
            <v>153523</v>
          </cell>
        </row>
        <row r="9274">
          <cell r="B9274">
            <v>1929</v>
          </cell>
          <cell r="K9274" t="str">
            <v>TAMA</v>
          </cell>
          <cell r="L9274" t="str">
            <v>Tama</v>
          </cell>
          <cell r="V9274">
            <v>135864</v>
          </cell>
        </row>
        <row r="9275">
          <cell r="B9275">
            <v>1929</v>
          </cell>
          <cell r="K9275" t="str">
            <v>WEBSTER</v>
          </cell>
          <cell r="L9275" t="str">
            <v>Webster</v>
          </cell>
          <cell r="V9275">
            <v>168980</v>
          </cell>
        </row>
        <row r="9276">
          <cell r="B9276">
            <v>1929</v>
          </cell>
          <cell r="K9276" t="str">
            <v>BENTON</v>
          </cell>
          <cell r="L9276" t="str">
            <v>Benton</v>
          </cell>
          <cell r="V9276">
            <v>145997</v>
          </cell>
        </row>
        <row r="9277">
          <cell r="B9277">
            <v>1929</v>
          </cell>
          <cell r="K9277" t="str">
            <v>CEDAR</v>
          </cell>
          <cell r="L9277" t="str">
            <v>Cedar</v>
          </cell>
          <cell r="V9277">
            <v>107320</v>
          </cell>
        </row>
        <row r="9278">
          <cell r="B9278">
            <v>1929</v>
          </cell>
          <cell r="K9278" t="str">
            <v>CLINTON</v>
          </cell>
          <cell r="L9278" t="str">
            <v>Clinton</v>
          </cell>
          <cell r="V9278">
            <v>126864</v>
          </cell>
        </row>
        <row r="9279">
          <cell r="B9279">
            <v>1929</v>
          </cell>
          <cell r="K9279" t="str">
            <v>IOWA</v>
          </cell>
          <cell r="L9279" t="str">
            <v>Iowa</v>
          </cell>
          <cell r="V9279">
            <v>102925</v>
          </cell>
        </row>
        <row r="9280">
          <cell r="B9280">
            <v>1929</v>
          </cell>
          <cell r="K9280" t="str">
            <v>JACKSON</v>
          </cell>
          <cell r="L9280" t="str">
            <v>Jackson</v>
          </cell>
          <cell r="V9280">
            <v>67318</v>
          </cell>
        </row>
        <row r="9281">
          <cell r="B9281">
            <v>1929</v>
          </cell>
          <cell r="K9281" t="str">
            <v>JOHNSON</v>
          </cell>
          <cell r="L9281" t="str">
            <v>Johnson</v>
          </cell>
          <cell r="V9281">
            <v>108501</v>
          </cell>
        </row>
        <row r="9282">
          <cell r="B9282">
            <v>1929</v>
          </cell>
          <cell r="K9282" t="str">
            <v>JONES</v>
          </cell>
          <cell r="L9282" t="str">
            <v>Jones</v>
          </cell>
          <cell r="V9282">
            <v>84108</v>
          </cell>
        </row>
        <row r="9283">
          <cell r="B9283">
            <v>1929</v>
          </cell>
          <cell r="K9283" t="str">
            <v>LINN</v>
          </cell>
          <cell r="L9283" t="str">
            <v>Linn</v>
          </cell>
          <cell r="V9283">
            <v>122809</v>
          </cell>
        </row>
        <row r="9284">
          <cell r="B9284">
            <v>1929</v>
          </cell>
          <cell r="K9284" t="str">
            <v>MUSCATINE</v>
          </cell>
          <cell r="L9284" t="str">
            <v>Muscatine</v>
          </cell>
          <cell r="V9284">
            <v>78925</v>
          </cell>
        </row>
        <row r="9285">
          <cell r="B9285">
            <v>1929</v>
          </cell>
          <cell r="K9285" t="str">
            <v>SCOTT</v>
          </cell>
          <cell r="L9285" t="str">
            <v>Scott</v>
          </cell>
          <cell r="V9285">
            <v>77668</v>
          </cell>
        </row>
        <row r="9286">
          <cell r="B9286">
            <v>1929</v>
          </cell>
          <cell r="K9286" t="str">
            <v>BUTLER</v>
          </cell>
          <cell r="L9286" t="str">
            <v>Butler</v>
          </cell>
          <cell r="V9286">
            <v>115343</v>
          </cell>
        </row>
        <row r="9287">
          <cell r="B9287">
            <v>1929</v>
          </cell>
          <cell r="K9287" t="str">
            <v>CERRO GORDO</v>
          </cell>
          <cell r="L9287" t="str">
            <v>Cerro Gordo</v>
          </cell>
          <cell r="V9287">
            <v>110742</v>
          </cell>
        </row>
        <row r="9288">
          <cell r="B9288">
            <v>1929</v>
          </cell>
          <cell r="K9288" t="str">
            <v>FLOYD</v>
          </cell>
          <cell r="L9288" t="str">
            <v>Floyd</v>
          </cell>
          <cell r="V9288">
            <v>96436</v>
          </cell>
        </row>
        <row r="9289">
          <cell r="B9289">
            <v>1929</v>
          </cell>
          <cell r="K9289" t="str">
            <v>FRANKLIN</v>
          </cell>
          <cell r="L9289" t="str">
            <v>Franklin</v>
          </cell>
          <cell r="V9289">
            <v>135197</v>
          </cell>
        </row>
        <row r="9290">
          <cell r="B9290">
            <v>1929</v>
          </cell>
          <cell r="K9290" t="str">
            <v>HANCOCK</v>
          </cell>
          <cell r="L9290" t="str">
            <v>Hancock</v>
          </cell>
          <cell r="V9290">
            <v>123706</v>
          </cell>
        </row>
        <row r="9291">
          <cell r="B9291">
            <v>1929</v>
          </cell>
          <cell r="K9291" t="str">
            <v>HUMBOLDT</v>
          </cell>
          <cell r="L9291" t="str">
            <v>Humboldt</v>
          </cell>
          <cell r="V9291">
            <v>107855</v>
          </cell>
        </row>
        <row r="9292">
          <cell r="B9292">
            <v>1929</v>
          </cell>
          <cell r="K9292" t="str">
            <v>KOSSUTH</v>
          </cell>
          <cell r="L9292" t="str">
            <v>Kossuth</v>
          </cell>
          <cell r="V9292">
            <v>228017</v>
          </cell>
        </row>
        <row r="9293">
          <cell r="B9293">
            <v>1929</v>
          </cell>
          <cell r="K9293" t="str">
            <v>MITCHELL</v>
          </cell>
          <cell r="L9293" t="str">
            <v>Mitchell</v>
          </cell>
          <cell r="V9293">
            <v>74848</v>
          </cell>
        </row>
        <row r="9294">
          <cell r="B9294">
            <v>1929</v>
          </cell>
          <cell r="K9294" t="str">
            <v>WINNEBAGO</v>
          </cell>
          <cell r="L9294" t="str">
            <v>Winnebago</v>
          </cell>
          <cell r="V9294">
            <v>79960</v>
          </cell>
        </row>
        <row r="9295">
          <cell r="B9295">
            <v>1929</v>
          </cell>
          <cell r="K9295" t="str">
            <v>WORTH</v>
          </cell>
          <cell r="L9295" t="str">
            <v>Worth</v>
          </cell>
          <cell r="V9295">
            <v>65163</v>
          </cell>
        </row>
        <row r="9296">
          <cell r="B9296">
            <v>1929</v>
          </cell>
          <cell r="K9296" t="str">
            <v>WRIGHT</v>
          </cell>
          <cell r="L9296" t="str">
            <v>Wright</v>
          </cell>
          <cell r="V9296">
            <v>144500</v>
          </cell>
        </row>
        <row r="9297">
          <cell r="B9297">
            <v>1929</v>
          </cell>
          <cell r="K9297" t="str">
            <v>ALLAMAKEE</v>
          </cell>
          <cell r="L9297" t="str">
            <v>Allamakee</v>
          </cell>
          <cell r="V9297">
            <v>48277</v>
          </cell>
        </row>
        <row r="9298">
          <cell r="B9298">
            <v>1929</v>
          </cell>
          <cell r="K9298" t="str">
            <v>BLACK HAWK</v>
          </cell>
          <cell r="L9298" t="str">
            <v>Black Hawk</v>
          </cell>
          <cell r="V9298">
            <v>111188</v>
          </cell>
        </row>
        <row r="9299">
          <cell r="B9299">
            <v>1929</v>
          </cell>
          <cell r="K9299" t="str">
            <v>BREMER</v>
          </cell>
          <cell r="L9299" t="str">
            <v>Bremer</v>
          </cell>
          <cell r="V9299">
            <v>71105</v>
          </cell>
        </row>
        <row r="9300">
          <cell r="B9300">
            <v>1929</v>
          </cell>
          <cell r="K9300" t="str">
            <v>BUCHANAN</v>
          </cell>
          <cell r="L9300" t="str">
            <v>Buchanan</v>
          </cell>
          <cell r="V9300">
            <v>105476</v>
          </cell>
        </row>
        <row r="9301">
          <cell r="B9301">
            <v>1929</v>
          </cell>
          <cell r="K9301" t="str">
            <v>CHICKASAW</v>
          </cell>
          <cell r="L9301" t="str">
            <v>Chickasaw</v>
          </cell>
          <cell r="V9301">
            <v>73418</v>
          </cell>
        </row>
        <row r="9302">
          <cell r="B9302">
            <v>1929</v>
          </cell>
          <cell r="K9302" t="str">
            <v>CLAYTON</v>
          </cell>
          <cell r="L9302" t="str">
            <v>Clayton</v>
          </cell>
          <cell r="V9302">
            <v>82752</v>
          </cell>
        </row>
        <row r="9303">
          <cell r="B9303">
            <v>1929</v>
          </cell>
          <cell r="K9303" t="str">
            <v>DELAWARE</v>
          </cell>
          <cell r="L9303" t="str">
            <v>Delaware</v>
          </cell>
          <cell r="V9303">
            <v>94598</v>
          </cell>
        </row>
        <row r="9304">
          <cell r="B9304">
            <v>1929</v>
          </cell>
          <cell r="K9304" t="str">
            <v>DUBUQUE</v>
          </cell>
          <cell r="L9304" t="str">
            <v>Dubuque</v>
          </cell>
          <cell r="V9304">
            <v>70747</v>
          </cell>
        </row>
        <row r="9305">
          <cell r="B9305">
            <v>1929</v>
          </cell>
          <cell r="K9305" t="str">
            <v>FAYETTE</v>
          </cell>
          <cell r="L9305" t="str">
            <v>Fayette</v>
          </cell>
          <cell r="V9305">
            <v>100345</v>
          </cell>
        </row>
        <row r="9306">
          <cell r="B9306">
            <v>1929</v>
          </cell>
          <cell r="K9306" t="str">
            <v>HOWARD</v>
          </cell>
          <cell r="L9306" t="str">
            <v>Howard</v>
          </cell>
          <cell r="V9306">
            <v>58067</v>
          </cell>
        </row>
        <row r="9307">
          <cell r="B9307">
            <v>1929</v>
          </cell>
          <cell r="K9307" t="str">
            <v>WINNESHIEK</v>
          </cell>
          <cell r="L9307" t="str">
            <v>Winneshiek</v>
          </cell>
          <cell r="V9307">
            <v>86968</v>
          </cell>
        </row>
        <row r="9308">
          <cell r="B9308">
            <v>1929</v>
          </cell>
          <cell r="K9308" t="str">
            <v>BUENA VISTA</v>
          </cell>
          <cell r="L9308" t="str">
            <v>Buena Vista</v>
          </cell>
          <cell r="V9308">
            <v>147583</v>
          </cell>
        </row>
        <row r="9309">
          <cell r="B9309">
            <v>1929</v>
          </cell>
          <cell r="K9309" t="str">
            <v>CHEROKEE</v>
          </cell>
          <cell r="L9309" t="str">
            <v>Cherokee</v>
          </cell>
          <cell r="V9309">
            <v>139852</v>
          </cell>
        </row>
        <row r="9310">
          <cell r="B9310">
            <v>1929</v>
          </cell>
          <cell r="K9310" t="str">
            <v>CLAY</v>
          </cell>
          <cell r="L9310" t="str">
            <v>Clay</v>
          </cell>
          <cell r="V9310">
            <v>132532</v>
          </cell>
        </row>
        <row r="9311">
          <cell r="B9311">
            <v>1929</v>
          </cell>
          <cell r="K9311" t="str">
            <v>DICKINSON</v>
          </cell>
          <cell r="L9311" t="str">
            <v>Dickinson</v>
          </cell>
          <cell r="V9311">
            <v>85669</v>
          </cell>
        </row>
        <row r="9312">
          <cell r="B9312">
            <v>1929</v>
          </cell>
          <cell r="K9312" t="str">
            <v>EMMET</v>
          </cell>
          <cell r="L9312" t="str">
            <v>Emmet</v>
          </cell>
          <cell r="V9312">
            <v>90628</v>
          </cell>
        </row>
        <row r="9313">
          <cell r="B9313">
            <v>1929</v>
          </cell>
          <cell r="K9313" t="str">
            <v>LYON</v>
          </cell>
          <cell r="L9313" t="str">
            <v>Lyon</v>
          </cell>
          <cell r="V9313">
            <v>142286</v>
          </cell>
        </row>
        <row r="9314">
          <cell r="B9314">
            <v>1929</v>
          </cell>
          <cell r="K9314" t="str">
            <v>O BRIEN</v>
          </cell>
          <cell r="L9314" t="str">
            <v>O Brien</v>
          </cell>
          <cell r="V9314">
            <v>136834</v>
          </cell>
        </row>
        <row r="9315">
          <cell r="B9315">
            <v>1929</v>
          </cell>
          <cell r="K9315" t="str">
            <v>OSCEOLA</v>
          </cell>
          <cell r="L9315" t="str">
            <v>Osceola</v>
          </cell>
          <cell r="V9315">
            <v>94361</v>
          </cell>
        </row>
        <row r="9316">
          <cell r="B9316">
            <v>1929</v>
          </cell>
          <cell r="K9316" t="str">
            <v>PALO ALTO</v>
          </cell>
          <cell r="L9316" t="str">
            <v>Palo Alto</v>
          </cell>
          <cell r="V9316">
            <v>131142</v>
          </cell>
        </row>
        <row r="9317">
          <cell r="B9317">
            <v>1929</v>
          </cell>
          <cell r="K9317" t="str">
            <v>PLYMOUTH</v>
          </cell>
          <cell r="L9317" t="str">
            <v>Plymouth</v>
          </cell>
          <cell r="V9317">
            <v>216469</v>
          </cell>
        </row>
        <row r="9318">
          <cell r="B9318">
            <v>1929</v>
          </cell>
          <cell r="K9318" t="str">
            <v>POCAHONTAS</v>
          </cell>
          <cell r="L9318" t="str">
            <v>Pocahontas</v>
          </cell>
          <cell r="V9318">
            <v>153591</v>
          </cell>
        </row>
        <row r="9319">
          <cell r="B9319">
            <v>1929</v>
          </cell>
          <cell r="K9319" t="str">
            <v>SIOUX</v>
          </cell>
          <cell r="L9319" t="str">
            <v>Sioux</v>
          </cell>
          <cell r="V9319">
            <v>196089</v>
          </cell>
        </row>
        <row r="9320">
          <cell r="B9320">
            <v>1929</v>
          </cell>
          <cell r="K9320" t="str">
            <v>APPANOOSE</v>
          </cell>
          <cell r="L9320" t="str">
            <v>Appanoose</v>
          </cell>
          <cell r="V9320">
            <v>49889</v>
          </cell>
        </row>
        <row r="9321">
          <cell r="B9321">
            <v>1929</v>
          </cell>
          <cell r="K9321" t="str">
            <v>CLARKE</v>
          </cell>
          <cell r="L9321" t="str">
            <v>Clarke</v>
          </cell>
          <cell r="V9321">
            <v>60904</v>
          </cell>
        </row>
        <row r="9322">
          <cell r="B9322">
            <v>1929</v>
          </cell>
          <cell r="K9322" t="str">
            <v>DECATUR</v>
          </cell>
          <cell r="L9322" t="str">
            <v>Decatur</v>
          </cell>
          <cell r="V9322">
            <v>67429</v>
          </cell>
        </row>
        <row r="9323">
          <cell r="B9323">
            <v>1929</v>
          </cell>
          <cell r="K9323" t="str">
            <v>LUCAS</v>
          </cell>
          <cell r="L9323" t="str">
            <v>Lucas</v>
          </cell>
          <cell r="V9323">
            <v>56046</v>
          </cell>
        </row>
        <row r="9324">
          <cell r="B9324">
            <v>1929</v>
          </cell>
          <cell r="K9324" t="str">
            <v>MADISON</v>
          </cell>
          <cell r="L9324" t="str">
            <v>Madison</v>
          </cell>
          <cell r="V9324">
            <v>94544</v>
          </cell>
        </row>
        <row r="9325">
          <cell r="B9325">
            <v>1929</v>
          </cell>
          <cell r="K9325" t="str">
            <v>MARION</v>
          </cell>
          <cell r="L9325" t="str">
            <v>Marion</v>
          </cell>
          <cell r="V9325">
            <v>96483</v>
          </cell>
        </row>
        <row r="9326">
          <cell r="B9326">
            <v>1929</v>
          </cell>
          <cell r="K9326" t="str">
            <v>MONROE</v>
          </cell>
          <cell r="L9326" t="str">
            <v>Monroe</v>
          </cell>
          <cell r="V9326">
            <v>47802</v>
          </cell>
        </row>
        <row r="9327">
          <cell r="B9327">
            <v>1929</v>
          </cell>
          <cell r="K9327" t="str">
            <v>RINGGOLD</v>
          </cell>
          <cell r="L9327" t="str">
            <v>Ringgold</v>
          </cell>
          <cell r="V9327">
            <v>78308</v>
          </cell>
        </row>
        <row r="9328">
          <cell r="B9328">
            <v>1929</v>
          </cell>
          <cell r="K9328" t="str">
            <v>UNION</v>
          </cell>
          <cell r="L9328" t="str">
            <v>Union</v>
          </cell>
          <cell r="V9328">
            <v>66553</v>
          </cell>
        </row>
        <row r="9329">
          <cell r="B9329">
            <v>1929</v>
          </cell>
          <cell r="K9329" t="str">
            <v>WARREN</v>
          </cell>
          <cell r="L9329" t="str">
            <v>Warren</v>
          </cell>
          <cell r="V9329">
            <v>91415</v>
          </cell>
        </row>
        <row r="9330">
          <cell r="B9330">
            <v>1929</v>
          </cell>
          <cell r="K9330" t="str">
            <v>WAYNE</v>
          </cell>
          <cell r="L9330" t="str">
            <v>Wayne</v>
          </cell>
          <cell r="V9330">
            <v>73040</v>
          </cell>
        </row>
        <row r="9331">
          <cell r="B9331">
            <v>1929</v>
          </cell>
          <cell r="K9331" t="str">
            <v>DAVIS</v>
          </cell>
          <cell r="L9331" t="str">
            <v>Davis</v>
          </cell>
          <cell r="V9331">
            <v>49479</v>
          </cell>
        </row>
        <row r="9332">
          <cell r="B9332">
            <v>1929</v>
          </cell>
          <cell r="K9332" t="str">
            <v>DES MOINES</v>
          </cell>
          <cell r="L9332" t="str">
            <v>Des Moines</v>
          </cell>
          <cell r="V9332">
            <v>67083</v>
          </cell>
        </row>
        <row r="9333">
          <cell r="B9333">
            <v>1929</v>
          </cell>
          <cell r="K9333" t="str">
            <v>HENRY</v>
          </cell>
          <cell r="L9333" t="str">
            <v>Henry</v>
          </cell>
          <cell r="V9333">
            <v>69324</v>
          </cell>
        </row>
        <row r="9334">
          <cell r="B9334">
            <v>1929</v>
          </cell>
          <cell r="K9334" t="str">
            <v>JEFFERSON</v>
          </cell>
          <cell r="L9334" t="str">
            <v>Jefferson</v>
          </cell>
          <cell r="V9334">
            <v>62857</v>
          </cell>
        </row>
        <row r="9335">
          <cell r="B9335">
            <v>1929</v>
          </cell>
          <cell r="K9335" t="str">
            <v>KEOKUK</v>
          </cell>
          <cell r="L9335" t="str">
            <v>Keokuk</v>
          </cell>
          <cell r="V9335">
            <v>104245</v>
          </cell>
        </row>
        <row r="9336">
          <cell r="B9336">
            <v>1929</v>
          </cell>
          <cell r="K9336" t="str">
            <v>LEE</v>
          </cell>
          <cell r="L9336" t="str">
            <v>Lee</v>
          </cell>
          <cell r="V9336">
            <v>57588</v>
          </cell>
        </row>
        <row r="9337">
          <cell r="B9337">
            <v>1929</v>
          </cell>
          <cell r="K9337" t="str">
            <v>LOUISA</v>
          </cell>
          <cell r="L9337" t="str">
            <v>Louisa</v>
          </cell>
          <cell r="V9337">
            <v>71070</v>
          </cell>
        </row>
        <row r="9338">
          <cell r="B9338">
            <v>1929</v>
          </cell>
          <cell r="K9338" t="str">
            <v>MAHASKA</v>
          </cell>
          <cell r="L9338" t="str">
            <v>Mahaska</v>
          </cell>
          <cell r="V9338">
            <v>111759</v>
          </cell>
        </row>
        <row r="9339">
          <cell r="B9339">
            <v>1929</v>
          </cell>
          <cell r="K9339" t="str">
            <v>VAN BUREN</v>
          </cell>
          <cell r="L9339" t="str">
            <v>Van Buren</v>
          </cell>
          <cell r="V9339">
            <v>46318</v>
          </cell>
        </row>
        <row r="9340">
          <cell r="B9340">
            <v>1929</v>
          </cell>
          <cell r="K9340" t="str">
            <v>WAPELLO</v>
          </cell>
          <cell r="L9340" t="str">
            <v>Wapello</v>
          </cell>
          <cell r="V9340">
            <v>58932</v>
          </cell>
        </row>
        <row r="9341">
          <cell r="B9341">
            <v>1929</v>
          </cell>
          <cell r="K9341" t="str">
            <v>WASHINGTON</v>
          </cell>
          <cell r="L9341" t="str">
            <v>Washington</v>
          </cell>
          <cell r="V9341">
            <v>104101</v>
          </cell>
        </row>
        <row r="9342">
          <cell r="B9342">
            <v>1929</v>
          </cell>
          <cell r="K9342" t="str">
            <v>ADAIR</v>
          </cell>
          <cell r="L9342" t="str">
            <v>Adair</v>
          </cell>
          <cell r="V9342">
            <v>112375</v>
          </cell>
        </row>
        <row r="9343">
          <cell r="B9343">
            <v>1929</v>
          </cell>
          <cell r="K9343" t="str">
            <v>ADAMS</v>
          </cell>
          <cell r="L9343" t="str">
            <v>Adams</v>
          </cell>
          <cell r="V9343">
            <v>74135</v>
          </cell>
        </row>
        <row r="9344">
          <cell r="B9344">
            <v>1929</v>
          </cell>
          <cell r="K9344" t="str">
            <v>CASS</v>
          </cell>
          <cell r="L9344" t="str">
            <v>Cass</v>
          </cell>
          <cell r="V9344">
            <v>127153</v>
          </cell>
        </row>
        <row r="9345">
          <cell r="B9345">
            <v>1929</v>
          </cell>
          <cell r="K9345" t="str">
            <v>FREMONT</v>
          </cell>
          <cell r="L9345" t="str">
            <v>Fremont</v>
          </cell>
          <cell r="V9345">
            <v>141435</v>
          </cell>
        </row>
        <row r="9346">
          <cell r="B9346">
            <v>1929</v>
          </cell>
          <cell r="K9346" t="str">
            <v>MILLS</v>
          </cell>
          <cell r="L9346" t="str">
            <v>Mills</v>
          </cell>
          <cell r="V9346">
            <v>121848</v>
          </cell>
        </row>
        <row r="9347">
          <cell r="B9347">
            <v>1929</v>
          </cell>
          <cell r="K9347" t="str">
            <v>MONTGOMERY</v>
          </cell>
          <cell r="L9347" t="str">
            <v>Montgomery</v>
          </cell>
          <cell r="V9347">
            <v>102395</v>
          </cell>
        </row>
        <row r="9348">
          <cell r="B9348">
            <v>1929</v>
          </cell>
          <cell r="K9348" t="str">
            <v>PAGE</v>
          </cell>
          <cell r="L9348" t="str">
            <v>Page</v>
          </cell>
          <cell r="V9348">
            <v>117155</v>
          </cell>
        </row>
        <row r="9349">
          <cell r="B9349">
            <v>1929</v>
          </cell>
          <cell r="K9349" t="str">
            <v>POTTAWATTAMIE</v>
          </cell>
          <cell r="L9349" t="str">
            <v>Pottawattamie</v>
          </cell>
          <cell r="V9349">
            <v>252669</v>
          </cell>
        </row>
        <row r="9350">
          <cell r="B9350">
            <v>1929</v>
          </cell>
          <cell r="K9350" t="str">
            <v>TAYLOR</v>
          </cell>
          <cell r="L9350" t="str">
            <v>Taylor</v>
          </cell>
          <cell r="V9350">
            <v>96238</v>
          </cell>
        </row>
        <row r="9351">
          <cell r="B9351">
            <v>1929</v>
          </cell>
          <cell r="K9351" t="str">
            <v>AUDUBON</v>
          </cell>
          <cell r="L9351" t="str">
            <v>Audubon</v>
          </cell>
          <cell r="V9351">
            <v>96484</v>
          </cell>
        </row>
        <row r="9352">
          <cell r="B9352">
            <v>1929</v>
          </cell>
          <cell r="K9352" t="str">
            <v>CALHOUN</v>
          </cell>
          <cell r="L9352" t="str">
            <v>Calhoun</v>
          </cell>
          <cell r="V9352">
            <v>150012</v>
          </cell>
        </row>
        <row r="9353">
          <cell r="B9353">
            <v>1929</v>
          </cell>
          <cell r="K9353" t="str">
            <v>CARROLL</v>
          </cell>
          <cell r="L9353" t="str">
            <v>Carroll</v>
          </cell>
          <cell r="V9353">
            <v>138963</v>
          </cell>
        </row>
        <row r="9354">
          <cell r="B9354">
            <v>1929</v>
          </cell>
          <cell r="K9354" t="str">
            <v>CRAWFORD</v>
          </cell>
          <cell r="L9354" t="str">
            <v>Crawford</v>
          </cell>
          <cell r="V9354">
            <v>158385</v>
          </cell>
        </row>
        <row r="9355">
          <cell r="B9355">
            <v>1929</v>
          </cell>
          <cell r="K9355" t="str">
            <v>GREENE</v>
          </cell>
          <cell r="L9355" t="str">
            <v>Greene</v>
          </cell>
          <cell r="V9355">
            <v>156250</v>
          </cell>
        </row>
        <row r="9356">
          <cell r="B9356">
            <v>1929</v>
          </cell>
          <cell r="K9356" t="str">
            <v>GUTHRIE</v>
          </cell>
          <cell r="L9356" t="str">
            <v>Guthrie</v>
          </cell>
          <cell r="V9356">
            <v>119483</v>
          </cell>
        </row>
        <row r="9357">
          <cell r="B9357">
            <v>1929</v>
          </cell>
          <cell r="K9357" t="str">
            <v>HARRISON</v>
          </cell>
          <cell r="L9357" t="str">
            <v>Harrison</v>
          </cell>
          <cell r="V9357">
            <v>191861</v>
          </cell>
        </row>
        <row r="9358">
          <cell r="B9358">
            <v>1929</v>
          </cell>
          <cell r="K9358" t="str">
            <v>IDA</v>
          </cell>
          <cell r="L9358" t="str">
            <v>Ida</v>
          </cell>
          <cell r="V9358">
            <v>109634</v>
          </cell>
        </row>
        <row r="9359">
          <cell r="B9359">
            <v>1929</v>
          </cell>
          <cell r="K9359" t="str">
            <v>MONONA</v>
          </cell>
          <cell r="L9359" t="str">
            <v>Monona</v>
          </cell>
          <cell r="V9359">
            <v>165805</v>
          </cell>
        </row>
        <row r="9360">
          <cell r="B9360">
            <v>1929</v>
          </cell>
          <cell r="K9360" t="str">
            <v>SAC</v>
          </cell>
          <cell r="L9360" t="str">
            <v>Sac</v>
          </cell>
          <cell r="V9360">
            <v>141313</v>
          </cell>
        </row>
        <row r="9361">
          <cell r="B9361">
            <v>1929</v>
          </cell>
          <cell r="K9361" t="str">
            <v>SHELBY</v>
          </cell>
          <cell r="L9361" t="str">
            <v>Shelby</v>
          </cell>
          <cell r="V9361">
            <v>149172</v>
          </cell>
        </row>
        <row r="9362">
          <cell r="B9362">
            <v>1929</v>
          </cell>
          <cell r="K9362" t="str">
            <v>WOODBURY</v>
          </cell>
          <cell r="L9362" t="str">
            <v>Woodbury</v>
          </cell>
          <cell r="V9362">
            <v>224369</v>
          </cell>
        </row>
        <row r="9363">
          <cell r="B9363">
            <v>1928</v>
          </cell>
          <cell r="K9363" t="str">
            <v>BOONE</v>
          </cell>
          <cell r="L9363" t="str">
            <v>Boone</v>
          </cell>
          <cell r="V9363">
            <v>143499</v>
          </cell>
        </row>
        <row r="9364">
          <cell r="B9364">
            <v>1928</v>
          </cell>
          <cell r="K9364" t="str">
            <v>DALLAS</v>
          </cell>
          <cell r="L9364" t="str">
            <v>Dallas</v>
          </cell>
          <cell r="V9364">
            <v>145438</v>
          </cell>
        </row>
        <row r="9365">
          <cell r="B9365">
            <v>1928</v>
          </cell>
          <cell r="K9365" t="str">
            <v>GRUNDY</v>
          </cell>
          <cell r="L9365" t="str">
            <v>Grundy</v>
          </cell>
          <cell r="V9365">
            <v>108605</v>
          </cell>
        </row>
        <row r="9366">
          <cell r="B9366">
            <v>1928</v>
          </cell>
          <cell r="K9366" t="str">
            <v>HAMILTON</v>
          </cell>
          <cell r="L9366" t="str">
            <v>Hamilton</v>
          </cell>
          <cell r="V9366">
            <v>147335</v>
          </cell>
        </row>
        <row r="9367">
          <cell r="B9367">
            <v>1928</v>
          </cell>
          <cell r="K9367" t="str">
            <v>HARDIN</v>
          </cell>
          <cell r="L9367" t="str">
            <v>Hardin</v>
          </cell>
          <cell r="V9367">
            <v>134586</v>
          </cell>
        </row>
        <row r="9368">
          <cell r="B9368">
            <v>1928</v>
          </cell>
          <cell r="K9368" t="str">
            <v>JASPER</v>
          </cell>
          <cell r="L9368" t="str">
            <v>Jasper</v>
          </cell>
          <cell r="V9368">
            <v>158709</v>
          </cell>
        </row>
        <row r="9369">
          <cell r="B9369">
            <v>1928</v>
          </cell>
          <cell r="K9369" t="str">
            <v>MARSHALL</v>
          </cell>
          <cell r="L9369" t="str">
            <v>Marshall</v>
          </cell>
          <cell r="V9369">
            <v>126564</v>
          </cell>
        </row>
        <row r="9370">
          <cell r="B9370">
            <v>1928</v>
          </cell>
          <cell r="K9370" t="str">
            <v>POLK</v>
          </cell>
          <cell r="L9370" t="str">
            <v>Polk</v>
          </cell>
          <cell r="V9370">
            <v>120549</v>
          </cell>
        </row>
        <row r="9371">
          <cell r="B9371">
            <v>1928</v>
          </cell>
          <cell r="K9371" t="str">
            <v>POWESHIEK</v>
          </cell>
          <cell r="L9371" t="str">
            <v>Poweshiek</v>
          </cell>
          <cell r="V9371">
            <v>122847</v>
          </cell>
        </row>
        <row r="9372">
          <cell r="B9372">
            <v>1928</v>
          </cell>
          <cell r="K9372" t="str">
            <v>STORY</v>
          </cell>
          <cell r="L9372" t="str">
            <v>Story</v>
          </cell>
          <cell r="V9372">
            <v>154020</v>
          </cell>
        </row>
        <row r="9373">
          <cell r="B9373">
            <v>1928</v>
          </cell>
          <cell r="K9373" t="str">
            <v>TAMA</v>
          </cell>
          <cell r="L9373" t="str">
            <v>Tama</v>
          </cell>
          <cell r="V9373">
            <v>135613</v>
          </cell>
        </row>
        <row r="9374">
          <cell r="B9374">
            <v>1928</v>
          </cell>
          <cell r="K9374" t="str">
            <v>WEBSTER</v>
          </cell>
          <cell r="L9374" t="str">
            <v>Webster</v>
          </cell>
          <cell r="V9374">
            <v>171446</v>
          </cell>
        </row>
        <row r="9375">
          <cell r="B9375">
            <v>1928</v>
          </cell>
          <cell r="K9375" t="str">
            <v>BENTON</v>
          </cell>
          <cell r="L9375" t="str">
            <v>Benton</v>
          </cell>
          <cell r="V9375">
            <v>145709</v>
          </cell>
        </row>
        <row r="9376">
          <cell r="B9376">
            <v>1928</v>
          </cell>
          <cell r="K9376" t="str">
            <v>CEDAR</v>
          </cell>
          <cell r="L9376" t="str">
            <v>Cedar</v>
          </cell>
          <cell r="V9376">
            <v>108320</v>
          </cell>
        </row>
        <row r="9377">
          <cell r="B9377">
            <v>1928</v>
          </cell>
          <cell r="K9377" t="str">
            <v>CLINTON</v>
          </cell>
          <cell r="L9377" t="str">
            <v>Clinton</v>
          </cell>
          <cell r="V9377">
            <v>126476</v>
          </cell>
        </row>
        <row r="9378">
          <cell r="B9378">
            <v>1928</v>
          </cell>
          <cell r="K9378" t="str">
            <v>IOWA</v>
          </cell>
          <cell r="L9378" t="str">
            <v>Iowa</v>
          </cell>
          <cell r="V9378">
            <v>102381</v>
          </cell>
        </row>
        <row r="9379">
          <cell r="B9379">
            <v>1928</v>
          </cell>
          <cell r="K9379" t="str">
            <v>JACKSON</v>
          </cell>
          <cell r="L9379" t="str">
            <v>Jackson</v>
          </cell>
          <cell r="V9379">
            <v>66988</v>
          </cell>
        </row>
        <row r="9380">
          <cell r="B9380">
            <v>1928</v>
          </cell>
          <cell r="K9380" t="str">
            <v>JOHNSON</v>
          </cell>
          <cell r="L9380" t="str">
            <v>Johnson</v>
          </cell>
          <cell r="V9380">
            <v>109857</v>
          </cell>
        </row>
        <row r="9381">
          <cell r="B9381">
            <v>1928</v>
          </cell>
          <cell r="K9381" t="str">
            <v>JONES</v>
          </cell>
          <cell r="L9381" t="str">
            <v>Jones</v>
          </cell>
          <cell r="V9381">
            <v>84622</v>
          </cell>
        </row>
        <row r="9382">
          <cell r="B9382">
            <v>1928</v>
          </cell>
          <cell r="K9382" t="str">
            <v>LINN</v>
          </cell>
          <cell r="L9382" t="str">
            <v>Linn</v>
          </cell>
          <cell r="V9382">
            <v>126092</v>
          </cell>
        </row>
        <row r="9383">
          <cell r="B9383">
            <v>1928</v>
          </cell>
          <cell r="K9383" t="str">
            <v>MUSCATINE</v>
          </cell>
          <cell r="L9383" t="str">
            <v>Muscatine</v>
          </cell>
          <cell r="V9383">
            <v>80542</v>
          </cell>
        </row>
        <row r="9384">
          <cell r="B9384">
            <v>1928</v>
          </cell>
          <cell r="K9384" t="str">
            <v>SCOTT</v>
          </cell>
          <cell r="L9384" t="str">
            <v>Scott</v>
          </cell>
          <cell r="V9384">
            <v>78523</v>
          </cell>
        </row>
        <row r="9385">
          <cell r="B9385">
            <v>1928</v>
          </cell>
          <cell r="K9385" t="str">
            <v>BUTLER</v>
          </cell>
          <cell r="L9385" t="str">
            <v>Butler</v>
          </cell>
          <cell r="V9385">
            <v>113620</v>
          </cell>
        </row>
        <row r="9386">
          <cell r="B9386">
            <v>1928</v>
          </cell>
          <cell r="K9386" t="str">
            <v>CERRO GORDO</v>
          </cell>
          <cell r="L9386" t="str">
            <v>Cerro Gordo</v>
          </cell>
          <cell r="V9386">
            <v>113919</v>
          </cell>
        </row>
        <row r="9387">
          <cell r="B9387">
            <v>1928</v>
          </cell>
          <cell r="K9387" t="str">
            <v>FLOYD</v>
          </cell>
          <cell r="L9387" t="str">
            <v>Floyd</v>
          </cell>
          <cell r="V9387">
            <v>97389</v>
          </cell>
        </row>
        <row r="9388">
          <cell r="B9388">
            <v>1928</v>
          </cell>
          <cell r="K9388" t="str">
            <v>FRANKLIN</v>
          </cell>
          <cell r="L9388" t="str">
            <v>Franklin</v>
          </cell>
          <cell r="V9388">
            <v>135406</v>
          </cell>
        </row>
        <row r="9389">
          <cell r="B9389">
            <v>1928</v>
          </cell>
          <cell r="K9389" t="str">
            <v>HANCOCK</v>
          </cell>
          <cell r="L9389" t="str">
            <v>Hancock</v>
          </cell>
          <cell r="V9389">
            <v>125665</v>
          </cell>
        </row>
        <row r="9390">
          <cell r="B9390">
            <v>1928</v>
          </cell>
          <cell r="K9390" t="str">
            <v>HUMBOLDT</v>
          </cell>
          <cell r="L9390" t="str">
            <v>Humboldt</v>
          </cell>
          <cell r="V9390">
            <v>109587</v>
          </cell>
        </row>
        <row r="9391">
          <cell r="B9391">
            <v>1928</v>
          </cell>
          <cell r="K9391" t="str">
            <v>KOSSUTH</v>
          </cell>
          <cell r="L9391" t="str">
            <v>Kossuth</v>
          </cell>
          <cell r="V9391">
            <v>228578</v>
          </cell>
        </row>
        <row r="9392">
          <cell r="B9392">
            <v>1928</v>
          </cell>
          <cell r="K9392" t="str">
            <v>MITCHELL</v>
          </cell>
          <cell r="L9392" t="str">
            <v>Mitchell</v>
          </cell>
          <cell r="V9392">
            <v>76920</v>
          </cell>
        </row>
        <row r="9393">
          <cell r="B9393">
            <v>1928</v>
          </cell>
          <cell r="K9393" t="str">
            <v>WINNEBAGO</v>
          </cell>
          <cell r="L9393" t="str">
            <v>Winnebago</v>
          </cell>
          <cell r="V9393">
            <v>80067</v>
          </cell>
        </row>
        <row r="9394">
          <cell r="B9394">
            <v>1928</v>
          </cell>
          <cell r="K9394" t="str">
            <v>WORTH</v>
          </cell>
          <cell r="L9394" t="str">
            <v>Worth</v>
          </cell>
          <cell r="V9394">
            <v>67718</v>
          </cell>
        </row>
        <row r="9395">
          <cell r="B9395">
            <v>1928</v>
          </cell>
          <cell r="K9395" t="str">
            <v>WRIGHT</v>
          </cell>
          <cell r="L9395" t="str">
            <v>Wright</v>
          </cell>
          <cell r="V9395">
            <v>146729</v>
          </cell>
        </row>
        <row r="9396">
          <cell r="B9396">
            <v>1928</v>
          </cell>
          <cell r="K9396" t="str">
            <v>ALLAMAKEE</v>
          </cell>
          <cell r="L9396" t="str">
            <v>Allamakee</v>
          </cell>
          <cell r="V9396">
            <v>46449</v>
          </cell>
        </row>
        <row r="9397">
          <cell r="B9397">
            <v>1928</v>
          </cell>
          <cell r="K9397" t="str">
            <v>BLACK HAWK</v>
          </cell>
          <cell r="L9397" t="str">
            <v>Black Hawk</v>
          </cell>
          <cell r="V9397">
            <v>111010</v>
          </cell>
        </row>
        <row r="9398">
          <cell r="B9398">
            <v>1928</v>
          </cell>
          <cell r="K9398" t="str">
            <v>BREMER</v>
          </cell>
          <cell r="L9398" t="str">
            <v>Bremer</v>
          </cell>
          <cell r="V9398">
            <v>73013</v>
          </cell>
        </row>
        <row r="9399">
          <cell r="B9399">
            <v>1928</v>
          </cell>
          <cell r="K9399" t="str">
            <v>BUCHANAN</v>
          </cell>
          <cell r="L9399" t="str">
            <v>Buchanan</v>
          </cell>
          <cell r="V9399">
            <v>111062</v>
          </cell>
        </row>
        <row r="9400">
          <cell r="B9400">
            <v>1928</v>
          </cell>
          <cell r="K9400" t="str">
            <v>CHICKASAW</v>
          </cell>
          <cell r="L9400" t="str">
            <v>Chickasaw</v>
          </cell>
          <cell r="V9400">
            <v>75830</v>
          </cell>
        </row>
        <row r="9401">
          <cell r="B9401">
            <v>1928</v>
          </cell>
          <cell r="K9401" t="str">
            <v>CLAYTON</v>
          </cell>
          <cell r="L9401" t="str">
            <v>Clayton</v>
          </cell>
          <cell r="V9401">
            <v>84349</v>
          </cell>
        </row>
        <row r="9402">
          <cell r="B9402">
            <v>1928</v>
          </cell>
          <cell r="K9402" t="str">
            <v>DELAWARE</v>
          </cell>
          <cell r="L9402" t="str">
            <v>Delaware</v>
          </cell>
          <cell r="V9402">
            <v>96356</v>
          </cell>
        </row>
        <row r="9403">
          <cell r="B9403">
            <v>1928</v>
          </cell>
          <cell r="K9403" t="str">
            <v>DUBUQUE</v>
          </cell>
          <cell r="L9403" t="str">
            <v>Dubuque</v>
          </cell>
          <cell r="V9403">
            <v>71324</v>
          </cell>
        </row>
        <row r="9404">
          <cell r="B9404">
            <v>1928</v>
          </cell>
          <cell r="K9404" t="str">
            <v>FAYETTE</v>
          </cell>
          <cell r="L9404" t="str">
            <v>Fayette</v>
          </cell>
          <cell r="V9404">
            <v>102665</v>
          </cell>
        </row>
        <row r="9405">
          <cell r="B9405">
            <v>1928</v>
          </cell>
          <cell r="K9405" t="str">
            <v>HOWARD</v>
          </cell>
          <cell r="L9405" t="str">
            <v>Howard</v>
          </cell>
          <cell r="V9405">
            <v>59306</v>
          </cell>
        </row>
        <row r="9406">
          <cell r="B9406">
            <v>1928</v>
          </cell>
          <cell r="K9406" t="str">
            <v>WINNESHIEK</v>
          </cell>
          <cell r="L9406" t="str">
            <v>Winneshiek</v>
          </cell>
          <cell r="V9406">
            <v>85022</v>
          </cell>
        </row>
        <row r="9407">
          <cell r="B9407">
            <v>1928</v>
          </cell>
          <cell r="K9407" t="str">
            <v>BUENA VISTA</v>
          </cell>
          <cell r="L9407" t="str">
            <v>Buena Vista</v>
          </cell>
          <cell r="V9407">
            <v>148050</v>
          </cell>
        </row>
        <row r="9408">
          <cell r="B9408">
            <v>1928</v>
          </cell>
          <cell r="K9408" t="str">
            <v>CHEROKEE</v>
          </cell>
          <cell r="L9408" t="str">
            <v>Cherokee</v>
          </cell>
          <cell r="V9408">
            <v>141527</v>
          </cell>
        </row>
        <row r="9409">
          <cell r="B9409">
            <v>1928</v>
          </cell>
          <cell r="K9409" t="str">
            <v>CLAY</v>
          </cell>
          <cell r="L9409" t="str">
            <v>Clay</v>
          </cell>
          <cell r="V9409">
            <v>132701</v>
          </cell>
        </row>
        <row r="9410">
          <cell r="B9410">
            <v>1928</v>
          </cell>
          <cell r="K9410" t="str">
            <v>DICKINSON</v>
          </cell>
          <cell r="L9410" t="str">
            <v>Dickinson</v>
          </cell>
          <cell r="V9410">
            <v>85066</v>
          </cell>
        </row>
        <row r="9411">
          <cell r="B9411">
            <v>1928</v>
          </cell>
          <cell r="K9411" t="str">
            <v>EMMET</v>
          </cell>
          <cell r="L9411" t="str">
            <v>Emmet</v>
          </cell>
          <cell r="V9411">
            <v>90516</v>
          </cell>
        </row>
        <row r="9412">
          <cell r="B9412">
            <v>1928</v>
          </cell>
          <cell r="K9412" t="str">
            <v>LYON</v>
          </cell>
          <cell r="L9412" t="str">
            <v>Lyon</v>
          </cell>
          <cell r="V9412">
            <v>141222</v>
          </cell>
        </row>
        <row r="9413">
          <cell r="B9413">
            <v>1928</v>
          </cell>
          <cell r="K9413" t="str">
            <v>O BRIEN</v>
          </cell>
          <cell r="L9413" t="str">
            <v>O Brien</v>
          </cell>
          <cell r="V9413">
            <v>138737</v>
          </cell>
        </row>
        <row r="9414">
          <cell r="B9414">
            <v>1928</v>
          </cell>
          <cell r="K9414" t="str">
            <v>OSCEOLA</v>
          </cell>
          <cell r="L9414" t="str">
            <v>Osceola</v>
          </cell>
          <cell r="V9414">
            <v>94084</v>
          </cell>
        </row>
        <row r="9415">
          <cell r="B9415">
            <v>1928</v>
          </cell>
          <cell r="K9415" t="str">
            <v>PALO ALTO</v>
          </cell>
          <cell r="L9415" t="str">
            <v>Palo Alto</v>
          </cell>
          <cell r="V9415">
            <v>132594</v>
          </cell>
        </row>
        <row r="9416">
          <cell r="B9416">
            <v>1928</v>
          </cell>
          <cell r="K9416" t="str">
            <v>PLYMOUTH</v>
          </cell>
          <cell r="L9416" t="str">
            <v>Plymouth</v>
          </cell>
          <cell r="V9416">
            <v>217496</v>
          </cell>
        </row>
        <row r="9417">
          <cell r="B9417">
            <v>1928</v>
          </cell>
          <cell r="K9417" t="str">
            <v>POCAHONTAS</v>
          </cell>
          <cell r="L9417" t="str">
            <v>Pocahontas</v>
          </cell>
          <cell r="V9417">
            <v>152806</v>
          </cell>
        </row>
        <row r="9418">
          <cell r="B9418">
            <v>1928</v>
          </cell>
          <cell r="K9418" t="str">
            <v>SIOUX</v>
          </cell>
          <cell r="L9418" t="str">
            <v>Sioux</v>
          </cell>
          <cell r="V9418">
            <v>196574</v>
          </cell>
        </row>
        <row r="9419">
          <cell r="B9419">
            <v>1928</v>
          </cell>
          <cell r="K9419" t="str">
            <v>APPANOOSE</v>
          </cell>
          <cell r="L9419" t="str">
            <v>Appanoose</v>
          </cell>
          <cell r="V9419">
            <v>56847</v>
          </cell>
        </row>
        <row r="9420">
          <cell r="B9420">
            <v>1928</v>
          </cell>
          <cell r="K9420" t="str">
            <v>CLARKE</v>
          </cell>
          <cell r="L9420" t="str">
            <v>Clarke</v>
          </cell>
          <cell r="V9420">
            <v>66435</v>
          </cell>
        </row>
        <row r="9421">
          <cell r="B9421">
            <v>1928</v>
          </cell>
          <cell r="K9421" t="str">
            <v>DECATUR</v>
          </cell>
          <cell r="L9421" t="str">
            <v>Decatur</v>
          </cell>
          <cell r="V9421">
            <v>75139</v>
          </cell>
        </row>
        <row r="9422">
          <cell r="B9422">
            <v>1928</v>
          </cell>
          <cell r="K9422" t="str">
            <v>LUCAS</v>
          </cell>
          <cell r="L9422" t="str">
            <v>Lucas</v>
          </cell>
          <cell r="V9422">
            <v>61151</v>
          </cell>
        </row>
        <row r="9423">
          <cell r="B9423">
            <v>1928</v>
          </cell>
          <cell r="K9423" t="str">
            <v>MADISON</v>
          </cell>
          <cell r="L9423" t="str">
            <v>Madison</v>
          </cell>
          <cell r="V9423">
            <v>100162</v>
          </cell>
        </row>
        <row r="9424">
          <cell r="B9424">
            <v>1928</v>
          </cell>
          <cell r="K9424" t="str">
            <v>MARION</v>
          </cell>
          <cell r="L9424" t="str">
            <v>Marion</v>
          </cell>
          <cell r="V9424">
            <v>102287</v>
          </cell>
        </row>
        <row r="9425">
          <cell r="B9425">
            <v>1928</v>
          </cell>
          <cell r="K9425" t="str">
            <v>MONROE</v>
          </cell>
          <cell r="L9425" t="str">
            <v>Monroe</v>
          </cell>
          <cell r="V9425">
            <v>51179</v>
          </cell>
        </row>
        <row r="9426">
          <cell r="B9426">
            <v>1928</v>
          </cell>
          <cell r="K9426" t="str">
            <v>RINGGOLD</v>
          </cell>
          <cell r="L9426" t="str">
            <v>Ringgold</v>
          </cell>
          <cell r="V9426">
            <v>85995</v>
          </cell>
        </row>
        <row r="9427">
          <cell r="B9427">
            <v>1928</v>
          </cell>
          <cell r="K9427" t="str">
            <v>UNION</v>
          </cell>
          <cell r="L9427" t="str">
            <v>Union</v>
          </cell>
          <cell r="V9427">
            <v>76093</v>
          </cell>
        </row>
        <row r="9428">
          <cell r="B9428">
            <v>1928</v>
          </cell>
          <cell r="K9428" t="str">
            <v>WARREN</v>
          </cell>
          <cell r="L9428" t="str">
            <v>Warren</v>
          </cell>
          <cell r="V9428">
            <v>95753</v>
          </cell>
        </row>
        <row r="9429">
          <cell r="B9429">
            <v>1928</v>
          </cell>
          <cell r="K9429" t="str">
            <v>WAYNE</v>
          </cell>
          <cell r="L9429" t="str">
            <v>Wayne</v>
          </cell>
          <cell r="V9429">
            <v>82466</v>
          </cell>
        </row>
        <row r="9430">
          <cell r="B9430">
            <v>1928</v>
          </cell>
          <cell r="K9430" t="str">
            <v>DAVIS</v>
          </cell>
          <cell r="L9430" t="str">
            <v>Davis</v>
          </cell>
          <cell r="V9430">
            <v>55852</v>
          </cell>
        </row>
        <row r="9431">
          <cell r="B9431">
            <v>1928</v>
          </cell>
          <cell r="K9431" t="str">
            <v>DES MOINES</v>
          </cell>
          <cell r="L9431" t="str">
            <v>Des Moines</v>
          </cell>
          <cell r="V9431">
            <v>69092</v>
          </cell>
        </row>
        <row r="9432">
          <cell r="B9432">
            <v>1928</v>
          </cell>
          <cell r="K9432" t="str">
            <v>HENRY</v>
          </cell>
          <cell r="L9432" t="str">
            <v>Henry</v>
          </cell>
          <cell r="V9432">
            <v>73163</v>
          </cell>
        </row>
        <row r="9433">
          <cell r="B9433">
            <v>1928</v>
          </cell>
          <cell r="K9433" t="str">
            <v>JEFFERSON</v>
          </cell>
          <cell r="L9433" t="str">
            <v>Jefferson</v>
          </cell>
          <cell r="V9433">
            <v>67752</v>
          </cell>
        </row>
        <row r="9434">
          <cell r="B9434">
            <v>1928</v>
          </cell>
          <cell r="K9434" t="str">
            <v>KEOKUK</v>
          </cell>
          <cell r="L9434" t="str">
            <v>Keokuk</v>
          </cell>
          <cell r="V9434">
            <v>111244</v>
          </cell>
        </row>
        <row r="9435">
          <cell r="B9435">
            <v>1928</v>
          </cell>
          <cell r="K9435" t="str">
            <v>LEE</v>
          </cell>
          <cell r="L9435" t="str">
            <v>Lee</v>
          </cell>
          <cell r="V9435">
            <v>62311</v>
          </cell>
        </row>
        <row r="9436">
          <cell r="B9436">
            <v>1928</v>
          </cell>
          <cell r="K9436" t="str">
            <v>LOUISA</v>
          </cell>
          <cell r="L9436" t="str">
            <v>Louisa</v>
          </cell>
          <cell r="V9436">
            <v>73423</v>
          </cell>
        </row>
        <row r="9437">
          <cell r="B9437">
            <v>1928</v>
          </cell>
          <cell r="K9437" t="str">
            <v>MAHASKA</v>
          </cell>
          <cell r="L9437" t="str">
            <v>Mahaska</v>
          </cell>
          <cell r="V9437">
            <v>119042</v>
          </cell>
        </row>
        <row r="9438">
          <cell r="B9438">
            <v>1928</v>
          </cell>
          <cell r="K9438" t="str">
            <v>VAN BUREN</v>
          </cell>
          <cell r="L9438" t="str">
            <v>Van Buren</v>
          </cell>
          <cell r="V9438">
            <v>53712</v>
          </cell>
        </row>
        <row r="9439">
          <cell r="B9439">
            <v>1928</v>
          </cell>
          <cell r="K9439" t="str">
            <v>WAPELLO</v>
          </cell>
          <cell r="L9439" t="str">
            <v>Wapello</v>
          </cell>
          <cell r="V9439">
            <v>63774</v>
          </cell>
        </row>
        <row r="9440">
          <cell r="B9440">
            <v>1928</v>
          </cell>
          <cell r="K9440" t="str">
            <v>WASHINGTON</v>
          </cell>
          <cell r="L9440" t="str">
            <v>Washington</v>
          </cell>
          <cell r="V9440">
            <v>107176</v>
          </cell>
        </row>
        <row r="9441">
          <cell r="B9441">
            <v>1928</v>
          </cell>
          <cell r="K9441" t="str">
            <v>ADAIR</v>
          </cell>
          <cell r="L9441" t="str">
            <v>Adair</v>
          </cell>
          <cell r="V9441">
            <v>123125</v>
          </cell>
        </row>
        <row r="9442">
          <cell r="B9442">
            <v>1928</v>
          </cell>
          <cell r="K9442" t="str">
            <v>ADAMS</v>
          </cell>
          <cell r="L9442" t="str">
            <v>Adams</v>
          </cell>
          <cell r="V9442">
            <v>81700</v>
          </cell>
        </row>
        <row r="9443">
          <cell r="B9443">
            <v>1928</v>
          </cell>
          <cell r="K9443" t="str">
            <v>CASS</v>
          </cell>
          <cell r="L9443" t="str">
            <v>Cass</v>
          </cell>
          <cell r="V9443">
            <v>131398</v>
          </cell>
        </row>
        <row r="9444">
          <cell r="B9444">
            <v>1928</v>
          </cell>
          <cell r="K9444" t="str">
            <v>FREMONT</v>
          </cell>
          <cell r="L9444" t="str">
            <v>Fremont</v>
          </cell>
          <cell r="V9444">
            <v>151089</v>
          </cell>
        </row>
        <row r="9445">
          <cell r="B9445">
            <v>1928</v>
          </cell>
          <cell r="K9445" t="str">
            <v>MILLS</v>
          </cell>
          <cell r="L9445" t="str">
            <v>Mills</v>
          </cell>
          <cell r="V9445">
            <v>122882</v>
          </cell>
        </row>
        <row r="9446">
          <cell r="B9446">
            <v>1928</v>
          </cell>
          <cell r="K9446" t="str">
            <v>MONTGOMERY</v>
          </cell>
          <cell r="L9446" t="str">
            <v>Montgomery</v>
          </cell>
          <cell r="V9446">
            <v>107088</v>
          </cell>
        </row>
        <row r="9447">
          <cell r="B9447">
            <v>1928</v>
          </cell>
          <cell r="K9447" t="str">
            <v>PAGE</v>
          </cell>
          <cell r="L9447" t="str">
            <v>Page</v>
          </cell>
          <cell r="V9447">
            <v>126566</v>
          </cell>
        </row>
        <row r="9448">
          <cell r="B9448">
            <v>1928</v>
          </cell>
          <cell r="K9448" t="str">
            <v>POTTAWATTAMIE</v>
          </cell>
          <cell r="L9448" t="str">
            <v>Pottawattamie</v>
          </cell>
          <cell r="V9448">
            <v>250513</v>
          </cell>
        </row>
        <row r="9449">
          <cell r="B9449">
            <v>1928</v>
          </cell>
          <cell r="K9449" t="str">
            <v>TAYLOR</v>
          </cell>
          <cell r="L9449" t="str">
            <v>Taylor</v>
          </cell>
          <cell r="V9449">
            <v>107148</v>
          </cell>
        </row>
        <row r="9450">
          <cell r="B9450">
            <v>1928</v>
          </cell>
          <cell r="K9450" t="str">
            <v>AUDUBON</v>
          </cell>
          <cell r="L9450" t="str">
            <v>Audubon</v>
          </cell>
          <cell r="V9450">
            <v>98946</v>
          </cell>
        </row>
        <row r="9451">
          <cell r="B9451">
            <v>1928</v>
          </cell>
          <cell r="K9451" t="str">
            <v>CALHOUN</v>
          </cell>
          <cell r="L9451" t="str">
            <v>Calhoun</v>
          </cell>
          <cell r="V9451">
            <v>151544</v>
          </cell>
        </row>
        <row r="9452">
          <cell r="B9452">
            <v>1928</v>
          </cell>
          <cell r="K9452" t="str">
            <v>CARROLL</v>
          </cell>
          <cell r="L9452" t="str">
            <v>Carroll</v>
          </cell>
          <cell r="V9452">
            <v>138435</v>
          </cell>
        </row>
        <row r="9453">
          <cell r="B9453">
            <v>1928</v>
          </cell>
          <cell r="K9453" t="str">
            <v>CRAWFORD</v>
          </cell>
          <cell r="L9453" t="str">
            <v>Crawford</v>
          </cell>
          <cell r="V9453">
            <v>156578</v>
          </cell>
        </row>
        <row r="9454">
          <cell r="B9454">
            <v>1928</v>
          </cell>
          <cell r="K9454" t="str">
            <v>GREENE</v>
          </cell>
          <cell r="L9454" t="str">
            <v>Greene</v>
          </cell>
          <cell r="V9454">
            <v>158019</v>
          </cell>
        </row>
        <row r="9455">
          <cell r="B9455">
            <v>1928</v>
          </cell>
          <cell r="K9455" t="str">
            <v>GUTHRIE</v>
          </cell>
          <cell r="L9455" t="str">
            <v>Guthrie</v>
          </cell>
          <cell r="V9455">
            <v>124202</v>
          </cell>
        </row>
        <row r="9456">
          <cell r="B9456">
            <v>1928</v>
          </cell>
          <cell r="K9456" t="str">
            <v>HARRISON</v>
          </cell>
          <cell r="L9456" t="str">
            <v>Harrison</v>
          </cell>
          <cell r="V9456">
            <v>185626</v>
          </cell>
        </row>
        <row r="9457">
          <cell r="B9457">
            <v>1928</v>
          </cell>
          <cell r="K9457" t="str">
            <v>IDA</v>
          </cell>
          <cell r="L9457" t="str">
            <v>Ida</v>
          </cell>
          <cell r="V9457">
            <v>108476</v>
          </cell>
        </row>
        <row r="9458">
          <cell r="B9458">
            <v>1928</v>
          </cell>
          <cell r="K9458" t="str">
            <v>MONONA</v>
          </cell>
          <cell r="L9458" t="str">
            <v>Monona</v>
          </cell>
          <cell r="V9458">
            <v>164593</v>
          </cell>
        </row>
        <row r="9459">
          <cell r="B9459">
            <v>1928</v>
          </cell>
          <cell r="K9459" t="str">
            <v>SAC</v>
          </cell>
          <cell r="L9459" t="str">
            <v>Sac</v>
          </cell>
          <cell r="V9459">
            <v>142172</v>
          </cell>
        </row>
        <row r="9460">
          <cell r="B9460">
            <v>1928</v>
          </cell>
          <cell r="K9460" t="str">
            <v>SHELBY</v>
          </cell>
          <cell r="L9460" t="str">
            <v>Shelby</v>
          </cell>
          <cell r="V9460">
            <v>147294</v>
          </cell>
        </row>
        <row r="9461">
          <cell r="B9461">
            <v>1928</v>
          </cell>
          <cell r="K9461" t="str">
            <v>WOODBURY</v>
          </cell>
          <cell r="L9461" t="str">
            <v>Woodbury</v>
          </cell>
          <cell r="V9461">
            <v>230480</v>
          </cell>
        </row>
        <row r="9462">
          <cell r="B9462">
            <v>1927</v>
          </cell>
          <cell r="K9462" t="str">
            <v>BOONE</v>
          </cell>
          <cell r="L9462" t="str">
            <v>Boone</v>
          </cell>
          <cell r="V9462">
            <v>142155</v>
          </cell>
        </row>
        <row r="9463">
          <cell r="B9463">
            <v>1927</v>
          </cell>
          <cell r="K9463" t="str">
            <v>DALLAS</v>
          </cell>
          <cell r="L9463" t="str">
            <v>Dallas</v>
          </cell>
          <cell r="V9463">
            <v>143099</v>
          </cell>
        </row>
        <row r="9464">
          <cell r="B9464">
            <v>1927</v>
          </cell>
          <cell r="K9464" t="str">
            <v>GRUNDY</v>
          </cell>
          <cell r="L9464" t="str">
            <v>Grundy</v>
          </cell>
          <cell r="V9464">
            <v>108057</v>
          </cell>
        </row>
        <row r="9465">
          <cell r="B9465">
            <v>1927</v>
          </cell>
          <cell r="K9465" t="str">
            <v>HAMILTON</v>
          </cell>
          <cell r="L9465" t="str">
            <v>Hamilton</v>
          </cell>
          <cell r="V9465">
            <v>145285</v>
          </cell>
        </row>
        <row r="9466">
          <cell r="B9466">
            <v>1927</v>
          </cell>
          <cell r="K9466" t="str">
            <v>HARDIN</v>
          </cell>
          <cell r="L9466" t="str">
            <v>Hardin</v>
          </cell>
          <cell r="V9466">
            <v>134073</v>
          </cell>
        </row>
        <row r="9467">
          <cell r="B9467">
            <v>1927</v>
          </cell>
          <cell r="K9467" t="str">
            <v>JASPER</v>
          </cell>
          <cell r="L9467" t="str">
            <v>Jasper</v>
          </cell>
          <cell r="V9467">
            <v>152744</v>
          </cell>
        </row>
        <row r="9468">
          <cell r="B9468">
            <v>1927</v>
          </cell>
          <cell r="K9468" t="str">
            <v>MARSHALL</v>
          </cell>
          <cell r="L9468" t="str">
            <v>Marshall</v>
          </cell>
          <cell r="V9468">
            <v>126663</v>
          </cell>
        </row>
        <row r="9469">
          <cell r="B9469">
            <v>1927</v>
          </cell>
          <cell r="K9469" t="str">
            <v>POLK</v>
          </cell>
          <cell r="L9469" t="str">
            <v>Polk</v>
          </cell>
          <cell r="V9469">
            <v>114249</v>
          </cell>
        </row>
        <row r="9470">
          <cell r="B9470">
            <v>1927</v>
          </cell>
          <cell r="K9470" t="str">
            <v>POWESHIEK</v>
          </cell>
          <cell r="L9470" t="str">
            <v>Poweshiek</v>
          </cell>
          <cell r="V9470">
            <v>119415</v>
          </cell>
        </row>
        <row r="9471">
          <cell r="B9471">
            <v>1927</v>
          </cell>
          <cell r="K9471" t="str">
            <v>STORY</v>
          </cell>
          <cell r="L9471" t="str">
            <v>Story</v>
          </cell>
          <cell r="V9471">
            <v>150950</v>
          </cell>
        </row>
        <row r="9472">
          <cell r="B9472">
            <v>1927</v>
          </cell>
          <cell r="K9472" t="str">
            <v>TAMA</v>
          </cell>
          <cell r="L9472" t="str">
            <v>Tama</v>
          </cell>
          <cell r="V9472">
            <v>133835</v>
          </cell>
        </row>
        <row r="9473">
          <cell r="B9473">
            <v>1927</v>
          </cell>
          <cell r="K9473" t="str">
            <v>WEBSTER</v>
          </cell>
          <cell r="L9473" t="str">
            <v>Webster</v>
          </cell>
          <cell r="V9473">
            <v>168449</v>
          </cell>
        </row>
        <row r="9474">
          <cell r="B9474">
            <v>1927</v>
          </cell>
          <cell r="K9474" t="str">
            <v>BENTON</v>
          </cell>
          <cell r="L9474" t="str">
            <v>Benton</v>
          </cell>
          <cell r="V9474">
            <v>143855</v>
          </cell>
        </row>
        <row r="9475">
          <cell r="B9475">
            <v>1927</v>
          </cell>
          <cell r="K9475" t="str">
            <v>CEDAR</v>
          </cell>
          <cell r="L9475" t="str">
            <v>Cedar</v>
          </cell>
          <cell r="V9475">
            <v>106105</v>
          </cell>
        </row>
        <row r="9476">
          <cell r="B9476">
            <v>1927</v>
          </cell>
          <cell r="K9476" t="str">
            <v>CLINTON</v>
          </cell>
          <cell r="L9476" t="str">
            <v>Clinton</v>
          </cell>
          <cell r="V9476">
            <v>121096</v>
          </cell>
        </row>
        <row r="9477">
          <cell r="B9477">
            <v>1927</v>
          </cell>
          <cell r="K9477" t="str">
            <v>IOWA</v>
          </cell>
          <cell r="L9477" t="str">
            <v>Iowa</v>
          </cell>
          <cell r="V9477">
            <v>97728</v>
          </cell>
        </row>
        <row r="9478">
          <cell r="B9478">
            <v>1927</v>
          </cell>
          <cell r="K9478" t="str">
            <v>JACKSON</v>
          </cell>
          <cell r="L9478" t="str">
            <v>Jackson</v>
          </cell>
          <cell r="V9478">
            <v>65424</v>
          </cell>
        </row>
        <row r="9479">
          <cell r="B9479">
            <v>1927</v>
          </cell>
          <cell r="K9479" t="str">
            <v>JOHNSON</v>
          </cell>
          <cell r="L9479" t="str">
            <v>Johnson</v>
          </cell>
          <cell r="V9479">
            <v>102144</v>
          </cell>
        </row>
        <row r="9480">
          <cell r="B9480">
            <v>1927</v>
          </cell>
          <cell r="K9480" t="str">
            <v>JONES</v>
          </cell>
          <cell r="L9480" t="str">
            <v>Jones</v>
          </cell>
          <cell r="V9480">
            <v>82974</v>
          </cell>
        </row>
        <row r="9481">
          <cell r="B9481">
            <v>1927</v>
          </cell>
          <cell r="K9481" t="str">
            <v>LINN</v>
          </cell>
          <cell r="L9481" t="str">
            <v>Linn</v>
          </cell>
          <cell r="V9481">
            <v>119423</v>
          </cell>
        </row>
        <row r="9482">
          <cell r="B9482">
            <v>1927</v>
          </cell>
          <cell r="K9482" t="str">
            <v>MUSCATINE</v>
          </cell>
          <cell r="L9482" t="str">
            <v>Muscatine</v>
          </cell>
          <cell r="V9482">
            <v>72702</v>
          </cell>
        </row>
        <row r="9483">
          <cell r="B9483">
            <v>1927</v>
          </cell>
          <cell r="K9483" t="str">
            <v>SCOTT</v>
          </cell>
          <cell r="L9483" t="str">
            <v>Scott</v>
          </cell>
          <cell r="V9483">
            <v>75798</v>
          </cell>
        </row>
        <row r="9484">
          <cell r="B9484">
            <v>1927</v>
          </cell>
          <cell r="K9484" t="str">
            <v>BUTLER</v>
          </cell>
          <cell r="L9484" t="str">
            <v>Butler</v>
          </cell>
          <cell r="V9484">
            <v>113545</v>
          </cell>
        </row>
        <row r="9485">
          <cell r="B9485">
            <v>1927</v>
          </cell>
          <cell r="K9485" t="str">
            <v>CERRO GORDO</v>
          </cell>
          <cell r="L9485" t="str">
            <v>Cerro Gordo</v>
          </cell>
          <cell r="V9485">
            <v>113887</v>
          </cell>
        </row>
        <row r="9486">
          <cell r="B9486">
            <v>1927</v>
          </cell>
          <cell r="K9486" t="str">
            <v>FLOYD</v>
          </cell>
          <cell r="L9486" t="str">
            <v>Floyd</v>
          </cell>
          <cell r="V9486">
            <v>99100</v>
          </cell>
        </row>
        <row r="9487">
          <cell r="B9487">
            <v>1927</v>
          </cell>
          <cell r="K9487" t="str">
            <v>FRANKLIN</v>
          </cell>
          <cell r="L9487" t="str">
            <v>Franklin</v>
          </cell>
          <cell r="V9487">
            <v>137900</v>
          </cell>
        </row>
        <row r="9488">
          <cell r="B9488">
            <v>1927</v>
          </cell>
          <cell r="K9488" t="str">
            <v>HANCOCK</v>
          </cell>
          <cell r="L9488" t="str">
            <v>Hancock</v>
          </cell>
          <cell r="V9488">
            <v>124761</v>
          </cell>
        </row>
        <row r="9489">
          <cell r="B9489">
            <v>1927</v>
          </cell>
          <cell r="K9489" t="str">
            <v>HUMBOLDT</v>
          </cell>
          <cell r="L9489" t="str">
            <v>Humboldt</v>
          </cell>
          <cell r="V9489">
            <v>108961</v>
          </cell>
        </row>
        <row r="9490">
          <cell r="B9490">
            <v>1927</v>
          </cell>
          <cell r="K9490" t="str">
            <v>KOSSUTH</v>
          </cell>
          <cell r="L9490" t="str">
            <v>Kossuth</v>
          </cell>
          <cell r="V9490">
            <v>222578</v>
          </cell>
        </row>
        <row r="9491">
          <cell r="B9491">
            <v>1927</v>
          </cell>
          <cell r="K9491" t="str">
            <v>MITCHELL</v>
          </cell>
          <cell r="L9491" t="str">
            <v>Mitchell</v>
          </cell>
          <cell r="V9491">
            <v>78014</v>
          </cell>
        </row>
        <row r="9492">
          <cell r="B9492">
            <v>1927</v>
          </cell>
          <cell r="K9492" t="str">
            <v>WINNEBAGO</v>
          </cell>
          <cell r="L9492" t="str">
            <v>Winnebago</v>
          </cell>
          <cell r="V9492">
            <v>79138</v>
          </cell>
        </row>
        <row r="9493">
          <cell r="B9493">
            <v>1927</v>
          </cell>
          <cell r="K9493" t="str">
            <v>WORTH</v>
          </cell>
          <cell r="L9493" t="str">
            <v>Worth</v>
          </cell>
          <cell r="V9493">
            <v>67897</v>
          </cell>
        </row>
        <row r="9494">
          <cell r="B9494">
            <v>1927</v>
          </cell>
          <cell r="K9494" t="str">
            <v>WRIGHT</v>
          </cell>
          <cell r="L9494" t="str">
            <v>Wright</v>
          </cell>
          <cell r="V9494">
            <v>145314</v>
          </cell>
        </row>
        <row r="9495">
          <cell r="B9495">
            <v>1927</v>
          </cell>
          <cell r="K9495" t="str">
            <v>ALLAMAKEE</v>
          </cell>
          <cell r="L9495" t="str">
            <v>Allamakee</v>
          </cell>
          <cell r="V9495">
            <v>45336</v>
          </cell>
        </row>
        <row r="9496">
          <cell r="B9496">
            <v>1927</v>
          </cell>
          <cell r="K9496" t="str">
            <v>BLACK HAWK</v>
          </cell>
          <cell r="L9496" t="str">
            <v>Black Hawk</v>
          </cell>
          <cell r="V9496">
            <v>106937</v>
          </cell>
        </row>
        <row r="9497">
          <cell r="B9497">
            <v>1927</v>
          </cell>
          <cell r="K9497" t="str">
            <v>BREMER</v>
          </cell>
          <cell r="L9497" t="str">
            <v>Bremer</v>
          </cell>
          <cell r="V9497">
            <v>71203</v>
          </cell>
        </row>
        <row r="9498">
          <cell r="B9498">
            <v>1927</v>
          </cell>
          <cell r="K9498" t="str">
            <v>BUCHANAN</v>
          </cell>
          <cell r="L9498" t="str">
            <v>Buchanan</v>
          </cell>
          <cell r="V9498">
            <v>102738</v>
          </cell>
        </row>
        <row r="9499">
          <cell r="B9499">
            <v>1927</v>
          </cell>
          <cell r="K9499" t="str">
            <v>CHICKASAW</v>
          </cell>
          <cell r="L9499" t="str">
            <v>Chickasaw</v>
          </cell>
          <cell r="V9499">
            <v>75392</v>
          </cell>
        </row>
        <row r="9500">
          <cell r="B9500">
            <v>1927</v>
          </cell>
          <cell r="K9500" t="str">
            <v>CLAYTON</v>
          </cell>
          <cell r="L9500" t="str">
            <v>Clayton</v>
          </cell>
          <cell r="V9500">
            <v>81509</v>
          </cell>
        </row>
        <row r="9501">
          <cell r="B9501">
            <v>1927</v>
          </cell>
          <cell r="K9501" t="str">
            <v>DELAWARE</v>
          </cell>
          <cell r="L9501" t="str">
            <v>Delaware</v>
          </cell>
          <cell r="V9501">
            <v>90109</v>
          </cell>
        </row>
        <row r="9502">
          <cell r="B9502">
            <v>1927</v>
          </cell>
          <cell r="K9502" t="str">
            <v>DUBUQUE</v>
          </cell>
          <cell r="L9502" t="str">
            <v>Dubuque</v>
          </cell>
          <cell r="V9502">
            <v>67498</v>
          </cell>
        </row>
        <row r="9503">
          <cell r="B9503">
            <v>1927</v>
          </cell>
          <cell r="K9503" t="str">
            <v>FAYETTE</v>
          </cell>
          <cell r="L9503" t="str">
            <v>Fayette</v>
          </cell>
          <cell r="V9503">
            <v>99078</v>
          </cell>
        </row>
        <row r="9504">
          <cell r="B9504">
            <v>1927</v>
          </cell>
          <cell r="K9504" t="str">
            <v>HOWARD</v>
          </cell>
          <cell r="L9504" t="str">
            <v>Howard</v>
          </cell>
          <cell r="V9504">
            <v>57264</v>
          </cell>
        </row>
        <row r="9505">
          <cell r="B9505">
            <v>1927</v>
          </cell>
          <cell r="K9505" t="str">
            <v>WINNESHIEK</v>
          </cell>
          <cell r="L9505" t="str">
            <v>Winneshiek</v>
          </cell>
          <cell r="V9505">
            <v>85443</v>
          </cell>
        </row>
        <row r="9506">
          <cell r="B9506">
            <v>1927</v>
          </cell>
          <cell r="K9506" t="str">
            <v>BUENA VISTA</v>
          </cell>
          <cell r="L9506" t="str">
            <v>Buena Vista</v>
          </cell>
          <cell r="V9506">
            <v>148304</v>
          </cell>
        </row>
        <row r="9507">
          <cell r="B9507">
            <v>1927</v>
          </cell>
          <cell r="K9507" t="str">
            <v>CHEROKEE</v>
          </cell>
          <cell r="L9507" t="str">
            <v>Cherokee</v>
          </cell>
          <cell r="V9507">
            <v>139781</v>
          </cell>
        </row>
        <row r="9508">
          <cell r="B9508">
            <v>1927</v>
          </cell>
          <cell r="K9508" t="str">
            <v>CLAY</v>
          </cell>
          <cell r="L9508" t="str">
            <v>Clay</v>
          </cell>
          <cell r="V9508">
            <v>127594</v>
          </cell>
        </row>
        <row r="9509">
          <cell r="B9509">
            <v>1927</v>
          </cell>
          <cell r="K9509" t="str">
            <v>DICKINSON</v>
          </cell>
          <cell r="L9509" t="str">
            <v>Dickinson</v>
          </cell>
          <cell r="V9509">
            <v>82826</v>
          </cell>
        </row>
        <row r="9510">
          <cell r="B9510">
            <v>1927</v>
          </cell>
          <cell r="K9510" t="str">
            <v>EMMET</v>
          </cell>
          <cell r="L9510" t="str">
            <v>Emmet</v>
          </cell>
          <cell r="V9510">
            <v>85850</v>
          </cell>
        </row>
        <row r="9511">
          <cell r="B9511">
            <v>1927</v>
          </cell>
          <cell r="K9511" t="str">
            <v>LYON</v>
          </cell>
          <cell r="L9511" t="str">
            <v>Lyon</v>
          </cell>
          <cell r="V9511">
            <v>146508</v>
          </cell>
        </row>
        <row r="9512">
          <cell r="B9512">
            <v>1927</v>
          </cell>
          <cell r="K9512" t="str">
            <v>O BRIEN</v>
          </cell>
          <cell r="L9512" t="str">
            <v>O Brien</v>
          </cell>
          <cell r="V9512">
            <v>136322</v>
          </cell>
        </row>
        <row r="9513">
          <cell r="B9513">
            <v>1927</v>
          </cell>
          <cell r="K9513" t="str">
            <v>OSCEOLA</v>
          </cell>
          <cell r="L9513" t="str">
            <v>Osceola</v>
          </cell>
          <cell r="V9513">
            <v>92403</v>
          </cell>
        </row>
        <row r="9514">
          <cell r="B9514">
            <v>1927</v>
          </cell>
          <cell r="K9514" t="str">
            <v>PALO ALTO</v>
          </cell>
          <cell r="L9514" t="str">
            <v>Palo Alto</v>
          </cell>
          <cell r="V9514">
            <v>128379</v>
          </cell>
        </row>
        <row r="9515">
          <cell r="B9515">
            <v>1927</v>
          </cell>
          <cell r="K9515" t="str">
            <v>PLYMOUTH</v>
          </cell>
          <cell r="L9515" t="str">
            <v>Plymouth</v>
          </cell>
          <cell r="V9515">
            <v>215238</v>
          </cell>
        </row>
        <row r="9516">
          <cell r="B9516">
            <v>1927</v>
          </cell>
          <cell r="K9516" t="str">
            <v>POCAHONTAS</v>
          </cell>
          <cell r="L9516" t="str">
            <v>Pocahontas</v>
          </cell>
          <cell r="V9516">
            <v>148027</v>
          </cell>
        </row>
        <row r="9517">
          <cell r="B9517">
            <v>1927</v>
          </cell>
          <cell r="K9517" t="str">
            <v>SIOUX</v>
          </cell>
          <cell r="L9517" t="str">
            <v>Sioux</v>
          </cell>
          <cell r="V9517">
            <v>199463</v>
          </cell>
        </row>
        <row r="9518">
          <cell r="B9518">
            <v>1927</v>
          </cell>
          <cell r="K9518" t="str">
            <v>APPANOOSE</v>
          </cell>
          <cell r="L9518" t="str">
            <v>Appanoose</v>
          </cell>
          <cell r="V9518">
            <v>52023</v>
          </cell>
        </row>
        <row r="9519">
          <cell r="B9519">
            <v>1927</v>
          </cell>
          <cell r="K9519" t="str">
            <v>CLARKE</v>
          </cell>
          <cell r="L9519" t="str">
            <v>Clarke</v>
          </cell>
          <cell r="V9519">
            <v>59921</v>
          </cell>
        </row>
        <row r="9520">
          <cell r="B9520">
            <v>1927</v>
          </cell>
          <cell r="K9520" t="str">
            <v>DECATUR</v>
          </cell>
          <cell r="L9520" t="str">
            <v>Decatur</v>
          </cell>
          <cell r="V9520">
            <v>71361</v>
          </cell>
        </row>
        <row r="9521">
          <cell r="B9521">
            <v>1927</v>
          </cell>
          <cell r="K9521" t="str">
            <v>LUCAS</v>
          </cell>
          <cell r="L9521" t="str">
            <v>Lucas</v>
          </cell>
          <cell r="V9521">
            <v>54793</v>
          </cell>
        </row>
        <row r="9522">
          <cell r="B9522">
            <v>1927</v>
          </cell>
          <cell r="K9522" t="str">
            <v>MADISON</v>
          </cell>
          <cell r="L9522" t="str">
            <v>Madison</v>
          </cell>
          <cell r="V9522">
            <v>93526</v>
          </cell>
        </row>
        <row r="9523">
          <cell r="B9523">
            <v>1927</v>
          </cell>
          <cell r="K9523" t="str">
            <v>MARION</v>
          </cell>
          <cell r="L9523" t="str">
            <v>Marion</v>
          </cell>
          <cell r="V9523">
            <v>94970</v>
          </cell>
        </row>
        <row r="9524">
          <cell r="B9524">
            <v>1927</v>
          </cell>
          <cell r="K9524" t="str">
            <v>MONROE</v>
          </cell>
          <cell r="L9524" t="str">
            <v>Monroe</v>
          </cell>
          <cell r="V9524">
            <v>49456</v>
          </cell>
        </row>
        <row r="9525">
          <cell r="B9525">
            <v>1927</v>
          </cell>
          <cell r="K9525" t="str">
            <v>RINGGOLD</v>
          </cell>
          <cell r="L9525" t="str">
            <v>Ringgold</v>
          </cell>
          <cell r="V9525">
            <v>80216</v>
          </cell>
        </row>
        <row r="9526">
          <cell r="B9526">
            <v>1927</v>
          </cell>
          <cell r="K9526" t="str">
            <v>UNION</v>
          </cell>
          <cell r="L9526" t="str">
            <v>Union</v>
          </cell>
          <cell r="V9526">
            <v>67251</v>
          </cell>
        </row>
        <row r="9527">
          <cell r="B9527">
            <v>1927</v>
          </cell>
          <cell r="K9527" t="str">
            <v>WARREN</v>
          </cell>
          <cell r="L9527" t="str">
            <v>Warren</v>
          </cell>
          <cell r="V9527">
            <v>85628</v>
          </cell>
        </row>
        <row r="9528">
          <cell r="B9528">
            <v>1927</v>
          </cell>
          <cell r="K9528" t="str">
            <v>WAYNE</v>
          </cell>
          <cell r="L9528" t="str">
            <v>Wayne</v>
          </cell>
          <cell r="V9528">
            <v>73226</v>
          </cell>
        </row>
        <row r="9529">
          <cell r="B9529">
            <v>1927</v>
          </cell>
          <cell r="K9529" t="str">
            <v>DAVIS</v>
          </cell>
          <cell r="L9529" t="str">
            <v>Davis</v>
          </cell>
          <cell r="V9529">
            <v>50834</v>
          </cell>
        </row>
        <row r="9530">
          <cell r="B9530">
            <v>1927</v>
          </cell>
          <cell r="K9530" t="str">
            <v>DES MOINES</v>
          </cell>
          <cell r="L9530" t="str">
            <v>Des Moines</v>
          </cell>
          <cell r="V9530">
            <v>64933</v>
          </cell>
        </row>
        <row r="9531">
          <cell r="B9531">
            <v>1927</v>
          </cell>
          <cell r="K9531" t="str">
            <v>HENRY</v>
          </cell>
          <cell r="L9531" t="str">
            <v>Henry</v>
          </cell>
          <cell r="V9531">
            <v>72362</v>
          </cell>
        </row>
        <row r="9532">
          <cell r="B9532">
            <v>1927</v>
          </cell>
          <cell r="K9532" t="str">
            <v>JEFFERSON</v>
          </cell>
          <cell r="L9532" t="str">
            <v>Jefferson</v>
          </cell>
          <cell r="V9532">
            <v>63007</v>
          </cell>
        </row>
        <row r="9533">
          <cell r="B9533">
            <v>1927</v>
          </cell>
          <cell r="K9533" t="str">
            <v>KEOKUK</v>
          </cell>
          <cell r="L9533" t="str">
            <v>Keokuk</v>
          </cell>
          <cell r="V9533">
            <v>103412</v>
          </cell>
        </row>
        <row r="9534">
          <cell r="B9534">
            <v>1927</v>
          </cell>
          <cell r="K9534" t="str">
            <v>LEE</v>
          </cell>
          <cell r="L9534" t="str">
            <v>Lee</v>
          </cell>
          <cell r="V9534">
            <v>57193</v>
          </cell>
        </row>
        <row r="9535">
          <cell r="B9535">
            <v>1927</v>
          </cell>
          <cell r="K9535" t="str">
            <v>LOUISA</v>
          </cell>
          <cell r="L9535" t="str">
            <v>Louisa</v>
          </cell>
          <cell r="V9535">
            <v>66708</v>
          </cell>
        </row>
        <row r="9536">
          <cell r="B9536">
            <v>1927</v>
          </cell>
          <cell r="K9536" t="str">
            <v>MAHASKA</v>
          </cell>
          <cell r="L9536" t="str">
            <v>Mahaska</v>
          </cell>
          <cell r="V9536">
            <v>113764</v>
          </cell>
        </row>
        <row r="9537">
          <cell r="B9537">
            <v>1927</v>
          </cell>
          <cell r="K9537" t="str">
            <v>VAN BUREN</v>
          </cell>
          <cell r="L9537" t="str">
            <v>Van Buren</v>
          </cell>
          <cell r="V9537">
            <v>49893</v>
          </cell>
        </row>
        <row r="9538">
          <cell r="B9538">
            <v>1927</v>
          </cell>
          <cell r="K9538" t="str">
            <v>WAPELLO</v>
          </cell>
          <cell r="L9538" t="str">
            <v>Wapello</v>
          </cell>
          <cell r="V9538">
            <v>57768</v>
          </cell>
        </row>
        <row r="9539">
          <cell r="B9539">
            <v>1927</v>
          </cell>
          <cell r="K9539" t="str">
            <v>WASHINGTON</v>
          </cell>
          <cell r="L9539" t="str">
            <v>Washington</v>
          </cell>
          <cell r="V9539">
            <v>98637</v>
          </cell>
        </row>
        <row r="9540">
          <cell r="B9540">
            <v>1927</v>
          </cell>
          <cell r="K9540" t="str">
            <v>ADAIR</v>
          </cell>
          <cell r="L9540" t="str">
            <v>Adair</v>
          </cell>
          <cell r="V9540">
            <v>113995</v>
          </cell>
        </row>
        <row r="9541">
          <cell r="B9541">
            <v>1927</v>
          </cell>
          <cell r="K9541" t="str">
            <v>ADAMS</v>
          </cell>
          <cell r="L9541" t="str">
            <v>Adams</v>
          </cell>
          <cell r="V9541">
            <v>78105</v>
          </cell>
        </row>
        <row r="9542">
          <cell r="B9542">
            <v>1927</v>
          </cell>
          <cell r="K9542" t="str">
            <v>CASS</v>
          </cell>
          <cell r="L9542" t="str">
            <v>Cass</v>
          </cell>
          <cell r="V9542">
            <v>128298</v>
          </cell>
        </row>
        <row r="9543">
          <cell r="B9543">
            <v>1927</v>
          </cell>
          <cell r="K9543" t="str">
            <v>FREMONT</v>
          </cell>
          <cell r="L9543" t="str">
            <v>Fremont</v>
          </cell>
          <cell r="V9543">
            <v>157288</v>
          </cell>
        </row>
        <row r="9544">
          <cell r="B9544">
            <v>1927</v>
          </cell>
          <cell r="K9544" t="str">
            <v>MILLS</v>
          </cell>
          <cell r="L9544" t="str">
            <v>Mills</v>
          </cell>
          <cell r="V9544">
            <v>117561</v>
          </cell>
        </row>
        <row r="9545">
          <cell r="B9545">
            <v>1927</v>
          </cell>
          <cell r="K9545" t="str">
            <v>MONTGOMERY</v>
          </cell>
          <cell r="L9545" t="str">
            <v>Montgomery</v>
          </cell>
          <cell r="V9545">
            <v>103980</v>
          </cell>
        </row>
        <row r="9546">
          <cell r="B9546">
            <v>1927</v>
          </cell>
          <cell r="K9546" t="str">
            <v>PAGE</v>
          </cell>
          <cell r="L9546" t="str">
            <v>Page</v>
          </cell>
          <cell r="V9546">
            <v>124131</v>
          </cell>
        </row>
        <row r="9547">
          <cell r="B9547">
            <v>1927</v>
          </cell>
          <cell r="K9547" t="str">
            <v>POTTAWATTAMIE</v>
          </cell>
          <cell r="L9547" t="str">
            <v>Pottawattamie</v>
          </cell>
          <cell r="V9547">
            <v>244093</v>
          </cell>
        </row>
        <row r="9548">
          <cell r="B9548">
            <v>1927</v>
          </cell>
          <cell r="K9548" t="str">
            <v>TAYLOR</v>
          </cell>
          <cell r="L9548" t="str">
            <v>Taylor</v>
          </cell>
          <cell r="V9548">
            <v>99174</v>
          </cell>
        </row>
        <row r="9549">
          <cell r="B9549">
            <v>1927</v>
          </cell>
          <cell r="K9549" t="str">
            <v>AUDUBON</v>
          </cell>
          <cell r="L9549" t="str">
            <v>Audubon</v>
          </cell>
          <cell r="V9549">
            <v>95788</v>
          </cell>
        </row>
        <row r="9550">
          <cell r="B9550">
            <v>1927</v>
          </cell>
          <cell r="K9550" t="str">
            <v>CALHOUN</v>
          </cell>
          <cell r="L9550" t="str">
            <v>Calhoun</v>
          </cell>
          <cell r="V9550">
            <v>147647</v>
          </cell>
        </row>
        <row r="9551">
          <cell r="B9551">
            <v>1927</v>
          </cell>
          <cell r="K9551" t="str">
            <v>CARROLL</v>
          </cell>
          <cell r="L9551" t="str">
            <v>Carroll</v>
          </cell>
          <cell r="V9551">
            <v>135888</v>
          </cell>
        </row>
        <row r="9552">
          <cell r="B9552">
            <v>1927</v>
          </cell>
          <cell r="K9552" t="str">
            <v>CRAWFORD</v>
          </cell>
          <cell r="L9552" t="str">
            <v>Crawford</v>
          </cell>
          <cell r="V9552">
            <v>155630</v>
          </cell>
        </row>
        <row r="9553">
          <cell r="B9553">
            <v>1927</v>
          </cell>
          <cell r="K9553" t="str">
            <v>GREENE</v>
          </cell>
          <cell r="L9553" t="str">
            <v>Greene</v>
          </cell>
          <cell r="V9553">
            <v>156872</v>
          </cell>
        </row>
        <row r="9554">
          <cell r="B9554">
            <v>1927</v>
          </cell>
          <cell r="K9554" t="str">
            <v>GUTHRIE</v>
          </cell>
          <cell r="L9554" t="str">
            <v>Guthrie</v>
          </cell>
          <cell r="V9554">
            <v>121965</v>
          </cell>
        </row>
        <row r="9555">
          <cell r="B9555">
            <v>1927</v>
          </cell>
          <cell r="K9555" t="str">
            <v>HARRISON</v>
          </cell>
          <cell r="L9555" t="str">
            <v>Harrison</v>
          </cell>
          <cell r="V9555">
            <v>183961</v>
          </cell>
        </row>
        <row r="9556">
          <cell r="B9556">
            <v>1927</v>
          </cell>
          <cell r="K9556" t="str">
            <v>IDA</v>
          </cell>
          <cell r="L9556" t="str">
            <v>Ida</v>
          </cell>
          <cell r="V9556">
            <v>109296</v>
          </cell>
        </row>
        <row r="9557">
          <cell r="B9557">
            <v>1927</v>
          </cell>
          <cell r="K9557" t="str">
            <v>MONONA</v>
          </cell>
          <cell r="L9557" t="str">
            <v>Monona</v>
          </cell>
          <cell r="V9557">
            <v>164392</v>
          </cell>
        </row>
        <row r="9558">
          <cell r="B9558">
            <v>1927</v>
          </cell>
          <cell r="K9558" t="str">
            <v>SAC</v>
          </cell>
          <cell r="L9558" t="str">
            <v>Sac</v>
          </cell>
          <cell r="V9558">
            <v>139427</v>
          </cell>
        </row>
        <row r="9559">
          <cell r="B9559">
            <v>1927</v>
          </cell>
          <cell r="K9559" t="str">
            <v>SHELBY</v>
          </cell>
          <cell r="L9559" t="str">
            <v>Shelby</v>
          </cell>
          <cell r="V9559">
            <v>144151</v>
          </cell>
        </row>
        <row r="9560">
          <cell r="B9560">
            <v>1927</v>
          </cell>
          <cell r="K9560" t="str">
            <v>WOODBURY</v>
          </cell>
          <cell r="L9560" t="str">
            <v>Woodbury</v>
          </cell>
          <cell r="V9560">
            <v>226956</v>
          </cell>
        </row>
        <row r="9561">
          <cell r="B9561">
            <v>1926</v>
          </cell>
          <cell r="K9561" t="str">
            <v>BOONE</v>
          </cell>
          <cell r="L9561" t="str">
            <v>Boone</v>
          </cell>
          <cell r="V9561">
            <v>142345</v>
          </cell>
        </row>
        <row r="9562">
          <cell r="B9562">
            <v>1926</v>
          </cell>
          <cell r="K9562" t="str">
            <v>DALLAS</v>
          </cell>
          <cell r="L9562" t="str">
            <v>Dallas</v>
          </cell>
          <cell r="V9562">
            <v>140860</v>
          </cell>
        </row>
        <row r="9563">
          <cell r="B9563">
            <v>1926</v>
          </cell>
          <cell r="K9563" t="str">
            <v>GRUNDY</v>
          </cell>
          <cell r="L9563" t="str">
            <v>Grundy</v>
          </cell>
          <cell r="V9563">
            <v>110100</v>
          </cell>
        </row>
        <row r="9564">
          <cell r="B9564">
            <v>1926</v>
          </cell>
          <cell r="K9564" t="str">
            <v>HAMILTON</v>
          </cell>
          <cell r="L9564" t="str">
            <v>Hamilton</v>
          </cell>
          <cell r="V9564">
            <v>146292</v>
          </cell>
        </row>
        <row r="9565">
          <cell r="B9565">
            <v>1926</v>
          </cell>
          <cell r="K9565" t="str">
            <v>HARDIN</v>
          </cell>
          <cell r="L9565" t="str">
            <v>Hardin</v>
          </cell>
          <cell r="V9565">
            <v>133671</v>
          </cell>
        </row>
        <row r="9566">
          <cell r="B9566">
            <v>1926</v>
          </cell>
          <cell r="K9566" t="str">
            <v>JASPER</v>
          </cell>
          <cell r="L9566" t="str">
            <v>Jasper</v>
          </cell>
          <cell r="V9566">
            <v>156062</v>
          </cell>
        </row>
        <row r="9567">
          <cell r="B9567">
            <v>1926</v>
          </cell>
          <cell r="K9567" t="str">
            <v>MARSHALL</v>
          </cell>
          <cell r="L9567" t="str">
            <v>Marshall</v>
          </cell>
          <cell r="V9567">
            <v>127649</v>
          </cell>
        </row>
        <row r="9568">
          <cell r="B9568">
            <v>1926</v>
          </cell>
          <cell r="K9568" t="str">
            <v>POLK</v>
          </cell>
          <cell r="L9568" t="str">
            <v>Polk</v>
          </cell>
          <cell r="V9568">
            <v>118178</v>
          </cell>
        </row>
        <row r="9569">
          <cell r="B9569">
            <v>1926</v>
          </cell>
          <cell r="K9569" t="str">
            <v>POWESHIEK</v>
          </cell>
          <cell r="L9569" t="str">
            <v>Poweshiek</v>
          </cell>
          <cell r="V9569">
            <v>122453</v>
          </cell>
        </row>
        <row r="9570">
          <cell r="B9570">
            <v>1926</v>
          </cell>
          <cell r="K9570" t="str">
            <v>STORY</v>
          </cell>
          <cell r="L9570" t="str">
            <v>Story</v>
          </cell>
          <cell r="V9570">
            <v>151102</v>
          </cell>
        </row>
        <row r="9571">
          <cell r="B9571">
            <v>1926</v>
          </cell>
          <cell r="K9571" t="str">
            <v>TAMA</v>
          </cell>
          <cell r="L9571" t="str">
            <v>Tama</v>
          </cell>
          <cell r="V9571">
            <v>137497</v>
          </cell>
        </row>
        <row r="9572">
          <cell r="B9572">
            <v>1926</v>
          </cell>
          <cell r="K9572" t="str">
            <v>WEBSTER</v>
          </cell>
          <cell r="L9572" t="str">
            <v>Webster</v>
          </cell>
          <cell r="V9572">
            <v>164640</v>
          </cell>
        </row>
        <row r="9573">
          <cell r="B9573">
            <v>1926</v>
          </cell>
          <cell r="K9573" t="str">
            <v>BENTON</v>
          </cell>
          <cell r="L9573" t="str">
            <v>Benton</v>
          </cell>
          <cell r="V9573">
            <v>145772</v>
          </cell>
        </row>
        <row r="9574">
          <cell r="B9574">
            <v>1926</v>
          </cell>
          <cell r="K9574" t="str">
            <v>CEDAR</v>
          </cell>
          <cell r="L9574" t="str">
            <v>Cedar</v>
          </cell>
          <cell r="V9574">
            <v>111428</v>
          </cell>
        </row>
        <row r="9575">
          <cell r="B9575">
            <v>1926</v>
          </cell>
          <cell r="K9575" t="str">
            <v>CLINTON</v>
          </cell>
          <cell r="L9575" t="str">
            <v>Clinton</v>
          </cell>
          <cell r="V9575">
            <v>128826</v>
          </cell>
        </row>
        <row r="9576">
          <cell r="B9576">
            <v>1926</v>
          </cell>
          <cell r="K9576" t="str">
            <v>IOWA</v>
          </cell>
          <cell r="L9576" t="str">
            <v>Iowa</v>
          </cell>
          <cell r="V9576">
            <v>103300</v>
          </cell>
        </row>
        <row r="9577">
          <cell r="B9577">
            <v>1926</v>
          </cell>
          <cell r="K9577" t="str">
            <v>JACKSON</v>
          </cell>
          <cell r="L9577" t="str">
            <v>Jackson</v>
          </cell>
          <cell r="V9577">
            <v>68104</v>
          </cell>
        </row>
        <row r="9578">
          <cell r="B9578">
            <v>1926</v>
          </cell>
          <cell r="K9578" t="str">
            <v>JOHNSON</v>
          </cell>
          <cell r="L9578" t="str">
            <v>Johnson</v>
          </cell>
          <cell r="V9578">
            <v>107164</v>
          </cell>
        </row>
        <row r="9579">
          <cell r="B9579">
            <v>1926</v>
          </cell>
          <cell r="K9579" t="str">
            <v>JONES</v>
          </cell>
          <cell r="L9579" t="str">
            <v>Jones</v>
          </cell>
          <cell r="V9579">
            <v>84106</v>
          </cell>
        </row>
        <row r="9580">
          <cell r="B9580">
            <v>1926</v>
          </cell>
          <cell r="K9580" t="str">
            <v>LINN</v>
          </cell>
          <cell r="L9580" t="str">
            <v>Linn</v>
          </cell>
          <cell r="V9580">
            <v>123247</v>
          </cell>
        </row>
        <row r="9581">
          <cell r="B9581">
            <v>1926</v>
          </cell>
          <cell r="K9581" t="str">
            <v>MUSCATINE</v>
          </cell>
          <cell r="L9581" t="str">
            <v>Muscatine</v>
          </cell>
          <cell r="V9581">
            <v>79927</v>
          </cell>
        </row>
        <row r="9582">
          <cell r="B9582">
            <v>1926</v>
          </cell>
          <cell r="K9582" t="str">
            <v>SCOTT</v>
          </cell>
          <cell r="L9582" t="str">
            <v>Scott</v>
          </cell>
          <cell r="V9582">
            <v>79428</v>
          </cell>
        </row>
        <row r="9583">
          <cell r="B9583">
            <v>1926</v>
          </cell>
          <cell r="K9583" t="str">
            <v>BUTLER</v>
          </cell>
          <cell r="L9583" t="str">
            <v>Butler</v>
          </cell>
          <cell r="V9583">
            <v>114115</v>
          </cell>
        </row>
        <row r="9584">
          <cell r="B9584">
            <v>1926</v>
          </cell>
          <cell r="K9584" t="str">
            <v>CERRO GORDO</v>
          </cell>
          <cell r="L9584" t="str">
            <v>Cerro Gordo</v>
          </cell>
          <cell r="V9584">
            <v>113654</v>
          </cell>
        </row>
        <row r="9585">
          <cell r="B9585">
            <v>1926</v>
          </cell>
          <cell r="K9585" t="str">
            <v>FLOYD</v>
          </cell>
          <cell r="L9585" t="str">
            <v>Floyd</v>
          </cell>
          <cell r="V9585">
            <v>98594</v>
          </cell>
        </row>
        <row r="9586">
          <cell r="B9586">
            <v>1926</v>
          </cell>
          <cell r="K9586" t="str">
            <v>FRANKLIN</v>
          </cell>
          <cell r="L9586" t="str">
            <v>Franklin</v>
          </cell>
          <cell r="V9586">
            <v>135075</v>
          </cell>
        </row>
        <row r="9587">
          <cell r="B9587">
            <v>1926</v>
          </cell>
          <cell r="K9587" t="str">
            <v>HANCOCK</v>
          </cell>
          <cell r="L9587" t="str">
            <v>Hancock</v>
          </cell>
          <cell r="V9587">
            <v>127249</v>
          </cell>
        </row>
        <row r="9588">
          <cell r="B9588">
            <v>1926</v>
          </cell>
          <cell r="K9588" t="str">
            <v>HUMBOLDT</v>
          </cell>
          <cell r="L9588" t="str">
            <v>Humboldt</v>
          </cell>
          <cell r="V9588">
            <v>110944</v>
          </cell>
        </row>
        <row r="9589">
          <cell r="B9589">
            <v>1926</v>
          </cell>
          <cell r="K9589" t="str">
            <v>KOSSUTH</v>
          </cell>
          <cell r="L9589" t="str">
            <v>Kossuth</v>
          </cell>
          <cell r="V9589">
            <v>227717</v>
          </cell>
        </row>
        <row r="9590">
          <cell r="B9590">
            <v>1926</v>
          </cell>
          <cell r="K9590" t="str">
            <v>MITCHELL</v>
          </cell>
          <cell r="L9590" t="str">
            <v>Mitchell</v>
          </cell>
          <cell r="V9590">
            <v>79565</v>
          </cell>
        </row>
        <row r="9591">
          <cell r="B9591">
            <v>1926</v>
          </cell>
          <cell r="K9591" t="str">
            <v>WINNEBAGO</v>
          </cell>
          <cell r="L9591" t="str">
            <v>Winnebago</v>
          </cell>
          <cell r="V9591">
            <v>80584</v>
          </cell>
        </row>
        <row r="9592">
          <cell r="B9592">
            <v>1926</v>
          </cell>
          <cell r="K9592" t="str">
            <v>WORTH</v>
          </cell>
          <cell r="L9592" t="str">
            <v>Worth</v>
          </cell>
          <cell r="V9592">
            <v>66910</v>
          </cell>
        </row>
        <row r="9593">
          <cell r="B9593">
            <v>1926</v>
          </cell>
          <cell r="K9593" t="str">
            <v>WRIGHT</v>
          </cell>
          <cell r="L9593" t="str">
            <v>Wright</v>
          </cell>
          <cell r="V9593">
            <v>147658</v>
          </cell>
        </row>
        <row r="9594">
          <cell r="B9594">
            <v>1926</v>
          </cell>
          <cell r="K9594" t="str">
            <v>ALLAMAKEE</v>
          </cell>
          <cell r="L9594" t="str">
            <v>Allamakee</v>
          </cell>
          <cell r="V9594">
            <v>46702</v>
          </cell>
        </row>
        <row r="9595">
          <cell r="B9595">
            <v>1926</v>
          </cell>
          <cell r="K9595" t="str">
            <v>BLACK HAWK</v>
          </cell>
          <cell r="L9595" t="str">
            <v>Black Hawk</v>
          </cell>
          <cell r="V9595">
            <v>107303</v>
          </cell>
        </row>
        <row r="9596">
          <cell r="B9596">
            <v>1926</v>
          </cell>
          <cell r="K9596" t="str">
            <v>BREMER</v>
          </cell>
          <cell r="L9596" t="str">
            <v>Bremer</v>
          </cell>
          <cell r="V9596">
            <v>71704</v>
          </cell>
        </row>
        <row r="9597">
          <cell r="B9597">
            <v>1926</v>
          </cell>
          <cell r="K9597" t="str">
            <v>BUCHANAN</v>
          </cell>
          <cell r="L9597" t="str">
            <v>Buchanan</v>
          </cell>
          <cell r="V9597">
            <v>108526</v>
          </cell>
        </row>
        <row r="9598">
          <cell r="B9598">
            <v>1926</v>
          </cell>
          <cell r="K9598" t="str">
            <v>CHICKASAW</v>
          </cell>
          <cell r="L9598" t="str">
            <v>Chickasaw</v>
          </cell>
          <cell r="V9598">
            <v>75915</v>
          </cell>
        </row>
        <row r="9599">
          <cell r="B9599">
            <v>1926</v>
          </cell>
          <cell r="K9599" t="str">
            <v>CLAYTON</v>
          </cell>
          <cell r="L9599" t="str">
            <v>Clayton</v>
          </cell>
          <cell r="V9599">
            <v>83282</v>
          </cell>
        </row>
        <row r="9600">
          <cell r="B9600">
            <v>1926</v>
          </cell>
          <cell r="K9600" t="str">
            <v>DELAWARE</v>
          </cell>
          <cell r="L9600" t="str">
            <v>Delaware</v>
          </cell>
          <cell r="V9600">
            <v>93415</v>
          </cell>
        </row>
        <row r="9601">
          <cell r="B9601">
            <v>1926</v>
          </cell>
          <cell r="K9601" t="str">
            <v>DUBUQUE</v>
          </cell>
          <cell r="L9601" t="str">
            <v>Dubuque</v>
          </cell>
          <cell r="V9601">
            <v>71217</v>
          </cell>
        </row>
        <row r="9602">
          <cell r="B9602">
            <v>1926</v>
          </cell>
          <cell r="K9602" t="str">
            <v>FAYETTE</v>
          </cell>
          <cell r="L9602" t="str">
            <v>Fayette</v>
          </cell>
          <cell r="V9602">
            <v>102757</v>
          </cell>
        </row>
        <row r="9603">
          <cell r="B9603">
            <v>1926</v>
          </cell>
          <cell r="K9603" t="str">
            <v>HOWARD</v>
          </cell>
          <cell r="L9603" t="str">
            <v>Howard</v>
          </cell>
          <cell r="V9603">
            <v>58655</v>
          </cell>
        </row>
        <row r="9604">
          <cell r="B9604">
            <v>1926</v>
          </cell>
          <cell r="K9604" t="str">
            <v>WINNESHIEK</v>
          </cell>
          <cell r="L9604" t="str">
            <v>Winneshiek</v>
          </cell>
          <cell r="V9604">
            <v>86434</v>
          </cell>
        </row>
        <row r="9605">
          <cell r="B9605">
            <v>1926</v>
          </cell>
          <cell r="K9605" t="str">
            <v>BUENA VISTA</v>
          </cell>
          <cell r="L9605" t="str">
            <v>Buena Vista</v>
          </cell>
          <cell r="V9605">
            <v>148608</v>
          </cell>
        </row>
        <row r="9606">
          <cell r="B9606">
            <v>1926</v>
          </cell>
          <cell r="K9606" t="str">
            <v>CHEROKEE</v>
          </cell>
          <cell r="L9606" t="str">
            <v>Cherokee</v>
          </cell>
          <cell r="V9606">
            <v>141608</v>
          </cell>
        </row>
        <row r="9607">
          <cell r="B9607">
            <v>1926</v>
          </cell>
          <cell r="K9607" t="str">
            <v>CLAY</v>
          </cell>
          <cell r="L9607" t="str">
            <v>Clay</v>
          </cell>
          <cell r="V9607">
            <v>135388</v>
          </cell>
        </row>
        <row r="9608">
          <cell r="B9608">
            <v>1926</v>
          </cell>
          <cell r="K9608" t="str">
            <v>DICKINSON</v>
          </cell>
          <cell r="L9608" t="str">
            <v>Dickinson</v>
          </cell>
          <cell r="V9608">
            <v>86255</v>
          </cell>
        </row>
        <row r="9609">
          <cell r="B9609">
            <v>1926</v>
          </cell>
          <cell r="K9609" t="str">
            <v>EMMET</v>
          </cell>
          <cell r="L9609" t="str">
            <v>Emmet</v>
          </cell>
          <cell r="V9609">
            <v>91657</v>
          </cell>
        </row>
        <row r="9610">
          <cell r="B9610">
            <v>1926</v>
          </cell>
          <cell r="K9610" t="str">
            <v>LYON</v>
          </cell>
          <cell r="L9610" t="str">
            <v>Lyon</v>
          </cell>
          <cell r="V9610">
            <v>143351</v>
          </cell>
        </row>
        <row r="9611">
          <cell r="B9611">
            <v>1926</v>
          </cell>
          <cell r="K9611" t="str">
            <v>O BRIEN</v>
          </cell>
          <cell r="L9611" t="str">
            <v>O Brien</v>
          </cell>
          <cell r="V9611">
            <v>141174</v>
          </cell>
        </row>
        <row r="9612">
          <cell r="B9612">
            <v>1926</v>
          </cell>
          <cell r="K9612" t="str">
            <v>OSCEOLA</v>
          </cell>
          <cell r="L9612" t="str">
            <v>Osceola</v>
          </cell>
          <cell r="V9612">
            <v>96828</v>
          </cell>
        </row>
        <row r="9613">
          <cell r="B9613">
            <v>1926</v>
          </cell>
          <cell r="K9613" t="str">
            <v>PALO ALTO</v>
          </cell>
          <cell r="L9613" t="str">
            <v>Palo Alto</v>
          </cell>
          <cell r="V9613">
            <v>135392</v>
          </cell>
        </row>
        <row r="9614">
          <cell r="B9614">
            <v>1926</v>
          </cell>
          <cell r="K9614" t="str">
            <v>PLYMOUTH</v>
          </cell>
          <cell r="L9614" t="str">
            <v>Plymouth</v>
          </cell>
          <cell r="V9614">
            <v>210130</v>
          </cell>
        </row>
        <row r="9615">
          <cell r="B9615">
            <v>1926</v>
          </cell>
          <cell r="K9615" t="str">
            <v>POCAHONTAS</v>
          </cell>
          <cell r="L9615" t="str">
            <v>Pocahontas</v>
          </cell>
          <cell r="V9615">
            <v>152847</v>
          </cell>
        </row>
        <row r="9616">
          <cell r="B9616">
            <v>1926</v>
          </cell>
          <cell r="K9616" t="str">
            <v>SIOUX</v>
          </cell>
          <cell r="L9616" t="str">
            <v>Sioux</v>
          </cell>
          <cell r="V9616">
            <v>197410</v>
          </cell>
        </row>
        <row r="9617">
          <cell r="B9617">
            <v>1926</v>
          </cell>
          <cell r="K9617" t="str">
            <v>APPANOOSE</v>
          </cell>
          <cell r="L9617" t="str">
            <v>Appanoose</v>
          </cell>
          <cell r="V9617">
            <v>55130</v>
          </cell>
        </row>
        <row r="9618">
          <cell r="B9618">
            <v>1926</v>
          </cell>
          <cell r="K9618" t="str">
            <v>CLARKE</v>
          </cell>
          <cell r="L9618" t="str">
            <v>Clarke</v>
          </cell>
          <cell r="V9618">
            <v>61164</v>
          </cell>
        </row>
        <row r="9619">
          <cell r="B9619">
            <v>1926</v>
          </cell>
          <cell r="K9619" t="str">
            <v>DECATUR</v>
          </cell>
          <cell r="L9619" t="str">
            <v>Decatur</v>
          </cell>
          <cell r="V9619">
            <v>75136</v>
          </cell>
        </row>
        <row r="9620">
          <cell r="B9620">
            <v>1926</v>
          </cell>
          <cell r="K9620" t="str">
            <v>LUCAS</v>
          </cell>
          <cell r="L9620" t="str">
            <v>Lucas</v>
          </cell>
          <cell r="V9620">
            <v>55557</v>
          </cell>
        </row>
        <row r="9621">
          <cell r="B9621">
            <v>1926</v>
          </cell>
          <cell r="K9621" t="str">
            <v>MADISON</v>
          </cell>
          <cell r="L9621" t="str">
            <v>Madison</v>
          </cell>
          <cell r="V9621">
            <v>95066</v>
          </cell>
        </row>
        <row r="9622">
          <cell r="B9622">
            <v>1926</v>
          </cell>
          <cell r="K9622" t="str">
            <v>MARION</v>
          </cell>
          <cell r="L9622" t="str">
            <v>Marion</v>
          </cell>
          <cell r="V9622">
            <v>98562</v>
          </cell>
        </row>
        <row r="9623">
          <cell r="B9623">
            <v>1926</v>
          </cell>
          <cell r="K9623" t="str">
            <v>MONROE</v>
          </cell>
          <cell r="L9623" t="str">
            <v>Monroe</v>
          </cell>
          <cell r="V9623">
            <v>49864</v>
          </cell>
        </row>
        <row r="9624">
          <cell r="B9624">
            <v>1926</v>
          </cell>
          <cell r="K9624" t="str">
            <v>RINGGOLD</v>
          </cell>
          <cell r="L9624" t="str">
            <v>Ringgold</v>
          </cell>
          <cell r="V9624">
            <v>81468</v>
          </cell>
        </row>
        <row r="9625">
          <cell r="B9625">
            <v>1926</v>
          </cell>
          <cell r="K9625" t="str">
            <v>UNION</v>
          </cell>
          <cell r="L9625" t="str">
            <v>Union</v>
          </cell>
          <cell r="V9625">
            <v>65664</v>
          </cell>
        </row>
        <row r="9626">
          <cell r="B9626">
            <v>1926</v>
          </cell>
          <cell r="K9626" t="str">
            <v>WARREN</v>
          </cell>
          <cell r="L9626" t="str">
            <v>Warren</v>
          </cell>
          <cell r="V9626">
            <v>90824</v>
          </cell>
        </row>
        <row r="9627">
          <cell r="B9627">
            <v>1926</v>
          </cell>
          <cell r="K9627" t="str">
            <v>WAYNE</v>
          </cell>
          <cell r="L9627" t="str">
            <v>Wayne</v>
          </cell>
          <cell r="V9627">
            <v>76686</v>
          </cell>
        </row>
        <row r="9628">
          <cell r="B9628">
            <v>1926</v>
          </cell>
          <cell r="K9628" t="str">
            <v>DAVIS</v>
          </cell>
          <cell r="L9628" t="str">
            <v>Davis</v>
          </cell>
          <cell r="V9628">
            <v>57074</v>
          </cell>
        </row>
        <row r="9629">
          <cell r="B9629">
            <v>1926</v>
          </cell>
          <cell r="K9629" t="str">
            <v>DES MOINES</v>
          </cell>
          <cell r="L9629" t="str">
            <v>Des Moines</v>
          </cell>
          <cell r="V9629">
            <v>70265</v>
          </cell>
        </row>
        <row r="9630">
          <cell r="B9630">
            <v>1926</v>
          </cell>
          <cell r="K9630" t="str">
            <v>HENRY</v>
          </cell>
          <cell r="L9630" t="str">
            <v>Henry</v>
          </cell>
          <cell r="V9630">
            <v>74946</v>
          </cell>
        </row>
        <row r="9631">
          <cell r="B9631">
            <v>1926</v>
          </cell>
          <cell r="K9631" t="str">
            <v>JEFFERSON</v>
          </cell>
          <cell r="L9631" t="str">
            <v>Jefferson</v>
          </cell>
          <cell r="V9631">
            <v>68488</v>
          </cell>
        </row>
        <row r="9632">
          <cell r="B9632">
            <v>1926</v>
          </cell>
          <cell r="K9632" t="str">
            <v>KEOKUK</v>
          </cell>
          <cell r="L9632" t="str">
            <v>Keokuk</v>
          </cell>
          <cell r="V9632">
            <v>111720</v>
          </cell>
        </row>
        <row r="9633">
          <cell r="B9633">
            <v>1926</v>
          </cell>
          <cell r="K9633" t="str">
            <v>LEE</v>
          </cell>
          <cell r="L9633" t="str">
            <v>Lee</v>
          </cell>
          <cell r="V9633">
            <v>61191</v>
          </cell>
        </row>
        <row r="9634">
          <cell r="B9634">
            <v>1926</v>
          </cell>
          <cell r="K9634" t="str">
            <v>LOUISA</v>
          </cell>
          <cell r="L9634" t="str">
            <v>Louisa</v>
          </cell>
          <cell r="V9634">
            <v>74264</v>
          </cell>
        </row>
        <row r="9635">
          <cell r="B9635">
            <v>1926</v>
          </cell>
          <cell r="K9635" t="str">
            <v>MAHASKA</v>
          </cell>
          <cell r="L9635" t="str">
            <v>Mahaska</v>
          </cell>
          <cell r="V9635">
            <v>116033</v>
          </cell>
        </row>
        <row r="9636">
          <cell r="B9636">
            <v>1926</v>
          </cell>
          <cell r="K9636" t="str">
            <v>VAN BUREN</v>
          </cell>
          <cell r="L9636" t="str">
            <v>Van Buren</v>
          </cell>
          <cell r="V9636">
            <v>57599</v>
          </cell>
        </row>
        <row r="9637">
          <cell r="B9637">
            <v>1926</v>
          </cell>
          <cell r="K9637" t="str">
            <v>WAPELLO</v>
          </cell>
          <cell r="L9637" t="str">
            <v>Wapello</v>
          </cell>
          <cell r="V9637">
            <v>64444</v>
          </cell>
        </row>
        <row r="9638">
          <cell r="B9638">
            <v>1926</v>
          </cell>
          <cell r="K9638" t="str">
            <v>WASHINGTON</v>
          </cell>
          <cell r="L9638" t="str">
            <v>Washington</v>
          </cell>
          <cell r="V9638">
            <v>110377</v>
          </cell>
        </row>
        <row r="9639">
          <cell r="B9639">
            <v>1926</v>
          </cell>
          <cell r="K9639" t="str">
            <v>ADAIR</v>
          </cell>
          <cell r="L9639" t="str">
            <v>Adair</v>
          </cell>
          <cell r="V9639">
            <v>115875</v>
          </cell>
        </row>
        <row r="9640">
          <cell r="B9640">
            <v>1926</v>
          </cell>
          <cell r="K9640" t="str">
            <v>ADAMS</v>
          </cell>
          <cell r="L9640" t="str">
            <v>Adams</v>
          </cell>
          <cell r="V9640">
            <v>77085</v>
          </cell>
        </row>
        <row r="9641">
          <cell r="B9641">
            <v>1926</v>
          </cell>
          <cell r="K9641" t="str">
            <v>CASS</v>
          </cell>
          <cell r="L9641" t="str">
            <v>Cass</v>
          </cell>
          <cell r="V9641">
            <v>127564</v>
          </cell>
        </row>
        <row r="9642">
          <cell r="B9642">
            <v>1926</v>
          </cell>
          <cell r="K9642" t="str">
            <v>FREMONT</v>
          </cell>
          <cell r="L9642" t="str">
            <v>Fremont</v>
          </cell>
          <cell r="V9642">
            <v>156812</v>
          </cell>
        </row>
        <row r="9643">
          <cell r="B9643">
            <v>1926</v>
          </cell>
          <cell r="K9643" t="str">
            <v>MILLS</v>
          </cell>
          <cell r="L9643" t="str">
            <v>Mills</v>
          </cell>
          <cell r="V9643">
            <v>121424</v>
          </cell>
        </row>
        <row r="9644">
          <cell r="B9644">
            <v>1926</v>
          </cell>
          <cell r="K9644" t="str">
            <v>MONTGOMERY</v>
          </cell>
          <cell r="L9644" t="str">
            <v>Montgomery</v>
          </cell>
          <cell r="V9644">
            <v>103804</v>
          </cell>
        </row>
        <row r="9645">
          <cell r="B9645">
            <v>1926</v>
          </cell>
          <cell r="K9645" t="str">
            <v>PAGE</v>
          </cell>
          <cell r="L9645" t="str">
            <v>Page</v>
          </cell>
          <cell r="V9645">
            <v>122614</v>
          </cell>
        </row>
        <row r="9646">
          <cell r="B9646">
            <v>1926</v>
          </cell>
          <cell r="K9646" t="str">
            <v>POTTAWATTAMIE</v>
          </cell>
          <cell r="L9646" t="str">
            <v>Pottawattamie</v>
          </cell>
          <cell r="V9646">
            <v>240051</v>
          </cell>
        </row>
        <row r="9647">
          <cell r="B9647">
            <v>1926</v>
          </cell>
          <cell r="K9647" t="str">
            <v>TAYLOR</v>
          </cell>
          <cell r="L9647" t="str">
            <v>Taylor</v>
          </cell>
          <cell r="V9647">
            <v>102170</v>
          </cell>
        </row>
        <row r="9648">
          <cell r="B9648">
            <v>1926</v>
          </cell>
          <cell r="K9648" t="str">
            <v>AUDUBON</v>
          </cell>
          <cell r="L9648" t="str">
            <v>Audubon</v>
          </cell>
          <cell r="V9648">
            <v>94734</v>
          </cell>
        </row>
        <row r="9649">
          <cell r="B9649">
            <v>1926</v>
          </cell>
          <cell r="K9649" t="str">
            <v>CALHOUN</v>
          </cell>
          <cell r="L9649" t="str">
            <v>Calhoun</v>
          </cell>
          <cell r="V9649">
            <v>148776</v>
          </cell>
        </row>
        <row r="9650">
          <cell r="B9650">
            <v>1926</v>
          </cell>
          <cell r="K9650" t="str">
            <v>CARROLL</v>
          </cell>
          <cell r="L9650" t="str">
            <v>Carroll</v>
          </cell>
          <cell r="V9650">
            <v>137536</v>
          </cell>
        </row>
        <row r="9651">
          <cell r="B9651">
            <v>1926</v>
          </cell>
          <cell r="K9651" t="str">
            <v>CRAWFORD</v>
          </cell>
          <cell r="L9651" t="str">
            <v>Crawford</v>
          </cell>
          <cell r="V9651">
            <v>157626</v>
          </cell>
        </row>
        <row r="9652">
          <cell r="B9652">
            <v>1926</v>
          </cell>
          <cell r="K9652" t="str">
            <v>GREENE</v>
          </cell>
          <cell r="L9652" t="str">
            <v>Greene</v>
          </cell>
          <cell r="V9652">
            <v>157475</v>
          </cell>
        </row>
        <row r="9653">
          <cell r="B9653">
            <v>1926</v>
          </cell>
          <cell r="K9653" t="str">
            <v>GUTHRIE</v>
          </cell>
          <cell r="L9653" t="str">
            <v>Guthrie</v>
          </cell>
          <cell r="V9653">
            <v>119570</v>
          </cell>
        </row>
        <row r="9654">
          <cell r="B9654">
            <v>1926</v>
          </cell>
          <cell r="K9654" t="str">
            <v>HARRISON</v>
          </cell>
          <cell r="L9654" t="str">
            <v>Harrison</v>
          </cell>
          <cell r="V9654">
            <v>185331</v>
          </cell>
        </row>
        <row r="9655">
          <cell r="B9655">
            <v>1926</v>
          </cell>
          <cell r="K9655" t="str">
            <v>IDA</v>
          </cell>
          <cell r="L9655" t="str">
            <v>Ida</v>
          </cell>
          <cell r="V9655">
            <v>106758</v>
          </cell>
        </row>
        <row r="9656">
          <cell r="B9656">
            <v>1926</v>
          </cell>
          <cell r="K9656" t="str">
            <v>MONONA</v>
          </cell>
          <cell r="L9656" t="str">
            <v>Monona</v>
          </cell>
          <cell r="V9656">
            <v>170972</v>
          </cell>
        </row>
        <row r="9657">
          <cell r="B9657">
            <v>1926</v>
          </cell>
          <cell r="K9657" t="str">
            <v>SAC</v>
          </cell>
          <cell r="L9657" t="str">
            <v>Sac</v>
          </cell>
          <cell r="V9657">
            <v>134052</v>
          </cell>
        </row>
        <row r="9658">
          <cell r="B9658">
            <v>1926</v>
          </cell>
          <cell r="K9658" t="str">
            <v>SHELBY</v>
          </cell>
          <cell r="L9658" t="str">
            <v>Shelby</v>
          </cell>
          <cell r="V9658">
            <v>142537</v>
          </cell>
        </row>
        <row r="9659">
          <cell r="B9659">
            <v>1926</v>
          </cell>
          <cell r="K9659" t="str">
            <v>WOODBURY</v>
          </cell>
          <cell r="L9659" t="str">
            <v>Woodbury</v>
          </cell>
          <cell r="V9659">
            <v>229938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rch"/>
      <sheetName val="Database"/>
      <sheetName val="Corn"/>
      <sheetName val="Original"/>
      <sheetName val="LCFS"/>
      <sheetName val="Sheet5"/>
      <sheetName val="Carbon"/>
      <sheetName val="Yield"/>
      <sheetName val="Filters"/>
      <sheetName val="Sheet4"/>
      <sheetName val="GL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et.com/" TargetMode="External"/><Relationship Id="rId21" Type="http://schemas.openxmlformats.org/officeDocument/2006/relationships/hyperlink" Target="https://www.bigriverresources.com/" TargetMode="External"/><Relationship Id="rId42" Type="http://schemas.openxmlformats.org/officeDocument/2006/relationships/hyperlink" Target="http://www.commonwealthagrienergy.com/" TargetMode="External"/><Relationship Id="rId63" Type="http://schemas.openxmlformats.org/officeDocument/2006/relationships/hyperlink" Target="https://gpreinc.com/" TargetMode="External"/><Relationship Id="rId84" Type="http://schemas.openxmlformats.org/officeDocument/2006/relationships/hyperlink" Target="https://www.icmbiofuels.com/" TargetMode="External"/><Relationship Id="rId138" Type="http://schemas.openxmlformats.org/officeDocument/2006/relationships/hyperlink" Target="https://poet.com/" TargetMode="External"/><Relationship Id="rId159" Type="http://schemas.openxmlformats.org/officeDocument/2006/relationships/hyperlink" Target="https://www.andersonsinc.com/" TargetMode="External"/><Relationship Id="rId170" Type="http://schemas.openxmlformats.org/officeDocument/2006/relationships/hyperlink" Target="https://www.valero.com/renewables/ethanol" TargetMode="External"/><Relationship Id="rId107" Type="http://schemas.openxmlformats.org/officeDocument/2006/relationships/hyperlink" Target="https://poet.com/" TargetMode="External"/><Relationship Id="rId11" Type="http://schemas.openxmlformats.org/officeDocument/2006/relationships/hyperlink" Target="https://www.adm.com/" TargetMode="External"/><Relationship Id="rId32" Type="http://schemas.openxmlformats.org/officeDocument/2006/relationships/hyperlink" Target="https://www.cargill.com/home" TargetMode="External"/><Relationship Id="rId53" Type="http://schemas.openxmlformats.org/officeDocument/2006/relationships/hyperlink" Target="https://www.frontrangeenergy.com/" TargetMode="External"/><Relationship Id="rId74" Type="http://schemas.openxmlformats.org/officeDocument/2006/relationships/hyperlink" Target="https://greenfield.com/" TargetMode="External"/><Relationship Id="rId128" Type="http://schemas.openxmlformats.org/officeDocument/2006/relationships/hyperlink" Target="https://poet.com/" TargetMode="External"/><Relationship Id="rId149" Type="http://schemas.openxmlformats.org/officeDocument/2006/relationships/hyperlink" Target="https://www.siouxlandenergy.com/" TargetMode="External"/><Relationship Id="rId5" Type="http://schemas.openxmlformats.org/officeDocument/2006/relationships/hyperlink" Target="http://www.al-corn.com/" TargetMode="External"/><Relationship Id="rId95" Type="http://schemas.openxmlformats.org/officeDocument/2006/relationships/hyperlink" Target="http://www.marquisgrain.com/index.cfm?show=10&amp;mid=3" TargetMode="External"/><Relationship Id="rId160" Type="http://schemas.openxmlformats.org/officeDocument/2006/relationships/hyperlink" Target="http://www.threeriversenergyllc.com/" TargetMode="External"/><Relationship Id="rId181" Type="http://schemas.openxmlformats.org/officeDocument/2006/relationships/hyperlink" Target="https://www.white-energy.com/" TargetMode="External"/><Relationship Id="rId22" Type="http://schemas.openxmlformats.org/officeDocument/2006/relationships/hyperlink" Target="https://www.bigriverresources.com/" TargetMode="External"/><Relationship Id="rId43" Type="http://schemas.openxmlformats.org/officeDocument/2006/relationships/hyperlink" Target="http://www.cornlp.com/" TargetMode="External"/><Relationship Id="rId64" Type="http://schemas.openxmlformats.org/officeDocument/2006/relationships/hyperlink" Target="https://gpreinc.com/" TargetMode="External"/><Relationship Id="rId118" Type="http://schemas.openxmlformats.org/officeDocument/2006/relationships/hyperlink" Target="https://poet.com/" TargetMode="External"/><Relationship Id="rId139" Type="http://schemas.openxmlformats.org/officeDocument/2006/relationships/hyperlink" Target="http://www.prattenergy.com/" TargetMode="External"/><Relationship Id="rId85" Type="http://schemas.openxmlformats.org/officeDocument/2006/relationships/hyperlink" Target="http://www.ibecethanol.com/" TargetMode="External"/><Relationship Id="rId150" Type="http://schemas.openxmlformats.org/officeDocument/2006/relationships/hyperlink" Target="https://siouxlandethanol.com/" TargetMode="External"/><Relationship Id="rId171" Type="http://schemas.openxmlformats.org/officeDocument/2006/relationships/hyperlink" Target="https://www.valero.com/renewables/ethanol" TargetMode="External"/><Relationship Id="rId12" Type="http://schemas.openxmlformats.org/officeDocument/2006/relationships/hyperlink" Target="https://www.adm.com/" TargetMode="External"/><Relationship Id="rId33" Type="http://schemas.openxmlformats.org/officeDocument/2006/relationships/hyperlink" Target="https://www.cargill.com/home" TargetMode="External"/><Relationship Id="rId108" Type="http://schemas.openxmlformats.org/officeDocument/2006/relationships/hyperlink" Target="https://poet.com/" TargetMode="External"/><Relationship Id="rId129" Type="http://schemas.openxmlformats.org/officeDocument/2006/relationships/hyperlink" Target="https://poet.com/" TargetMode="External"/><Relationship Id="rId54" Type="http://schemas.openxmlformats.org/officeDocument/2006/relationships/hyperlink" Target="http://www.glaciallakesenergy.com/index.htm" TargetMode="External"/><Relationship Id="rId75" Type="http://schemas.openxmlformats.org/officeDocument/2006/relationships/hyperlink" Target="https://www.hankinsonre.com/janesville" TargetMode="External"/><Relationship Id="rId96" Type="http://schemas.openxmlformats.org/officeDocument/2006/relationships/hyperlink" Target="https://www.mgpingredients.com/" TargetMode="External"/><Relationship Id="rId140" Type="http://schemas.openxmlformats.org/officeDocument/2006/relationships/hyperlink" Target="https://www.purefield.com/" TargetMode="External"/><Relationship Id="rId161" Type="http://schemas.openxmlformats.org/officeDocument/2006/relationships/hyperlink" Target="http://www.trentonagriproducts.com/" TargetMode="External"/><Relationship Id="rId182" Type="http://schemas.openxmlformats.org/officeDocument/2006/relationships/hyperlink" Target="http://www.yumaethanol.com/index.cfm?show=10&amp;mid=28" TargetMode="External"/><Relationship Id="rId6" Type="http://schemas.openxmlformats.org/officeDocument/2006/relationships/hyperlink" Target="https://www.altoingredients.com/" TargetMode="External"/><Relationship Id="rId23" Type="http://schemas.openxmlformats.org/officeDocument/2006/relationships/hyperlink" Target="https://www.bigriverresources.com/" TargetMode="External"/><Relationship Id="rId119" Type="http://schemas.openxmlformats.org/officeDocument/2006/relationships/hyperlink" Target="https://poet.com/" TargetMode="External"/><Relationship Id="rId44" Type="http://schemas.openxmlformats.org/officeDocument/2006/relationships/hyperlink" Target="https://www.dakotaethanol.com/" TargetMode="External"/><Relationship Id="rId65" Type="http://schemas.openxmlformats.org/officeDocument/2006/relationships/hyperlink" Target="https://gpreinc.com/" TargetMode="External"/><Relationship Id="rId86" Type="http://schemas.openxmlformats.org/officeDocument/2006/relationships/hyperlink" Target="https://kaapaethanolcommodities.com/" TargetMode="External"/><Relationship Id="rId130" Type="http://schemas.openxmlformats.org/officeDocument/2006/relationships/hyperlink" Target="https://poet.com/" TargetMode="External"/><Relationship Id="rId151" Type="http://schemas.openxmlformats.org/officeDocument/2006/relationships/hyperlink" Target="http://www.southbendethanol.com/" TargetMode="External"/><Relationship Id="rId172" Type="http://schemas.openxmlformats.org/officeDocument/2006/relationships/hyperlink" Target="https://www.valero.com/renewables/ethanol" TargetMode="External"/><Relationship Id="rId13" Type="http://schemas.openxmlformats.org/officeDocument/2006/relationships/hyperlink" Target="https://www.adm.com/" TargetMode="External"/><Relationship Id="rId18" Type="http://schemas.openxmlformats.org/officeDocument/2006/relationships/hyperlink" Target="https://www.conestogaenergy.com/" TargetMode="External"/><Relationship Id="rId39" Type="http://schemas.openxmlformats.org/officeDocument/2006/relationships/hyperlink" Target="https://www.chsinc.com/our-businesses/renewable-fuels" TargetMode="External"/><Relationship Id="rId109" Type="http://schemas.openxmlformats.org/officeDocument/2006/relationships/hyperlink" Target="https://poet.com/" TargetMode="External"/><Relationship Id="rId34" Type="http://schemas.openxmlformats.org/officeDocument/2006/relationships/hyperlink" Target="https://www.cargill.com/home" TargetMode="External"/><Relationship Id="rId50" Type="http://schemas.openxmlformats.org/officeDocument/2006/relationships/hyperlink" Target="https://ekaellc.com/" TargetMode="External"/><Relationship Id="rId55" Type="http://schemas.openxmlformats.org/officeDocument/2006/relationships/hyperlink" Target="http://www.glaciallakesenergy.com/index.htm" TargetMode="External"/><Relationship Id="rId76" Type="http://schemas.openxmlformats.org/officeDocument/2006/relationships/hyperlink" Target="https://www.hankinsonre.com/" TargetMode="External"/><Relationship Id="rId97" Type="http://schemas.openxmlformats.org/officeDocument/2006/relationships/hyperlink" Target="https://www.midmissourienergy.com/" TargetMode="External"/><Relationship Id="rId104" Type="http://schemas.openxmlformats.org/officeDocument/2006/relationships/hyperlink" Target="http://www.plymouth-energy.com/" TargetMode="External"/><Relationship Id="rId120" Type="http://schemas.openxmlformats.org/officeDocument/2006/relationships/hyperlink" Target="https://poet.com/" TargetMode="External"/><Relationship Id="rId125" Type="http://schemas.openxmlformats.org/officeDocument/2006/relationships/hyperlink" Target="https://www.valero.com/renewables/ethanol" TargetMode="External"/><Relationship Id="rId141" Type="http://schemas.openxmlformats.org/officeDocument/2006/relationships/hyperlink" Target="https://www.quad-county.com/" TargetMode="External"/><Relationship Id="rId146" Type="http://schemas.openxmlformats.org/officeDocument/2006/relationships/hyperlink" Target="https://ringneckenergy.com/" TargetMode="External"/><Relationship Id="rId167" Type="http://schemas.openxmlformats.org/officeDocument/2006/relationships/hyperlink" Target="https://www.valero.com/renewables/ethanol" TargetMode="External"/><Relationship Id="rId188" Type="http://schemas.openxmlformats.org/officeDocument/2006/relationships/printerSettings" Target="../printerSettings/printerSettings1.bin"/><Relationship Id="rId7" Type="http://schemas.openxmlformats.org/officeDocument/2006/relationships/hyperlink" Target="https://www.altoingredients.com/" TargetMode="External"/><Relationship Id="rId71" Type="http://schemas.openxmlformats.org/officeDocument/2006/relationships/hyperlink" Target="https://gpreinc.com/" TargetMode="External"/><Relationship Id="rId92" Type="http://schemas.openxmlformats.org/officeDocument/2006/relationships/hyperlink" Target="https://www.littlesiouxcornprocessors.com/" TargetMode="External"/><Relationship Id="rId162" Type="http://schemas.openxmlformats.org/officeDocument/2006/relationships/hyperlink" Target="https://www.unitedethanol.com/" TargetMode="External"/><Relationship Id="rId183" Type="http://schemas.openxmlformats.org/officeDocument/2006/relationships/hyperlink" Target="https://www.clonbio.com/" TargetMode="External"/><Relationship Id="rId2" Type="http://schemas.openxmlformats.org/officeDocument/2006/relationships/hyperlink" Target="https://www.aceethanol.com/" TargetMode="External"/><Relationship Id="rId29" Type="http://schemas.openxmlformats.org/officeDocument/2006/relationships/hyperlink" Target="https://www.calgren.com/" TargetMode="External"/><Relationship Id="rId24" Type="http://schemas.openxmlformats.org/officeDocument/2006/relationships/hyperlink" Target="https://www.biourja.com/" TargetMode="External"/><Relationship Id="rId40" Type="http://schemas.openxmlformats.org/officeDocument/2006/relationships/hyperlink" Target="https://www.cie.us/" TargetMode="External"/><Relationship Id="rId45" Type="http://schemas.openxmlformats.org/officeDocument/2006/relationships/hyperlink" Target="https://www.midwestagenergy.com/fccp-dakota-spirit-19635" TargetMode="External"/><Relationship Id="rId66" Type="http://schemas.openxmlformats.org/officeDocument/2006/relationships/hyperlink" Target="https://gpreinc.com/" TargetMode="External"/><Relationship Id="rId87" Type="http://schemas.openxmlformats.org/officeDocument/2006/relationships/hyperlink" Target="https://kaapaethanolcommodities.com/" TargetMode="External"/><Relationship Id="rId110" Type="http://schemas.openxmlformats.org/officeDocument/2006/relationships/hyperlink" Target="https://poet.com/" TargetMode="External"/><Relationship Id="rId115" Type="http://schemas.openxmlformats.org/officeDocument/2006/relationships/hyperlink" Target="https://poet.com/" TargetMode="External"/><Relationship Id="rId131" Type="http://schemas.openxmlformats.org/officeDocument/2006/relationships/hyperlink" Target="https://poet.com/" TargetMode="External"/><Relationship Id="rId136" Type="http://schemas.openxmlformats.org/officeDocument/2006/relationships/hyperlink" Target="https://poet.com/" TargetMode="External"/><Relationship Id="rId157" Type="http://schemas.openxmlformats.org/officeDocument/2006/relationships/hyperlink" Target="https://www.andersonsinc.com/" TargetMode="External"/><Relationship Id="rId178" Type="http://schemas.openxmlformats.org/officeDocument/2006/relationships/hyperlink" Target="https://www.wnyenergy.com/" TargetMode="External"/><Relationship Id="rId61" Type="http://schemas.openxmlformats.org/officeDocument/2006/relationships/hyperlink" Target="http://www.granitefallsenergy.com/" TargetMode="External"/><Relationship Id="rId82" Type="http://schemas.openxmlformats.org/officeDocument/2006/relationships/hyperlink" Target="https://www.homelandenergysolutions.com/" TargetMode="External"/><Relationship Id="rId152" Type="http://schemas.openxmlformats.org/officeDocument/2006/relationships/hyperlink" Target="http://www.sireethanol.com/index.cfm?show=10&amp;mid=15" TargetMode="External"/><Relationship Id="rId173" Type="http://schemas.openxmlformats.org/officeDocument/2006/relationships/hyperlink" Target="https://www.valero.com/renewables/ethanol" TargetMode="External"/><Relationship Id="rId19" Type="http://schemas.openxmlformats.org/officeDocument/2006/relationships/hyperlink" Target="https://badgerstateethanol.com/" TargetMode="External"/><Relationship Id="rId14" Type="http://schemas.openxmlformats.org/officeDocument/2006/relationships/hyperlink" Target="https://www.adm.com/" TargetMode="External"/><Relationship Id="rId30" Type="http://schemas.openxmlformats.org/officeDocument/2006/relationships/hyperlink" Target="https://cgbioenergy.com/" TargetMode="External"/><Relationship Id="rId35" Type="http://schemas.openxmlformats.org/officeDocument/2006/relationships/hyperlink" Target="https://chiefethanol.com/" TargetMode="External"/><Relationship Id="rId56" Type="http://schemas.openxmlformats.org/officeDocument/2006/relationships/hyperlink" Target="http://www.glaciallakesenergy.com/index.htm" TargetMode="External"/><Relationship Id="rId77" Type="http://schemas.openxmlformats.org/officeDocument/2006/relationships/hyperlink" Target="https://www.guardianlima.com/lima" TargetMode="External"/><Relationship Id="rId100" Type="http://schemas.openxmlformats.org/officeDocument/2006/relationships/hyperlink" Target="https://www.rexamerican.com/" TargetMode="External"/><Relationship Id="rId105" Type="http://schemas.openxmlformats.org/officeDocument/2006/relationships/hyperlink" Target="https://poet.com/" TargetMode="External"/><Relationship Id="rId126" Type="http://schemas.openxmlformats.org/officeDocument/2006/relationships/hyperlink" Target="https://poet.com/" TargetMode="External"/><Relationship Id="rId147" Type="http://schemas.openxmlformats.org/officeDocument/2006/relationships/hyperlink" Target="https://seaboardenergy.com/" TargetMode="External"/><Relationship Id="rId168" Type="http://schemas.openxmlformats.org/officeDocument/2006/relationships/hyperlink" Target="https://www.valero.com/renewables/ethanol" TargetMode="External"/><Relationship Id="rId8" Type="http://schemas.openxmlformats.org/officeDocument/2006/relationships/hyperlink" Target="https://www.altoingredients.com/" TargetMode="External"/><Relationship Id="rId51" Type="http://schemas.openxmlformats.org/officeDocument/2006/relationships/hyperlink" Target="https://www.eliteoctane.net/" TargetMode="External"/><Relationship Id="rId72" Type="http://schemas.openxmlformats.org/officeDocument/2006/relationships/hyperlink" Target="https://gpreinc.com/" TargetMode="External"/><Relationship Id="rId93" Type="http://schemas.openxmlformats.org/officeDocument/2006/relationships/hyperlink" Target="https://www.ldc.com/us/en/our-facilities/grand-junction-ia/" TargetMode="External"/><Relationship Id="rId98" Type="http://schemas.openxmlformats.org/officeDocument/2006/relationships/hyperlink" Target="https://www.mre-ethanol.com/" TargetMode="External"/><Relationship Id="rId121" Type="http://schemas.openxmlformats.org/officeDocument/2006/relationships/hyperlink" Target="https://poet.com/" TargetMode="External"/><Relationship Id="rId142" Type="http://schemas.openxmlformats.org/officeDocument/2006/relationships/hyperlink" Target="http://www.redriverenergy.com/" TargetMode="External"/><Relationship Id="rId163" Type="http://schemas.openxmlformats.org/officeDocument/2006/relationships/hyperlink" Target="https://www.uwgp.com/" TargetMode="External"/><Relationship Id="rId184" Type="http://schemas.openxmlformats.org/officeDocument/2006/relationships/hyperlink" Target="https://www.andersonsinc.com/" TargetMode="External"/><Relationship Id="rId3" Type="http://schemas.openxmlformats.org/officeDocument/2006/relationships/hyperlink" Target="https://www.adkinsenergy.com/" TargetMode="External"/><Relationship Id="rId25" Type="http://schemas.openxmlformats.org/officeDocument/2006/relationships/hyperlink" Target="https://www.midwestagenergy.com/fccp-blue-flint-19634" TargetMode="External"/><Relationship Id="rId46" Type="http://schemas.openxmlformats.org/officeDocument/2006/relationships/hyperlink" Target="http://www.dencollc.com/" TargetMode="External"/><Relationship Id="rId67" Type="http://schemas.openxmlformats.org/officeDocument/2006/relationships/hyperlink" Target="https://gpreinc.com/" TargetMode="External"/><Relationship Id="rId116" Type="http://schemas.openxmlformats.org/officeDocument/2006/relationships/hyperlink" Target="https://poet.com/" TargetMode="External"/><Relationship Id="rId137" Type="http://schemas.openxmlformats.org/officeDocument/2006/relationships/hyperlink" Target="https://poet.com/" TargetMode="External"/><Relationship Id="rId158" Type="http://schemas.openxmlformats.org/officeDocument/2006/relationships/hyperlink" Target="https://www.andersonsinc.com/" TargetMode="External"/><Relationship Id="rId20" Type="http://schemas.openxmlformats.org/officeDocument/2006/relationships/hyperlink" Target="https://www.bigriverresources.com/" TargetMode="External"/><Relationship Id="rId41" Type="http://schemas.openxmlformats.org/officeDocument/2006/relationships/hyperlink" Target="https://www.cie.us/" TargetMode="External"/><Relationship Id="rId62" Type="http://schemas.openxmlformats.org/officeDocument/2006/relationships/hyperlink" Target="https://gpreinc.com/" TargetMode="External"/><Relationship Id="rId83" Type="http://schemas.openxmlformats.org/officeDocument/2006/relationships/hyperlink" Target="https://huskerag.com/" TargetMode="External"/><Relationship Id="rId88" Type="http://schemas.openxmlformats.org/officeDocument/2006/relationships/hyperlink" Target="https://auroracoop.com/" TargetMode="External"/><Relationship Id="rId111" Type="http://schemas.openxmlformats.org/officeDocument/2006/relationships/hyperlink" Target="https://poet.com/" TargetMode="External"/><Relationship Id="rId132" Type="http://schemas.openxmlformats.org/officeDocument/2006/relationships/hyperlink" Target="https://poet.com/" TargetMode="External"/><Relationship Id="rId153" Type="http://schemas.openxmlformats.org/officeDocument/2006/relationships/hyperlink" Target="http://www.sterlingethanol.com/index.cfm?show=10&amp;mid=31" TargetMode="External"/><Relationship Id="rId174" Type="http://schemas.openxmlformats.org/officeDocument/2006/relationships/hyperlink" Target="https://www.valero.com/renewables/ethanol" TargetMode="External"/><Relationship Id="rId179" Type="http://schemas.openxmlformats.org/officeDocument/2006/relationships/hyperlink" Target="http://wpellc.com/" TargetMode="External"/><Relationship Id="rId15" Type="http://schemas.openxmlformats.org/officeDocument/2006/relationships/hyperlink" Target="https://www.adm.com/" TargetMode="External"/><Relationship Id="rId36" Type="http://schemas.openxmlformats.org/officeDocument/2006/relationships/hyperlink" Target="https://chiefethanol.com/" TargetMode="External"/><Relationship Id="rId57" Type="http://schemas.openxmlformats.org/officeDocument/2006/relationships/hyperlink" Target="http://www.glaciallakesenergy.com/index.htm" TargetMode="External"/><Relationship Id="rId106" Type="http://schemas.openxmlformats.org/officeDocument/2006/relationships/hyperlink" Target="https://poet.com/" TargetMode="External"/><Relationship Id="rId127" Type="http://schemas.openxmlformats.org/officeDocument/2006/relationships/hyperlink" Target="https://poet.com/" TargetMode="External"/><Relationship Id="rId10" Type="http://schemas.openxmlformats.org/officeDocument/2006/relationships/hyperlink" Target="https://www.altoingredients.com/" TargetMode="External"/><Relationship Id="rId31" Type="http://schemas.openxmlformats.org/officeDocument/2006/relationships/hyperlink" Target="https://www.cardinalethanol.com/" TargetMode="External"/><Relationship Id="rId52" Type="http://schemas.openxmlformats.org/officeDocument/2006/relationships/hyperlink" Target="https://www.frvethanol.com/" TargetMode="External"/><Relationship Id="rId73" Type="http://schemas.openxmlformats.org/officeDocument/2006/relationships/hyperlink" Target="https://www.greenamericabiofuels.com/" TargetMode="External"/><Relationship Id="rId78" Type="http://schemas.openxmlformats.org/officeDocument/2006/relationships/hyperlink" Target="https://www.heartlandcorn.com/" TargetMode="External"/><Relationship Id="rId94" Type="http://schemas.openxmlformats.org/officeDocument/2006/relationships/hyperlink" Target="http://www.marquisgrain.com/index.cfm?show=10&amp;mid=3" TargetMode="External"/><Relationship Id="rId99" Type="http://schemas.openxmlformats.org/officeDocument/2006/relationships/hyperlink" Target="https://www.nebraskacornprocessing.com/" TargetMode="External"/><Relationship Id="rId101" Type="http://schemas.openxmlformats.org/officeDocument/2006/relationships/hyperlink" Target="https://www.rexamerican.com/" TargetMode="External"/><Relationship Id="rId122" Type="http://schemas.openxmlformats.org/officeDocument/2006/relationships/hyperlink" Target="https://poet.com/" TargetMode="External"/><Relationship Id="rId143" Type="http://schemas.openxmlformats.org/officeDocument/2006/relationships/hyperlink" Target="https://redtrailenergy.com/" TargetMode="External"/><Relationship Id="rId148" Type="http://schemas.openxmlformats.org/officeDocument/2006/relationships/hyperlink" Target="https://www.smealcohol.com/" TargetMode="External"/><Relationship Id="rId164" Type="http://schemas.openxmlformats.org/officeDocument/2006/relationships/hyperlink" Target="https://www.valero.com/renewables/ethanol" TargetMode="External"/><Relationship Id="rId169" Type="http://schemas.openxmlformats.org/officeDocument/2006/relationships/hyperlink" Target="https://www.valero.com/renewables/ethanol" TargetMode="External"/><Relationship Id="rId185" Type="http://schemas.openxmlformats.org/officeDocument/2006/relationships/hyperlink" Target="https://gevo.com/" TargetMode="External"/><Relationship Id="rId4" Type="http://schemas.openxmlformats.org/officeDocument/2006/relationships/hyperlink" Target="https://www.aemetis.com/" TargetMode="External"/><Relationship Id="rId9" Type="http://schemas.openxmlformats.org/officeDocument/2006/relationships/hyperlink" Target="https://www.altoingredients.com/" TargetMode="External"/><Relationship Id="rId180" Type="http://schemas.openxmlformats.org/officeDocument/2006/relationships/hyperlink" Target="https://www.white-energy.com/" TargetMode="External"/><Relationship Id="rId26" Type="http://schemas.openxmlformats.org/officeDocument/2006/relationships/hyperlink" Target="https://www.conestogaenergy.com/" TargetMode="External"/><Relationship Id="rId47" Type="http://schemas.openxmlformats.org/officeDocument/2006/relationships/hyperlink" Target="https://www.conestogaenergy.com/" TargetMode="External"/><Relationship Id="rId68" Type="http://schemas.openxmlformats.org/officeDocument/2006/relationships/hyperlink" Target="https://gpreinc.com/" TargetMode="External"/><Relationship Id="rId89" Type="http://schemas.openxmlformats.org/officeDocument/2006/relationships/hyperlink" Target="http://www.kansasethanol.net/" TargetMode="External"/><Relationship Id="rId112" Type="http://schemas.openxmlformats.org/officeDocument/2006/relationships/hyperlink" Target="https://poet.com/" TargetMode="External"/><Relationship Id="rId133" Type="http://schemas.openxmlformats.org/officeDocument/2006/relationships/hyperlink" Target="https://poet.com/" TargetMode="External"/><Relationship Id="rId154" Type="http://schemas.openxmlformats.org/officeDocument/2006/relationships/hyperlink" Target="https://www.tateandlyle.com/" TargetMode="External"/><Relationship Id="rId175" Type="http://schemas.openxmlformats.org/officeDocument/2006/relationships/hyperlink" Target="https://www.valero.com/renewables/ethanol" TargetMode="External"/><Relationship Id="rId16" Type="http://schemas.openxmlformats.org/officeDocument/2006/relationships/hyperlink" Target="https://www.adm.com/" TargetMode="External"/><Relationship Id="rId37" Type="http://schemas.openxmlformats.org/officeDocument/2006/relationships/hyperlink" Target="http://cvec.com/" TargetMode="External"/><Relationship Id="rId58" Type="http://schemas.openxmlformats.org/officeDocument/2006/relationships/hyperlink" Target="https://ggecorn.com/" TargetMode="External"/><Relationship Id="rId79" Type="http://schemas.openxmlformats.org/officeDocument/2006/relationships/hyperlink" Target="https://www.herefordethanol.com/hereford-ethanol-plant/" TargetMode="External"/><Relationship Id="rId102" Type="http://schemas.openxmlformats.org/officeDocument/2006/relationships/hyperlink" Target="https://www.pagrain.com/" TargetMode="External"/><Relationship Id="rId123" Type="http://schemas.openxmlformats.org/officeDocument/2006/relationships/hyperlink" Target="https://poet.com/" TargetMode="External"/><Relationship Id="rId144" Type="http://schemas.openxmlformats.org/officeDocument/2006/relationships/hyperlink" Target="https://redfieldenergy.com/" TargetMode="External"/><Relationship Id="rId90" Type="http://schemas.openxmlformats.org/officeDocument/2006/relationships/hyperlink" Target="https://www.lincolnlandagrienergy.com/" TargetMode="External"/><Relationship Id="rId165" Type="http://schemas.openxmlformats.org/officeDocument/2006/relationships/hyperlink" Target="https://www.valero.com/renewables/ethanol" TargetMode="External"/><Relationship Id="rId186" Type="http://schemas.openxmlformats.org/officeDocument/2006/relationships/hyperlink" Target="https://www.redriverbiorefinery.com/" TargetMode="External"/><Relationship Id="rId27" Type="http://schemas.openxmlformats.org/officeDocument/2006/relationships/hyperlink" Target="http://www.bridgeportethanol.com/index.cfm?show=10&amp;mid=29" TargetMode="External"/><Relationship Id="rId48" Type="http://schemas.openxmlformats.org/officeDocument/2006/relationships/hyperlink" Target="https://didioninc.com/" TargetMode="External"/><Relationship Id="rId69" Type="http://schemas.openxmlformats.org/officeDocument/2006/relationships/hyperlink" Target="https://gpreinc.com/" TargetMode="External"/><Relationship Id="rId113" Type="http://schemas.openxmlformats.org/officeDocument/2006/relationships/hyperlink" Target="https://poet.com/" TargetMode="External"/><Relationship Id="rId134" Type="http://schemas.openxmlformats.org/officeDocument/2006/relationships/hyperlink" Target="https://poet.com/" TargetMode="External"/><Relationship Id="rId80" Type="http://schemas.openxmlformats.org/officeDocument/2006/relationships/hyperlink" Target="http://www.heronlakebioenergy.com/" TargetMode="External"/><Relationship Id="rId155" Type="http://schemas.openxmlformats.org/officeDocument/2006/relationships/hyperlink" Target="https://www.tharaldsonethanol.com/" TargetMode="External"/><Relationship Id="rId176" Type="http://schemas.openxmlformats.org/officeDocument/2006/relationships/hyperlink" Target="https://www.valero.com/renewables/ethanol" TargetMode="External"/><Relationship Id="rId17" Type="http://schemas.openxmlformats.org/officeDocument/2006/relationships/hyperlink" Target="https://www.adm.com/" TargetMode="External"/><Relationship Id="rId38" Type="http://schemas.openxmlformats.org/officeDocument/2006/relationships/hyperlink" Target="https://www.chsinc.com/our-businesses/renewable-fuels" TargetMode="External"/><Relationship Id="rId59" Type="http://schemas.openxmlformats.org/officeDocument/2006/relationships/hyperlink" Target="https://www.grainprocessing.com/" TargetMode="External"/><Relationship Id="rId103" Type="http://schemas.openxmlformats.org/officeDocument/2006/relationships/hyperlink" Target="http://www.pinalenergyllc.com/" TargetMode="External"/><Relationship Id="rId124" Type="http://schemas.openxmlformats.org/officeDocument/2006/relationships/hyperlink" Target="https://poet.com/" TargetMode="External"/><Relationship Id="rId70" Type="http://schemas.openxmlformats.org/officeDocument/2006/relationships/hyperlink" Target="https://gpreinc.com/" TargetMode="External"/><Relationship Id="rId91" Type="http://schemas.openxmlformats.org/officeDocument/2006/relationships/hyperlink" Target="https://lincolnwayenergy.com/" TargetMode="External"/><Relationship Id="rId145" Type="http://schemas.openxmlformats.org/officeDocument/2006/relationships/hyperlink" Target="https://www.katzen.com/projectshowcase.aspx?p=93" TargetMode="External"/><Relationship Id="rId166" Type="http://schemas.openxmlformats.org/officeDocument/2006/relationships/hyperlink" Target="https://www.valero.com/renewables/ethanol" TargetMode="External"/><Relationship Id="rId187" Type="http://schemas.openxmlformats.org/officeDocument/2006/relationships/hyperlink" Target="http://tytonbiofuels.com/" TargetMode="External"/><Relationship Id="rId1" Type="http://schemas.openxmlformats.org/officeDocument/2006/relationships/hyperlink" Target="https://absenergy.org/" TargetMode="External"/><Relationship Id="rId28" Type="http://schemas.openxmlformats.org/officeDocument/2006/relationships/hyperlink" Target="https://bushmillsethanol.com/" TargetMode="External"/><Relationship Id="rId49" Type="http://schemas.openxmlformats.org/officeDocument/2006/relationships/hyperlink" Target="http://www.eenergyadams.com/" TargetMode="External"/><Relationship Id="rId114" Type="http://schemas.openxmlformats.org/officeDocument/2006/relationships/hyperlink" Target="https://poet.com/" TargetMode="External"/><Relationship Id="rId60" Type="http://schemas.openxmlformats.org/officeDocument/2006/relationships/hyperlink" Target="https://www.grainprocessing.com/" TargetMode="External"/><Relationship Id="rId81" Type="http://schemas.openxmlformats.org/officeDocument/2006/relationships/hyperlink" Target="http://www.highwaterethanol.com/" TargetMode="External"/><Relationship Id="rId135" Type="http://schemas.openxmlformats.org/officeDocument/2006/relationships/hyperlink" Target="https://poet.com/" TargetMode="External"/><Relationship Id="rId156" Type="http://schemas.openxmlformats.org/officeDocument/2006/relationships/hyperlink" Target="https://www.andersonsinc.com/" TargetMode="External"/><Relationship Id="rId177" Type="http://schemas.openxmlformats.org/officeDocument/2006/relationships/hyperlink" Target="https://po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60D24-007B-40E1-9B99-8F00163437FC}">
  <sheetPr>
    <tabColor theme="0" tint="-4.9989318521683403E-2"/>
  </sheetPr>
  <dimension ref="A1:BL1048575"/>
  <sheetViews>
    <sheetView zoomScale="90" zoomScaleNormal="90" workbookViewId="0">
      <pane xSplit="5" ySplit="1" topLeftCell="H2" activePane="bottomRight" state="frozen"/>
      <selection pane="topRight" activeCell="F1" sqref="F1"/>
      <selection pane="bottomLeft" activeCell="A4" sqref="A4"/>
      <selection pane="bottomRight" activeCell="P2" sqref="P2"/>
    </sheetView>
  </sheetViews>
  <sheetFormatPr defaultColWidth="9.109375" defaultRowHeight="15.75" customHeight="1" outlineLevelCol="1" x14ac:dyDescent="0.3"/>
  <cols>
    <col min="1" max="1" width="8.109375" style="7" hidden="1" customWidth="1"/>
    <col min="2" max="2" width="8.6640625" style="7" hidden="1" customWidth="1" outlineLevel="1"/>
    <col min="3" max="3" width="13" style="7" customWidth="1" outlineLevel="1"/>
    <col min="4" max="4" width="15.88671875" style="7" customWidth="1" outlineLevel="1"/>
    <col min="5" max="6" width="8.6640625" style="7" customWidth="1"/>
    <col min="7" max="7" width="23.21875" style="9" customWidth="1"/>
    <col min="8" max="8" width="41.44140625" style="9" customWidth="1"/>
    <col min="9" max="9" width="12.33203125" style="7" customWidth="1"/>
    <col min="10" max="10" width="13.6640625" customWidth="1"/>
    <col min="11" max="12" width="12" style="7" customWidth="1"/>
    <col min="13" max="13" width="7.44140625" style="7" customWidth="1"/>
    <col min="14" max="14" width="10.21875" style="20" customWidth="1"/>
    <col min="15" max="15" width="12" style="20" customWidth="1"/>
    <col min="16" max="16" width="9.5546875" style="7" customWidth="1"/>
    <col min="17" max="19" width="14.88671875" style="7" customWidth="1"/>
    <col min="20" max="20" width="17" style="7" customWidth="1"/>
    <col min="21" max="23" width="8.77734375" style="7" customWidth="1"/>
    <col min="24" max="25" width="18.44140625" style="7" customWidth="1"/>
    <col min="26" max="26" width="14.44140625" style="7" customWidth="1"/>
    <col min="27" max="27" width="8.6640625" style="7" customWidth="1"/>
    <col min="28" max="28" width="17" customWidth="1"/>
    <col min="29" max="29" width="4.44140625" customWidth="1"/>
    <col min="30" max="30" width="18.88671875" style="7" customWidth="1"/>
    <col min="31" max="31" width="7" style="7" customWidth="1"/>
    <col min="32" max="32" width="10.109375" style="37" customWidth="1" outlineLevel="1"/>
    <col min="33" max="33" width="8.44140625" style="37" customWidth="1" outlineLevel="1"/>
    <col min="34" max="35" width="10.109375" style="37" customWidth="1" outlineLevel="1"/>
    <col min="36" max="36" width="13.88671875" style="37" customWidth="1"/>
    <col min="37" max="37" width="11.5546875" style="37" customWidth="1"/>
    <col min="38" max="38" width="7.6640625" style="37" customWidth="1"/>
    <col min="39" max="45" width="11.5546875" style="37" customWidth="1"/>
    <col min="46" max="46" width="12.33203125" style="7" customWidth="1"/>
    <col min="47" max="48" width="11.5546875" style="7" customWidth="1"/>
    <col min="49" max="49" width="11.5546875" customWidth="1"/>
    <col min="50" max="50" width="25.88671875" customWidth="1"/>
    <col min="51" max="51" width="13.5546875" customWidth="1"/>
    <col min="52" max="52" width="8.6640625" style="7" customWidth="1"/>
    <col min="53" max="53" width="20.33203125" style="7" customWidth="1"/>
    <col min="54" max="54" width="11.21875" style="40" customWidth="1"/>
    <col min="55" max="55" width="12.33203125" customWidth="1"/>
    <col min="56" max="56" width="39.109375" customWidth="1"/>
    <col min="57" max="57" width="20.88671875" style="7" customWidth="1"/>
    <col min="58" max="58" width="10.6640625" style="7" hidden="1" customWidth="1"/>
    <col min="59" max="59" width="9.88671875" style="7" hidden="1" customWidth="1"/>
    <col min="60" max="61" width="10.6640625" style="7" hidden="1" customWidth="1"/>
    <col min="62" max="62" width="17.77734375" style="7" hidden="1" customWidth="1"/>
    <col min="63" max="63" width="10.6640625" style="7" hidden="1" customWidth="1"/>
    <col min="64" max="64" width="55" style="9" hidden="1" customWidth="1"/>
  </cols>
  <sheetData>
    <row r="1" spans="1:64" s="6" customFormat="1" ht="34.5" customHeight="1" x14ac:dyDescent="0.3">
      <c r="A1" s="2" t="s">
        <v>323</v>
      </c>
      <c r="B1" s="2" t="s">
        <v>324</v>
      </c>
      <c r="C1" s="2" t="s">
        <v>325</v>
      </c>
      <c r="D1" s="2" t="s">
        <v>326</v>
      </c>
      <c r="E1" s="2" t="s">
        <v>327</v>
      </c>
      <c r="F1" s="2" t="s">
        <v>328</v>
      </c>
      <c r="G1" s="3" t="s">
        <v>329</v>
      </c>
      <c r="H1" s="3" t="s">
        <v>330</v>
      </c>
      <c r="I1" s="2" t="s">
        <v>331</v>
      </c>
      <c r="J1" s="2" t="s">
        <v>332</v>
      </c>
      <c r="K1" s="2" t="s">
        <v>333</v>
      </c>
      <c r="L1" s="2" t="s">
        <v>334</v>
      </c>
      <c r="M1" s="2" t="s">
        <v>335</v>
      </c>
      <c r="N1" s="2" t="s">
        <v>336</v>
      </c>
      <c r="O1" s="2" t="s">
        <v>337</v>
      </c>
      <c r="P1" s="2" t="s">
        <v>338</v>
      </c>
      <c r="Q1" s="2" t="s">
        <v>339</v>
      </c>
      <c r="R1" s="2" t="s">
        <v>340</v>
      </c>
      <c r="S1" s="2" t="s">
        <v>341</v>
      </c>
      <c r="T1" s="2" t="s">
        <v>342</v>
      </c>
      <c r="U1" s="2" t="s">
        <v>343</v>
      </c>
      <c r="V1" s="2" t="s">
        <v>344</v>
      </c>
      <c r="W1" s="2" t="s">
        <v>345</v>
      </c>
      <c r="X1" s="2" t="s">
        <v>346</v>
      </c>
      <c r="Y1" s="2" t="s">
        <v>347</v>
      </c>
      <c r="Z1" s="2" t="s">
        <v>348</v>
      </c>
      <c r="AA1" s="2" t="s">
        <v>349</v>
      </c>
      <c r="AB1" s="2" t="s">
        <v>350</v>
      </c>
      <c r="AC1" s="2" t="s">
        <v>351</v>
      </c>
      <c r="AD1" s="4" t="s">
        <v>352</v>
      </c>
      <c r="AE1" s="2" t="s">
        <v>353</v>
      </c>
      <c r="AF1" s="2" t="s">
        <v>354</v>
      </c>
      <c r="AG1" s="2" t="s">
        <v>355</v>
      </c>
      <c r="AH1" s="2" t="s">
        <v>356</v>
      </c>
      <c r="AI1" s="2" t="s">
        <v>357</v>
      </c>
      <c r="AJ1" s="2" t="s">
        <v>358</v>
      </c>
      <c r="AK1" s="2" t="s">
        <v>359</v>
      </c>
      <c r="AL1" s="2" t="s">
        <v>360</v>
      </c>
      <c r="AM1" s="2" t="s">
        <v>361</v>
      </c>
      <c r="AN1" s="2" t="s">
        <v>362</v>
      </c>
      <c r="AO1" s="2" t="s">
        <v>363</v>
      </c>
      <c r="AP1" s="2" t="s">
        <v>364</v>
      </c>
      <c r="AQ1" s="2" t="s">
        <v>365</v>
      </c>
      <c r="AR1" s="2" t="s">
        <v>366</v>
      </c>
      <c r="AS1" s="5" t="s">
        <v>367</v>
      </c>
      <c r="AT1" s="2" t="s">
        <v>368</v>
      </c>
      <c r="AU1" s="4" t="s">
        <v>369</v>
      </c>
      <c r="AV1" s="4" t="s">
        <v>370</v>
      </c>
      <c r="AW1" s="2" t="s">
        <v>371</v>
      </c>
      <c r="AX1" s="2" t="s">
        <v>372</v>
      </c>
      <c r="AY1" s="2" t="s">
        <v>373</v>
      </c>
      <c r="AZ1" s="2" t="s">
        <v>374</v>
      </c>
      <c r="BA1" s="2" t="s">
        <v>375</v>
      </c>
      <c r="BB1" s="2" t="s">
        <v>376</v>
      </c>
      <c r="BC1" s="2" t="s">
        <v>377</v>
      </c>
      <c r="BD1" s="2" t="s">
        <v>378</v>
      </c>
      <c r="BE1" s="2" t="s">
        <v>379</v>
      </c>
      <c r="BF1" s="2" t="s">
        <v>380</v>
      </c>
      <c r="BG1" s="2" t="s">
        <v>381</v>
      </c>
      <c r="BH1" s="2" t="s">
        <v>382</v>
      </c>
      <c r="BI1" s="2" t="s">
        <v>383</v>
      </c>
      <c r="BJ1" s="2" t="s">
        <v>384</v>
      </c>
      <c r="BK1" s="2" t="s">
        <v>385</v>
      </c>
      <c r="BL1" s="2" t="s">
        <v>386</v>
      </c>
    </row>
    <row r="2" spans="1:64" ht="14.4" customHeight="1" x14ac:dyDescent="0.3">
      <c r="A2" s="7">
        <v>1</v>
      </c>
      <c r="B2" s="8">
        <v>5049</v>
      </c>
      <c r="C2" s="8">
        <v>70144</v>
      </c>
      <c r="D2" s="8">
        <v>3546</v>
      </c>
      <c r="E2" s="8">
        <v>3546</v>
      </c>
      <c r="F2" s="8" t="str">
        <f>IF(A2&gt;0,"Active","Retired")</f>
        <v>Active</v>
      </c>
      <c r="G2" s="9" t="s">
        <v>28</v>
      </c>
      <c r="H2" s="9" t="s">
        <v>28</v>
      </c>
      <c r="I2" s="10" t="s">
        <v>387</v>
      </c>
      <c r="J2" t="s">
        <v>30</v>
      </c>
      <c r="K2" s="7">
        <v>50472</v>
      </c>
      <c r="L2" s="7" t="s">
        <v>250</v>
      </c>
      <c r="M2" s="7">
        <v>2</v>
      </c>
      <c r="N2" s="11">
        <v>43.499510000000001</v>
      </c>
      <c r="O2" s="11">
        <v>-92.917090000000002</v>
      </c>
      <c r="P2" s="12">
        <v>2007</v>
      </c>
      <c r="Q2" s="12" t="s">
        <v>388</v>
      </c>
      <c r="R2" s="12">
        <f t="shared" ref="R2:R65" si="0">COUNTIF(G:G,"="&amp;G2)</f>
        <v>1</v>
      </c>
      <c r="S2" s="12" t="s">
        <v>389</v>
      </c>
      <c r="AB2" s="13" t="s">
        <v>390</v>
      </c>
      <c r="AC2" s="13" t="s">
        <v>391</v>
      </c>
      <c r="AD2" s="13" t="s">
        <v>378</v>
      </c>
      <c r="AE2" s="8" t="str">
        <f t="shared" ref="AE2:AE65" si="1">IF(BK2=1,"Low","High")</f>
        <v>High</v>
      </c>
      <c r="AF2" s="14">
        <v>150</v>
      </c>
      <c r="AG2" s="14">
        <v>110</v>
      </c>
      <c r="AH2" s="14" t="s">
        <v>392</v>
      </c>
      <c r="AI2" s="14"/>
      <c r="AJ2" s="15">
        <f>VLOOKUP(E2,'[1]Ethanol Plant Listing 2025'!$B$3:$E$220,4,FALSE)</f>
        <v>130</v>
      </c>
      <c r="AK2" s="14">
        <f>+AJ2*[1]Yield!$K$4</f>
        <v>123.5</v>
      </c>
      <c r="AL2" s="14">
        <f>AK2/VLOOKUP(Q2,[1]Yield!$E$5:$F$14,2,FALSE)</f>
        <v>41.864406779661017</v>
      </c>
      <c r="AM2" s="14"/>
      <c r="AN2" s="14"/>
      <c r="AO2" s="16">
        <f t="shared" ref="AO2:AO65" si="2">ROUND((+AL2*13.1*1000000)/2000,-3)</f>
        <v>274000</v>
      </c>
      <c r="AP2" s="16" t="s">
        <v>393</v>
      </c>
      <c r="AQ2" s="17" t="str">
        <f t="shared" ref="AQ2:AQ11" si="3">IF(G2="POET Biorefining",G2,IF(T2="FQPT HI Pro",T2,IF(Z2="ICM FOT",Z2,IF(Q2="ICM",Q2,IF(Q2="ADM",Q2,"None")))))</f>
        <v>ICM</v>
      </c>
      <c r="AR2" s="18">
        <f>VLOOKUP(AQ2,[1]Yield!$A$5:$B$10,2,FALSE)</f>
        <v>0.9</v>
      </c>
      <c r="AS2" s="14">
        <f t="shared" ref="AS2:AS65" si="4">(AL2)*AR2</f>
        <v>37.677966101694913</v>
      </c>
      <c r="AT2" s="8" t="s">
        <v>394</v>
      </c>
      <c r="AU2" s="8"/>
      <c r="AV2" s="8" t="s">
        <v>395</v>
      </c>
      <c r="AW2" s="13"/>
      <c r="AX2" s="8" t="str">
        <f>IFERROR(VLOOKUP(E2,[1]Sheet3!$C$2:$E$68,2,FALSE),"None")</f>
        <v>Summit Carbon Solutions</v>
      </c>
      <c r="AY2" s="8">
        <f>IFERROR(VLOOKUP(AX2,[1]Sheet3!$H$3:$I$5,2,FALSE),0)</f>
        <v>31</v>
      </c>
      <c r="AZ2" s="14">
        <f t="shared" ref="AZ2:AZ65" si="5">AJ2</f>
        <v>130</v>
      </c>
      <c r="BA2" s="14">
        <f t="shared" ref="BA2:BA65" si="6">+AJ2*6.85*0.48/2</f>
        <v>213.72</v>
      </c>
      <c r="BB2" s="12">
        <f>SUMIFS('[1]Corn 2023'!V:V,'[1]Corn 2023'!B:B,"=2023",'[1]Corn 2023'!L:L,"="&amp;'Corn Processors'!L2)</f>
        <v>151500</v>
      </c>
      <c r="BC2" s="7"/>
      <c r="BD2" s="19" t="s">
        <v>396</v>
      </c>
      <c r="BE2" s="7" t="s">
        <v>397</v>
      </c>
      <c r="BF2" s="7" t="s">
        <v>398</v>
      </c>
      <c r="BI2" s="7" t="s">
        <v>399</v>
      </c>
      <c r="BJ2" s="7" t="s">
        <v>400</v>
      </c>
      <c r="BK2" s="7">
        <f t="shared" ref="BK2:BK65" si="7">IF(M2=2,10,5)+IF(Q2="ICM",10,5)+IF(X2="Y",10,5)</f>
        <v>25</v>
      </c>
    </row>
    <row r="3" spans="1:64" ht="14.4" customHeight="1" x14ac:dyDescent="0.3">
      <c r="A3" s="7">
        <v>2</v>
      </c>
      <c r="B3" s="8"/>
      <c r="C3" s="8"/>
      <c r="D3" s="8">
        <v>2856</v>
      </c>
      <c r="E3" s="8">
        <v>3547</v>
      </c>
      <c r="F3" s="8" t="str">
        <f t="shared" ref="F3:F4" si="8">IF(A3&gt;0,"Active","Retired")</f>
        <v>Active</v>
      </c>
      <c r="G3" s="9" t="s">
        <v>401</v>
      </c>
      <c r="H3" s="9" t="str">
        <f>VLOOKUP(E3,'[1]EPA Ethanol Capacity 2024'!$B$5:$C$235,2,FALSE)</f>
        <v>Ace Ethanol LLC</v>
      </c>
      <c r="I3" s="8" t="s">
        <v>402</v>
      </c>
      <c r="J3" t="s">
        <v>403</v>
      </c>
      <c r="K3" s="7">
        <v>54768</v>
      </c>
      <c r="L3" s="7" t="s">
        <v>404</v>
      </c>
      <c r="M3" s="7">
        <v>2</v>
      </c>
      <c r="N3" s="20">
        <v>44.9589</v>
      </c>
      <c r="O3" s="11">
        <v>-90.960800000000006</v>
      </c>
      <c r="P3" s="12">
        <v>2001</v>
      </c>
      <c r="Q3" s="12" t="s">
        <v>405</v>
      </c>
      <c r="R3" s="12">
        <f t="shared" si="0"/>
        <v>2</v>
      </c>
      <c r="S3" s="12"/>
      <c r="X3" s="7" t="s">
        <v>406</v>
      </c>
      <c r="Z3" s="7" t="s">
        <v>407</v>
      </c>
      <c r="AB3" s="13" t="s">
        <v>390</v>
      </c>
      <c r="AC3" s="13" t="s">
        <v>408</v>
      </c>
      <c r="AD3" s="13" t="s">
        <v>378</v>
      </c>
      <c r="AE3" s="8" t="str">
        <f t="shared" si="1"/>
        <v>High</v>
      </c>
      <c r="AF3" s="14"/>
      <c r="AG3" s="14" t="s">
        <v>409</v>
      </c>
      <c r="AH3" s="14"/>
      <c r="AI3" s="14"/>
      <c r="AJ3" s="15">
        <f>VLOOKUP(E3,'[1]Ethanol Plant Listing 2025'!$B$3:$E$220,4,FALSE)</f>
        <v>52</v>
      </c>
      <c r="AK3" s="14">
        <f>+AJ3*[1]Yield!$K$4</f>
        <v>49.4</v>
      </c>
      <c r="AL3" s="14">
        <f>AK3/VLOOKUP(Q3,[1]Yield!$E$5:$F$14,2,FALSE)</f>
        <v>17.152777777777779</v>
      </c>
      <c r="AM3" s="14"/>
      <c r="AN3" s="14"/>
      <c r="AO3" s="16">
        <f t="shared" si="2"/>
        <v>112000</v>
      </c>
      <c r="AP3" s="16" t="s">
        <v>410</v>
      </c>
      <c r="AQ3" s="17" t="str">
        <f t="shared" si="3"/>
        <v>None</v>
      </c>
      <c r="AR3" s="18">
        <f>VLOOKUP(AQ3,[1]Yield!$A$5:$B$10,2,FALSE)</f>
        <v>0.81499999999999995</v>
      </c>
      <c r="AS3" s="14">
        <f t="shared" si="4"/>
        <v>13.979513888888889</v>
      </c>
      <c r="AT3" s="8" t="s">
        <v>411</v>
      </c>
      <c r="AX3" s="8"/>
      <c r="AY3" s="8">
        <f>IFERROR(VLOOKUP(AX3,[1]Sheet3!$H$3:$I$5,2,FALSE),0)</f>
        <v>0</v>
      </c>
      <c r="AZ3" s="14">
        <f t="shared" si="5"/>
        <v>52</v>
      </c>
      <c r="BA3" s="14">
        <f t="shared" si="6"/>
        <v>85.488</v>
      </c>
      <c r="BB3" s="12">
        <f>SUMIFS('[1]Corn 2023'!V:V,'[1]Corn 2023'!B:B,"=2023",'[1]Corn 2023'!L:L,"="&amp;'Corn Processors'!L3)</f>
        <v>0</v>
      </c>
      <c r="BC3" s="7"/>
      <c r="BD3" s="19" t="s">
        <v>412</v>
      </c>
      <c r="BE3" s="7" t="s">
        <v>413</v>
      </c>
      <c r="BF3" s="7" t="s">
        <v>414</v>
      </c>
      <c r="BI3" s="7" t="s">
        <v>399</v>
      </c>
      <c r="BJ3" s="7" t="s">
        <v>400</v>
      </c>
      <c r="BK3" s="7">
        <f t="shared" si="7"/>
        <v>20</v>
      </c>
    </row>
    <row r="4" spans="1:64" ht="14.4" customHeight="1" x14ac:dyDescent="0.3">
      <c r="A4" s="7">
        <v>3</v>
      </c>
      <c r="B4" s="8"/>
      <c r="C4" s="8"/>
      <c r="D4" s="8">
        <v>2857</v>
      </c>
      <c r="E4" s="8">
        <v>3548</v>
      </c>
      <c r="F4" s="8" t="str">
        <f t="shared" si="8"/>
        <v>Active</v>
      </c>
      <c r="G4" s="9" t="s">
        <v>415</v>
      </c>
      <c r="H4" s="9" t="str">
        <f>VLOOKUP(E4,'[1]EPA Ethanol Capacity 2024'!$B$5:$C$235,2,FALSE)</f>
        <v>Adkins Energy LLC</v>
      </c>
      <c r="I4" s="8" t="s">
        <v>416</v>
      </c>
      <c r="J4" t="s">
        <v>417</v>
      </c>
      <c r="K4" s="7">
        <v>61048</v>
      </c>
      <c r="L4" s="7" t="s">
        <v>418</v>
      </c>
      <c r="M4" s="7">
        <v>2</v>
      </c>
      <c r="N4" s="20">
        <v>42.358600000000003</v>
      </c>
      <c r="O4" s="11">
        <v>-89.803420000000003</v>
      </c>
      <c r="P4" s="12">
        <v>2002</v>
      </c>
      <c r="Q4" s="12" t="s">
        <v>388</v>
      </c>
      <c r="R4" s="12">
        <f t="shared" si="0"/>
        <v>1</v>
      </c>
      <c r="S4" s="12" t="s">
        <v>389</v>
      </c>
      <c r="U4" s="7" t="s">
        <v>343</v>
      </c>
      <c r="AB4" s="13" t="s">
        <v>390</v>
      </c>
      <c r="AC4" s="13" t="s">
        <v>391</v>
      </c>
      <c r="AD4" s="21" t="s">
        <v>419</v>
      </c>
      <c r="AE4" s="8" t="str">
        <f t="shared" si="1"/>
        <v>High</v>
      </c>
      <c r="AF4" s="14"/>
      <c r="AG4" s="14"/>
      <c r="AH4" s="14"/>
      <c r="AI4" s="14"/>
      <c r="AJ4" s="15">
        <f>VLOOKUP(E4,'[1]Ethanol Plant Listing 2025'!$B$3:$E$220,4,FALSE)</f>
        <v>60</v>
      </c>
      <c r="AK4" s="14">
        <f>+AJ4*[1]Yield!$K$4</f>
        <v>57</v>
      </c>
      <c r="AL4" s="14">
        <f>AK4/VLOOKUP(Q4,[1]Yield!$E$5:$F$14,2,FALSE)</f>
        <v>19.322033898305083</v>
      </c>
      <c r="AM4" s="14"/>
      <c r="AN4" s="14"/>
      <c r="AO4" s="16">
        <f t="shared" si="2"/>
        <v>127000</v>
      </c>
      <c r="AP4" s="16" t="s">
        <v>393</v>
      </c>
      <c r="AQ4" s="17" t="str">
        <f t="shared" si="3"/>
        <v>ICM</v>
      </c>
      <c r="AR4" s="18">
        <f>VLOOKUP(AQ4,[1]Yield!$A$5:$B$10,2,FALSE)</f>
        <v>0.9</v>
      </c>
      <c r="AS4" s="14">
        <f t="shared" si="4"/>
        <v>17.389830508474574</v>
      </c>
      <c r="AT4" s="8" t="s">
        <v>394</v>
      </c>
      <c r="AX4" s="8"/>
      <c r="AY4" s="8">
        <f>IFERROR(VLOOKUP(AX4,[1]Sheet3!$H$3:$I$5,2,FALSE),0)</f>
        <v>0</v>
      </c>
      <c r="AZ4" s="14">
        <f t="shared" si="5"/>
        <v>60</v>
      </c>
      <c r="BA4" s="14">
        <f t="shared" si="6"/>
        <v>98.64</v>
      </c>
      <c r="BB4" s="12">
        <f>SUMIFS('[1]Corn 2023'!V:V,'[1]Corn 2023'!B:B,"=2023",'[1]Corn 2023'!L:L,"="&amp;'Corn Processors'!L4)</f>
        <v>0</v>
      </c>
      <c r="BC4" s="7"/>
      <c r="BD4" s="19" t="s">
        <v>420</v>
      </c>
      <c r="BE4" s="7" t="s">
        <v>413</v>
      </c>
      <c r="BF4" s="7" t="s">
        <v>414</v>
      </c>
      <c r="BJ4" s="7" t="s">
        <v>400</v>
      </c>
      <c r="BK4" s="7">
        <f t="shared" si="7"/>
        <v>25</v>
      </c>
    </row>
    <row r="5" spans="1:64" ht="14.4" customHeight="1" x14ac:dyDescent="0.3">
      <c r="A5" s="7">
        <v>4</v>
      </c>
      <c r="B5" s="8">
        <v>3566</v>
      </c>
      <c r="C5" s="8">
        <v>70234</v>
      </c>
      <c r="D5" s="8">
        <v>3135</v>
      </c>
      <c r="E5" s="8">
        <v>3549</v>
      </c>
      <c r="F5" s="8" t="str">
        <f t="shared" ref="F5:F68" si="9">IF(A5&lt;300,"Active","Retired")</f>
        <v>Active</v>
      </c>
      <c r="G5" s="9" t="s">
        <v>421</v>
      </c>
      <c r="H5" s="9" t="str">
        <f>VLOOKUP(E5,'[1]EPA Ethanol Capacity 2024'!$B$5:$C$235,2,FALSE)</f>
        <v>Aemetis Advanced Fuels Keys Inc</v>
      </c>
      <c r="I5" s="8" t="s">
        <v>422</v>
      </c>
      <c r="J5" t="s">
        <v>423</v>
      </c>
      <c r="K5" s="7">
        <v>95307</v>
      </c>
      <c r="L5" s="7" t="s">
        <v>424</v>
      </c>
      <c r="M5" s="7">
        <v>5</v>
      </c>
      <c r="N5" s="20">
        <v>37.553007000000001</v>
      </c>
      <c r="O5" s="11">
        <v>-120.91647500000001</v>
      </c>
      <c r="P5" s="12">
        <v>2006</v>
      </c>
      <c r="Q5" s="12" t="s">
        <v>405</v>
      </c>
      <c r="R5" s="12">
        <f t="shared" si="0"/>
        <v>1</v>
      </c>
      <c r="S5" s="12"/>
      <c r="AB5" s="13" t="s">
        <v>425</v>
      </c>
      <c r="AC5" s="13" t="s">
        <v>426</v>
      </c>
      <c r="AD5" s="13" t="s">
        <v>378</v>
      </c>
      <c r="AE5" s="8" t="str">
        <f t="shared" si="1"/>
        <v>High</v>
      </c>
      <c r="AF5" s="14"/>
      <c r="AG5" s="14"/>
      <c r="AH5" s="14"/>
      <c r="AI5" s="14"/>
      <c r="AJ5" s="15">
        <f>VLOOKUP(E5,'[1]Ethanol Plant Listing 2025'!$B$3:$E$220,4,FALSE)</f>
        <v>70</v>
      </c>
      <c r="AK5" s="14">
        <f>+AJ5*[1]Yield!$K$4</f>
        <v>66.5</v>
      </c>
      <c r="AL5" s="14">
        <f>AK5/VLOOKUP(Q5,[1]Yield!$E$5:$F$14,2,FALSE)</f>
        <v>23.090277777777779</v>
      </c>
      <c r="AM5" s="14"/>
      <c r="AN5" s="14"/>
      <c r="AO5" s="16">
        <f t="shared" si="2"/>
        <v>151000</v>
      </c>
      <c r="AP5" s="16" t="s">
        <v>410</v>
      </c>
      <c r="AQ5" s="17" t="str">
        <f t="shared" si="3"/>
        <v>None</v>
      </c>
      <c r="AR5" s="18">
        <f>VLOOKUP(AQ5,[1]Yield!$A$5:$B$10,2,FALSE)</f>
        <v>0.81499999999999995</v>
      </c>
      <c r="AS5" s="14">
        <f t="shared" si="4"/>
        <v>18.818576388888889</v>
      </c>
      <c r="AT5" s="8" t="s">
        <v>394</v>
      </c>
      <c r="AX5" s="8"/>
      <c r="AY5" s="8">
        <f>IFERROR(VLOOKUP(AX5,[1]Sheet3!$H$3:$I$5,2,FALSE),0)</f>
        <v>0</v>
      </c>
      <c r="AZ5" s="14">
        <f t="shared" si="5"/>
        <v>70</v>
      </c>
      <c r="BA5" s="14">
        <f t="shared" si="6"/>
        <v>115.08</v>
      </c>
      <c r="BB5" s="12">
        <f>SUMIFS('[1]Corn 2023'!V:V,'[1]Corn 2023'!B:B,"=2023",'[1]Corn 2023'!L:L,"="&amp;'Corn Processors'!L5)</f>
        <v>0</v>
      </c>
      <c r="BC5" s="7"/>
      <c r="BD5" s="19" t="s">
        <v>427</v>
      </c>
      <c r="BE5" s="7" t="s">
        <v>428</v>
      </c>
      <c r="BF5" s="7" t="s">
        <v>414</v>
      </c>
      <c r="BJ5" s="7" t="s">
        <v>400</v>
      </c>
      <c r="BK5" s="7">
        <f t="shared" si="7"/>
        <v>15</v>
      </c>
    </row>
    <row r="6" spans="1:64" ht="14.4" customHeight="1" x14ac:dyDescent="0.3">
      <c r="A6" s="7">
        <v>5</v>
      </c>
      <c r="B6" s="8">
        <v>4825</v>
      </c>
      <c r="C6" s="8">
        <v>70087</v>
      </c>
      <c r="D6" s="8">
        <v>3136</v>
      </c>
      <c r="E6" s="8">
        <v>3550</v>
      </c>
      <c r="F6" s="8" t="str">
        <f t="shared" si="9"/>
        <v>Active</v>
      </c>
      <c r="G6" s="9" t="s">
        <v>39</v>
      </c>
      <c r="H6" s="9" t="str">
        <f>VLOOKUP(E6,'[1]EPA Ethanol Capacity 2024'!$B$5:$C$235,2,FALSE)</f>
        <v>Al-Corn Clean Fuel</v>
      </c>
      <c r="I6" s="8" t="s">
        <v>429</v>
      </c>
      <c r="J6" t="s">
        <v>41</v>
      </c>
      <c r="K6" s="7">
        <v>55924</v>
      </c>
      <c r="L6" s="7" t="s">
        <v>430</v>
      </c>
      <c r="M6" s="7">
        <v>2</v>
      </c>
      <c r="N6" s="20">
        <v>44.049411999999997</v>
      </c>
      <c r="O6" s="11">
        <v>-93.017379000000005</v>
      </c>
      <c r="P6" s="12">
        <v>1996</v>
      </c>
      <c r="Q6" s="12" t="s">
        <v>388</v>
      </c>
      <c r="R6" s="12">
        <f t="shared" si="0"/>
        <v>1</v>
      </c>
      <c r="S6" s="12" t="s">
        <v>389</v>
      </c>
      <c r="AB6" s="13" t="s">
        <v>390</v>
      </c>
      <c r="AC6" s="13" t="s">
        <v>391</v>
      </c>
      <c r="AD6" s="13" t="s">
        <v>378</v>
      </c>
      <c r="AE6" s="8" t="str">
        <f t="shared" si="1"/>
        <v>High</v>
      </c>
      <c r="AF6" s="14"/>
      <c r="AG6" s="14"/>
      <c r="AH6" s="14"/>
      <c r="AI6" s="14"/>
      <c r="AJ6" s="15">
        <f>VLOOKUP(E6,'[1]Ethanol Plant Listing 2025'!$B$3:$E$220,4,FALSE)</f>
        <v>130</v>
      </c>
      <c r="AK6" s="14">
        <f>+AJ6*[1]Yield!$K$4</f>
        <v>123.5</v>
      </c>
      <c r="AL6" s="14">
        <f>AK6/VLOOKUP(Q6,[1]Yield!$E$5:$F$14,2,FALSE)</f>
        <v>41.864406779661017</v>
      </c>
      <c r="AM6" s="14"/>
      <c r="AN6" s="14"/>
      <c r="AO6" s="16">
        <f t="shared" si="2"/>
        <v>274000</v>
      </c>
      <c r="AP6" s="16" t="s">
        <v>393</v>
      </c>
      <c r="AQ6" s="17" t="str">
        <f t="shared" si="3"/>
        <v>ICM</v>
      </c>
      <c r="AR6" s="18">
        <f>VLOOKUP(AQ6,[1]Yield!$A$5:$B$10,2,FALSE)</f>
        <v>0.9</v>
      </c>
      <c r="AS6" s="14">
        <f t="shared" si="4"/>
        <v>37.677966101694913</v>
      </c>
      <c r="AT6" s="8" t="s">
        <v>411</v>
      </c>
      <c r="AX6" s="8"/>
      <c r="AY6" s="8">
        <f>IFERROR(VLOOKUP(AX6,[1]Sheet3!$H$3:$I$5,2,FALSE),0)</f>
        <v>0</v>
      </c>
      <c r="AZ6" s="14">
        <f t="shared" si="5"/>
        <v>130</v>
      </c>
      <c r="BA6" s="14">
        <f t="shared" si="6"/>
        <v>213.72</v>
      </c>
      <c r="BB6" s="12">
        <f>SUMIFS('[1]Corn 2023'!V:V,'[1]Corn 2023'!B:B,"=2023",'[1]Corn 2023'!L:L,"="&amp;'Corn Processors'!L6)</f>
        <v>0</v>
      </c>
      <c r="BC6" s="7"/>
      <c r="BD6" s="19" t="s">
        <v>431</v>
      </c>
      <c r="BE6" s="7" t="s">
        <v>432</v>
      </c>
      <c r="BF6" s="7" t="s">
        <v>398</v>
      </c>
      <c r="BJ6" s="7" t="s">
        <v>400</v>
      </c>
      <c r="BK6" s="7">
        <f t="shared" si="7"/>
        <v>25</v>
      </c>
    </row>
    <row r="7" spans="1:64" ht="14.4" customHeight="1" x14ac:dyDescent="0.3">
      <c r="A7" s="7">
        <v>6</v>
      </c>
      <c r="B7" s="8"/>
      <c r="C7" s="8"/>
      <c r="D7" s="8">
        <v>3137</v>
      </c>
      <c r="E7" s="8">
        <v>3551</v>
      </c>
      <c r="F7" s="8" t="str">
        <f t="shared" si="9"/>
        <v>Active</v>
      </c>
      <c r="G7" s="9" t="s">
        <v>433</v>
      </c>
      <c r="H7" s="9" t="str">
        <f>VLOOKUP(E7,'[1]EPA Ethanol Capacity 2024'!$B$5:$C$235,2,FALSE)</f>
        <v>Alto Columbia LLC</v>
      </c>
      <c r="I7" s="8" t="s">
        <v>434</v>
      </c>
      <c r="J7" t="s">
        <v>435</v>
      </c>
      <c r="K7" s="7">
        <v>97818</v>
      </c>
      <c r="L7" s="7" t="s">
        <v>436</v>
      </c>
      <c r="M7" s="7">
        <v>5</v>
      </c>
      <c r="N7" s="20">
        <v>45.855921000000002</v>
      </c>
      <c r="O7" s="11">
        <v>-119.656083</v>
      </c>
      <c r="P7" s="12">
        <v>2007</v>
      </c>
      <c r="Q7" s="12" t="s">
        <v>405</v>
      </c>
      <c r="R7" s="12">
        <f t="shared" si="0"/>
        <v>5</v>
      </c>
      <c r="S7" s="12"/>
      <c r="AB7" s="13" t="s">
        <v>390</v>
      </c>
      <c r="AC7" s="13" t="s">
        <v>426</v>
      </c>
      <c r="AD7" s="13" t="s">
        <v>378</v>
      </c>
      <c r="AE7" s="8" t="str">
        <f t="shared" si="1"/>
        <v>High</v>
      </c>
      <c r="AF7" s="14"/>
      <c r="AG7" s="14"/>
      <c r="AH7" s="14"/>
      <c r="AI7" s="14"/>
      <c r="AJ7" s="15">
        <f>VLOOKUP(E7,'[1]Ethanol Plant Listing 2025'!$B$3:$E$220,4,FALSE)</f>
        <v>40</v>
      </c>
      <c r="AK7" s="14">
        <f>+AJ7*[1]Yield!$K$4</f>
        <v>38</v>
      </c>
      <c r="AL7" s="14">
        <f>AK7/VLOOKUP(Q7,[1]Yield!$E$5:$F$14,2,FALSE)</f>
        <v>13.194444444444445</v>
      </c>
      <c r="AM7" s="14"/>
      <c r="AN7" s="14"/>
      <c r="AO7" s="16">
        <f t="shared" si="2"/>
        <v>86000</v>
      </c>
      <c r="AP7" s="16" t="s">
        <v>410</v>
      </c>
      <c r="AQ7" s="17" t="str">
        <f t="shared" si="3"/>
        <v>None</v>
      </c>
      <c r="AR7" s="18">
        <f>VLOOKUP(AQ7,[1]Yield!$A$5:$B$10,2,FALSE)</f>
        <v>0.81499999999999995</v>
      </c>
      <c r="AS7" s="14">
        <f t="shared" si="4"/>
        <v>10.753472222222221</v>
      </c>
      <c r="AT7" s="8" t="s">
        <v>394</v>
      </c>
      <c r="AX7" s="8"/>
      <c r="AY7" s="8">
        <f>IFERROR(VLOOKUP(AX7,[1]Sheet3!$H$3:$I$5,2,FALSE),0)</f>
        <v>0</v>
      </c>
      <c r="AZ7" s="14">
        <f t="shared" si="5"/>
        <v>40</v>
      </c>
      <c r="BA7" s="14">
        <f t="shared" si="6"/>
        <v>65.759999999999991</v>
      </c>
      <c r="BB7" s="12">
        <f>SUMIFS('[1]Corn 2023'!V:V,'[1]Corn 2023'!B:B,"=2023",'[1]Corn 2023'!L:L,"="&amp;'Corn Processors'!L7)</f>
        <v>0</v>
      </c>
      <c r="BC7" s="7" t="s">
        <v>437</v>
      </c>
      <c r="BD7" s="19" t="s">
        <v>438</v>
      </c>
      <c r="BE7" s="7" t="s">
        <v>428</v>
      </c>
      <c r="BF7" s="7" t="s">
        <v>398</v>
      </c>
      <c r="BK7" s="7">
        <f t="shared" si="7"/>
        <v>15</v>
      </c>
    </row>
    <row r="8" spans="1:64" ht="14.4" customHeight="1" x14ac:dyDescent="0.3">
      <c r="A8" s="7">
        <v>7</v>
      </c>
      <c r="B8" s="8"/>
      <c r="C8" s="8"/>
      <c r="D8" s="8">
        <v>3138</v>
      </c>
      <c r="E8" s="8">
        <v>3552</v>
      </c>
      <c r="F8" s="8" t="str">
        <f t="shared" si="9"/>
        <v>Active</v>
      </c>
      <c r="G8" s="9" t="s">
        <v>433</v>
      </c>
      <c r="H8" s="9" t="str">
        <f>VLOOKUP(E8,'[1]EPA Ethanol Capacity 2024'!$B$5:$C$235,2,FALSE)</f>
        <v>Alto Magic Valley Ethanol</v>
      </c>
      <c r="I8" s="8" t="s">
        <v>439</v>
      </c>
      <c r="J8" t="s">
        <v>440</v>
      </c>
      <c r="K8" s="7">
        <v>83318</v>
      </c>
      <c r="L8" s="7" t="s">
        <v>441</v>
      </c>
      <c r="M8" s="7">
        <v>4</v>
      </c>
      <c r="N8" s="20">
        <v>42.521324</v>
      </c>
      <c r="O8" s="11">
        <v>-113.815693</v>
      </c>
      <c r="P8" s="12">
        <v>2008</v>
      </c>
      <c r="Q8" s="12" t="s">
        <v>405</v>
      </c>
      <c r="R8" s="12">
        <f t="shared" si="0"/>
        <v>5</v>
      </c>
      <c r="S8" s="12"/>
      <c r="T8" s="7" t="s">
        <v>442</v>
      </c>
      <c r="AB8" s="13" t="s">
        <v>390</v>
      </c>
      <c r="AC8" s="13" t="s">
        <v>391</v>
      </c>
      <c r="AD8" s="13" t="s">
        <v>378</v>
      </c>
      <c r="AE8" s="8" t="str">
        <f t="shared" si="1"/>
        <v>High</v>
      </c>
      <c r="AF8" s="14"/>
      <c r="AG8" s="14"/>
      <c r="AH8" s="14"/>
      <c r="AI8" s="14"/>
      <c r="AJ8" s="15">
        <f>VLOOKUP(E8,'[1]Ethanol Plant Listing 2025'!$B$3:$E$220,4,FALSE)</f>
        <v>60</v>
      </c>
      <c r="AK8" s="14">
        <f>+AJ8*[1]Yield!$K$4</f>
        <v>57</v>
      </c>
      <c r="AL8" s="14">
        <f>AK8/VLOOKUP(Q8,[1]Yield!$E$5:$F$14,2,FALSE)</f>
        <v>19.791666666666668</v>
      </c>
      <c r="AM8" s="14"/>
      <c r="AN8" s="14"/>
      <c r="AO8" s="16">
        <f t="shared" si="2"/>
        <v>130000</v>
      </c>
      <c r="AP8" s="16" t="s">
        <v>410</v>
      </c>
      <c r="AQ8" s="17" t="str">
        <f t="shared" si="3"/>
        <v>None</v>
      </c>
      <c r="AR8" s="18">
        <f>VLOOKUP(AQ8,[1]Yield!$A$5:$B$10,2,FALSE)</f>
        <v>0.81499999999999995</v>
      </c>
      <c r="AS8" s="14">
        <f t="shared" si="4"/>
        <v>16.130208333333332</v>
      </c>
      <c r="AT8" s="8" t="s">
        <v>394</v>
      </c>
      <c r="AX8" s="8"/>
      <c r="AY8" s="8">
        <f>IFERROR(VLOOKUP(AX8,[1]Sheet3!$H$3:$I$5,2,FALSE),0)</f>
        <v>0</v>
      </c>
      <c r="AZ8" s="14">
        <f t="shared" si="5"/>
        <v>60</v>
      </c>
      <c r="BA8" s="14">
        <f t="shared" si="6"/>
        <v>98.64</v>
      </c>
      <c r="BB8" s="12">
        <f>SUMIFS('[1]Corn 2023'!V:V,'[1]Corn 2023'!B:B,"=2023",'[1]Corn 2023'!L:L,"="&amp;'Corn Processors'!L8)</f>
        <v>0</v>
      </c>
      <c r="BC8" s="7" t="s">
        <v>437</v>
      </c>
      <c r="BD8" s="19" t="s">
        <v>438</v>
      </c>
      <c r="BE8" s="7" t="s">
        <v>428</v>
      </c>
      <c r="BF8" s="7" t="s">
        <v>414</v>
      </c>
      <c r="BK8" s="7">
        <f t="shared" si="7"/>
        <v>15</v>
      </c>
    </row>
    <row r="9" spans="1:64" ht="14.4" customHeight="1" x14ac:dyDescent="0.3">
      <c r="A9" s="7">
        <v>8</v>
      </c>
      <c r="B9" s="8"/>
      <c r="C9" s="8"/>
      <c r="D9" s="8">
        <v>3139</v>
      </c>
      <c r="E9" s="8">
        <v>3553</v>
      </c>
      <c r="F9" s="8" t="str">
        <f t="shared" si="9"/>
        <v>Active</v>
      </c>
      <c r="G9" s="9" t="s">
        <v>433</v>
      </c>
      <c r="H9" s="9" t="str">
        <f>VLOOKUP(E9,'[1]EPA Ethanol Capacity 2024'!$B$5:$C$235,2,FALSE)</f>
        <v>Alto ICP LLC</v>
      </c>
      <c r="I9" s="8" t="s">
        <v>416</v>
      </c>
      <c r="J9" t="s">
        <v>443</v>
      </c>
      <c r="K9" s="7">
        <v>61554</v>
      </c>
      <c r="L9" s="7" t="s">
        <v>444</v>
      </c>
      <c r="M9" s="7">
        <v>2</v>
      </c>
      <c r="N9" s="20">
        <v>40.555</v>
      </c>
      <c r="O9" s="11">
        <v>-89.669799999999995</v>
      </c>
      <c r="P9" s="12">
        <v>0</v>
      </c>
      <c r="Q9" s="12" t="s">
        <v>445</v>
      </c>
      <c r="R9" s="12">
        <f t="shared" si="0"/>
        <v>5</v>
      </c>
      <c r="S9" s="12"/>
      <c r="AB9" s="13" t="s">
        <v>390</v>
      </c>
      <c r="AC9" s="13" t="s">
        <v>391</v>
      </c>
      <c r="AD9" s="21" t="s">
        <v>446</v>
      </c>
      <c r="AE9" s="8" t="str">
        <f t="shared" si="1"/>
        <v>High</v>
      </c>
      <c r="AF9" s="14"/>
      <c r="AG9" s="14"/>
      <c r="AH9" s="14"/>
      <c r="AI9" s="14"/>
      <c r="AJ9" s="15">
        <f>VLOOKUP(E9,'[1]Ethanol Plant Listing 2025'!$B$3:$E$220,4,FALSE)</f>
        <v>82</v>
      </c>
      <c r="AK9" s="14">
        <f>+AJ9*[1]Yield!$K$4</f>
        <v>77.899999999999991</v>
      </c>
      <c r="AL9" s="14">
        <f>AK9/VLOOKUP(Q9,[1]Yield!$E$5:$F$14,2,FALSE)</f>
        <v>26.862068965517238</v>
      </c>
      <c r="AM9" s="14"/>
      <c r="AN9" s="14"/>
      <c r="AO9" s="16">
        <f t="shared" si="2"/>
        <v>176000</v>
      </c>
      <c r="AP9" s="16"/>
      <c r="AQ9" s="17" t="str">
        <f t="shared" si="3"/>
        <v>None</v>
      </c>
      <c r="AR9" s="18">
        <f>VLOOKUP(AQ9,[1]Yield!$A$5:$B$10,2,FALSE)</f>
        <v>0.81499999999999995</v>
      </c>
      <c r="AS9" s="14">
        <f t="shared" si="4"/>
        <v>21.892586206896549</v>
      </c>
      <c r="AT9" s="8" t="s">
        <v>394</v>
      </c>
      <c r="AX9" s="8"/>
      <c r="AY9" s="8">
        <f>IFERROR(VLOOKUP(AX9,[1]Sheet3!$H$3:$I$5,2,FALSE),0)</f>
        <v>0</v>
      </c>
      <c r="AZ9" s="14">
        <f t="shared" si="5"/>
        <v>82</v>
      </c>
      <c r="BA9" s="14">
        <f t="shared" si="6"/>
        <v>134.80799999999999</v>
      </c>
      <c r="BB9" s="12">
        <f>SUMIFS('[1]Corn 2023'!V:V,'[1]Corn 2023'!B:B,"=2023",'[1]Corn 2023'!L:L,"="&amp;'Corn Processors'!L9)</f>
        <v>0</v>
      </c>
      <c r="BC9" s="7" t="s">
        <v>437</v>
      </c>
      <c r="BD9" s="19" t="s">
        <v>438</v>
      </c>
      <c r="BE9" s="7" t="s">
        <v>447</v>
      </c>
      <c r="BF9" s="7" t="s">
        <v>398</v>
      </c>
      <c r="BH9" s="7" t="s">
        <v>448</v>
      </c>
      <c r="BK9" s="7">
        <f t="shared" si="7"/>
        <v>20</v>
      </c>
      <c r="BL9" s="9" t="s">
        <v>449</v>
      </c>
    </row>
    <row r="10" spans="1:64" ht="14.4" customHeight="1" x14ac:dyDescent="0.3">
      <c r="A10" s="7">
        <v>9</v>
      </c>
      <c r="B10" s="8"/>
      <c r="C10" s="8"/>
      <c r="D10" s="8">
        <v>3140</v>
      </c>
      <c r="E10" s="8">
        <v>3554</v>
      </c>
      <c r="F10" s="8" t="str">
        <f t="shared" si="9"/>
        <v>Active</v>
      </c>
      <c r="G10" s="9" t="s">
        <v>433</v>
      </c>
      <c r="H10" s="9" t="str">
        <f>VLOOKUP(E10,'[1]EPA Ethanol Capacity 2024'!$B$5:$C$235,2,FALSE)</f>
        <v>Alto Pekin LLC Dry Mill</v>
      </c>
      <c r="I10" s="8" t="s">
        <v>416</v>
      </c>
      <c r="J10" t="s">
        <v>443</v>
      </c>
      <c r="K10" s="7">
        <v>61554</v>
      </c>
      <c r="L10" s="7" t="s">
        <v>444</v>
      </c>
      <c r="M10" s="7">
        <v>2</v>
      </c>
      <c r="N10" s="20">
        <v>40.555062999999997</v>
      </c>
      <c r="O10" s="11">
        <v>-89.663302000000002</v>
      </c>
      <c r="P10" s="12">
        <v>2007</v>
      </c>
      <c r="Q10" s="12" t="s">
        <v>388</v>
      </c>
      <c r="R10" s="12">
        <f t="shared" si="0"/>
        <v>5</v>
      </c>
      <c r="S10" s="12"/>
      <c r="AB10" s="13" t="s">
        <v>390</v>
      </c>
      <c r="AC10" s="13" t="s">
        <v>391</v>
      </c>
      <c r="AD10" s="21" t="s">
        <v>446</v>
      </c>
      <c r="AE10" s="8" t="str">
        <f t="shared" si="1"/>
        <v>High</v>
      </c>
      <c r="AF10" s="14"/>
      <c r="AG10" s="14"/>
      <c r="AH10" s="14"/>
      <c r="AI10" s="14"/>
      <c r="AJ10" s="15">
        <f>VLOOKUP(E10,'[1]Ethanol Plant Listing 2025'!$B$3:$E$220,4,FALSE)</f>
        <v>63</v>
      </c>
      <c r="AK10" s="14">
        <f>+AJ10*[1]Yield!$K$4</f>
        <v>59.849999999999994</v>
      </c>
      <c r="AL10" s="14">
        <f>AK10/VLOOKUP(Q10,[1]Yield!$E$5:$F$14,2,FALSE)</f>
        <v>20.288135593220336</v>
      </c>
      <c r="AM10" s="14"/>
      <c r="AN10" s="14"/>
      <c r="AO10" s="16">
        <f t="shared" si="2"/>
        <v>133000</v>
      </c>
      <c r="AP10" s="16" t="s">
        <v>393</v>
      </c>
      <c r="AQ10" s="17" t="str">
        <f t="shared" si="3"/>
        <v>ICM</v>
      </c>
      <c r="AR10" s="18">
        <f>VLOOKUP(AQ10,[1]Yield!$A$5:$B$10,2,FALSE)</f>
        <v>0.9</v>
      </c>
      <c r="AS10" s="14">
        <f t="shared" si="4"/>
        <v>18.259322033898304</v>
      </c>
      <c r="AT10" s="8" t="s">
        <v>394</v>
      </c>
      <c r="AU10" s="7" t="s">
        <v>450</v>
      </c>
      <c r="AX10" s="8"/>
      <c r="AY10" s="8">
        <f>IFERROR(VLOOKUP(AX10,[1]Sheet3!$H$3:$I$5,2,FALSE),0)</f>
        <v>0</v>
      </c>
      <c r="AZ10" s="14">
        <f t="shared" si="5"/>
        <v>63</v>
      </c>
      <c r="BA10" s="14">
        <f t="shared" si="6"/>
        <v>103.57199999999999</v>
      </c>
      <c r="BB10" s="12">
        <f>SUMIFS('[1]Corn 2023'!V:V,'[1]Corn 2023'!B:B,"=2023",'[1]Corn 2023'!L:L,"="&amp;'Corn Processors'!L10)</f>
        <v>0</v>
      </c>
      <c r="BC10" s="7" t="s">
        <v>437</v>
      </c>
      <c r="BD10" s="19" t="s">
        <v>438</v>
      </c>
      <c r="BE10" s="7" t="s">
        <v>447</v>
      </c>
      <c r="BF10" s="7" t="s">
        <v>398</v>
      </c>
      <c r="BH10" s="7" t="s">
        <v>448</v>
      </c>
      <c r="BK10" s="7">
        <f t="shared" si="7"/>
        <v>25</v>
      </c>
      <c r="BL10" s="9" t="s">
        <v>451</v>
      </c>
    </row>
    <row r="11" spans="1:64" ht="15.6" customHeight="1" x14ac:dyDescent="0.3">
      <c r="A11" s="7">
        <v>10</v>
      </c>
      <c r="B11" s="8"/>
      <c r="C11" s="8"/>
      <c r="D11" s="8">
        <v>3141</v>
      </c>
      <c r="E11" s="8">
        <v>3555</v>
      </c>
      <c r="F11" s="8" t="str">
        <f t="shared" si="9"/>
        <v>Active</v>
      </c>
      <c r="G11" s="9" t="s">
        <v>433</v>
      </c>
      <c r="H11" s="9" t="str">
        <f>VLOOKUP(E11,'[1]EPA Ethanol Capacity 2024'!$B$5:$C$235,2,FALSE)</f>
        <v>Alto Pekin LLC Wet Mill</v>
      </c>
      <c r="I11" s="8" t="s">
        <v>416</v>
      </c>
      <c r="J11" t="s">
        <v>443</v>
      </c>
      <c r="K11" s="7">
        <v>61554</v>
      </c>
      <c r="L11" s="7" t="s">
        <v>444</v>
      </c>
      <c r="M11" s="7">
        <v>2</v>
      </c>
      <c r="N11" s="20">
        <v>40.553400000000003</v>
      </c>
      <c r="O11" s="11">
        <v>-89.6631</v>
      </c>
      <c r="P11" s="12">
        <v>1981</v>
      </c>
      <c r="Q11" s="12" t="s">
        <v>452</v>
      </c>
      <c r="R11" s="12">
        <f t="shared" si="0"/>
        <v>5</v>
      </c>
      <c r="S11" s="12"/>
      <c r="AB11" s="13" t="s">
        <v>390</v>
      </c>
      <c r="AC11" s="13" t="s">
        <v>391</v>
      </c>
      <c r="AD11" s="21" t="s">
        <v>446</v>
      </c>
      <c r="AE11" s="8" t="str">
        <f t="shared" si="1"/>
        <v>High</v>
      </c>
      <c r="AF11" s="14"/>
      <c r="AG11" s="14"/>
      <c r="AH11" s="14"/>
      <c r="AI11" s="14"/>
      <c r="AJ11" s="15">
        <f>VLOOKUP(E11,'[1]Ethanol Plant Listing 2025'!$B$3:$E$220,4,FALSE)</f>
        <v>100</v>
      </c>
      <c r="AK11" s="14">
        <f>+AJ11*[1]Yield!$K$4</f>
        <v>95</v>
      </c>
      <c r="AL11" s="14">
        <f>AK11/VLOOKUP(Q11,[1]Yield!$E$5:$F$14,2,FALSE)</f>
        <v>34.545454545454547</v>
      </c>
      <c r="AM11" s="14"/>
      <c r="AN11" s="14"/>
      <c r="AO11" s="16">
        <f t="shared" si="2"/>
        <v>226000</v>
      </c>
      <c r="AP11" s="16"/>
      <c r="AQ11" s="17" t="str">
        <f t="shared" si="3"/>
        <v>None</v>
      </c>
      <c r="AR11" s="18">
        <f>VLOOKUP(AQ11,[1]Yield!$A$5:$B$10,2,FALSE)</f>
        <v>0.81499999999999995</v>
      </c>
      <c r="AS11" s="14">
        <f t="shared" si="4"/>
        <v>28.154545454545453</v>
      </c>
      <c r="AT11" s="8" t="s">
        <v>394</v>
      </c>
      <c r="AU11" s="7" t="s">
        <v>450</v>
      </c>
      <c r="AX11" s="8"/>
      <c r="AY11" s="8">
        <f>IFERROR(VLOOKUP(AX11,[1]Sheet3!$H$3:$I$5,2,FALSE),0)</f>
        <v>0</v>
      </c>
      <c r="AZ11" s="14">
        <f t="shared" si="5"/>
        <v>100</v>
      </c>
      <c r="BA11" s="14">
        <f t="shared" si="6"/>
        <v>164.4</v>
      </c>
      <c r="BB11" s="12">
        <f>SUMIFS('[1]Corn 2023'!V:V,'[1]Corn 2023'!B:B,"=2023",'[1]Corn 2023'!L:L,"="&amp;'Corn Processors'!L11)</f>
        <v>0</v>
      </c>
      <c r="BC11" s="7" t="s">
        <v>437</v>
      </c>
      <c r="BD11" s="19" t="s">
        <v>438</v>
      </c>
      <c r="BE11" s="7" t="s">
        <v>453</v>
      </c>
      <c r="BF11" s="7" t="s">
        <v>398</v>
      </c>
      <c r="BH11" s="7" t="s">
        <v>448</v>
      </c>
      <c r="BK11" s="7">
        <f t="shared" si="7"/>
        <v>20</v>
      </c>
      <c r="BL11" s="9" t="s">
        <v>451</v>
      </c>
    </row>
    <row r="12" spans="1:64" ht="15.6" customHeight="1" x14ac:dyDescent="0.3">
      <c r="A12" s="7">
        <v>11</v>
      </c>
      <c r="B12" s="8"/>
      <c r="C12" s="8"/>
      <c r="D12" s="8"/>
      <c r="E12" s="8">
        <v>3556</v>
      </c>
      <c r="F12" s="8" t="str">
        <f t="shared" si="9"/>
        <v>Active</v>
      </c>
      <c r="G12" s="9" t="s">
        <v>454</v>
      </c>
      <c r="H12" s="9" t="str">
        <f>VLOOKUP(E12,'[1]EPA Ethanol Capacity 2024'!$B$5:$C$235,2,FALSE)</f>
        <v>Amber Wave</v>
      </c>
      <c r="I12" s="8" t="s">
        <v>455</v>
      </c>
      <c r="J12" t="s">
        <v>456</v>
      </c>
      <c r="K12" s="7">
        <v>67661</v>
      </c>
      <c r="L12" s="7" t="s">
        <v>457</v>
      </c>
      <c r="M12" s="7">
        <v>2</v>
      </c>
      <c r="N12" s="20">
        <v>38.363339000000003</v>
      </c>
      <c r="O12" s="11">
        <v>-97.783411000000001</v>
      </c>
      <c r="P12" s="12">
        <v>2023</v>
      </c>
      <c r="Q12" s="12" t="s">
        <v>458</v>
      </c>
      <c r="R12" s="12">
        <f t="shared" si="0"/>
        <v>1</v>
      </c>
      <c r="S12" s="12"/>
      <c r="AB12" s="13" t="s">
        <v>459</v>
      </c>
      <c r="AC12" s="13" t="s">
        <v>391</v>
      </c>
      <c r="AD12" s="13" t="s">
        <v>378</v>
      </c>
      <c r="AE12" s="8" t="str">
        <f t="shared" si="1"/>
        <v>High</v>
      </c>
      <c r="AF12" s="14"/>
      <c r="AG12" s="14"/>
      <c r="AH12" s="14"/>
      <c r="AI12" s="14"/>
      <c r="AJ12" s="15">
        <f>VLOOKUP(E12,'[1]Ethanol Plant Listing 2025'!$B$3:$E$220,4,FALSE)</f>
        <v>50</v>
      </c>
      <c r="AK12" s="14">
        <f>+AJ12*[1]Yield!$K$4</f>
        <v>47.5</v>
      </c>
      <c r="AL12" s="14">
        <f>AK12/VLOOKUP(Q12,[1]Yield!$E$5:$F$14,2,FALSE)</f>
        <v>17.592592592592592</v>
      </c>
      <c r="AM12" s="14"/>
      <c r="AN12" s="14"/>
      <c r="AO12" s="16">
        <f t="shared" si="2"/>
        <v>115000</v>
      </c>
      <c r="AP12" s="16"/>
      <c r="AQ12" s="17" t="str">
        <f>IF(G12="POET Biorefining",G12,IF(T12="FQPT HI Pro",T12,IF(Z12="ICM FOT",Z12,IF(Q12="ICM",Q12,IF(Q12="ADM",Q12,IF(Q12="Waste Stream",Q12,IF(Q12="Wheat","Wheat","None")))))))</f>
        <v>Wheat</v>
      </c>
      <c r="AR12" s="18">
        <f>VLOOKUP(AQ12,[1]Yield!$A$5:$B$15,2,FALSE)</f>
        <v>0.2</v>
      </c>
      <c r="AS12" s="14">
        <f t="shared" si="4"/>
        <v>3.5185185185185186</v>
      </c>
      <c r="AT12" s="8" t="s">
        <v>394</v>
      </c>
      <c r="AX12" s="8"/>
      <c r="AY12" s="8">
        <f>IFERROR(VLOOKUP(AX12,[1]Sheet3!$H$3:$I$5,2,FALSE),0)</f>
        <v>0</v>
      </c>
      <c r="AZ12" s="14">
        <f t="shared" si="5"/>
        <v>50</v>
      </c>
      <c r="BA12" s="14">
        <f t="shared" si="6"/>
        <v>82.2</v>
      </c>
      <c r="BB12" s="12">
        <f>SUMIFS('[1]Corn 2023'!V:V,'[1]Corn 2023'!B:B,"=2023",'[1]Corn 2023'!L:L,"="&amp;'Corn Processors'!L12)</f>
        <v>0</v>
      </c>
      <c r="BC12" s="7"/>
      <c r="BD12" s="19" t="s">
        <v>460</v>
      </c>
      <c r="BE12" s="7" t="s">
        <v>428</v>
      </c>
      <c r="BF12" s="7" t="s">
        <v>414</v>
      </c>
      <c r="BK12" s="7">
        <f t="shared" si="7"/>
        <v>20</v>
      </c>
    </row>
    <row r="13" spans="1:64" ht="15.6" customHeight="1" x14ac:dyDescent="0.3">
      <c r="A13" s="7">
        <v>12</v>
      </c>
      <c r="B13" s="8"/>
      <c r="C13" s="8"/>
      <c r="D13" s="8">
        <v>3142</v>
      </c>
      <c r="E13" s="8">
        <v>3557</v>
      </c>
      <c r="F13" s="8" t="str">
        <f t="shared" si="9"/>
        <v>Active</v>
      </c>
      <c r="G13" s="9" t="s">
        <v>461</v>
      </c>
      <c r="H13" s="9" t="str">
        <f>VLOOKUP(E13,'[1]EPA Ethanol Capacity 2024'!$B$5:$C$235,2,FALSE)</f>
        <v>VCP Corn Processing</v>
      </c>
      <c r="I13" s="8" t="s">
        <v>387</v>
      </c>
      <c r="J13" t="s">
        <v>462</v>
      </c>
      <c r="K13" s="7">
        <v>52404</v>
      </c>
      <c r="L13" s="7" t="s">
        <v>463</v>
      </c>
      <c r="M13" s="7">
        <v>2</v>
      </c>
      <c r="N13" s="20">
        <v>41.929000000000002</v>
      </c>
      <c r="O13" s="11">
        <v>-91.688500000000005</v>
      </c>
      <c r="P13" s="12">
        <v>2008</v>
      </c>
      <c r="Q13" s="12" t="s">
        <v>461</v>
      </c>
      <c r="R13" s="12">
        <f t="shared" si="0"/>
        <v>8</v>
      </c>
      <c r="S13" s="12"/>
      <c r="U13" s="7" t="s">
        <v>343</v>
      </c>
      <c r="AB13" s="13" t="s">
        <v>390</v>
      </c>
      <c r="AC13" s="13" t="s">
        <v>391</v>
      </c>
      <c r="AD13" s="13" t="s">
        <v>378</v>
      </c>
      <c r="AE13" s="8" t="str">
        <f t="shared" si="1"/>
        <v>High</v>
      </c>
      <c r="AF13" s="14"/>
      <c r="AG13" s="14">
        <v>332.3</v>
      </c>
      <c r="AH13" s="14" t="s">
        <v>464</v>
      </c>
      <c r="AI13" s="14"/>
      <c r="AJ13" s="15">
        <f>VLOOKUP(E13,'[1]Ethanol Plant Listing 2025'!$B$3:$E$220,4,FALSE)</f>
        <v>300</v>
      </c>
      <c r="AK13" s="14">
        <f>+AJ13*[1]Yield!$K$4</f>
        <v>285</v>
      </c>
      <c r="AL13" s="14">
        <f>AK13/VLOOKUP(Q13,[1]Yield!$E$5:$F$14,2,FALSE)</f>
        <v>98.958333333333343</v>
      </c>
      <c r="AM13" s="14"/>
      <c r="AN13" s="14"/>
      <c r="AO13" s="16">
        <f t="shared" si="2"/>
        <v>648000</v>
      </c>
      <c r="AP13" s="16" t="s">
        <v>393</v>
      </c>
      <c r="AQ13" s="17" t="str">
        <f t="shared" ref="AQ13:AQ76" si="10">IF(G13="POET Biorefining",G13,IF(T13="FQPT HI Pro",T13,IF(Z13="ICM FOT",Z13,IF(Q13="ICM",Q13,IF(Q13="ADM",Q13,"None")))))</f>
        <v>ADM</v>
      </c>
      <c r="AR13" s="18">
        <f>VLOOKUP(AQ13,[1]Yield!$A$5:$B$10,2,FALSE)</f>
        <v>0.8</v>
      </c>
      <c r="AS13" s="14">
        <f t="shared" si="4"/>
        <v>79.166666666666686</v>
      </c>
      <c r="AT13" s="8" t="s">
        <v>437</v>
      </c>
      <c r="AU13" s="8"/>
      <c r="AV13" s="8"/>
      <c r="AW13" s="13"/>
      <c r="AX13" s="8"/>
      <c r="AY13" s="8">
        <f>IFERROR(VLOOKUP(AX13,[1]Sheet3!$H$3:$I$5,2,FALSE),0)</f>
        <v>0</v>
      </c>
      <c r="AZ13" s="14">
        <f t="shared" si="5"/>
        <v>300</v>
      </c>
      <c r="BA13" s="14">
        <f t="shared" si="6"/>
        <v>493.2</v>
      </c>
      <c r="BB13" s="12">
        <f>SUMIFS('[1]Corn 2023'!V:V,'[1]Corn 2023'!B:B,"=2023",'[1]Corn 2023'!L:L,"="&amp;'Corn Processors'!L13)</f>
        <v>147000</v>
      </c>
      <c r="BC13" s="7" t="s">
        <v>437</v>
      </c>
      <c r="BD13" s="19" t="s">
        <v>465</v>
      </c>
      <c r="BE13" s="7" t="s">
        <v>428</v>
      </c>
      <c r="BF13" s="7" t="s">
        <v>398</v>
      </c>
      <c r="BK13" s="7">
        <f t="shared" si="7"/>
        <v>20</v>
      </c>
    </row>
    <row r="14" spans="1:64" ht="15.6" customHeight="1" x14ac:dyDescent="0.3">
      <c r="A14" s="7">
        <v>13</v>
      </c>
      <c r="B14" s="8"/>
      <c r="C14" s="8"/>
      <c r="D14" s="8">
        <v>3143</v>
      </c>
      <c r="E14" s="8">
        <v>3558</v>
      </c>
      <c r="F14" s="8" t="str">
        <f t="shared" si="9"/>
        <v>Active</v>
      </c>
      <c r="G14" s="9" t="s">
        <v>461</v>
      </c>
      <c r="H14" s="9" t="str">
        <f>VLOOKUP(E14,'[1]EPA Ethanol Capacity 2024'!$B$5:$C$235,2,FALSE)</f>
        <v>ADM Cedar Rapids IA Wet Mill</v>
      </c>
      <c r="I14" s="8" t="s">
        <v>387</v>
      </c>
      <c r="J14" t="s">
        <v>462</v>
      </c>
      <c r="K14" s="7">
        <v>52404</v>
      </c>
      <c r="L14" s="7" t="s">
        <v>463</v>
      </c>
      <c r="M14" s="7">
        <v>2</v>
      </c>
      <c r="N14" s="20">
        <v>41.915599999999998</v>
      </c>
      <c r="O14" s="11">
        <v>-91.688800000000001</v>
      </c>
      <c r="P14" s="12">
        <v>0</v>
      </c>
      <c r="Q14" s="12" t="s">
        <v>452</v>
      </c>
      <c r="R14" s="12">
        <f t="shared" si="0"/>
        <v>8</v>
      </c>
      <c r="S14" s="12"/>
      <c r="U14" s="7" t="s">
        <v>343</v>
      </c>
      <c r="AB14" s="13" t="s">
        <v>390</v>
      </c>
      <c r="AC14" s="13" t="s">
        <v>391</v>
      </c>
      <c r="AD14" s="13" t="s">
        <v>378</v>
      </c>
      <c r="AE14" s="8" t="str">
        <f t="shared" si="1"/>
        <v>High</v>
      </c>
      <c r="AF14" s="14">
        <v>752.32500000000005</v>
      </c>
      <c r="AG14" s="14">
        <v>752.32500000000005</v>
      </c>
      <c r="AH14" s="14" t="s">
        <v>466</v>
      </c>
      <c r="AI14" s="14"/>
      <c r="AJ14" s="15">
        <f>VLOOKUP(E14,'[1]Ethanol Plant Listing 2025'!$B$3:$E$220,4,FALSE)</f>
        <v>240</v>
      </c>
      <c r="AK14" s="14">
        <f>+AJ14*[1]Yield!$K$4</f>
        <v>228</v>
      </c>
      <c r="AL14" s="14">
        <f>AK14/VLOOKUP(Q14,[1]Yield!$E$5:$F$14,2,FALSE)</f>
        <v>82.909090909090907</v>
      </c>
      <c r="AM14" s="14"/>
      <c r="AN14" s="14"/>
      <c r="AO14" s="16">
        <f t="shared" si="2"/>
        <v>543000</v>
      </c>
      <c r="AP14" s="16" t="s">
        <v>393</v>
      </c>
      <c r="AQ14" s="17" t="str">
        <f t="shared" si="10"/>
        <v>None</v>
      </c>
      <c r="AR14" s="18">
        <f>VLOOKUP(AQ14,[1]Yield!$A$5:$B$10,2,FALSE)</f>
        <v>0.81499999999999995</v>
      </c>
      <c r="AS14" s="14">
        <f t="shared" si="4"/>
        <v>67.570909090909083</v>
      </c>
      <c r="AT14" s="8" t="s">
        <v>437</v>
      </c>
      <c r="AU14" s="8"/>
      <c r="AV14" s="8"/>
      <c r="AW14" s="13"/>
      <c r="AX14" s="8"/>
      <c r="AY14" s="8">
        <f>IFERROR(VLOOKUP(AX14,[1]Sheet3!$H$3:$I$5,2,FALSE),0)</f>
        <v>0</v>
      </c>
      <c r="AZ14" s="14">
        <f t="shared" si="5"/>
        <v>240</v>
      </c>
      <c r="BA14" s="14">
        <f t="shared" si="6"/>
        <v>394.56</v>
      </c>
      <c r="BB14" s="12">
        <f>SUMIFS('[1]Corn 2023'!V:V,'[1]Corn 2023'!B:B,"=2023",'[1]Corn 2023'!L:L,"="&amp;'Corn Processors'!L14)</f>
        <v>147000</v>
      </c>
      <c r="BC14" s="7" t="s">
        <v>437</v>
      </c>
      <c r="BD14" s="19" t="s">
        <v>465</v>
      </c>
      <c r="BE14" s="7" t="s">
        <v>428</v>
      </c>
      <c r="BF14" s="7" t="s">
        <v>398</v>
      </c>
      <c r="BK14" s="7">
        <f t="shared" si="7"/>
        <v>20</v>
      </c>
    </row>
    <row r="15" spans="1:64" ht="15.6" customHeight="1" x14ac:dyDescent="0.3">
      <c r="A15" s="7">
        <v>14</v>
      </c>
      <c r="B15" s="8"/>
      <c r="C15" s="8"/>
      <c r="D15" s="8">
        <v>3144</v>
      </c>
      <c r="E15" s="8">
        <v>3559</v>
      </c>
      <c r="F15" s="8" t="str">
        <f t="shared" si="9"/>
        <v>Active</v>
      </c>
      <c r="G15" s="9" t="s">
        <v>461</v>
      </c>
      <c r="H15" s="9" t="str">
        <f>VLOOKUP(E15,'[1]EPA Ethanol Capacity 2024'!$B$5:$C$235,2,FALSE)</f>
        <v>ADM Clinton IA</v>
      </c>
      <c r="I15" s="8" t="s">
        <v>387</v>
      </c>
      <c r="J15" t="s">
        <v>467</v>
      </c>
      <c r="K15" s="7">
        <v>52732</v>
      </c>
      <c r="L15" s="7" t="s">
        <v>467</v>
      </c>
      <c r="M15" s="7">
        <v>2</v>
      </c>
      <c r="N15" s="20">
        <v>41.817300000000003</v>
      </c>
      <c r="O15" s="11">
        <v>-90.216200000000001</v>
      </c>
      <c r="P15" s="12">
        <v>2008</v>
      </c>
      <c r="Q15" s="12" t="s">
        <v>461</v>
      </c>
      <c r="R15" s="12">
        <f t="shared" si="0"/>
        <v>8</v>
      </c>
      <c r="S15" s="12"/>
      <c r="U15" s="7" t="s">
        <v>343</v>
      </c>
      <c r="AB15" s="13" t="s">
        <v>390</v>
      </c>
      <c r="AC15" s="13" t="s">
        <v>391</v>
      </c>
      <c r="AD15" s="13" t="s">
        <v>378</v>
      </c>
      <c r="AE15" s="8" t="str">
        <f t="shared" si="1"/>
        <v>High</v>
      </c>
      <c r="AF15" s="14">
        <v>237.3</v>
      </c>
      <c r="AG15" s="14">
        <v>237.3</v>
      </c>
      <c r="AH15" s="14" t="s">
        <v>468</v>
      </c>
      <c r="AI15" s="14"/>
      <c r="AJ15" s="15">
        <f>VLOOKUP(E15,'[1]Ethanol Plant Listing 2025'!$B$3:$E$220,4,FALSE)</f>
        <v>237</v>
      </c>
      <c r="AK15" s="14">
        <f>+AJ15*[1]Yield!$K$4</f>
        <v>225.14999999999998</v>
      </c>
      <c r="AL15" s="14">
        <f>AK15/VLOOKUP(Q15,[1]Yield!$E$5:$F$14,2,FALSE)</f>
        <v>78.177083333333329</v>
      </c>
      <c r="AM15" s="14"/>
      <c r="AN15" s="14"/>
      <c r="AO15" s="16">
        <f t="shared" si="2"/>
        <v>512000</v>
      </c>
      <c r="AP15" s="16" t="s">
        <v>393</v>
      </c>
      <c r="AQ15" s="17" t="str">
        <f t="shared" si="10"/>
        <v>ADM</v>
      </c>
      <c r="AR15" s="18">
        <f>VLOOKUP(AQ15,[1]Yield!$A$5:$B$10,2,FALSE)</f>
        <v>0.8</v>
      </c>
      <c r="AS15" s="14">
        <f t="shared" si="4"/>
        <v>62.541666666666664</v>
      </c>
      <c r="AT15" s="8" t="s">
        <v>437</v>
      </c>
      <c r="AU15" s="8"/>
      <c r="AV15" s="8"/>
      <c r="AW15" s="13"/>
      <c r="AX15" s="8"/>
      <c r="AY15" s="8">
        <f>IFERROR(VLOOKUP(AX15,[1]Sheet3!$H$3:$I$5,2,FALSE),0)</f>
        <v>0</v>
      </c>
      <c r="AZ15" s="14">
        <f t="shared" si="5"/>
        <v>237</v>
      </c>
      <c r="BA15" s="14">
        <f t="shared" si="6"/>
        <v>389.62799999999993</v>
      </c>
      <c r="BB15" s="12">
        <f>SUMIFS('[1]Corn 2023'!V:V,'[1]Corn 2023'!B:B,"=2023",'[1]Corn 2023'!L:L,"="&amp;'Corn Processors'!L15)</f>
        <v>187500</v>
      </c>
      <c r="BC15" s="7" t="s">
        <v>437</v>
      </c>
      <c r="BD15" s="19" t="s">
        <v>465</v>
      </c>
      <c r="BE15" s="7" t="s">
        <v>469</v>
      </c>
      <c r="BF15" s="7" t="s">
        <v>398</v>
      </c>
      <c r="BK15" s="7">
        <f t="shared" si="7"/>
        <v>20</v>
      </c>
    </row>
    <row r="16" spans="1:64" ht="15.6" customHeight="1" x14ac:dyDescent="0.3">
      <c r="A16" s="7">
        <v>15</v>
      </c>
      <c r="B16" s="8"/>
      <c r="C16" s="8"/>
      <c r="D16" s="8">
        <v>3145</v>
      </c>
      <c r="E16" s="8">
        <v>3560</v>
      </c>
      <c r="F16" s="8" t="str">
        <f t="shared" si="9"/>
        <v>Active</v>
      </c>
      <c r="G16" s="9" t="s">
        <v>461</v>
      </c>
      <c r="H16" s="9" t="str">
        <f>VLOOKUP(E16,'[1]EPA Ethanol Capacity 2024'!$B$5:$C$235,2,FALSE)</f>
        <v>VCP Corn Processing</v>
      </c>
      <c r="I16" s="8" t="s">
        <v>470</v>
      </c>
      <c r="J16" t="s">
        <v>471</v>
      </c>
      <c r="K16" s="7">
        <v>68601</v>
      </c>
      <c r="L16" s="7" t="s">
        <v>472</v>
      </c>
      <c r="M16" s="7">
        <v>2</v>
      </c>
      <c r="N16" s="20">
        <v>41.418999999999997</v>
      </c>
      <c r="O16" s="11">
        <v>-97.289599999999993</v>
      </c>
      <c r="P16" s="12">
        <v>2008</v>
      </c>
      <c r="Q16" s="12" t="s">
        <v>461</v>
      </c>
      <c r="R16" s="12">
        <f t="shared" si="0"/>
        <v>8</v>
      </c>
      <c r="S16" s="12"/>
      <c r="U16" s="7" t="s">
        <v>343</v>
      </c>
      <c r="AB16" s="13" t="s">
        <v>390</v>
      </c>
      <c r="AC16" s="13" t="s">
        <v>391</v>
      </c>
      <c r="AD16" s="13" t="s">
        <v>378</v>
      </c>
      <c r="AE16" s="8" t="str">
        <f t="shared" si="1"/>
        <v>High</v>
      </c>
      <c r="AF16" s="14"/>
      <c r="AG16" s="14"/>
      <c r="AH16" s="14"/>
      <c r="AI16" s="14">
        <v>39285</v>
      </c>
      <c r="AJ16" s="15">
        <f>VLOOKUP(E16,'[1]Ethanol Plant Listing 2025'!$B$3:$E$220,4,FALSE)</f>
        <v>313</v>
      </c>
      <c r="AK16" s="14">
        <f>+AJ16*[1]Yield!$K$4</f>
        <v>297.34999999999997</v>
      </c>
      <c r="AL16" s="14">
        <f>AK16/VLOOKUP(Q16,[1]Yield!$E$5:$F$14,2,FALSE)</f>
        <v>103.24652777777777</v>
      </c>
      <c r="AM16" s="14"/>
      <c r="AN16" s="14"/>
      <c r="AO16" s="16">
        <f t="shared" si="2"/>
        <v>676000</v>
      </c>
      <c r="AP16" s="16" t="s">
        <v>393</v>
      </c>
      <c r="AQ16" s="17" t="str">
        <f t="shared" si="10"/>
        <v>ADM</v>
      </c>
      <c r="AR16" s="18">
        <f>VLOOKUP(AQ16,[1]Yield!$A$5:$B$10,2,FALSE)</f>
        <v>0.8</v>
      </c>
      <c r="AS16" s="14">
        <f t="shared" si="4"/>
        <v>82.597222222222229</v>
      </c>
      <c r="AT16" s="8" t="s">
        <v>437</v>
      </c>
      <c r="AU16" s="8"/>
      <c r="AV16" s="8" t="s">
        <v>473</v>
      </c>
      <c r="AW16" s="13"/>
      <c r="AX16" s="8" t="str">
        <f>IFERROR(VLOOKUP(E16,[1]Sheet3!$C$2:$E$68,2,FALSE),"None")</f>
        <v>Tall Grass</v>
      </c>
      <c r="AY16" s="8">
        <f>IFERROR(VLOOKUP(AX16,[1]Sheet3!$H$3:$I$5,2,FALSE),0)</f>
        <v>30</v>
      </c>
      <c r="AZ16" s="14">
        <f t="shared" si="5"/>
        <v>313</v>
      </c>
      <c r="BA16" s="14">
        <f t="shared" si="6"/>
        <v>514.57199999999989</v>
      </c>
      <c r="BB16" s="12">
        <f>SUMIFS('[1]Corn 2023'!V:V,'[1]Corn 2023'!B:B,"=2023",'[1]Corn 2023'!L:L,"="&amp;'Corn Processors'!L16)</f>
        <v>0</v>
      </c>
      <c r="BC16" s="7" t="s">
        <v>437</v>
      </c>
      <c r="BD16" s="19" t="s">
        <v>465</v>
      </c>
      <c r="BE16" s="7" t="s">
        <v>474</v>
      </c>
      <c r="BF16" s="7" t="s">
        <v>398</v>
      </c>
      <c r="BI16" s="7" t="s">
        <v>475</v>
      </c>
      <c r="BK16" s="7">
        <f t="shared" si="7"/>
        <v>20</v>
      </c>
    </row>
    <row r="17" spans="1:64" ht="15.6" customHeight="1" x14ac:dyDescent="0.3">
      <c r="A17" s="7">
        <v>16</v>
      </c>
      <c r="B17" s="8"/>
      <c r="C17" s="8"/>
      <c r="D17" s="8">
        <v>3146</v>
      </c>
      <c r="E17" s="8">
        <v>3561</v>
      </c>
      <c r="F17" s="8" t="str">
        <f t="shared" si="9"/>
        <v>Active</v>
      </c>
      <c r="G17" s="9" t="s">
        <v>461</v>
      </c>
      <c r="H17" s="9" t="str">
        <f>VLOOKUP(E17,'[1]EPA Ethanol Capacity 2024'!$B$5:$C$235,2,FALSE)</f>
        <v>ADM Columbus Wet Mill</v>
      </c>
      <c r="I17" s="8" t="s">
        <v>470</v>
      </c>
      <c r="J17" t="s">
        <v>471</v>
      </c>
      <c r="K17" s="7">
        <v>68601</v>
      </c>
      <c r="L17" s="7" t="s">
        <v>472</v>
      </c>
      <c r="M17" s="7">
        <v>2</v>
      </c>
      <c r="N17" s="20">
        <v>41.415300000000002</v>
      </c>
      <c r="O17" s="11">
        <v>-97.286900000000003</v>
      </c>
      <c r="P17" s="12">
        <v>1992</v>
      </c>
      <c r="Q17" s="12" t="s">
        <v>452</v>
      </c>
      <c r="R17" s="12">
        <f t="shared" si="0"/>
        <v>8</v>
      </c>
      <c r="S17" s="12"/>
      <c r="U17" s="7" t="s">
        <v>343</v>
      </c>
      <c r="AB17" s="13" t="s">
        <v>390</v>
      </c>
      <c r="AC17" s="13" t="s">
        <v>391</v>
      </c>
      <c r="AD17" s="13" t="s">
        <v>378</v>
      </c>
      <c r="AE17" s="8" t="str">
        <f t="shared" si="1"/>
        <v>High</v>
      </c>
      <c r="AF17" s="14"/>
      <c r="AG17" s="14"/>
      <c r="AH17" s="14"/>
      <c r="AI17" s="14">
        <v>39285</v>
      </c>
      <c r="AJ17" s="15">
        <f>VLOOKUP(E17,'[1]Ethanol Plant Listing 2025'!$B$3:$E$220,4,FALSE)</f>
        <v>100</v>
      </c>
      <c r="AK17" s="14">
        <f>+AJ17*[1]Yield!$K$4</f>
        <v>95</v>
      </c>
      <c r="AL17" s="14">
        <f>AK17/VLOOKUP(Q17,[1]Yield!$E$5:$F$14,2,FALSE)</f>
        <v>34.545454545454547</v>
      </c>
      <c r="AM17" s="14"/>
      <c r="AN17" s="14"/>
      <c r="AO17" s="16">
        <f t="shared" si="2"/>
        <v>226000</v>
      </c>
      <c r="AP17" s="16" t="s">
        <v>393</v>
      </c>
      <c r="AQ17" s="17" t="str">
        <f t="shared" si="10"/>
        <v>None</v>
      </c>
      <c r="AR17" s="18">
        <f>VLOOKUP(AQ17,[1]Yield!$A$5:$B$10,2,FALSE)</f>
        <v>0.81499999999999995</v>
      </c>
      <c r="AS17" s="14">
        <f t="shared" si="4"/>
        <v>28.154545454545453</v>
      </c>
      <c r="AT17" s="8" t="s">
        <v>437</v>
      </c>
      <c r="AU17" s="8"/>
      <c r="AV17" s="8" t="s">
        <v>473</v>
      </c>
      <c r="AW17" s="13"/>
      <c r="AX17" s="8" t="str">
        <f>IFERROR(VLOOKUP(E17,[1]Sheet3!$C$2:$E$68,2,FALSE),"None")</f>
        <v>Tall Grass</v>
      </c>
      <c r="AY17" s="8">
        <f>IFERROR(VLOOKUP(AX17,[1]Sheet3!$H$3:$I$5,2,FALSE),0)</f>
        <v>30</v>
      </c>
      <c r="AZ17" s="14">
        <f t="shared" si="5"/>
        <v>100</v>
      </c>
      <c r="BA17" s="14">
        <f t="shared" si="6"/>
        <v>164.4</v>
      </c>
      <c r="BB17" s="12">
        <f>SUMIFS('[1]Corn 2023'!V:V,'[1]Corn 2023'!B:B,"=2023",'[1]Corn 2023'!L:L,"="&amp;'Corn Processors'!L17)</f>
        <v>0</v>
      </c>
      <c r="BC17" s="7" t="s">
        <v>437</v>
      </c>
      <c r="BD17" s="19" t="s">
        <v>465</v>
      </c>
      <c r="BE17" s="7" t="s">
        <v>474</v>
      </c>
      <c r="BF17" s="7" t="s">
        <v>398</v>
      </c>
      <c r="BI17" s="7" t="s">
        <v>399</v>
      </c>
      <c r="BK17" s="7">
        <f t="shared" si="7"/>
        <v>20</v>
      </c>
    </row>
    <row r="18" spans="1:64" ht="15.6" customHeight="1" x14ac:dyDescent="0.3">
      <c r="A18" s="7">
        <v>17</v>
      </c>
      <c r="B18" s="8"/>
      <c r="C18" s="8"/>
      <c r="D18" s="8">
        <v>3147</v>
      </c>
      <c r="E18" s="8">
        <v>3562</v>
      </c>
      <c r="F18" s="8" t="str">
        <f t="shared" si="9"/>
        <v>Active</v>
      </c>
      <c r="G18" s="9" t="s">
        <v>461</v>
      </c>
      <c r="H18" s="9" t="str">
        <f>VLOOKUP(E18,'[1]EPA Ethanol Capacity 2024'!$B$5:$C$235,2,FALSE)</f>
        <v xml:space="preserve">ADM </v>
      </c>
      <c r="I18" s="8" t="s">
        <v>416</v>
      </c>
      <c r="J18" t="s">
        <v>476</v>
      </c>
      <c r="K18" s="7">
        <v>62526</v>
      </c>
      <c r="L18" s="7" t="s">
        <v>241</v>
      </c>
      <c r="M18" s="7">
        <v>2</v>
      </c>
      <c r="N18" s="20">
        <v>39.863500000000002</v>
      </c>
      <c r="O18" s="11">
        <v>-88.889600000000002</v>
      </c>
      <c r="P18" s="12">
        <v>0</v>
      </c>
      <c r="Q18" s="12" t="s">
        <v>452</v>
      </c>
      <c r="R18" s="12">
        <f t="shared" si="0"/>
        <v>8</v>
      </c>
      <c r="S18" s="12"/>
      <c r="AB18" s="13" t="s">
        <v>390</v>
      </c>
      <c r="AC18" s="13" t="s">
        <v>391</v>
      </c>
      <c r="AD18" s="21" t="s">
        <v>477</v>
      </c>
      <c r="AE18" s="8" t="str">
        <f t="shared" si="1"/>
        <v>High</v>
      </c>
      <c r="AF18" s="14"/>
      <c r="AG18" s="14"/>
      <c r="AH18" s="14"/>
      <c r="AI18" s="14"/>
      <c r="AJ18" s="15">
        <f>VLOOKUP(E18,'[1]Ethanol Plant Listing 2025'!$B$3:$E$220,4,FALSE)</f>
        <v>375</v>
      </c>
      <c r="AK18" s="14">
        <f>+AJ18*[1]Yield!$K$4</f>
        <v>356.25</v>
      </c>
      <c r="AL18" s="14">
        <f>AK18/VLOOKUP(Q18,[1]Yield!$E$5:$F$14,2,FALSE)</f>
        <v>129.54545454545453</v>
      </c>
      <c r="AM18" s="14"/>
      <c r="AN18" s="14"/>
      <c r="AO18" s="16">
        <f t="shared" si="2"/>
        <v>849000</v>
      </c>
      <c r="AP18" s="16" t="s">
        <v>393</v>
      </c>
      <c r="AQ18" s="17" t="str">
        <f t="shared" si="10"/>
        <v>None</v>
      </c>
      <c r="AR18" s="18">
        <f>VLOOKUP(AQ18,[1]Yield!$A$5:$B$10,2,FALSE)</f>
        <v>0.81499999999999995</v>
      </c>
      <c r="AS18" s="14">
        <f t="shared" si="4"/>
        <v>105.57954545454544</v>
      </c>
      <c r="AT18" s="8" t="s">
        <v>437</v>
      </c>
      <c r="AU18" s="8" t="s">
        <v>450</v>
      </c>
      <c r="AV18" s="8"/>
      <c r="AW18" s="13"/>
      <c r="AX18" s="8" t="str">
        <f>IFERROR(VLOOKUP(E18,[1]Sheet3!$C$2:$E$68,2,FALSE),"None")</f>
        <v>Direct Inject</v>
      </c>
      <c r="AY18" s="8">
        <f>IFERROR(VLOOKUP(AX18,[1]Sheet3!$H$3:$I$5,2,FALSE),0)</f>
        <v>32</v>
      </c>
      <c r="AZ18" s="14">
        <f t="shared" si="5"/>
        <v>375</v>
      </c>
      <c r="BA18" s="14">
        <f t="shared" si="6"/>
        <v>616.5</v>
      </c>
      <c r="BB18" s="12">
        <f>SUMIFS('[1]Corn 2023'!V:V,'[1]Corn 2023'!B:B,"=2023",'[1]Corn 2023'!L:L,"="&amp;'Corn Processors'!L18)</f>
        <v>0</v>
      </c>
      <c r="BC18" s="7" t="s">
        <v>437</v>
      </c>
      <c r="BD18" s="19" t="s">
        <v>465</v>
      </c>
      <c r="BE18" s="7" t="s">
        <v>478</v>
      </c>
      <c r="BF18" s="7" t="s">
        <v>398</v>
      </c>
      <c r="BK18" s="7">
        <f t="shared" si="7"/>
        <v>20</v>
      </c>
    </row>
    <row r="19" spans="1:64" ht="15.6" customHeight="1" x14ac:dyDescent="0.3">
      <c r="A19" s="7">
        <v>18</v>
      </c>
      <c r="B19" s="8"/>
      <c r="C19" s="8"/>
      <c r="D19" s="8">
        <v>3148</v>
      </c>
      <c r="E19" s="8">
        <v>3563</v>
      </c>
      <c r="F19" s="8" t="str">
        <f t="shared" si="9"/>
        <v>Active</v>
      </c>
      <c r="G19" s="9" t="s">
        <v>461</v>
      </c>
      <c r="H19" s="9" t="str">
        <f>VLOOKUP(E19,'[1]EPA Ethanol Capacity 2024'!$B$5:$C$235,2,FALSE)</f>
        <v>ADM</v>
      </c>
      <c r="I19" s="8" t="s">
        <v>429</v>
      </c>
      <c r="J19" t="s">
        <v>479</v>
      </c>
      <c r="K19" s="7">
        <v>56258</v>
      </c>
      <c r="L19" s="7" t="s">
        <v>480</v>
      </c>
      <c r="M19" s="7">
        <v>2</v>
      </c>
      <c r="N19" s="20">
        <v>44.474800000000002</v>
      </c>
      <c r="O19" s="11">
        <v>-95.779600000000002</v>
      </c>
      <c r="P19" s="12">
        <v>1988</v>
      </c>
      <c r="Q19" s="12" t="s">
        <v>452</v>
      </c>
      <c r="R19" s="12">
        <f t="shared" si="0"/>
        <v>8</v>
      </c>
      <c r="S19" s="12"/>
      <c r="AB19" s="13" t="s">
        <v>390</v>
      </c>
      <c r="AC19" s="13" t="s">
        <v>391</v>
      </c>
      <c r="AD19" s="13" t="s">
        <v>378</v>
      </c>
      <c r="AE19" s="8" t="str">
        <f t="shared" si="1"/>
        <v>High</v>
      </c>
      <c r="AF19" s="14"/>
      <c r="AG19" s="14"/>
      <c r="AH19" s="14"/>
      <c r="AI19" s="14"/>
      <c r="AJ19" s="15">
        <f>VLOOKUP(E19,'[1]Ethanol Plant Listing 2025'!$B$3:$E$220,4,FALSE)</f>
        <v>48</v>
      </c>
      <c r="AK19" s="14">
        <f>+AJ19*[1]Yield!$K$4</f>
        <v>45.599999999999994</v>
      </c>
      <c r="AL19" s="14">
        <f>AK19/VLOOKUP(Q19,[1]Yield!$E$5:$F$14,2,FALSE)</f>
        <v>16.581818181818178</v>
      </c>
      <c r="AM19" s="14"/>
      <c r="AN19" s="14"/>
      <c r="AO19" s="16">
        <f t="shared" si="2"/>
        <v>109000</v>
      </c>
      <c r="AP19" s="16" t="s">
        <v>393</v>
      </c>
      <c r="AQ19" s="17" t="str">
        <f t="shared" si="10"/>
        <v>None</v>
      </c>
      <c r="AR19" s="18">
        <f>VLOOKUP(AQ19,[1]Yield!$A$5:$B$10,2,FALSE)</f>
        <v>0.81499999999999995</v>
      </c>
      <c r="AS19" s="14">
        <f t="shared" si="4"/>
        <v>13.514181818181815</v>
      </c>
      <c r="AT19" s="8" t="s">
        <v>394</v>
      </c>
      <c r="AU19" s="8"/>
      <c r="AV19" s="8"/>
      <c r="AW19" s="13"/>
      <c r="AX19" s="8" t="str">
        <f>IFERROR(VLOOKUP(E19,[1]Sheet3!$C$2:$E$68,2,FALSE),"None")</f>
        <v>None</v>
      </c>
      <c r="AY19" s="8">
        <f>IFERROR(VLOOKUP(AX19,[1]Sheet3!$H$3:$I$5,2,FALSE),0)</f>
        <v>0</v>
      </c>
      <c r="AZ19" s="14">
        <f t="shared" si="5"/>
        <v>48</v>
      </c>
      <c r="BA19" s="14">
        <f t="shared" si="6"/>
        <v>78.911999999999992</v>
      </c>
      <c r="BB19" s="12">
        <f>SUMIFS('[1]Corn 2023'!V:V,'[1]Corn 2023'!B:B,"=2023",'[1]Corn 2023'!L:L,"="&amp;'Corn Processors'!L19)</f>
        <v>185500</v>
      </c>
      <c r="BC19" s="7" t="s">
        <v>437</v>
      </c>
      <c r="BD19" s="19" t="s">
        <v>465</v>
      </c>
      <c r="BE19" s="7" t="s">
        <v>481</v>
      </c>
      <c r="BF19" s="7" t="s">
        <v>398</v>
      </c>
      <c r="BK19" s="7">
        <f t="shared" si="7"/>
        <v>20</v>
      </c>
    </row>
    <row r="20" spans="1:64" ht="15.6" customHeight="1" x14ac:dyDescent="0.3">
      <c r="A20" s="7">
        <v>19</v>
      </c>
      <c r="B20" s="8">
        <v>5715</v>
      </c>
      <c r="C20" s="8">
        <v>70247</v>
      </c>
      <c r="D20" s="8">
        <v>3149</v>
      </c>
      <c r="E20" s="8">
        <v>3564</v>
      </c>
      <c r="F20" s="8" t="str">
        <f t="shared" si="9"/>
        <v>Active</v>
      </c>
      <c r="G20" s="9" t="s">
        <v>44</v>
      </c>
      <c r="H20" s="9" t="str">
        <f>VLOOKUP(E20,'[1]EPA Ethanol Capacity 2024'!$B$5:$C$235,2,FALSE)</f>
        <v>Arkalon Ethanol LLC</v>
      </c>
      <c r="I20" s="8" t="s">
        <v>455</v>
      </c>
      <c r="J20" t="s">
        <v>46</v>
      </c>
      <c r="K20" s="7">
        <v>67901</v>
      </c>
      <c r="L20" s="7" t="s">
        <v>482</v>
      </c>
      <c r="M20" s="7">
        <v>2</v>
      </c>
      <c r="N20" s="20">
        <v>37.107106999999999</v>
      </c>
      <c r="O20" s="11">
        <v>-101.03082999999999</v>
      </c>
      <c r="P20" s="12">
        <v>2007</v>
      </c>
      <c r="Q20" s="12" t="s">
        <v>388</v>
      </c>
      <c r="R20" s="12">
        <f t="shared" si="0"/>
        <v>3</v>
      </c>
      <c r="S20" s="12"/>
      <c r="U20" s="7" t="s">
        <v>343</v>
      </c>
      <c r="V20" s="7" t="s">
        <v>483</v>
      </c>
      <c r="AB20" s="13" t="s">
        <v>425</v>
      </c>
      <c r="AC20" s="13" t="s">
        <v>391</v>
      </c>
      <c r="AD20" s="13" t="s">
        <v>378</v>
      </c>
      <c r="AE20" s="8" t="str">
        <f t="shared" si="1"/>
        <v>High</v>
      </c>
      <c r="AF20" s="14"/>
      <c r="AG20" s="14"/>
      <c r="AH20" s="14"/>
      <c r="AI20" s="14"/>
      <c r="AJ20" s="15">
        <f>VLOOKUP(E20,'[1]Ethanol Plant Listing 2025'!$B$3:$E$220,4,FALSE)</f>
        <v>121</v>
      </c>
      <c r="AK20" s="14">
        <f>+AJ20*[1]Yield!$K$4</f>
        <v>114.94999999999999</v>
      </c>
      <c r="AL20" s="14">
        <f>AK20/VLOOKUP(Q20,[1]Yield!$E$5:$F$14,2,FALSE)</f>
        <v>38.966101694915245</v>
      </c>
      <c r="AM20" s="14"/>
      <c r="AN20" s="14"/>
      <c r="AO20" s="16">
        <f t="shared" si="2"/>
        <v>255000</v>
      </c>
      <c r="AP20" s="16" t="s">
        <v>393</v>
      </c>
      <c r="AQ20" s="17" t="str">
        <f t="shared" si="10"/>
        <v>ICM</v>
      </c>
      <c r="AR20" s="18">
        <f>VLOOKUP(AQ20,[1]Yield!$A$5:$B$10,2,FALSE)</f>
        <v>0.9</v>
      </c>
      <c r="AS20" s="14">
        <f t="shared" si="4"/>
        <v>35.069491525423722</v>
      </c>
      <c r="AT20" s="8" t="s">
        <v>394</v>
      </c>
      <c r="AX20" s="8" t="str">
        <f>IFERROR(VLOOKUP(E20,[1]Sheet3!$C$2:$E$68,2,FALSE),"None")</f>
        <v>None</v>
      </c>
      <c r="AY20" s="8">
        <f>IFERROR(VLOOKUP(AX20,[1]Sheet3!$H$3:$I$5,2,FALSE),0)</f>
        <v>0</v>
      </c>
      <c r="AZ20" s="14">
        <f t="shared" si="5"/>
        <v>121</v>
      </c>
      <c r="BA20" s="14">
        <f t="shared" si="6"/>
        <v>198.92399999999998</v>
      </c>
      <c r="BB20" s="12">
        <f>SUMIFS('[1]Corn 2023'!V:V,'[1]Corn 2023'!B:B,"=2023",'[1]Corn 2023'!L:L,"="&amp;'Corn Processors'!L20)</f>
        <v>0</v>
      </c>
      <c r="BC20" s="7"/>
      <c r="BD20" s="19" t="s">
        <v>484</v>
      </c>
      <c r="BE20" s="7" t="s">
        <v>428</v>
      </c>
      <c r="BF20" s="7" t="s">
        <v>398</v>
      </c>
      <c r="BJ20" s="7" t="s">
        <v>400</v>
      </c>
      <c r="BK20" s="7">
        <f t="shared" si="7"/>
        <v>25</v>
      </c>
    </row>
    <row r="21" spans="1:64" ht="15.6" customHeight="1" x14ac:dyDescent="0.3">
      <c r="A21" s="7">
        <v>20</v>
      </c>
      <c r="B21" s="8">
        <v>4469</v>
      </c>
      <c r="C21" s="8">
        <v>70130</v>
      </c>
      <c r="D21" s="8">
        <v>2861</v>
      </c>
      <c r="E21" s="8">
        <v>3567</v>
      </c>
      <c r="F21" s="8" t="str">
        <f t="shared" si="9"/>
        <v>Active</v>
      </c>
      <c r="G21" s="9" t="s">
        <v>49</v>
      </c>
      <c r="H21" s="9" t="str">
        <f>VLOOKUP(E21,'[1]EPA Ethanol Capacity 2024'!$B$5:$C$235,2,FALSE)</f>
        <v>Badger State Ethanol LLC</v>
      </c>
      <c r="I21" s="8" t="s">
        <v>402</v>
      </c>
      <c r="J21" s="22" t="s">
        <v>51</v>
      </c>
      <c r="K21" s="7">
        <v>53566</v>
      </c>
      <c r="L21" s="7" t="s">
        <v>485</v>
      </c>
      <c r="M21" s="7">
        <v>2</v>
      </c>
      <c r="N21" s="20">
        <v>42.594900000000003</v>
      </c>
      <c r="O21" s="11">
        <v>-89.666910000000001</v>
      </c>
      <c r="P21" s="12">
        <v>2002</v>
      </c>
      <c r="Q21" s="12" t="s">
        <v>388</v>
      </c>
      <c r="R21" s="12">
        <f t="shared" si="0"/>
        <v>1</v>
      </c>
      <c r="S21" s="12" t="s">
        <v>389</v>
      </c>
      <c r="T21" s="8" t="s">
        <v>486</v>
      </c>
      <c r="Z21" s="7" t="str">
        <f>+T21</f>
        <v>FQPT HI PRO</v>
      </c>
      <c r="AB21" s="13" t="s">
        <v>390</v>
      </c>
      <c r="AC21" s="13" t="s">
        <v>391</v>
      </c>
      <c r="AD21" s="13" t="s">
        <v>378</v>
      </c>
      <c r="AE21" s="8" t="str">
        <f t="shared" si="1"/>
        <v>High</v>
      </c>
      <c r="AF21" s="14"/>
      <c r="AG21" s="14"/>
      <c r="AH21" s="14"/>
      <c r="AI21" s="14"/>
      <c r="AJ21" s="15">
        <f>VLOOKUP(E21,'[1]Ethanol Plant Listing 2025'!$B$3:$E$220,4,FALSE)</f>
        <v>97</v>
      </c>
      <c r="AK21" s="14">
        <f>+AJ21*[1]Yield!$K$4</f>
        <v>92.149999999999991</v>
      </c>
      <c r="AL21" s="14">
        <f>AK21/VLOOKUP(Q21,[1]Yield!$E$5:$F$14,2,FALSE)</f>
        <v>31.237288135593214</v>
      </c>
      <c r="AM21" s="14"/>
      <c r="AN21" s="14"/>
      <c r="AO21" s="16">
        <f t="shared" si="2"/>
        <v>205000</v>
      </c>
      <c r="AP21" s="16" t="s">
        <v>393</v>
      </c>
      <c r="AQ21" s="17" t="str">
        <f t="shared" si="10"/>
        <v>FQPT HI PRO</v>
      </c>
      <c r="AR21" s="18">
        <f>VLOOKUP(AQ21,[1]Yield!$A$5:$B$10,2,FALSE)</f>
        <v>1.05</v>
      </c>
      <c r="AS21" s="14">
        <f t="shared" si="4"/>
        <v>32.799152542372873</v>
      </c>
      <c r="AT21" s="8" t="s">
        <v>394</v>
      </c>
      <c r="AX21" s="8" t="str">
        <f>IFERROR(VLOOKUP(E21,[1]Sheet3!$C$2:$E$68,2,FALSE),"None")</f>
        <v>None</v>
      </c>
      <c r="AY21" s="8">
        <f>IFERROR(VLOOKUP(AX21,[1]Sheet3!$H$3:$I$5,2,FALSE),0)</f>
        <v>0</v>
      </c>
      <c r="AZ21" s="14">
        <f t="shared" si="5"/>
        <v>97</v>
      </c>
      <c r="BA21" s="14">
        <f t="shared" si="6"/>
        <v>159.46799999999999</v>
      </c>
      <c r="BB21" s="12">
        <f>SUMIFS('[1]Corn 2023'!V:V,'[1]Corn 2023'!B:B,"=2023",'[1]Corn 2023'!L:L,"="&amp;'Corn Processors'!L21)</f>
        <v>0</v>
      </c>
      <c r="BC21" s="7"/>
      <c r="BD21" s="19" t="s">
        <v>487</v>
      </c>
      <c r="BE21" s="7" t="s">
        <v>428</v>
      </c>
      <c r="BF21" s="7" t="s">
        <v>398</v>
      </c>
      <c r="BI21" s="7" t="s">
        <v>399</v>
      </c>
      <c r="BJ21" s="7" t="s">
        <v>400</v>
      </c>
      <c r="BK21" s="7">
        <f t="shared" si="7"/>
        <v>25</v>
      </c>
    </row>
    <row r="22" spans="1:64" ht="15.6" customHeight="1" x14ac:dyDescent="0.3">
      <c r="A22" s="7">
        <v>21</v>
      </c>
      <c r="B22" s="8"/>
      <c r="C22" s="8"/>
      <c r="D22" s="8">
        <v>2862</v>
      </c>
      <c r="E22" s="8">
        <v>3568</v>
      </c>
      <c r="F22" s="8" t="str">
        <f t="shared" si="9"/>
        <v>Active</v>
      </c>
      <c r="G22" s="9" t="s">
        <v>488</v>
      </c>
      <c r="H22" s="9" t="str">
        <f>VLOOKUP(E22,'[1]EPA Ethanol Capacity 2024'!$B$5:$C$235,2,FALSE)</f>
        <v>Big River Resources Boyceville LLC</v>
      </c>
      <c r="I22" s="8" t="s">
        <v>402</v>
      </c>
      <c r="J22" s="23" t="s">
        <v>489</v>
      </c>
      <c r="K22" s="7">
        <v>54725</v>
      </c>
      <c r="L22" s="7" t="s">
        <v>490</v>
      </c>
      <c r="M22" s="7">
        <v>2</v>
      </c>
      <c r="N22" s="20">
        <v>45.050595999999999</v>
      </c>
      <c r="O22" s="11">
        <v>-91.980063000000001</v>
      </c>
      <c r="P22" s="12">
        <v>2006</v>
      </c>
      <c r="Q22" s="12" t="s">
        <v>388</v>
      </c>
      <c r="R22" s="12">
        <f t="shared" si="0"/>
        <v>4</v>
      </c>
      <c r="S22" s="12"/>
      <c r="AB22" s="13" t="s">
        <v>390</v>
      </c>
      <c r="AC22" s="13" t="s">
        <v>391</v>
      </c>
      <c r="AD22" s="13" t="s">
        <v>378</v>
      </c>
      <c r="AE22" s="8" t="str">
        <f t="shared" si="1"/>
        <v>High</v>
      </c>
      <c r="AF22" s="14"/>
      <c r="AG22" s="14"/>
      <c r="AH22" s="14"/>
      <c r="AI22" s="14"/>
      <c r="AJ22" s="15">
        <f>VLOOKUP(E22,'[1]Ethanol Plant Listing 2025'!$B$3:$E$220,4,FALSE)</f>
        <v>70</v>
      </c>
      <c r="AK22" s="14">
        <f>+AJ22*[1]Yield!$K$4</f>
        <v>66.5</v>
      </c>
      <c r="AL22" s="14">
        <f>AK22/VLOOKUP(Q22,[1]Yield!$E$5:$F$14,2,FALSE)</f>
        <v>22.542372881355931</v>
      </c>
      <c r="AM22" s="14"/>
      <c r="AN22" s="14"/>
      <c r="AO22" s="16">
        <f t="shared" si="2"/>
        <v>148000</v>
      </c>
      <c r="AP22" s="16" t="s">
        <v>393</v>
      </c>
      <c r="AQ22" s="17" t="str">
        <f t="shared" si="10"/>
        <v>ICM</v>
      </c>
      <c r="AR22" s="18">
        <f>VLOOKUP(AQ22,[1]Yield!$A$5:$B$10,2,FALSE)</f>
        <v>0.9</v>
      </c>
      <c r="AS22" s="14">
        <f t="shared" si="4"/>
        <v>20.288135593220339</v>
      </c>
      <c r="AT22" s="8" t="s">
        <v>411</v>
      </c>
      <c r="AX22" s="8" t="str">
        <f>IFERROR(VLOOKUP(E22,[1]Sheet3!$C$2:$E$68,2,FALSE),"None")</f>
        <v>None</v>
      </c>
      <c r="AY22" s="8">
        <f>IFERROR(VLOOKUP(AX22,[1]Sheet3!$H$3:$I$5,2,FALSE),0)</f>
        <v>0</v>
      </c>
      <c r="AZ22" s="14">
        <f t="shared" si="5"/>
        <v>70</v>
      </c>
      <c r="BA22" s="14">
        <f t="shared" si="6"/>
        <v>115.08</v>
      </c>
      <c r="BB22" s="12">
        <f>SUMIFS('[1]Corn 2023'!V:V,'[1]Corn 2023'!K:K,"="&amp;'Corn Processors'!J22,'[1]Corn 2023'!B:B,"=2023")</f>
        <v>0</v>
      </c>
      <c r="BC22" s="7"/>
      <c r="BD22" s="19" t="s">
        <v>491</v>
      </c>
      <c r="BE22" s="7" t="s">
        <v>413</v>
      </c>
      <c r="BF22" s="7" t="s">
        <v>398</v>
      </c>
      <c r="BI22" s="7" t="s">
        <v>399</v>
      </c>
      <c r="BJ22" s="7" t="s">
        <v>400</v>
      </c>
      <c r="BK22" s="7">
        <f t="shared" si="7"/>
        <v>25</v>
      </c>
    </row>
    <row r="23" spans="1:64" ht="15.6" customHeight="1" x14ac:dyDescent="0.3">
      <c r="A23" s="7">
        <v>22</v>
      </c>
      <c r="B23" s="8"/>
      <c r="C23" s="8"/>
      <c r="D23" s="8">
        <v>2863</v>
      </c>
      <c r="E23" s="8">
        <v>3569</v>
      </c>
      <c r="F23" s="8" t="str">
        <f t="shared" si="9"/>
        <v>Active</v>
      </c>
      <c r="G23" s="9" t="s">
        <v>488</v>
      </c>
      <c r="H23" s="9" t="str">
        <f>VLOOKUP(E23,'[1]EPA Ethanol Capacity 2024'!$B$5:$C$235,2,FALSE)</f>
        <v>Big River Resources Galva LLC</v>
      </c>
      <c r="I23" s="8" t="s">
        <v>416</v>
      </c>
      <c r="J23" t="s">
        <v>492</v>
      </c>
      <c r="K23" s="7">
        <v>61434</v>
      </c>
      <c r="L23" s="7" t="s">
        <v>493</v>
      </c>
      <c r="M23" s="7">
        <v>2</v>
      </c>
      <c r="N23" s="20">
        <v>41.169691</v>
      </c>
      <c r="O23" s="11">
        <v>-90.024473</v>
      </c>
      <c r="P23" s="12">
        <v>2009</v>
      </c>
      <c r="Q23" s="12" t="s">
        <v>388</v>
      </c>
      <c r="R23" s="12">
        <f t="shared" si="0"/>
        <v>4</v>
      </c>
      <c r="S23" s="12" t="s">
        <v>389</v>
      </c>
      <c r="AB23" s="13" t="s">
        <v>390</v>
      </c>
      <c r="AC23" s="13" t="s">
        <v>391</v>
      </c>
      <c r="AD23" s="13" t="s">
        <v>494</v>
      </c>
      <c r="AE23" s="8" t="str">
        <f t="shared" si="1"/>
        <v>High</v>
      </c>
      <c r="AF23" s="14"/>
      <c r="AG23" s="14"/>
      <c r="AH23" s="14"/>
      <c r="AI23" s="14"/>
      <c r="AJ23" s="15">
        <f>VLOOKUP(E23,'[1]Ethanol Plant Listing 2025'!$B$3:$E$220,4,FALSE)</f>
        <v>140</v>
      </c>
      <c r="AK23" s="14">
        <f>+AJ23*[1]Yield!$K$4</f>
        <v>133</v>
      </c>
      <c r="AL23" s="14">
        <f>AK23/VLOOKUP(Q23,[1]Yield!$E$5:$F$14,2,FALSE)</f>
        <v>45.084745762711862</v>
      </c>
      <c r="AM23" s="14"/>
      <c r="AN23" s="14"/>
      <c r="AO23" s="16">
        <f t="shared" si="2"/>
        <v>295000</v>
      </c>
      <c r="AP23" s="16" t="s">
        <v>393</v>
      </c>
      <c r="AQ23" s="17" t="str">
        <f t="shared" si="10"/>
        <v>ICM</v>
      </c>
      <c r="AR23" s="18">
        <f>VLOOKUP(AQ23,[1]Yield!$A$5:$B$10,2,FALSE)</f>
        <v>0.9</v>
      </c>
      <c r="AS23" s="14">
        <f t="shared" si="4"/>
        <v>40.576271186440678</v>
      </c>
      <c r="AT23" s="8" t="s">
        <v>437</v>
      </c>
      <c r="AU23" s="8" t="s">
        <v>450</v>
      </c>
      <c r="AV23" s="8"/>
      <c r="AW23" s="13"/>
      <c r="AX23" s="8" t="s">
        <v>495</v>
      </c>
      <c r="AY23" s="8">
        <f>IFERROR(VLOOKUP(AX23,[1]Sheet3!$H$3:$I$5,2,FALSE),0)</f>
        <v>32</v>
      </c>
      <c r="AZ23" s="14">
        <f t="shared" si="5"/>
        <v>140</v>
      </c>
      <c r="BA23" s="14">
        <f t="shared" si="6"/>
        <v>230.16</v>
      </c>
      <c r="BB23" s="12">
        <f>SUMIFS('[1]Corn 2023'!V:V,'[1]Corn 2023'!K:K,"="&amp;'Corn Processors'!J23,'[1]Corn 2023'!B:B,"=2023")</f>
        <v>0</v>
      </c>
      <c r="BC23" s="7"/>
      <c r="BD23" s="19" t="s">
        <v>491</v>
      </c>
      <c r="BE23" s="7" t="s">
        <v>481</v>
      </c>
      <c r="BF23" s="7" t="s">
        <v>398</v>
      </c>
      <c r="BJ23" s="7" t="s">
        <v>400</v>
      </c>
      <c r="BK23" s="7">
        <f t="shared" si="7"/>
        <v>25</v>
      </c>
    </row>
    <row r="24" spans="1:64" ht="15.6" customHeight="1" x14ac:dyDescent="0.3">
      <c r="A24" s="7">
        <v>23</v>
      </c>
      <c r="B24" s="8"/>
      <c r="C24" s="8"/>
      <c r="D24" s="8">
        <v>2864</v>
      </c>
      <c r="E24" s="8">
        <v>3570</v>
      </c>
      <c r="F24" s="8" t="str">
        <f t="shared" si="9"/>
        <v>Active</v>
      </c>
      <c r="G24" s="9" t="s">
        <v>488</v>
      </c>
      <c r="H24" s="9" t="str">
        <f>VLOOKUP(E24,'[1]EPA Ethanol Capacity 2024'!$B$5:$C$235,2,FALSE)</f>
        <v>Big River Resources West Burlington LLC</v>
      </c>
      <c r="I24" s="8" t="s">
        <v>387</v>
      </c>
      <c r="J24" t="s">
        <v>496</v>
      </c>
      <c r="K24" s="7">
        <v>52655</v>
      </c>
      <c r="L24" s="7" t="s">
        <v>497</v>
      </c>
      <c r="M24" s="7">
        <v>2</v>
      </c>
      <c r="N24" s="20">
        <v>40.831195999999998</v>
      </c>
      <c r="O24" s="11">
        <v>-91.220611000000005</v>
      </c>
      <c r="P24" s="12">
        <v>2008</v>
      </c>
      <c r="Q24" s="12" t="s">
        <v>388</v>
      </c>
      <c r="R24" s="12">
        <f t="shared" si="0"/>
        <v>4</v>
      </c>
      <c r="S24" s="12"/>
      <c r="AB24" s="13" t="s">
        <v>390</v>
      </c>
      <c r="AC24" s="13" t="s">
        <v>391</v>
      </c>
      <c r="AD24" s="13" t="s">
        <v>378</v>
      </c>
      <c r="AE24" s="8" t="str">
        <f t="shared" si="1"/>
        <v>High</v>
      </c>
      <c r="AF24" s="14">
        <v>130</v>
      </c>
      <c r="AG24" s="14">
        <v>130</v>
      </c>
      <c r="AH24" s="14" t="s">
        <v>498</v>
      </c>
      <c r="AI24" s="14"/>
      <c r="AJ24" s="15">
        <f>VLOOKUP(E24,'[1]Ethanol Plant Listing 2025'!$B$3:$E$220,4,FALSE)</f>
        <v>130</v>
      </c>
      <c r="AK24" s="14">
        <f>+AJ24*[1]Yield!$K$4</f>
        <v>123.5</v>
      </c>
      <c r="AL24" s="14">
        <f>AK24/VLOOKUP(Q24,[1]Yield!$E$5:$F$14,2,FALSE)</f>
        <v>41.864406779661017</v>
      </c>
      <c r="AM24" s="14"/>
      <c r="AN24" s="14"/>
      <c r="AO24" s="16">
        <f t="shared" si="2"/>
        <v>274000</v>
      </c>
      <c r="AP24" s="16" t="s">
        <v>393</v>
      </c>
      <c r="AQ24" s="17" t="str">
        <f t="shared" si="10"/>
        <v>ICM</v>
      </c>
      <c r="AR24" s="18">
        <f>VLOOKUP(AQ24,[1]Yield!$A$5:$B$10,2,FALSE)</f>
        <v>0.9</v>
      </c>
      <c r="AS24" s="14">
        <f t="shared" si="4"/>
        <v>37.677966101694913</v>
      </c>
      <c r="AT24" s="8" t="s">
        <v>437</v>
      </c>
      <c r="AU24" s="8"/>
      <c r="AV24" s="8"/>
      <c r="AW24" s="13"/>
      <c r="AX24" s="8" t="str">
        <f>IFERROR(VLOOKUP(E24,[1]Sheet3!$C$2:$E$68,2,FALSE),"None")</f>
        <v>None</v>
      </c>
      <c r="AY24" s="8">
        <f>IFERROR(VLOOKUP(AX24,[1]Sheet3!$H$3:$I$5,2,FALSE),0)</f>
        <v>0</v>
      </c>
      <c r="AZ24" s="14">
        <f t="shared" si="5"/>
        <v>130</v>
      </c>
      <c r="BA24" s="14">
        <f t="shared" si="6"/>
        <v>213.72</v>
      </c>
      <c r="BB24" s="12">
        <f>SUMIFS('[1]Corn 2023'!V:V,'[1]Corn 2023'!B:B,"=2023",'[1]Corn 2023'!L:L,"="&amp;'Corn Processors'!L24)</f>
        <v>74200</v>
      </c>
      <c r="BC24" s="7"/>
      <c r="BD24" s="19" t="s">
        <v>491</v>
      </c>
      <c r="BE24" s="7" t="s">
        <v>481</v>
      </c>
      <c r="BF24" s="7" t="s">
        <v>398</v>
      </c>
      <c r="BI24" s="7" t="s">
        <v>399</v>
      </c>
      <c r="BJ24" s="7" t="s">
        <v>400</v>
      </c>
      <c r="BK24" s="7">
        <f t="shared" si="7"/>
        <v>25</v>
      </c>
    </row>
    <row r="25" spans="1:64" ht="15.6" customHeight="1" x14ac:dyDescent="0.3">
      <c r="A25" s="7">
        <v>24</v>
      </c>
      <c r="B25" s="8"/>
      <c r="C25" s="8"/>
      <c r="D25" s="8">
        <v>3153</v>
      </c>
      <c r="E25" s="8">
        <v>3571</v>
      </c>
      <c r="F25" s="8" t="str">
        <f t="shared" si="9"/>
        <v>Active</v>
      </c>
      <c r="G25" s="9" t="s">
        <v>488</v>
      </c>
      <c r="H25" s="9" t="str">
        <f>VLOOKUP(E25,'[1]EPA Ethanol Capacity 2024'!$B$5:$C$235,2,FALSE)</f>
        <v>Big River United Energy LLC</v>
      </c>
      <c r="I25" s="8" t="s">
        <v>387</v>
      </c>
      <c r="J25" t="s">
        <v>499</v>
      </c>
      <c r="K25" s="7">
        <v>52040</v>
      </c>
      <c r="L25" s="7" t="s">
        <v>500</v>
      </c>
      <c r="M25" s="7">
        <v>2</v>
      </c>
      <c r="N25" s="20">
        <v>42.487200000000001</v>
      </c>
      <c r="O25" s="11">
        <v>-91.163300000000007</v>
      </c>
      <c r="P25" s="12">
        <v>2009</v>
      </c>
      <c r="Q25" s="12" t="s">
        <v>388</v>
      </c>
      <c r="R25" s="12">
        <f t="shared" si="0"/>
        <v>4</v>
      </c>
      <c r="S25" s="12" t="s">
        <v>389</v>
      </c>
      <c r="AB25" s="13" t="s">
        <v>390</v>
      </c>
      <c r="AC25" s="13" t="s">
        <v>391</v>
      </c>
      <c r="AD25" s="13" t="s">
        <v>378</v>
      </c>
      <c r="AE25" s="8" t="str">
        <f t="shared" si="1"/>
        <v>High</v>
      </c>
      <c r="AF25" s="14">
        <v>140</v>
      </c>
      <c r="AG25" s="14">
        <v>120</v>
      </c>
      <c r="AH25" s="14" t="s">
        <v>501</v>
      </c>
      <c r="AI25" s="14"/>
      <c r="AJ25" s="15">
        <f>VLOOKUP(E25,'[1]Ethanol Plant Listing 2025'!$B$3:$E$220,4,FALSE)</f>
        <v>140</v>
      </c>
      <c r="AK25" s="14">
        <f>+AJ25*[1]Yield!$K$4</f>
        <v>133</v>
      </c>
      <c r="AL25" s="14">
        <f>AK25/VLOOKUP(Q25,[1]Yield!$E$5:$F$14,2,FALSE)</f>
        <v>45.084745762711862</v>
      </c>
      <c r="AM25" s="14"/>
      <c r="AN25" s="14"/>
      <c r="AO25" s="16">
        <f t="shared" si="2"/>
        <v>295000</v>
      </c>
      <c r="AP25" s="16" t="s">
        <v>393</v>
      </c>
      <c r="AQ25" s="17" t="str">
        <f t="shared" si="10"/>
        <v>ICM</v>
      </c>
      <c r="AR25" s="18">
        <f>VLOOKUP(AQ25,[1]Yield!$A$5:$B$10,2,FALSE)</f>
        <v>0.9</v>
      </c>
      <c r="AS25" s="14">
        <f t="shared" si="4"/>
        <v>40.576271186440678</v>
      </c>
      <c r="AT25" s="8" t="s">
        <v>437</v>
      </c>
      <c r="AU25" s="8"/>
      <c r="AV25" s="8"/>
      <c r="AW25" s="13"/>
      <c r="AX25" s="8" t="str">
        <f>IFERROR(VLOOKUP(E25,[1]Sheet3!$C$2:$E$68,2,FALSE),"None")</f>
        <v>None</v>
      </c>
      <c r="AY25" s="8">
        <f>IFERROR(VLOOKUP(AX25,[1]Sheet3!$H$3:$I$5,2,FALSE),0)</f>
        <v>0</v>
      </c>
      <c r="AZ25" s="14">
        <f t="shared" si="5"/>
        <v>140</v>
      </c>
      <c r="BA25" s="14">
        <f t="shared" si="6"/>
        <v>230.16</v>
      </c>
      <c r="BB25" s="12">
        <f>SUMIFS('[1]Corn 2023'!V:V,'[1]Corn 2023'!B:B,"=2023",'[1]Corn 2023'!L:L,"="&amp;'Corn Processors'!L25)</f>
        <v>148500</v>
      </c>
      <c r="BC25" s="7"/>
      <c r="BD25" s="19" t="s">
        <v>491</v>
      </c>
      <c r="BE25" s="7" t="s">
        <v>413</v>
      </c>
      <c r="BF25" s="7" t="s">
        <v>398</v>
      </c>
      <c r="BI25" s="7" t="s">
        <v>399</v>
      </c>
      <c r="BJ25" s="7" t="s">
        <v>400</v>
      </c>
      <c r="BK25" s="7">
        <f t="shared" si="7"/>
        <v>25</v>
      </c>
      <c r="BL25" s="9" t="s">
        <v>502</v>
      </c>
    </row>
    <row r="26" spans="1:64" ht="15.6" customHeight="1" x14ac:dyDescent="0.3">
      <c r="A26" s="7">
        <v>25</v>
      </c>
      <c r="B26" s="8"/>
      <c r="C26" s="8"/>
      <c r="D26" s="8">
        <v>3154</v>
      </c>
      <c r="E26" s="8">
        <v>3572</v>
      </c>
      <c r="F26" s="8" t="str">
        <f t="shared" si="9"/>
        <v>Active</v>
      </c>
      <c r="G26" s="9" t="s">
        <v>503</v>
      </c>
      <c r="H26" s="9" t="str">
        <f>VLOOKUP(E26,'[1]EPA Ethanol Capacity 2024'!$B$5:$C$235,2,FALSE)</f>
        <v>Biourja Renewables LLC</v>
      </c>
      <c r="I26" s="8" t="s">
        <v>416</v>
      </c>
      <c r="J26" t="s">
        <v>504</v>
      </c>
      <c r="K26" s="7">
        <v>61602</v>
      </c>
      <c r="L26" s="7" t="s">
        <v>504</v>
      </c>
      <c r="M26" s="7">
        <v>2</v>
      </c>
      <c r="N26" s="20">
        <v>40.677599999999998</v>
      </c>
      <c r="O26" s="11">
        <v>-89.606899999999996</v>
      </c>
      <c r="P26" s="12">
        <v>1982</v>
      </c>
      <c r="Q26" s="12" t="s">
        <v>461</v>
      </c>
      <c r="R26" s="12">
        <f t="shared" si="0"/>
        <v>1</v>
      </c>
      <c r="S26" s="12"/>
      <c r="AB26" s="13" t="s">
        <v>390</v>
      </c>
      <c r="AC26" s="13" t="s">
        <v>391</v>
      </c>
      <c r="AD26" s="13" t="s">
        <v>494</v>
      </c>
      <c r="AE26" s="8" t="str">
        <f t="shared" si="1"/>
        <v>High</v>
      </c>
      <c r="AF26" s="14"/>
      <c r="AG26" s="14"/>
      <c r="AH26" s="14"/>
      <c r="AI26" s="14"/>
      <c r="AJ26" s="15">
        <f>VLOOKUP(E26,'[1]Ethanol Plant Listing 2025'!$B$3:$E$220,4,FALSE)</f>
        <v>61</v>
      </c>
      <c r="AK26" s="14">
        <f>+AJ26*[1]Yield!$K$4</f>
        <v>57.949999999999996</v>
      </c>
      <c r="AL26" s="14">
        <f>AK26/VLOOKUP(Q26,[1]Yield!$E$5:$F$14,2,FALSE)</f>
        <v>20.121527777777779</v>
      </c>
      <c r="AM26" s="14"/>
      <c r="AN26" s="14"/>
      <c r="AO26" s="16">
        <f t="shared" si="2"/>
        <v>132000</v>
      </c>
      <c r="AP26" s="16" t="s">
        <v>393</v>
      </c>
      <c r="AQ26" s="17" t="str">
        <f t="shared" si="10"/>
        <v>ADM</v>
      </c>
      <c r="AR26" s="18">
        <f>VLOOKUP(AQ26,[1]Yield!$A$5:$B$10,2,FALSE)</f>
        <v>0.8</v>
      </c>
      <c r="AS26" s="14">
        <f t="shared" si="4"/>
        <v>16.097222222222225</v>
      </c>
      <c r="AT26" s="8" t="s">
        <v>394</v>
      </c>
      <c r="AX26" s="8" t="str">
        <f>IFERROR(VLOOKUP(E26,[1]Sheet3!$C$2:$E$68,2,FALSE),"None")</f>
        <v>None</v>
      </c>
      <c r="AY26" s="8">
        <f>IFERROR(VLOOKUP(AX26,[1]Sheet3!$H$3:$I$5,2,FALSE),0)</f>
        <v>0</v>
      </c>
      <c r="AZ26" s="14">
        <f t="shared" si="5"/>
        <v>61</v>
      </c>
      <c r="BA26" s="14">
        <f t="shared" si="6"/>
        <v>100.28399999999999</v>
      </c>
      <c r="BB26" s="12">
        <f>SUMIFS('[1]Corn 2023'!V:V,'[1]Corn 2023'!K:K,"="&amp;'Corn Processors'!J26,'[1]Corn 2023'!B:B,"=2023")</f>
        <v>0</v>
      </c>
      <c r="BC26" s="7"/>
      <c r="BD26" s="19" t="s">
        <v>505</v>
      </c>
      <c r="BE26" s="7" t="s">
        <v>428</v>
      </c>
      <c r="BF26" s="7" t="s">
        <v>398</v>
      </c>
      <c r="BK26" s="7">
        <f t="shared" si="7"/>
        <v>20</v>
      </c>
      <c r="BL26" s="9" t="s">
        <v>506</v>
      </c>
    </row>
    <row r="27" spans="1:64" ht="15.6" customHeight="1" x14ac:dyDescent="0.3">
      <c r="A27" s="7">
        <v>26</v>
      </c>
      <c r="B27" s="8"/>
      <c r="C27" s="8"/>
      <c r="D27" s="8">
        <v>3155</v>
      </c>
      <c r="E27" s="8">
        <v>3573</v>
      </c>
      <c r="F27" s="8" t="str">
        <f t="shared" si="9"/>
        <v>Active</v>
      </c>
      <c r="G27" s="9" t="s">
        <v>507</v>
      </c>
      <c r="H27" s="9" t="str">
        <f>VLOOKUP(E27,'[1]EPA Ethanol Capacity 2024'!$B$5:$C$235,2,FALSE)</f>
        <v>Blue Flint Ethanol LLC</v>
      </c>
      <c r="I27" s="8" t="s">
        <v>508</v>
      </c>
      <c r="J27" t="s">
        <v>509</v>
      </c>
      <c r="K27" s="7">
        <v>58576</v>
      </c>
      <c r="L27" s="7" t="s">
        <v>510</v>
      </c>
      <c r="M27" s="7">
        <v>2</v>
      </c>
      <c r="N27" s="20">
        <v>47.377226</v>
      </c>
      <c r="O27" s="11">
        <v>-101.152303</v>
      </c>
      <c r="P27" s="12">
        <v>2007</v>
      </c>
      <c r="Q27" s="12" t="s">
        <v>388</v>
      </c>
      <c r="R27" s="12">
        <f t="shared" si="0"/>
        <v>3</v>
      </c>
      <c r="S27" s="12"/>
      <c r="U27" s="7" t="s">
        <v>343</v>
      </c>
      <c r="AB27" s="13" t="s">
        <v>390</v>
      </c>
      <c r="AC27" s="13" t="s">
        <v>391</v>
      </c>
      <c r="AD27" s="13" t="s">
        <v>378</v>
      </c>
      <c r="AE27" s="8" t="str">
        <f t="shared" si="1"/>
        <v>High</v>
      </c>
      <c r="AF27" s="14"/>
      <c r="AG27" s="14"/>
      <c r="AH27" s="14"/>
      <c r="AI27" s="14"/>
      <c r="AJ27" s="15">
        <f>VLOOKUP(E27,'[1]Ethanol Plant Listing 2025'!$B$3:$E$220,4,FALSE)</f>
        <v>75.7</v>
      </c>
      <c r="AK27" s="14">
        <f>+AJ27*[1]Yield!$K$4</f>
        <v>71.915000000000006</v>
      </c>
      <c r="AL27" s="14">
        <f>AK27/VLOOKUP(Q27,[1]Yield!$E$5:$F$14,2,FALSE)</f>
        <v>24.377966101694916</v>
      </c>
      <c r="AM27" s="14"/>
      <c r="AN27" s="14"/>
      <c r="AO27" s="16">
        <f t="shared" si="2"/>
        <v>160000</v>
      </c>
      <c r="AP27" s="16" t="s">
        <v>393</v>
      </c>
      <c r="AQ27" s="17" t="str">
        <f t="shared" si="10"/>
        <v>ICM</v>
      </c>
      <c r="AR27" s="18">
        <f>VLOOKUP(AQ27,[1]Yield!$A$5:$B$10,2,FALSE)</f>
        <v>0.9</v>
      </c>
      <c r="AS27" s="14">
        <f t="shared" si="4"/>
        <v>21.940169491525424</v>
      </c>
      <c r="AT27" s="8" t="s">
        <v>394</v>
      </c>
      <c r="AU27" s="8" t="s">
        <v>450</v>
      </c>
      <c r="AV27" s="8"/>
      <c r="AW27" s="13"/>
      <c r="AX27" s="8" t="str">
        <f>IFERROR(VLOOKUP(E27,[1]Sheet3!$C$2:$E$68,2,FALSE),"None")</f>
        <v>Direct Inject</v>
      </c>
      <c r="AY27" s="8">
        <f>IFERROR(VLOOKUP(AX27,[1]Sheet3!$H$3:$I$5,2,FALSE),0)</f>
        <v>32</v>
      </c>
      <c r="AZ27" s="14">
        <f t="shared" si="5"/>
        <v>75.7</v>
      </c>
      <c r="BA27" s="14">
        <f t="shared" si="6"/>
        <v>124.45079999999999</v>
      </c>
      <c r="BB27" s="12">
        <f>SUMIFS('[1]Corn 2023'!V:V,'[1]Corn 2023'!K:K,"="&amp;'Corn Processors'!J27,'[1]Corn 2023'!B:B,"=2023")</f>
        <v>0</v>
      </c>
      <c r="BC27" s="7"/>
      <c r="BD27" s="19" t="s">
        <v>511</v>
      </c>
      <c r="BE27" s="7" t="s">
        <v>428</v>
      </c>
      <c r="BF27" s="7" t="s">
        <v>398</v>
      </c>
      <c r="BK27" s="7">
        <f t="shared" si="7"/>
        <v>25</v>
      </c>
    </row>
    <row r="28" spans="1:64" ht="15.6" customHeight="1" x14ac:dyDescent="0.3">
      <c r="A28" s="7">
        <v>27</v>
      </c>
      <c r="B28" s="8">
        <v>4054</v>
      </c>
      <c r="C28" s="8">
        <v>70117</v>
      </c>
      <c r="D28" s="8">
        <v>3156</v>
      </c>
      <c r="E28" s="8">
        <v>3574</v>
      </c>
      <c r="F28" s="8" t="str">
        <f t="shared" si="9"/>
        <v>Active</v>
      </c>
      <c r="G28" s="9" t="s">
        <v>44</v>
      </c>
      <c r="H28" s="9" t="str">
        <f>VLOOKUP(E28,'[1]EPA Ethanol Capacity 2024'!$B$5:$C$235,2,FALSE)</f>
        <v>Bonanza Bioenergy LLC</v>
      </c>
      <c r="I28" s="8" t="s">
        <v>455</v>
      </c>
      <c r="J28" t="s">
        <v>54</v>
      </c>
      <c r="K28" s="7">
        <v>33923</v>
      </c>
      <c r="L28" s="7" t="e">
        <v>#N/A</v>
      </c>
      <c r="M28" s="7">
        <v>2</v>
      </c>
      <c r="N28" s="20">
        <v>37.959051000000002</v>
      </c>
      <c r="O28" s="11">
        <v>-100.839134</v>
      </c>
      <c r="P28" s="12">
        <v>2007</v>
      </c>
      <c r="Q28" s="12" t="s">
        <v>388</v>
      </c>
      <c r="R28" s="12">
        <f t="shared" si="0"/>
        <v>3</v>
      </c>
      <c r="S28" s="12"/>
      <c r="U28" s="7" t="s">
        <v>343</v>
      </c>
      <c r="AB28" s="13" t="s">
        <v>425</v>
      </c>
      <c r="AC28" s="13" t="s">
        <v>391</v>
      </c>
      <c r="AD28" s="13" t="s">
        <v>378</v>
      </c>
      <c r="AE28" s="8" t="str">
        <f t="shared" si="1"/>
        <v>High</v>
      </c>
      <c r="AF28" s="14"/>
      <c r="AG28" s="14"/>
      <c r="AH28" s="14"/>
      <c r="AI28" s="14"/>
      <c r="AJ28" s="15">
        <f>VLOOKUP(E28,'[1]Ethanol Plant Listing 2025'!$B$3:$E$220,4,FALSE)</f>
        <v>73.5</v>
      </c>
      <c r="AK28" s="14">
        <f>+AJ28*[1]Yield!$K$4</f>
        <v>69.825000000000003</v>
      </c>
      <c r="AL28" s="14">
        <f>AK28/VLOOKUP(Q28,[1]Yield!$E$5:$F$14,2,FALSE)</f>
        <v>23.669491525423727</v>
      </c>
      <c r="AM28" s="14"/>
      <c r="AN28" s="14"/>
      <c r="AO28" s="16">
        <f t="shared" si="2"/>
        <v>155000</v>
      </c>
      <c r="AP28" s="16" t="s">
        <v>393</v>
      </c>
      <c r="AQ28" s="17" t="str">
        <f t="shared" si="10"/>
        <v>ICM</v>
      </c>
      <c r="AR28" s="18">
        <f>VLOOKUP(AQ28,[1]Yield!$A$5:$B$10,2,FALSE)</f>
        <v>0.9</v>
      </c>
      <c r="AS28" s="14">
        <f t="shared" si="4"/>
        <v>21.302542372881355</v>
      </c>
      <c r="AT28" s="8" t="s">
        <v>394</v>
      </c>
      <c r="AU28" s="7" t="s">
        <v>450</v>
      </c>
      <c r="AX28" s="8" t="str">
        <f>IFERROR(VLOOKUP(E28,[1]Sheet3!$C$2:$E$68,2,FALSE),"None")</f>
        <v>Direct Inject</v>
      </c>
      <c r="AY28" s="8">
        <f>IFERROR(VLOOKUP(AX28,[1]Sheet3!$H$3:$I$5,2,FALSE),0)</f>
        <v>32</v>
      </c>
      <c r="AZ28" s="14">
        <f t="shared" si="5"/>
        <v>73.5</v>
      </c>
      <c r="BA28" s="14">
        <f t="shared" si="6"/>
        <v>120.83399999999999</v>
      </c>
      <c r="BB28" s="12">
        <f>SUMIFS('[1]Corn 2023'!V:V,'[1]Corn 2023'!K:K,"="&amp;'Corn Processors'!J28,'[1]Corn 2023'!B:B,"=2023")</f>
        <v>0</v>
      </c>
      <c r="BC28" s="7"/>
      <c r="BD28" s="19" t="s">
        <v>484</v>
      </c>
      <c r="BE28" s="7" t="s">
        <v>481</v>
      </c>
      <c r="BF28" s="7" t="s">
        <v>398</v>
      </c>
      <c r="BK28" s="7">
        <f t="shared" si="7"/>
        <v>25</v>
      </c>
    </row>
    <row r="29" spans="1:64" ht="15.6" customHeight="1" x14ac:dyDescent="0.3">
      <c r="A29" s="7">
        <v>28</v>
      </c>
      <c r="B29" s="8">
        <v>5934</v>
      </c>
      <c r="C29" s="8">
        <v>70217</v>
      </c>
      <c r="D29" s="8">
        <v>3157</v>
      </c>
      <c r="E29" s="8">
        <v>3575</v>
      </c>
      <c r="F29" s="8" t="str">
        <f t="shared" si="9"/>
        <v>Active</v>
      </c>
      <c r="G29" s="9" t="s">
        <v>512</v>
      </c>
      <c r="H29" s="9" t="str">
        <f>VLOOKUP(E29,'[1]EPA Ethanol Capacity 2024'!$B$5:$C$235,2,FALSE)</f>
        <v>Bridgeport Ethanol LLC</v>
      </c>
      <c r="I29" s="8" t="s">
        <v>470</v>
      </c>
      <c r="J29" t="s">
        <v>513</v>
      </c>
      <c r="K29" s="7">
        <v>69336</v>
      </c>
      <c r="L29" s="7" t="s">
        <v>514</v>
      </c>
      <c r="M29" s="7">
        <v>2</v>
      </c>
      <c r="N29" s="20">
        <v>41.6432</v>
      </c>
      <c r="O29" s="11">
        <v>-103.078632</v>
      </c>
      <c r="P29" s="12">
        <v>2008</v>
      </c>
      <c r="Q29" s="12" t="s">
        <v>388</v>
      </c>
      <c r="R29" s="12">
        <f t="shared" si="0"/>
        <v>1</v>
      </c>
      <c r="S29" s="12"/>
      <c r="U29" s="7" t="s">
        <v>343</v>
      </c>
      <c r="AB29" s="13" t="s">
        <v>390</v>
      </c>
      <c r="AC29" s="13" t="s">
        <v>391</v>
      </c>
      <c r="AD29" s="13" t="s">
        <v>378</v>
      </c>
      <c r="AE29" s="8" t="str">
        <f t="shared" si="1"/>
        <v>High</v>
      </c>
      <c r="AF29" s="14">
        <v>60</v>
      </c>
      <c r="AG29" s="14">
        <v>50</v>
      </c>
      <c r="AH29" s="14" t="s">
        <v>515</v>
      </c>
      <c r="AI29" s="14">
        <v>87464</v>
      </c>
      <c r="AJ29" s="15">
        <f>VLOOKUP(E29,'[1]Ethanol Plant Listing 2025'!$B$3:$E$220,4,FALSE)</f>
        <v>60</v>
      </c>
      <c r="AK29" s="14">
        <f>+AJ29*[1]Yield!$K$4</f>
        <v>57</v>
      </c>
      <c r="AL29" s="14">
        <f>AK29/VLOOKUP(Q29,[1]Yield!$E$5:$F$14,2,FALSE)</f>
        <v>19.322033898305083</v>
      </c>
      <c r="AM29" s="14"/>
      <c r="AN29" s="14"/>
      <c r="AO29" s="16">
        <f t="shared" si="2"/>
        <v>127000</v>
      </c>
      <c r="AP29" s="16" t="s">
        <v>393</v>
      </c>
      <c r="AQ29" s="17" t="str">
        <f t="shared" si="10"/>
        <v>ICM</v>
      </c>
      <c r="AR29" s="18">
        <f>VLOOKUP(AQ29,[1]Yield!$A$5:$B$10,2,FALSE)</f>
        <v>0.9</v>
      </c>
      <c r="AS29" s="14">
        <f t="shared" si="4"/>
        <v>17.389830508474574</v>
      </c>
      <c r="AT29" s="8" t="s">
        <v>437</v>
      </c>
      <c r="AU29" s="8"/>
      <c r="AV29" s="8"/>
      <c r="AW29" s="13"/>
      <c r="AX29" s="8" t="str">
        <f>IFERROR(VLOOKUP(E29,[1]Sheet3!$C$2:$E$68,2,FALSE),"None")</f>
        <v>None</v>
      </c>
      <c r="AY29" s="8">
        <f>IFERROR(VLOOKUP(AX29,[1]Sheet3!$H$3:$I$5,2,FALSE),0)</f>
        <v>0</v>
      </c>
      <c r="AZ29" s="14">
        <f t="shared" si="5"/>
        <v>60</v>
      </c>
      <c r="BA29" s="14">
        <f t="shared" si="6"/>
        <v>98.64</v>
      </c>
      <c r="BB29" s="12">
        <f>SUMIFS('[1]Corn 2023'!V:V,'[1]Corn 2023'!K:K,"="&amp;'Corn Processors'!J29,'[1]Corn 2023'!B:B,"=2023")</f>
        <v>0</v>
      </c>
      <c r="BC29" s="7"/>
      <c r="BD29" s="19" t="s">
        <v>516</v>
      </c>
      <c r="BE29" s="7" t="s">
        <v>481</v>
      </c>
      <c r="BF29" s="7" t="s">
        <v>398</v>
      </c>
      <c r="BK29" s="7">
        <f t="shared" si="7"/>
        <v>25</v>
      </c>
    </row>
    <row r="30" spans="1:64" ht="15.6" customHeight="1" x14ac:dyDescent="0.3">
      <c r="A30" s="7">
        <v>29</v>
      </c>
      <c r="B30" s="8">
        <v>4063</v>
      </c>
      <c r="C30" s="8">
        <v>70109</v>
      </c>
      <c r="D30" s="8">
        <v>3158</v>
      </c>
      <c r="E30" s="8">
        <v>3576</v>
      </c>
      <c r="F30" s="8" t="str">
        <f t="shared" si="9"/>
        <v>Active</v>
      </c>
      <c r="G30" s="9" t="s">
        <v>517</v>
      </c>
      <c r="H30" s="9" t="str">
        <f>VLOOKUP(E30,'[1]EPA Ethanol Capacity 2024'!$B$5:$C$235,2,FALSE)</f>
        <v>Bushmills Ethanol Inc</v>
      </c>
      <c r="I30" s="8" t="s">
        <v>429</v>
      </c>
      <c r="J30" t="s">
        <v>518</v>
      </c>
      <c r="K30" s="7">
        <v>56209</v>
      </c>
      <c r="L30" s="7" t="s">
        <v>519</v>
      </c>
      <c r="M30" s="7">
        <v>2</v>
      </c>
      <c r="N30" s="20">
        <v>45.073329999999999</v>
      </c>
      <c r="O30" s="11">
        <v>-94.755555999999999</v>
      </c>
      <c r="P30" s="12">
        <v>2005</v>
      </c>
      <c r="Q30" s="12" t="s">
        <v>388</v>
      </c>
      <c r="R30" s="12">
        <f t="shared" si="0"/>
        <v>1</v>
      </c>
      <c r="S30" s="12" t="s">
        <v>389</v>
      </c>
      <c r="AB30" s="13" t="s">
        <v>390</v>
      </c>
      <c r="AC30" s="13" t="s">
        <v>391</v>
      </c>
      <c r="AD30" s="13" t="s">
        <v>378</v>
      </c>
      <c r="AE30" s="8" t="str">
        <f t="shared" si="1"/>
        <v>High</v>
      </c>
      <c r="AF30" s="14"/>
      <c r="AG30" s="14"/>
      <c r="AH30" s="14"/>
      <c r="AI30" s="14"/>
      <c r="AJ30" s="15">
        <f>VLOOKUP(E30,'[1]Ethanol Plant Listing 2025'!$B$3:$E$220,4,FALSE)</f>
        <v>90</v>
      </c>
      <c r="AK30" s="14">
        <f>+AJ30*[1]Yield!$K$4</f>
        <v>85.5</v>
      </c>
      <c r="AL30" s="14">
        <f>AK30/VLOOKUP(Q30,[1]Yield!$E$5:$F$14,2,FALSE)</f>
        <v>28.983050847457626</v>
      </c>
      <c r="AM30" s="14"/>
      <c r="AN30" s="14"/>
      <c r="AO30" s="16">
        <f t="shared" si="2"/>
        <v>190000</v>
      </c>
      <c r="AP30" s="16" t="s">
        <v>393</v>
      </c>
      <c r="AQ30" s="17" t="str">
        <f t="shared" si="10"/>
        <v>ICM</v>
      </c>
      <c r="AR30" s="18">
        <f>VLOOKUP(AQ30,[1]Yield!$A$5:$B$10,2,FALSE)</f>
        <v>0.9</v>
      </c>
      <c r="AS30" s="14">
        <f t="shared" si="4"/>
        <v>26.084745762711865</v>
      </c>
      <c r="AT30" s="8" t="s">
        <v>437</v>
      </c>
      <c r="AU30" s="8"/>
      <c r="AV30" s="8"/>
      <c r="AW30" s="13"/>
      <c r="AX30" s="8" t="str">
        <f>IFERROR(VLOOKUP(E30,[1]Sheet3!$C$2:$E$68,2,FALSE),"None")</f>
        <v>Summit Carbon Solutions</v>
      </c>
      <c r="AY30" s="8">
        <f>IFERROR(VLOOKUP(AX30,[1]Sheet3!$H$3:$I$5,2,FALSE),0)</f>
        <v>31</v>
      </c>
      <c r="AZ30" s="14">
        <f t="shared" si="5"/>
        <v>90</v>
      </c>
      <c r="BA30" s="14">
        <f t="shared" si="6"/>
        <v>147.96</v>
      </c>
      <c r="BB30" s="12">
        <f>SUMIFS('[1]Corn 2023'!V:V,'[1]Corn 2023'!K:K,"="&amp;'Corn Processors'!J30,'[1]Corn 2023'!B:B,"=2023")</f>
        <v>0</v>
      </c>
      <c r="BC30" s="7"/>
      <c r="BD30" s="19" t="s">
        <v>520</v>
      </c>
      <c r="BE30" s="7" t="s">
        <v>481</v>
      </c>
      <c r="BF30" s="7" t="s">
        <v>398</v>
      </c>
      <c r="BK30" s="7">
        <f t="shared" si="7"/>
        <v>25</v>
      </c>
    </row>
    <row r="31" spans="1:64" ht="15.6" customHeight="1" x14ac:dyDescent="0.3">
      <c r="A31" s="7">
        <v>30</v>
      </c>
      <c r="B31" s="8">
        <v>7354</v>
      </c>
      <c r="C31" s="8">
        <v>70317</v>
      </c>
      <c r="D31" s="8">
        <v>3159</v>
      </c>
      <c r="E31" s="8">
        <v>3577</v>
      </c>
      <c r="F31" s="8" t="str">
        <f t="shared" si="9"/>
        <v>Active</v>
      </c>
      <c r="G31" s="9" t="s">
        <v>521</v>
      </c>
      <c r="H31" s="9" t="str">
        <f>VLOOKUP(E31,'[1]EPA Ethanol Capacity 2024'!$B$5:$C$235,2,FALSE)</f>
        <v>Calgren Renewable Fuels LLC</v>
      </c>
      <c r="I31" s="8" t="s">
        <v>422</v>
      </c>
      <c r="J31" t="s">
        <v>522</v>
      </c>
      <c r="K31" s="7">
        <v>93256</v>
      </c>
      <c r="L31" s="7" t="s">
        <v>523</v>
      </c>
      <c r="M31" s="7">
        <v>5</v>
      </c>
      <c r="N31" s="20">
        <v>36.001899999999999</v>
      </c>
      <c r="O31" s="11">
        <v>-119.30232700000001</v>
      </c>
      <c r="P31" s="12">
        <v>2009</v>
      </c>
      <c r="Q31" s="12" t="s">
        <v>524</v>
      </c>
      <c r="R31" s="12">
        <f t="shared" si="0"/>
        <v>1</v>
      </c>
      <c r="S31" s="12"/>
      <c r="U31" s="7" t="s">
        <v>343</v>
      </c>
      <c r="AB31" s="13" t="s">
        <v>390</v>
      </c>
      <c r="AC31" s="13" t="s">
        <v>391</v>
      </c>
      <c r="AD31" s="13" t="s">
        <v>378</v>
      </c>
      <c r="AE31" s="8" t="str">
        <f t="shared" si="1"/>
        <v>High</v>
      </c>
      <c r="AF31" s="14"/>
      <c r="AG31" s="14"/>
      <c r="AH31" s="14"/>
      <c r="AI31" s="14"/>
      <c r="AJ31" s="15">
        <f>VLOOKUP(E31,'[1]Ethanol Plant Listing 2025'!$B$3:$E$220,4,FALSE)</f>
        <v>55</v>
      </c>
      <c r="AK31" s="14">
        <f>+AJ31*[1]Yield!$K$4</f>
        <v>52.25</v>
      </c>
      <c r="AL31" s="14">
        <f>AK31/VLOOKUP(Q31,[1]Yield!$E$5:$F$14,2,FALSE)</f>
        <v>18.333333333333332</v>
      </c>
      <c r="AM31" s="14"/>
      <c r="AN31" s="14"/>
      <c r="AO31" s="16">
        <f t="shared" si="2"/>
        <v>120000</v>
      </c>
      <c r="AP31" s="16"/>
      <c r="AQ31" s="17" t="str">
        <f t="shared" si="10"/>
        <v>None</v>
      </c>
      <c r="AR31" s="18">
        <f>VLOOKUP(AQ31,[1]Yield!$A$5:$B$10,2,FALSE)</f>
        <v>0.81499999999999995</v>
      </c>
      <c r="AS31" s="14">
        <f t="shared" si="4"/>
        <v>14.941666666666665</v>
      </c>
      <c r="AT31" s="8" t="s">
        <v>394</v>
      </c>
      <c r="AX31" s="8" t="str">
        <f>IFERROR(VLOOKUP(E31,[1]Sheet3!$C$2:$E$68,2,FALSE),"None")</f>
        <v>None</v>
      </c>
      <c r="AY31" s="8">
        <f>IFERROR(VLOOKUP(AX31,[1]Sheet3!$H$3:$I$5,2,FALSE),0)</f>
        <v>0</v>
      </c>
      <c r="AZ31" s="14">
        <f t="shared" si="5"/>
        <v>55</v>
      </c>
      <c r="BA31" s="14">
        <f t="shared" si="6"/>
        <v>90.42</v>
      </c>
      <c r="BB31" s="12">
        <f>SUMIFS('[1]Corn 2023'!V:V,'[1]Corn 2023'!K:K,"="&amp;'Corn Processors'!J31,'[1]Corn 2023'!B:B,"=2023")</f>
        <v>0</v>
      </c>
      <c r="BC31" s="7"/>
      <c r="BD31" s="19" t="s">
        <v>525</v>
      </c>
      <c r="BE31" s="7" t="s">
        <v>428</v>
      </c>
      <c r="BF31" s="7" t="s">
        <v>414</v>
      </c>
      <c r="BJ31" s="7" t="s">
        <v>400</v>
      </c>
      <c r="BK31" s="7">
        <f t="shared" si="7"/>
        <v>15</v>
      </c>
    </row>
    <row r="32" spans="1:64" ht="15.6" customHeight="1" x14ac:dyDescent="0.3">
      <c r="A32" s="7">
        <v>31</v>
      </c>
      <c r="B32" s="8"/>
      <c r="C32" s="8"/>
      <c r="D32" s="8">
        <v>3160</v>
      </c>
      <c r="E32" s="8">
        <v>3578</v>
      </c>
      <c r="F32" s="8" t="str">
        <f t="shared" si="9"/>
        <v>Active</v>
      </c>
      <c r="G32" s="9" t="s">
        <v>526</v>
      </c>
      <c r="H32" s="9" t="str">
        <f>VLOOKUP(E32,'[1]EPA Ethanol Capacity 2024'!$B$5:$C$235,2,FALSE)</f>
        <v>Carbon Green Bioenergy LLC</v>
      </c>
      <c r="I32" s="8" t="s">
        <v>527</v>
      </c>
      <c r="J32" t="s">
        <v>528</v>
      </c>
      <c r="K32" s="7">
        <v>48849</v>
      </c>
      <c r="L32" s="7" t="s">
        <v>529</v>
      </c>
      <c r="M32" s="7">
        <v>2</v>
      </c>
      <c r="N32" s="20">
        <v>42.766010000000001</v>
      </c>
      <c r="O32" s="11">
        <v>-85.074280000000002</v>
      </c>
      <c r="P32" s="12">
        <v>2006</v>
      </c>
      <c r="Q32" s="12" t="s">
        <v>388</v>
      </c>
      <c r="R32" s="12">
        <f t="shared" si="0"/>
        <v>1</v>
      </c>
      <c r="S32" s="12" t="s">
        <v>389</v>
      </c>
      <c r="AB32" s="13" t="s">
        <v>390</v>
      </c>
      <c r="AC32" s="13" t="s">
        <v>391</v>
      </c>
      <c r="AD32" s="13" t="s">
        <v>378</v>
      </c>
      <c r="AE32" s="8" t="str">
        <f t="shared" si="1"/>
        <v>High</v>
      </c>
      <c r="AF32" s="14"/>
      <c r="AG32" s="14"/>
      <c r="AH32" s="14"/>
      <c r="AI32" s="14"/>
      <c r="AJ32" s="15">
        <f>VLOOKUP(E32,'[1]Ethanol Plant Listing 2025'!$B$3:$E$220,4,FALSE)</f>
        <v>59</v>
      </c>
      <c r="AK32" s="14">
        <f>+AJ32*[1]Yield!$K$4</f>
        <v>56.05</v>
      </c>
      <c r="AL32" s="14">
        <f>AK32/VLOOKUP(Q32,[1]Yield!$E$5:$F$14,2,FALSE)</f>
        <v>18.999999999999996</v>
      </c>
      <c r="AM32" s="14"/>
      <c r="AN32" s="14"/>
      <c r="AO32" s="16">
        <f t="shared" si="2"/>
        <v>124000</v>
      </c>
      <c r="AP32" s="16" t="s">
        <v>393</v>
      </c>
      <c r="AQ32" s="17" t="str">
        <f t="shared" si="10"/>
        <v>ICM</v>
      </c>
      <c r="AR32" s="18">
        <f>VLOOKUP(AQ32,[1]Yield!$A$5:$B$10,2,FALSE)</f>
        <v>0.9</v>
      </c>
      <c r="AS32" s="14">
        <f t="shared" si="4"/>
        <v>17.099999999999998</v>
      </c>
      <c r="AT32" s="8" t="s">
        <v>394</v>
      </c>
      <c r="AX32" s="8" t="str">
        <f>IFERROR(VLOOKUP(E32,[1]Sheet3!$C$2:$E$68,2,FALSE),"None")</f>
        <v>None</v>
      </c>
      <c r="AY32" s="8">
        <f>IFERROR(VLOOKUP(AX32,[1]Sheet3!$H$3:$I$5,2,FALSE),0)</f>
        <v>0</v>
      </c>
      <c r="AZ32" s="14">
        <f t="shared" si="5"/>
        <v>59</v>
      </c>
      <c r="BA32" s="14">
        <f t="shared" si="6"/>
        <v>96.995999999999995</v>
      </c>
      <c r="BB32" s="12">
        <f>SUMIFS('[1]Corn 2023'!V:V,'[1]Corn 2023'!K:K,"="&amp;'Corn Processors'!J32,'[1]Corn 2023'!B:B,"=2023")</f>
        <v>0</v>
      </c>
      <c r="BC32" s="7"/>
      <c r="BD32" s="19" t="s">
        <v>530</v>
      </c>
      <c r="BE32" s="7" t="s">
        <v>531</v>
      </c>
      <c r="BF32" s="7" t="s">
        <v>414</v>
      </c>
      <c r="BK32" s="7">
        <f t="shared" si="7"/>
        <v>25</v>
      </c>
    </row>
    <row r="33" spans="1:64" ht="15.6" customHeight="1" x14ac:dyDescent="0.3">
      <c r="A33" s="7">
        <v>32</v>
      </c>
      <c r="B33" s="8"/>
      <c r="C33" s="8"/>
      <c r="D33" s="8">
        <v>3161</v>
      </c>
      <c r="E33" s="8">
        <v>3579</v>
      </c>
      <c r="F33" s="8" t="str">
        <f t="shared" si="9"/>
        <v>Active</v>
      </c>
      <c r="G33" s="9" t="s">
        <v>532</v>
      </c>
      <c r="H33" s="9" t="str">
        <f>VLOOKUP(E33,'[1]EPA Ethanol Capacity 2024'!$B$5:$C$235,2,FALSE)</f>
        <v>Cardinal Ethanol LLC</v>
      </c>
      <c r="I33" s="8" t="s">
        <v>533</v>
      </c>
      <c r="J33" t="s">
        <v>534</v>
      </c>
      <c r="K33" s="7">
        <v>47390</v>
      </c>
      <c r="L33" s="7" t="s">
        <v>535</v>
      </c>
      <c r="M33" s="7">
        <v>2</v>
      </c>
      <c r="N33" s="20">
        <v>40.186819999999997</v>
      </c>
      <c r="O33" s="11">
        <v>-84.862260000000006</v>
      </c>
      <c r="P33" s="12">
        <v>2008</v>
      </c>
      <c r="Q33" s="12" t="s">
        <v>388</v>
      </c>
      <c r="R33" s="12">
        <f t="shared" si="0"/>
        <v>2</v>
      </c>
      <c r="S33" s="12" t="s">
        <v>389</v>
      </c>
      <c r="T33" s="7" t="s">
        <v>536</v>
      </c>
      <c r="AB33" s="13" t="s">
        <v>390</v>
      </c>
      <c r="AC33" s="13" t="s">
        <v>391</v>
      </c>
      <c r="AD33" s="13" t="s">
        <v>378</v>
      </c>
      <c r="AE33" s="8" t="str">
        <f t="shared" si="1"/>
        <v>High</v>
      </c>
      <c r="AF33" s="14"/>
      <c r="AG33" s="14"/>
      <c r="AH33" s="14"/>
      <c r="AI33" s="14"/>
      <c r="AJ33" s="15">
        <f>VLOOKUP(E33,'[1]Ethanol Plant Listing 2025'!$B$3:$E$220,4,FALSE)</f>
        <v>136</v>
      </c>
      <c r="AK33" s="14">
        <f>+AJ33*[1]Yield!$K$4</f>
        <v>129.19999999999999</v>
      </c>
      <c r="AL33" s="14">
        <f>AK33/VLOOKUP(Q33,[1]Yield!$E$5:$F$14,2,FALSE)</f>
        <v>43.796610169491522</v>
      </c>
      <c r="AM33" s="14"/>
      <c r="AN33" s="14"/>
      <c r="AO33" s="16">
        <f t="shared" si="2"/>
        <v>287000</v>
      </c>
      <c r="AP33" s="16" t="s">
        <v>393</v>
      </c>
      <c r="AQ33" s="17" t="str">
        <f t="shared" si="10"/>
        <v>ICM</v>
      </c>
      <c r="AR33" s="18">
        <f>VLOOKUP(AQ33,[1]Yield!$A$5:$B$10,2,FALSE)</f>
        <v>0.9</v>
      </c>
      <c r="AS33" s="14">
        <f t="shared" si="4"/>
        <v>39.416949152542372</v>
      </c>
      <c r="AT33" s="8" t="s">
        <v>394</v>
      </c>
      <c r="AX33" s="8" t="str">
        <f>IFERROR(VLOOKUP(E33,[1]Sheet3!$C$2:$E$68,2,FALSE),"None")</f>
        <v>None</v>
      </c>
      <c r="AY33" s="8">
        <f>IFERROR(VLOOKUP(AX33,[1]Sheet3!$H$3:$I$5,2,FALSE),0)</f>
        <v>0</v>
      </c>
      <c r="AZ33" s="14">
        <f t="shared" si="5"/>
        <v>136</v>
      </c>
      <c r="BA33" s="14">
        <f t="shared" si="6"/>
        <v>223.58399999999997</v>
      </c>
      <c r="BB33" s="12">
        <f>SUMIFS('[1]Corn 2023'!V:V,'[1]Corn 2023'!K:K,"="&amp;'Corn Processors'!J33,'[1]Corn 2023'!B:B,"=2023")</f>
        <v>0</v>
      </c>
      <c r="BC33" s="7" t="s">
        <v>437</v>
      </c>
      <c r="BD33" s="19" t="s">
        <v>537</v>
      </c>
      <c r="BE33" s="7" t="s">
        <v>531</v>
      </c>
      <c r="BF33" s="7" t="s">
        <v>398</v>
      </c>
      <c r="BK33" s="7">
        <f t="shared" si="7"/>
        <v>25</v>
      </c>
    </row>
    <row r="34" spans="1:64" ht="15.6" customHeight="1" x14ac:dyDescent="0.3">
      <c r="A34" s="7">
        <v>33</v>
      </c>
      <c r="B34" s="8"/>
      <c r="C34" s="8"/>
      <c r="D34" s="8">
        <v>3162</v>
      </c>
      <c r="E34" s="8">
        <v>3580</v>
      </c>
      <c r="F34" s="8" t="str">
        <f t="shared" si="9"/>
        <v>Active</v>
      </c>
      <c r="G34" s="9" t="s">
        <v>538</v>
      </c>
      <c r="H34" s="9" t="str">
        <f>VLOOKUP(E34,'[1]EPA Ethanol Capacity 2024'!$B$5:$C$235,2,FALSE)</f>
        <v>Cargill Inc</v>
      </c>
      <c r="I34" s="8" t="s">
        <v>470</v>
      </c>
      <c r="J34" t="s">
        <v>539</v>
      </c>
      <c r="K34" s="7">
        <v>68008</v>
      </c>
      <c r="L34" s="7" t="s">
        <v>540</v>
      </c>
      <c r="M34" s="7">
        <v>2</v>
      </c>
      <c r="N34" s="20">
        <v>41.544696999999999</v>
      </c>
      <c r="O34" s="11">
        <v>-96.135069999999999</v>
      </c>
      <c r="P34" s="12">
        <v>1995</v>
      </c>
      <c r="Q34" s="12" t="s">
        <v>445</v>
      </c>
      <c r="R34" s="12">
        <f t="shared" si="0"/>
        <v>3</v>
      </c>
      <c r="S34" s="12"/>
      <c r="AB34" s="13" t="s">
        <v>390</v>
      </c>
      <c r="AC34" s="13" t="s">
        <v>426</v>
      </c>
      <c r="AD34" s="13" t="s">
        <v>378</v>
      </c>
      <c r="AE34" s="8" t="str">
        <f t="shared" si="1"/>
        <v>High</v>
      </c>
      <c r="AF34" s="14"/>
      <c r="AG34" s="14"/>
      <c r="AH34" s="14"/>
      <c r="AI34" s="14">
        <v>57902</v>
      </c>
      <c r="AJ34" s="15">
        <f>VLOOKUP(E34,'[1]Ethanol Plant Listing 2025'!$B$3:$E$220,4,FALSE)</f>
        <v>210</v>
      </c>
      <c r="AK34" s="14">
        <f>+AJ34*[1]Yield!$K$4</f>
        <v>199.5</v>
      </c>
      <c r="AL34" s="14">
        <f>AK34/VLOOKUP(Q34,[1]Yield!$E$5:$F$14,2,FALSE)</f>
        <v>68.793103448275858</v>
      </c>
      <c r="AM34" s="14"/>
      <c r="AN34" s="14"/>
      <c r="AO34" s="16">
        <f t="shared" si="2"/>
        <v>451000</v>
      </c>
      <c r="AP34" s="16"/>
      <c r="AQ34" s="17" t="str">
        <f t="shared" si="10"/>
        <v>None</v>
      </c>
      <c r="AR34" s="18">
        <f>VLOOKUP(AQ34,[1]Yield!$A$5:$B$10,2,FALSE)</f>
        <v>0.81499999999999995</v>
      </c>
      <c r="AS34" s="14">
        <f t="shared" si="4"/>
        <v>56.066379310344821</v>
      </c>
      <c r="AT34" s="8" t="s">
        <v>394</v>
      </c>
      <c r="AU34" s="8"/>
      <c r="AV34" s="8"/>
      <c r="AW34" s="13"/>
      <c r="AX34" s="8" t="str">
        <f>IFERROR(VLOOKUP(E34,[1]Sheet3!$C$2:$E$68,2,FALSE),"None")</f>
        <v>None</v>
      </c>
      <c r="AY34" s="8">
        <f>IFERROR(VLOOKUP(AX34,[1]Sheet3!$H$3:$I$5,2,FALSE),0)</f>
        <v>0</v>
      </c>
      <c r="AZ34" s="14">
        <f t="shared" si="5"/>
        <v>210</v>
      </c>
      <c r="BA34" s="14">
        <f t="shared" si="6"/>
        <v>345.24</v>
      </c>
      <c r="BB34" s="12">
        <f>SUMIFS('[1]Corn 2023'!V:V,'[1]Corn 2023'!K:K,"="&amp;'Corn Processors'!J34,'[1]Corn 2023'!B:B,"=2023")</f>
        <v>0</v>
      </c>
      <c r="BC34" s="7"/>
      <c r="BD34" s="19" t="s">
        <v>541</v>
      </c>
      <c r="BE34" s="7" t="s">
        <v>428</v>
      </c>
      <c r="BF34" s="7" t="s">
        <v>398</v>
      </c>
      <c r="BK34" s="7">
        <f t="shared" si="7"/>
        <v>20</v>
      </c>
    </row>
    <row r="35" spans="1:64" ht="15.6" customHeight="1" x14ac:dyDescent="0.3">
      <c r="A35" s="7">
        <v>34</v>
      </c>
      <c r="B35" s="8"/>
      <c r="C35" s="8"/>
      <c r="D35" s="8">
        <v>3163</v>
      </c>
      <c r="E35" s="8">
        <v>3581</v>
      </c>
      <c r="F35" s="8" t="str">
        <f t="shared" si="9"/>
        <v>Active</v>
      </c>
      <c r="G35" s="9" t="s">
        <v>538</v>
      </c>
      <c r="H35" s="9" t="str">
        <f>VLOOKUP(E35,'[1]EPA Ethanol Capacity 2024'!$B$5:$C$235,2,FALSE)</f>
        <v>Cargill Inc</v>
      </c>
      <c r="I35" s="8" t="s">
        <v>387</v>
      </c>
      <c r="J35" t="s">
        <v>542</v>
      </c>
      <c r="K35" s="7">
        <v>52553</v>
      </c>
      <c r="L35" s="7" t="s">
        <v>543</v>
      </c>
      <c r="M35" s="7">
        <v>2</v>
      </c>
      <c r="N35" s="20">
        <v>41.55</v>
      </c>
      <c r="O35" s="11">
        <v>-92.634299999999996</v>
      </c>
      <c r="P35" s="12">
        <v>0</v>
      </c>
      <c r="Q35" s="12" t="s">
        <v>452</v>
      </c>
      <c r="R35" s="12">
        <f t="shared" si="0"/>
        <v>3</v>
      </c>
      <c r="S35" s="12"/>
      <c r="U35" s="7" t="s">
        <v>343</v>
      </c>
      <c r="AB35" s="13" t="s">
        <v>390</v>
      </c>
      <c r="AC35" s="13" t="s">
        <v>426</v>
      </c>
      <c r="AD35" s="13" t="s">
        <v>378</v>
      </c>
      <c r="AE35" s="8" t="str">
        <f t="shared" si="1"/>
        <v>High</v>
      </c>
      <c r="AF35" s="14">
        <v>70.099999999999994</v>
      </c>
      <c r="AG35" s="14">
        <f>0.165*365</f>
        <v>60.225000000000001</v>
      </c>
      <c r="AH35" s="24" t="s">
        <v>544</v>
      </c>
      <c r="AI35" s="24"/>
      <c r="AJ35" s="15">
        <f>VLOOKUP(E35,'[1]Ethanol Plant Listing 2025'!$B$3:$E$220,4,FALSE)</f>
        <v>71</v>
      </c>
      <c r="AK35" s="14">
        <f>+AJ35*[1]Yield!$K$4</f>
        <v>67.45</v>
      </c>
      <c r="AL35" s="14">
        <f>AK35/VLOOKUP(Q35,[1]Yield!$E$5:$F$14,2,FALSE)</f>
        <v>24.527272727272727</v>
      </c>
      <c r="AM35" s="14"/>
      <c r="AN35" s="14"/>
      <c r="AO35" s="16">
        <f t="shared" si="2"/>
        <v>161000</v>
      </c>
      <c r="AP35" s="16"/>
      <c r="AQ35" s="17" t="str">
        <f t="shared" si="10"/>
        <v>None</v>
      </c>
      <c r="AR35" s="18">
        <f>VLOOKUP(AQ35,[1]Yield!$A$5:$B$10,2,FALSE)</f>
        <v>0.81499999999999995</v>
      </c>
      <c r="AS35" s="14">
        <f t="shared" si="4"/>
        <v>19.989727272727272</v>
      </c>
      <c r="AT35" s="8" t="s">
        <v>394</v>
      </c>
      <c r="AU35" s="8"/>
      <c r="AV35" s="8"/>
      <c r="AW35" s="13"/>
      <c r="AX35" s="8" t="str">
        <f>IFERROR(VLOOKUP(E35,[1]Sheet3!$C$2:$E$68,2,FALSE),"None")</f>
        <v>None</v>
      </c>
      <c r="AY35" s="8">
        <f>IFERROR(VLOOKUP(AX35,[1]Sheet3!$H$3:$I$5,2,FALSE),0)</f>
        <v>0</v>
      </c>
      <c r="AZ35" s="14">
        <f t="shared" si="5"/>
        <v>71</v>
      </c>
      <c r="BA35" s="14">
        <f t="shared" si="6"/>
        <v>116.72399999999999</v>
      </c>
      <c r="BB35" s="12">
        <f>SUMIFS('[1]Corn 2023'!V:V,'[1]Corn 2023'!B:B,"=2023",'[1]Corn 2023'!L:L,"="&amp;'Corn Processors'!L35)</f>
        <v>58400</v>
      </c>
      <c r="BC35" s="7"/>
      <c r="BD35" s="19" t="s">
        <v>541</v>
      </c>
      <c r="BE35" s="7" t="s">
        <v>474</v>
      </c>
      <c r="BF35" s="7" t="s">
        <v>398</v>
      </c>
      <c r="BK35" s="7">
        <f t="shared" si="7"/>
        <v>20</v>
      </c>
    </row>
    <row r="36" spans="1:64" ht="15.6" customHeight="1" x14ac:dyDescent="0.3">
      <c r="A36" s="7">
        <v>35</v>
      </c>
      <c r="B36" s="8"/>
      <c r="C36" s="8"/>
      <c r="D36" s="8">
        <v>3164</v>
      </c>
      <c r="E36" s="8">
        <v>3582</v>
      </c>
      <c r="F36" s="8" t="str">
        <f t="shared" si="9"/>
        <v>Active</v>
      </c>
      <c r="G36" s="9" t="s">
        <v>538</v>
      </c>
      <c r="H36" s="9" t="str">
        <f>VLOOKUP(E36,'[1]EPA Ethanol Capacity 2024'!$B$5:$C$235,2,FALSE)</f>
        <v>Cargill Inc</v>
      </c>
      <c r="I36" s="8" t="s">
        <v>387</v>
      </c>
      <c r="J36" t="s">
        <v>545</v>
      </c>
      <c r="K36" s="7">
        <v>50501</v>
      </c>
      <c r="L36" s="7" t="s">
        <v>546</v>
      </c>
      <c r="M36" s="7">
        <v>2</v>
      </c>
      <c r="N36" s="20">
        <v>42.506334000000003</v>
      </c>
      <c r="O36" s="11">
        <v>-94.313203000000001</v>
      </c>
      <c r="P36" s="12">
        <v>2013</v>
      </c>
      <c r="Q36" s="12" t="s">
        <v>452</v>
      </c>
      <c r="R36" s="12">
        <f t="shared" si="0"/>
        <v>3</v>
      </c>
      <c r="S36" s="12"/>
      <c r="AB36" s="13" t="s">
        <v>390</v>
      </c>
      <c r="AC36" s="13" t="s">
        <v>426</v>
      </c>
      <c r="AD36" s="13" t="s">
        <v>378</v>
      </c>
      <c r="AE36" s="8" t="str">
        <f t="shared" si="1"/>
        <v>High</v>
      </c>
      <c r="AF36" s="14">
        <v>130</v>
      </c>
      <c r="AG36" s="14">
        <v>115</v>
      </c>
      <c r="AH36" s="14" t="s">
        <v>547</v>
      </c>
      <c r="AI36" s="14"/>
      <c r="AJ36" s="15">
        <f>VLOOKUP(E36,'[1]Ethanol Plant Listing 2025'!$B$3:$E$220,4,FALSE)</f>
        <v>130</v>
      </c>
      <c r="AK36" s="14">
        <f>+AJ36*[1]Yield!$K$4</f>
        <v>123.5</v>
      </c>
      <c r="AL36" s="14">
        <f>AK36/VLOOKUP(Q36,[1]Yield!$E$5:$F$14,2,FALSE)</f>
        <v>44.909090909090907</v>
      </c>
      <c r="AM36" s="14"/>
      <c r="AN36" s="14"/>
      <c r="AO36" s="16">
        <f t="shared" si="2"/>
        <v>294000</v>
      </c>
      <c r="AP36" s="16"/>
      <c r="AQ36" s="17" t="str">
        <f t="shared" si="10"/>
        <v>None</v>
      </c>
      <c r="AR36" s="18">
        <f>VLOOKUP(AQ36,[1]Yield!$A$5:$B$10,2,FALSE)</f>
        <v>0.81499999999999995</v>
      </c>
      <c r="AS36" s="14">
        <f t="shared" si="4"/>
        <v>36.600909090909084</v>
      </c>
      <c r="AT36" s="8" t="s">
        <v>394</v>
      </c>
      <c r="AU36" s="8"/>
      <c r="AV36" s="8"/>
      <c r="AW36" s="13"/>
      <c r="AX36" s="8" t="str">
        <f>IFERROR(VLOOKUP(E36,[1]Sheet3!$C$2:$E$68,2,FALSE),"None")</f>
        <v>None</v>
      </c>
      <c r="AY36" s="8">
        <f>IFERROR(VLOOKUP(AX36,[1]Sheet3!$H$3:$I$5,2,FALSE),0)</f>
        <v>0</v>
      </c>
      <c r="AZ36" s="14">
        <f t="shared" si="5"/>
        <v>130</v>
      </c>
      <c r="BA36" s="14">
        <f t="shared" si="6"/>
        <v>213.72</v>
      </c>
      <c r="BB36" s="12">
        <f>SUMIFS('[1]Corn 2023'!V:V,'[1]Corn 2023'!B:B,"=2023",'[1]Corn 2023'!L:L,"="&amp;'Corn Processors'!L36)</f>
        <v>195000</v>
      </c>
      <c r="BC36" s="7"/>
      <c r="BD36" s="19" t="s">
        <v>541</v>
      </c>
      <c r="BE36" s="7" t="s">
        <v>548</v>
      </c>
      <c r="BF36" s="7" t="s">
        <v>398</v>
      </c>
      <c r="BK36" s="7">
        <f t="shared" si="7"/>
        <v>20</v>
      </c>
    </row>
    <row r="37" spans="1:64" ht="15.6" customHeight="1" x14ac:dyDescent="0.3">
      <c r="A37" s="7">
        <v>36</v>
      </c>
      <c r="B37" s="8"/>
      <c r="C37" s="8">
        <v>70150</v>
      </c>
      <c r="D37" s="8">
        <v>3166</v>
      </c>
      <c r="E37" s="8">
        <v>3585</v>
      </c>
      <c r="F37" s="8" t="str">
        <f t="shared" si="9"/>
        <v>Active</v>
      </c>
      <c r="G37" s="25" t="s">
        <v>57</v>
      </c>
      <c r="H37" s="9" t="str">
        <f>VLOOKUP(E37,'[1]EPA Ethanol Capacity 2024'!$B$5:$C$235,2,FALSE)</f>
        <v>Chief Ethanol Fuels Inc</v>
      </c>
      <c r="I37" s="8" t="s">
        <v>470</v>
      </c>
      <c r="J37" t="s">
        <v>59</v>
      </c>
      <c r="K37" s="7">
        <v>68901</v>
      </c>
      <c r="L37" s="7" t="s">
        <v>73</v>
      </c>
      <c r="M37" s="7">
        <v>2</v>
      </c>
      <c r="N37" s="20">
        <v>40.585000000000001</v>
      </c>
      <c r="O37" s="11">
        <v>-98.318888999999999</v>
      </c>
      <c r="P37" s="12">
        <v>1985</v>
      </c>
      <c r="Q37" s="12" t="s">
        <v>445</v>
      </c>
      <c r="R37" s="12">
        <f t="shared" si="0"/>
        <v>2</v>
      </c>
      <c r="S37" s="12"/>
      <c r="AB37" s="13" t="s">
        <v>390</v>
      </c>
      <c r="AC37" s="13" t="s">
        <v>391</v>
      </c>
      <c r="AD37" s="13" t="s">
        <v>378</v>
      </c>
      <c r="AE37" s="8" t="str">
        <f t="shared" si="1"/>
        <v>High</v>
      </c>
      <c r="AF37" s="14">
        <v>53</v>
      </c>
      <c r="AG37" s="14">
        <v>53</v>
      </c>
      <c r="AH37" s="14" t="s">
        <v>515</v>
      </c>
      <c r="AI37" s="14">
        <v>84534</v>
      </c>
      <c r="AJ37" s="15">
        <f>VLOOKUP(E37,'[1]Ethanol Plant Listing 2025'!$B$3:$E$220,4,FALSE)</f>
        <v>70</v>
      </c>
      <c r="AK37" s="14">
        <f>+AJ37*[1]Yield!$K$4</f>
        <v>66.5</v>
      </c>
      <c r="AL37" s="14">
        <f>AK37/VLOOKUP(Q37,[1]Yield!$E$5:$F$14,2,FALSE)</f>
        <v>22.931034482758623</v>
      </c>
      <c r="AM37" s="14"/>
      <c r="AN37" s="14"/>
      <c r="AO37" s="16">
        <f t="shared" si="2"/>
        <v>150000</v>
      </c>
      <c r="AP37" s="16"/>
      <c r="AQ37" s="17" t="str">
        <f t="shared" si="10"/>
        <v>None</v>
      </c>
      <c r="AR37" s="18">
        <f>VLOOKUP(AQ37,[1]Yield!$A$5:$B$10,2,FALSE)</f>
        <v>0.81499999999999995</v>
      </c>
      <c r="AS37" s="14">
        <f t="shared" si="4"/>
        <v>18.688793103448276</v>
      </c>
      <c r="AT37" s="8" t="s">
        <v>437</v>
      </c>
      <c r="AU37" s="8"/>
      <c r="AV37" s="8" t="str">
        <f>+AX37</f>
        <v>Tall Grass</v>
      </c>
      <c r="AW37" s="13"/>
      <c r="AX37" s="8" t="str">
        <f>IFERROR(VLOOKUP(E37,[1]Sheet3!$C$2:$E$68,2,FALSE),"None")</f>
        <v>Tall Grass</v>
      </c>
      <c r="AY37" s="8">
        <f>IFERROR(VLOOKUP(AX37,[1]Sheet3!$H$3:$I$5,2,FALSE),0)</f>
        <v>30</v>
      </c>
      <c r="AZ37" s="14">
        <f t="shared" si="5"/>
        <v>70</v>
      </c>
      <c r="BA37" s="14">
        <f t="shared" si="6"/>
        <v>115.08</v>
      </c>
      <c r="BB37" s="12">
        <f>SUMIFS('[1]Corn 2023'!V:V,'[1]Corn 2023'!K:K,"="&amp;'Corn Processors'!J37,'[1]Corn 2023'!B:B,"=2023")</f>
        <v>0</v>
      </c>
      <c r="BC37" s="7"/>
      <c r="BD37" s="19" t="s">
        <v>549</v>
      </c>
      <c r="BE37" s="7" t="s">
        <v>474</v>
      </c>
      <c r="BF37" s="7" t="s">
        <v>398</v>
      </c>
      <c r="BJ37" s="7" t="s">
        <v>400</v>
      </c>
      <c r="BK37" s="7">
        <f t="shared" si="7"/>
        <v>20</v>
      </c>
      <c r="BL37" t="s">
        <v>550</v>
      </c>
    </row>
    <row r="38" spans="1:64" ht="15.6" customHeight="1" x14ac:dyDescent="0.3">
      <c r="A38" s="7">
        <v>37</v>
      </c>
      <c r="B38" s="8"/>
      <c r="C38" s="8">
        <v>70241</v>
      </c>
      <c r="D38" s="8">
        <v>3167</v>
      </c>
      <c r="E38" s="8">
        <v>3586</v>
      </c>
      <c r="F38" s="8" t="str">
        <f t="shared" si="9"/>
        <v>Active</v>
      </c>
      <c r="G38" s="25" t="s">
        <v>57</v>
      </c>
      <c r="H38" s="9" t="str">
        <f>VLOOKUP(E38,'[1]EPA Ethanol Capacity 2024'!$B$5:$C$235,2,FALSE)</f>
        <v>Chief Ethanol Fuels Inc</v>
      </c>
      <c r="I38" s="8" t="s">
        <v>470</v>
      </c>
      <c r="J38" t="s">
        <v>61</v>
      </c>
      <c r="K38" s="7">
        <v>68850</v>
      </c>
      <c r="L38" s="7" t="s">
        <v>551</v>
      </c>
      <c r="M38" s="7">
        <v>2</v>
      </c>
      <c r="N38" s="20">
        <v>40.746088</v>
      </c>
      <c r="O38" s="11">
        <v>-99.767869000000005</v>
      </c>
      <c r="P38" s="12">
        <v>2006</v>
      </c>
      <c r="Q38" s="12" t="s">
        <v>445</v>
      </c>
      <c r="R38" s="12">
        <f t="shared" si="0"/>
        <v>2</v>
      </c>
      <c r="S38" s="12"/>
      <c r="AB38" s="13" t="s">
        <v>390</v>
      </c>
      <c r="AC38" s="13" t="s">
        <v>391</v>
      </c>
      <c r="AD38" s="13" t="s">
        <v>378</v>
      </c>
      <c r="AE38" s="8" t="str">
        <f t="shared" si="1"/>
        <v>High</v>
      </c>
      <c r="AF38" s="14">
        <v>80</v>
      </c>
      <c r="AG38" s="14">
        <v>65</v>
      </c>
      <c r="AH38" s="14" t="s">
        <v>515</v>
      </c>
      <c r="AI38" s="14">
        <v>58049</v>
      </c>
      <c r="AJ38" s="15">
        <f>VLOOKUP(E38,'[1]Ethanol Plant Listing 2025'!$B$3:$E$220,4,FALSE)</f>
        <v>52</v>
      </c>
      <c r="AK38" s="14">
        <f>+AJ38*[1]Yield!$K$4</f>
        <v>49.4</v>
      </c>
      <c r="AL38" s="14">
        <f>AK38/VLOOKUP(Q38,[1]Yield!$E$5:$F$14,2,FALSE)</f>
        <v>17.03448275862069</v>
      </c>
      <c r="AM38" s="14"/>
      <c r="AN38" s="14"/>
      <c r="AO38" s="16">
        <f t="shared" si="2"/>
        <v>112000</v>
      </c>
      <c r="AP38" s="16"/>
      <c r="AQ38" s="17" t="str">
        <f t="shared" si="10"/>
        <v>None</v>
      </c>
      <c r="AR38" s="18">
        <f>VLOOKUP(AQ38,[1]Yield!$A$5:$B$10,2,FALSE)</f>
        <v>0.81499999999999995</v>
      </c>
      <c r="AS38" s="14">
        <f t="shared" si="4"/>
        <v>13.883103448275861</v>
      </c>
      <c r="AT38" s="8" t="s">
        <v>437</v>
      </c>
      <c r="AU38" s="8"/>
      <c r="AV38" s="8" t="str">
        <f>+AX38</f>
        <v>Tall Grass</v>
      </c>
      <c r="AW38" s="13"/>
      <c r="AX38" s="8" t="str">
        <f>IFERROR(VLOOKUP(E38,[1]Sheet3!$C$2:$E$68,2,FALSE),"None")</f>
        <v>Tall Grass</v>
      </c>
      <c r="AY38" s="8">
        <f>IFERROR(VLOOKUP(AX38,[1]Sheet3!$H$3:$I$5,2,FALSE),0)</f>
        <v>30</v>
      </c>
      <c r="AZ38" s="14">
        <f t="shared" si="5"/>
        <v>52</v>
      </c>
      <c r="BA38" s="14">
        <f t="shared" si="6"/>
        <v>85.488</v>
      </c>
      <c r="BB38" s="12">
        <f>SUMIFS('[1]Corn 2023'!V:V,'[1]Corn 2023'!K:K,"="&amp;'Corn Processors'!J38,'[1]Corn 2023'!B:B,"=2023")</f>
        <v>0</v>
      </c>
      <c r="BC38" s="7"/>
      <c r="BD38" s="19" t="s">
        <v>549</v>
      </c>
      <c r="BE38" s="7" t="s">
        <v>428</v>
      </c>
      <c r="BF38" s="7" t="s">
        <v>398</v>
      </c>
      <c r="BJ38" s="7" t="s">
        <v>400</v>
      </c>
      <c r="BK38" s="7">
        <f t="shared" si="7"/>
        <v>20</v>
      </c>
    </row>
    <row r="39" spans="1:64" ht="15.6" customHeight="1" x14ac:dyDescent="0.3">
      <c r="A39" s="7">
        <v>38</v>
      </c>
      <c r="B39" s="8"/>
      <c r="C39" s="8">
        <v>70078</v>
      </c>
      <c r="D39" s="8">
        <v>2644</v>
      </c>
      <c r="E39" s="8">
        <v>3587</v>
      </c>
      <c r="F39" s="8" t="str">
        <f t="shared" si="9"/>
        <v>Active</v>
      </c>
      <c r="G39" s="9" t="s">
        <v>64</v>
      </c>
      <c r="H39" s="9" t="str">
        <f>VLOOKUP(E39,'[1]EPA Ethanol Capacity 2024'!$B$5:$C$235,2,FALSE)</f>
        <v>Chippewa Valley Ethanol Co LLLP</v>
      </c>
      <c r="I39" s="8" t="s">
        <v>429</v>
      </c>
      <c r="J39" t="s">
        <v>65</v>
      </c>
      <c r="K39" s="7">
        <v>56215</v>
      </c>
      <c r="L39" s="7" t="s">
        <v>552</v>
      </c>
      <c r="M39" s="7">
        <v>2</v>
      </c>
      <c r="N39" s="20">
        <v>45.326999999999998</v>
      </c>
      <c r="O39" s="11">
        <v>-95.637699999999995</v>
      </c>
      <c r="P39" s="12">
        <v>1996</v>
      </c>
      <c r="Q39" s="12" t="s">
        <v>405</v>
      </c>
      <c r="R39" s="12">
        <f t="shared" si="0"/>
        <v>1</v>
      </c>
      <c r="S39" s="12"/>
      <c r="X39" s="7" t="s">
        <v>553</v>
      </c>
      <c r="Z39" s="7" t="s">
        <v>407</v>
      </c>
      <c r="AB39" s="13" t="s">
        <v>390</v>
      </c>
      <c r="AC39" s="13" t="s">
        <v>391</v>
      </c>
      <c r="AD39" s="13" t="s">
        <v>378</v>
      </c>
      <c r="AE39" s="8" t="str">
        <f t="shared" si="1"/>
        <v>High</v>
      </c>
      <c r="AF39" s="14"/>
      <c r="AG39" s="14"/>
      <c r="AH39" s="14"/>
      <c r="AI39" s="14">
        <v>77755</v>
      </c>
      <c r="AJ39" s="15">
        <f>VLOOKUP(E39,'[1]Ethanol Plant Listing 2025'!$B$3:$E$220,4,FALSE)</f>
        <v>50</v>
      </c>
      <c r="AK39" s="14">
        <f>+AJ39*[1]Yield!$K$4</f>
        <v>47.5</v>
      </c>
      <c r="AL39" s="14">
        <f>AK39/VLOOKUP(Q39,[1]Yield!$E$5:$F$14,2,FALSE)</f>
        <v>16.493055555555557</v>
      </c>
      <c r="AM39" s="14"/>
      <c r="AN39" s="14"/>
      <c r="AO39" s="16">
        <f t="shared" si="2"/>
        <v>108000</v>
      </c>
      <c r="AP39" s="16" t="s">
        <v>410</v>
      </c>
      <c r="AQ39" s="17" t="str">
        <f t="shared" si="10"/>
        <v>None</v>
      </c>
      <c r="AR39" s="18">
        <f>VLOOKUP(AQ39,[1]Yield!$A$5:$B$10,2,FALSE)</f>
        <v>0.81499999999999995</v>
      </c>
      <c r="AS39" s="14">
        <f t="shared" si="4"/>
        <v>13.441840277777779</v>
      </c>
      <c r="AT39" s="8" t="s">
        <v>394</v>
      </c>
      <c r="AU39" s="8"/>
      <c r="AV39" s="8"/>
      <c r="AW39" s="13"/>
      <c r="AX39" s="8" t="str">
        <f>IFERROR(VLOOKUP(E39,[1]Sheet3!$C$2:$E$68,2,FALSE),"None")</f>
        <v>None</v>
      </c>
      <c r="AY39" s="8">
        <f>IFERROR(VLOOKUP(AX39,[1]Sheet3!$H$3:$I$5,2,FALSE),0)</f>
        <v>0</v>
      </c>
      <c r="AZ39" s="14">
        <f t="shared" si="5"/>
        <v>50</v>
      </c>
      <c r="BA39" s="14">
        <f t="shared" si="6"/>
        <v>82.2</v>
      </c>
      <c r="BB39" s="12">
        <f>SUMIFS('[1]Corn 2023'!V:V,'[1]Corn 2023'!K:K,"="&amp;'Corn Processors'!J39,'[1]Corn 2023'!B:B,"=2023")</f>
        <v>0</v>
      </c>
      <c r="BC39" s="7"/>
      <c r="BD39" s="19" t="s">
        <v>554</v>
      </c>
      <c r="BE39" s="7" t="s">
        <v>481</v>
      </c>
      <c r="BF39" s="7" t="s">
        <v>414</v>
      </c>
      <c r="BJ39" s="7" t="s">
        <v>400</v>
      </c>
      <c r="BK39" s="7">
        <f t="shared" si="7"/>
        <v>20</v>
      </c>
      <c r="BL39" s="9" t="s">
        <v>555</v>
      </c>
    </row>
    <row r="40" spans="1:64" ht="15.6" customHeight="1" x14ac:dyDescent="0.3">
      <c r="A40" s="7">
        <v>39</v>
      </c>
      <c r="B40" s="8"/>
      <c r="C40" s="8"/>
      <c r="D40" s="8">
        <v>2436</v>
      </c>
      <c r="E40" s="8">
        <v>3588</v>
      </c>
      <c r="F40" s="8" t="str">
        <f t="shared" si="9"/>
        <v>Active</v>
      </c>
      <c r="G40" s="9" t="s">
        <v>556</v>
      </c>
      <c r="H40" s="9" t="str">
        <f>VLOOKUP(E40,'[1]EPA Ethanol Capacity 2024'!$B$5:$C$235,2,FALSE)</f>
        <v>CHS - Annawan</v>
      </c>
      <c r="I40" s="8" t="s">
        <v>416</v>
      </c>
      <c r="J40" t="s">
        <v>557</v>
      </c>
      <c r="K40" s="7">
        <v>61234</v>
      </c>
      <c r="L40" s="7" t="s">
        <v>493</v>
      </c>
      <c r="M40" s="7">
        <v>2</v>
      </c>
      <c r="N40" s="20">
        <v>41.393397999999998</v>
      </c>
      <c r="O40" s="11">
        <v>-89.872214</v>
      </c>
      <c r="P40" s="12">
        <v>2008</v>
      </c>
      <c r="Q40" s="12" t="s">
        <v>388</v>
      </c>
      <c r="R40" s="12">
        <f t="shared" si="0"/>
        <v>2</v>
      </c>
      <c r="S40" s="12" t="s">
        <v>389</v>
      </c>
      <c r="X40" s="7" t="s">
        <v>346</v>
      </c>
      <c r="AB40" s="13" t="s">
        <v>390</v>
      </c>
      <c r="AC40" s="13" t="s">
        <v>391</v>
      </c>
      <c r="AD40" s="13" t="s">
        <v>558</v>
      </c>
      <c r="AE40" s="8" t="str">
        <f t="shared" si="1"/>
        <v>High</v>
      </c>
      <c r="AF40" s="14"/>
      <c r="AG40" s="14"/>
      <c r="AH40" s="14"/>
      <c r="AI40" s="14"/>
      <c r="AJ40" s="15">
        <f>VLOOKUP(E40,'[1]Ethanol Plant Listing 2025'!$B$3:$E$220,4,FALSE)</f>
        <v>130</v>
      </c>
      <c r="AK40" s="14">
        <f>+AJ40*[1]Yield!$K$4</f>
        <v>123.5</v>
      </c>
      <c r="AL40" s="14">
        <f>AK40/VLOOKUP(Q40,[1]Yield!$E$5:$F$14,2,FALSE)</f>
        <v>41.864406779661017</v>
      </c>
      <c r="AM40" s="14"/>
      <c r="AN40" s="14"/>
      <c r="AO40" s="16">
        <f t="shared" si="2"/>
        <v>274000</v>
      </c>
      <c r="AP40" s="16" t="s">
        <v>393</v>
      </c>
      <c r="AQ40" s="17" t="str">
        <f t="shared" si="10"/>
        <v>ICM</v>
      </c>
      <c r="AR40" s="18">
        <f>VLOOKUP(AQ40,[1]Yield!$A$5:$B$10,2,FALSE)</f>
        <v>0.9</v>
      </c>
      <c r="AS40" s="14">
        <f t="shared" si="4"/>
        <v>37.677966101694913</v>
      </c>
      <c r="AT40" s="8" t="s">
        <v>394</v>
      </c>
      <c r="AX40" s="8" t="str">
        <f>IFERROR(VLOOKUP(E40,[1]Sheet3!$C$2:$E$68,2,FALSE),"None")</f>
        <v>None</v>
      </c>
      <c r="AY40" s="8">
        <f>IFERROR(VLOOKUP(AX40,[1]Sheet3!$H$3:$I$5,2,FALSE),0)</f>
        <v>0</v>
      </c>
      <c r="AZ40" s="14">
        <f t="shared" si="5"/>
        <v>130</v>
      </c>
      <c r="BA40" s="14">
        <f t="shared" si="6"/>
        <v>213.72</v>
      </c>
      <c r="BB40" s="12">
        <f>SUMIFS('[1]Corn 2023'!V:V,'[1]Corn 2023'!K:K,"="&amp;'Corn Processors'!J40,'[1]Corn 2023'!B:B,"=2023")</f>
        <v>0</v>
      </c>
      <c r="BC40" s="7"/>
      <c r="BD40" s="19" t="s">
        <v>559</v>
      </c>
      <c r="BE40" s="7" t="s">
        <v>560</v>
      </c>
      <c r="BF40" s="7" t="s">
        <v>398</v>
      </c>
      <c r="BJ40" s="7" t="s">
        <v>400</v>
      </c>
      <c r="BK40" s="7">
        <f t="shared" si="7"/>
        <v>25</v>
      </c>
    </row>
    <row r="41" spans="1:64" ht="15.6" customHeight="1" x14ac:dyDescent="0.3">
      <c r="A41" s="7">
        <v>40</v>
      </c>
      <c r="B41" s="8"/>
      <c r="C41" s="8"/>
      <c r="D41" s="8">
        <v>2437</v>
      </c>
      <c r="E41" s="8">
        <v>3589</v>
      </c>
      <c r="F41" s="8" t="str">
        <f t="shared" si="9"/>
        <v>Active</v>
      </c>
      <c r="G41" s="9" t="s">
        <v>556</v>
      </c>
      <c r="H41" s="9" t="str">
        <f>VLOOKUP(E41,'[1]EPA Ethanol Capacity 2024'!$B$5:$C$235,2,FALSE)</f>
        <v>CHS - Rochelle</v>
      </c>
      <c r="I41" s="8" t="s">
        <v>416</v>
      </c>
      <c r="J41" t="s">
        <v>561</v>
      </c>
      <c r="K41" s="7">
        <v>61068</v>
      </c>
      <c r="L41" s="7" t="s">
        <v>562</v>
      </c>
      <c r="M41" s="7">
        <v>2</v>
      </c>
      <c r="N41" s="20">
        <v>41.89508</v>
      </c>
      <c r="O41" s="11">
        <v>-89.028980000000004</v>
      </c>
      <c r="P41" s="12">
        <v>2006</v>
      </c>
      <c r="Q41" s="12" t="s">
        <v>388</v>
      </c>
      <c r="R41" s="12">
        <f t="shared" si="0"/>
        <v>2</v>
      </c>
      <c r="S41" s="12" t="s">
        <v>389</v>
      </c>
      <c r="AB41" s="13" t="s">
        <v>390</v>
      </c>
      <c r="AC41" s="13" t="s">
        <v>391</v>
      </c>
      <c r="AD41" s="13" t="s">
        <v>558</v>
      </c>
      <c r="AE41" s="8" t="str">
        <f t="shared" si="1"/>
        <v>High</v>
      </c>
      <c r="AF41" s="14"/>
      <c r="AG41" s="14"/>
      <c r="AH41" s="14"/>
      <c r="AI41" s="14"/>
      <c r="AJ41" s="15">
        <f>VLOOKUP(E41,'[1]Ethanol Plant Listing 2025'!$B$3:$E$220,4,FALSE)</f>
        <v>138</v>
      </c>
      <c r="AK41" s="14">
        <f>+AJ41*[1]Yield!$K$4</f>
        <v>131.1</v>
      </c>
      <c r="AL41" s="14">
        <f>AK41/VLOOKUP(Q41,[1]Yield!$E$5:$F$14,2,FALSE)</f>
        <v>44.440677966101688</v>
      </c>
      <c r="AM41" s="14"/>
      <c r="AN41" s="14"/>
      <c r="AO41" s="16">
        <f t="shared" si="2"/>
        <v>291000</v>
      </c>
      <c r="AP41" s="16" t="s">
        <v>393</v>
      </c>
      <c r="AQ41" s="17" t="str">
        <f t="shared" si="10"/>
        <v>ICM</v>
      </c>
      <c r="AR41" s="18">
        <f>VLOOKUP(AQ41,[1]Yield!$A$5:$B$10,2,FALSE)</f>
        <v>0.9</v>
      </c>
      <c r="AS41" s="14">
        <f t="shared" si="4"/>
        <v>39.996610169491518</v>
      </c>
      <c r="AT41" s="8" t="s">
        <v>394</v>
      </c>
      <c r="AX41" s="8" t="str">
        <f>IFERROR(VLOOKUP(E41,[1]Sheet3!$C$2:$E$68,2,FALSE),"None")</f>
        <v>None</v>
      </c>
      <c r="AY41" s="8">
        <f>IFERROR(VLOOKUP(AX41,[1]Sheet3!$H$3:$I$5,2,FALSE),0)</f>
        <v>0</v>
      </c>
      <c r="AZ41" s="14">
        <f t="shared" si="5"/>
        <v>138</v>
      </c>
      <c r="BA41" s="14">
        <f t="shared" si="6"/>
        <v>226.87199999999999</v>
      </c>
      <c r="BB41" s="12">
        <f>SUMIFS('[1]Corn 2023'!V:V,'[1]Corn 2023'!K:K,"="&amp;'Corn Processors'!J41,'[1]Corn 2023'!B:B,"=2023")</f>
        <v>0</v>
      </c>
      <c r="BC41" s="7"/>
      <c r="BD41" s="19" t="s">
        <v>559</v>
      </c>
      <c r="BE41" s="7" t="s">
        <v>481</v>
      </c>
      <c r="BF41" s="7" t="s">
        <v>398</v>
      </c>
      <c r="BJ41" s="7" t="s">
        <v>400</v>
      </c>
      <c r="BK41" s="7">
        <f t="shared" si="7"/>
        <v>25</v>
      </c>
      <c r="BL41" s="9" t="s">
        <v>563</v>
      </c>
    </row>
    <row r="42" spans="1:64" ht="15.6" customHeight="1" x14ac:dyDescent="0.3">
      <c r="A42" s="7">
        <v>41</v>
      </c>
      <c r="B42" s="8"/>
      <c r="C42" s="8"/>
      <c r="D42" s="8">
        <v>3165</v>
      </c>
      <c r="E42" s="8">
        <v>3583</v>
      </c>
      <c r="F42" s="8" t="str">
        <f t="shared" si="9"/>
        <v>Active</v>
      </c>
      <c r="G42" s="9" t="s">
        <v>564</v>
      </c>
      <c r="H42" s="9" t="str">
        <f>VLOOKUP(E42,'[1]EPA Ethanol Capacity 2024'!$B$5:$C$235,2,FALSE)</f>
        <v>Central Indiana Ethanol</v>
      </c>
      <c r="I42" s="8" t="s">
        <v>533</v>
      </c>
      <c r="J42" t="s">
        <v>244</v>
      </c>
      <c r="K42" s="7">
        <v>46952</v>
      </c>
      <c r="L42" s="7" t="s">
        <v>565</v>
      </c>
      <c r="M42" s="7">
        <v>2</v>
      </c>
      <c r="N42" s="20">
        <v>40.564920000000001</v>
      </c>
      <c r="O42" s="11">
        <v>-85.727720000000005</v>
      </c>
      <c r="P42" s="12">
        <v>2007</v>
      </c>
      <c r="Q42" s="12" t="s">
        <v>388</v>
      </c>
      <c r="R42" s="12">
        <f t="shared" si="0"/>
        <v>2</v>
      </c>
      <c r="S42" s="12"/>
      <c r="AB42" s="13" t="s">
        <v>390</v>
      </c>
      <c r="AC42" s="13" t="s">
        <v>391</v>
      </c>
      <c r="AD42" s="13" t="s">
        <v>378</v>
      </c>
      <c r="AE42" s="8" t="str">
        <f t="shared" si="1"/>
        <v>High</v>
      </c>
      <c r="AF42" s="14"/>
      <c r="AG42" s="14"/>
      <c r="AH42" s="14"/>
      <c r="AI42" s="14"/>
      <c r="AJ42" s="15">
        <f>VLOOKUP(E42,'[1]Ethanol Plant Listing 2025'!$B$3:$E$220,4,FALSE)</f>
        <v>50</v>
      </c>
      <c r="AK42" s="14">
        <f>+AJ42*[1]Yield!$K$4</f>
        <v>47.5</v>
      </c>
      <c r="AL42" s="14">
        <f>AK42/VLOOKUP(Q42,[1]Yield!$E$5:$F$14,2,FALSE)</f>
        <v>16.101694915254235</v>
      </c>
      <c r="AM42" s="14"/>
      <c r="AN42" s="14"/>
      <c r="AO42" s="16">
        <f t="shared" si="2"/>
        <v>105000</v>
      </c>
      <c r="AP42" s="16" t="s">
        <v>393</v>
      </c>
      <c r="AQ42" s="17" t="str">
        <f t="shared" si="10"/>
        <v>ICM</v>
      </c>
      <c r="AR42" s="18">
        <f>VLOOKUP(AQ42,[1]Yield!$A$5:$B$10,2,FALSE)</f>
        <v>0.9</v>
      </c>
      <c r="AS42" s="14">
        <f t="shared" si="4"/>
        <v>14.491525423728811</v>
      </c>
      <c r="AT42" s="8" t="s">
        <v>394</v>
      </c>
      <c r="AX42" s="8" t="str">
        <f>IFERROR(VLOOKUP(E42,[1]Sheet3!$C$2:$E$68,2,FALSE),"None")</f>
        <v>None</v>
      </c>
      <c r="AY42" s="8">
        <f>IFERROR(VLOOKUP(AX42,[1]Sheet3!$H$3:$I$5,2,FALSE),0)</f>
        <v>0</v>
      </c>
      <c r="AZ42" s="14">
        <f t="shared" si="5"/>
        <v>50</v>
      </c>
      <c r="BA42" s="14">
        <f t="shared" si="6"/>
        <v>82.2</v>
      </c>
      <c r="BB42" s="12">
        <f>SUMIFS('[1]Corn 2023'!V:V,'[1]Corn 2023'!K:K,"="&amp;'Corn Processors'!J42,'[1]Corn 2023'!B:B,"=2023")</f>
        <v>75300</v>
      </c>
      <c r="BC42" s="7"/>
      <c r="BD42" s="19" t="s">
        <v>566</v>
      </c>
      <c r="BE42" s="7" t="s">
        <v>567</v>
      </c>
      <c r="BF42" s="7" t="s">
        <v>398</v>
      </c>
      <c r="BJ42" s="7" t="s">
        <v>400</v>
      </c>
      <c r="BK42" s="7">
        <f t="shared" si="7"/>
        <v>25</v>
      </c>
    </row>
    <row r="43" spans="1:64" ht="15.6" customHeight="1" x14ac:dyDescent="0.3">
      <c r="A43" s="7">
        <v>42</v>
      </c>
      <c r="B43" s="8">
        <v>4833</v>
      </c>
      <c r="C43" s="8">
        <v>70095</v>
      </c>
      <c r="D43" s="8">
        <v>3213</v>
      </c>
      <c r="E43" s="8">
        <v>3584</v>
      </c>
      <c r="F43" s="8" t="str">
        <f t="shared" si="9"/>
        <v>Active</v>
      </c>
      <c r="G43" s="9" t="s">
        <v>564</v>
      </c>
      <c r="H43" s="9" t="str">
        <f>VLOOKUP(E43,'[1]EPA Ethanol Capacity 2024'!$B$5:$C$235,2,FALSE)</f>
        <v>CIE Norfolk GNS LLC</v>
      </c>
      <c r="I43" s="8" t="s">
        <v>470</v>
      </c>
      <c r="J43" t="s">
        <v>568</v>
      </c>
      <c r="K43" s="7">
        <v>68701</v>
      </c>
      <c r="L43" s="7" t="s">
        <v>569</v>
      </c>
      <c r="M43" s="7">
        <v>2</v>
      </c>
      <c r="N43" s="20">
        <v>42.066719999999997</v>
      </c>
      <c r="O43" s="11">
        <v>-97.381500000000003</v>
      </c>
      <c r="P43" s="12">
        <v>2007</v>
      </c>
      <c r="Q43" s="12" t="s">
        <v>388</v>
      </c>
      <c r="R43" s="12">
        <f t="shared" si="0"/>
        <v>2</v>
      </c>
      <c r="S43" s="12" t="s">
        <v>389</v>
      </c>
      <c r="AB43" s="13" t="s">
        <v>390</v>
      </c>
      <c r="AC43" s="13" t="s">
        <v>391</v>
      </c>
      <c r="AD43" s="13" t="s">
        <v>378</v>
      </c>
      <c r="AE43" s="8" t="str">
        <f t="shared" si="1"/>
        <v>High</v>
      </c>
      <c r="AF43" s="14">
        <v>110</v>
      </c>
      <c r="AG43" s="14">
        <v>110</v>
      </c>
      <c r="AH43" s="14" t="s">
        <v>570</v>
      </c>
      <c r="AI43" s="14"/>
      <c r="AJ43" s="15">
        <f>VLOOKUP(E43,'[1]Ethanol Plant Listing 2025'!$B$3:$E$220,4,FALSE)</f>
        <v>60</v>
      </c>
      <c r="AK43" s="14">
        <f>+AJ43*[1]Yield!$K$4</f>
        <v>57</v>
      </c>
      <c r="AL43" s="14">
        <f>AK43/VLOOKUP(Q43,[1]Yield!$E$5:$F$14,2,FALSE)</f>
        <v>19.322033898305083</v>
      </c>
      <c r="AM43" s="14"/>
      <c r="AN43" s="14"/>
      <c r="AO43" s="16">
        <f t="shared" si="2"/>
        <v>127000</v>
      </c>
      <c r="AP43" s="16" t="s">
        <v>393</v>
      </c>
      <c r="AQ43" s="17" t="str">
        <f t="shared" si="10"/>
        <v>ICM</v>
      </c>
      <c r="AR43" s="18">
        <f>VLOOKUP(AQ43,[1]Yield!$A$5:$B$10,2,FALSE)</f>
        <v>0.9</v>
      </c>
      <c r="AS43" s="14">
        <f t="shared" si="4"/>
        <v>17.389830508474574</v>
      </c>
      <c r="AT43" s="8" t="s">
        <v>437</v>
      </c>
      <c r="AU43" s="8"/>
      <c r="AV43" s="8"/>
      <c r="AW43" s="13"/>
      <c r="AX43" s="8" t="str">
        <f>IFERROR(VLOOKUP(E43,[1]Sheet3!$C$2:$E$68,2,FALSE),"None")</f>
        <v>None</v>
      </c>
      <c r="AY43" s="8">
        <f>IFERROR(VLOOKUP(AX43,[1]Sheet3!$H$3:$I$5,2,FALSE),0)</f>
        <v>0</v>
      </c>
      <c r="AZ43" s="14">
        <f t="shared" si="5"/>
        <v>60</v>
      </c>
      <c r="BA43" s="14">
        <f t="shared" si="6"/>
        <v>98.64</v>
      </c>
      <c r="BB43" s="12">
        <f>SUMIFS('[1]Corn 2023'!V:V,'[1]Corn 2023'!K:K,"="&amp;'Corn Processors'!J43,'[1]Corn 2023'!B:B,"=2023")</f>
        <v>0</v>
      </c>
      <c r="BC43" s="7"/>
      <c r="BD43" s="19" t="s">
        <v>566</v>
      </c>
      <c r="BE43" s="7" t="s">
        <v>571</v>
      </c>
      <c r="BF43" s="7" t="s">
        <v>414</v>
      </c>
      <c r="BJ43" s="7" t="s">
        <v>400</v>
      </c>
      <c r="BK43" s="7">
        <f t="shared" si="7"/>
        <v>25</v>
      </c>
    </row>
    <row r="44" spans="1:64" ht="15.6" customHeight="1" x14ac:dyDescent="0.3">
      <c r="A44" s="7">
        <v>43</v>
      </c>
      <c r="B44" s="8"/>
      <c r="C44" s="8"/>
      <c r="D44" s="8">
        <v>3168</v>
      </c>
      <c r="E44" s="8">
        <v>3590</v>
      </c>
      <c r="F44" s="8" t="str">
        <f t="shared" si="9"/>
        <v>Active</v>
      </c>
      <c r="G44" s="9" t="s">
        <v>572</v>
      </c>
      <c r="H44" s="9" t="str">
        <f>VLOOKUP(E44,'[1]EPA Ethanol Capacity 2024'!$B$5:$C$235,2,FALSE)</f>
        <v>Commonwealth Agri-Energy</v>
      </c>
      <c r="I44" s="8" t="s">
        <v>573</v>
      </c>
      <c r="J44" t="s">
        <v>574</v>
      </c>
      <c r="K44" s="7">
        <v>42240</v>
      </c>
      <c r="L44" s="7" t="s">
        <v>575</v>
      </c>
      <c r="M44" s="7">
        <v>2</v>
      </c>
      <c r="N44" s="20">
        <v>36.813420000000001</v>
      </c>
      <c r="O44" s="11">
        <v>-87.410089999999997</v>
      </c>
      <c r="P44" s="12">
        <v>2004</v>
      </c>
      <c r="Q44" s="12" t="s">
        <v>388</v>
      </c>
      <c r="R44" s="12">
        <f t="shared" si="0"/>
        <v>1</v>
      </c>
      <c r="S44" s="12" t="s">
        <v>389</v>
      </c>
      <c r="U44" s="7" t="s">
        <v>343</v>
      </c>
      <c r="AB44" s="13" t="s">
        <v>390</v>
      </c>
      <c r="AC44" s="13" t="s">
        <v>391</v>
      </c>
      <c r="AD44" s="13" t="s">
        <v>378</v>
      </c>
      <c r="AE44" s="8" t="str">
        <f t="shared" si="1"/>
        <v>High</v>
      </c>
      <c r="AF44" s="14"/>
      <c r="AG44" s="14"/>
      <c r="AH44" s="14"/>
      <c r="AI44" s="14"/>
      <c r="AJ44" s="15">
        <f>VLOOKUP(E44,'[1]Ethanol Plant Listing 2025'!$B$3:$E$220,4,FALSE)</f>
        <v>49</v>
      </c>
      <c r="AK44" s="14">
        <f>+AJ44*[1]Yield!$K$4</f>
        <v>46.55</v>
      </c>
      <c r="AL44" s="14">
        <f>AK44/VLOOKUP(Q44,[1]Yield!$E$5:$F$14,2,FALSE)</f>
        <v>15.77966101694915</v>
      </c>
      <c r="AM44" s="14"/>
      <c r="AN44" s="14"/>
      <c r="AO44" s="16">
        <f t="shared" si="2"/>
        <v>103000</v>
      </c>
      <c r="AP44" s="16" t="s">
        <v>393</v>
      </c>
      <c r="AQ44" s="17" t="str">
        <f t="shared" si="10"/>
        <v>ICM</v>
      </c>
      <c r="AR44" s="18">
        <f>VLOOKUP(AQ44,[1]Yield!$A$5:$B$10,2,FALSE)</f>
        <v>0.9</v>
      </c>
      <c r="AS44" s="14">
        <f t="shared" si="4"/>
        <v>14.201694915254235</v>
      </c>
      <c r="AT44" s="8" t="s">
        <v>394</v>
      </c>
      <c r="AX44" s="8" t="str">
        <f>IFERROR(VLOOKUP(E44,[1]Sheet3!$C$2:$E$68,2,FALSE),"None")</f>
        <v>None</v>
      </c>
      <c r="AY44" s="8">
        <f>IFERROR(VLOOKUP(AX44,[1]Sheet3!$H$3:$I$5,2,FALSE),0)</f>
        <v>0</v>
      </c>
      <c r="AZ44" s="14">
        <f t="shared" si="5"/>
        <v>49</v>
      </c>
      <c r="BA44" s="14">
        <f t="shared" si="6"/>
        <v>80.555999999999997</v>
      </c>
      <c r="BB44" s="12">
        <f>SUMIFS('[1]Corn 2023'!V:V,'[1]Corn 2023'!K:K,"="&amp;'Corn Processors'!J44,'[1]Corn 2023'!B:B,"=2023")</f>
        <v>0</v>
      </c>
      <c r="BC44" s="7"/>
      <c r="BD44" s="19" t="s">
        <v>576</v>
      </c>
      <c r="BE44" s="7" t="s">
        <v>531</v>
      </c>
      <c r="BF44" s="7" t="s">
        <v>414</v>
      </c>
      <c r="BK44" s="7">
        <f t="shared" si="7"/>
        <v>25</v>
      </c>
    </row>
    <row r="45" spans="1:64" ht="15.6" customHeight="1" x14ac:dyDescent="0.3">
      <c r="A45" s="7">
        <v>44</v>
      </c>
      <c r="B45" s="8">
        <v>5065</v>
      </c>
      <c r="C45" s="8">
        <v>70145</v>
      </c>
      <c r="D45" s="8">
        <v>2439</v>
      </c>
      <c r="E45" s="8">
        <v>3591</v>
      </c>
      <c r="F45" s="8" t="str">
        <f t="shared" si="9"/>
        <v>Active</v>
      </c>
      <c r="G45" s="9" t="s">
        <v>577</v>
      </c>
      <c r="H45" s="9" t="str">
        <f>VLOOKUP(E45,'[1]EPA Ethanol Capacity 2024'!$B$5:$C$235,2,FALSE)</f>
        <v>Corn LP</v>
      </c>
      <c r="I45" s="8" t="s">
        <v>387</v>
      </c>
      <c r="J45" t="s">
        <v>578</v>
      </c>
      <c r="K45" s="7">
        <v>50542</v>
      </c>
      <c r="L45" s="7" t="s">
        <v>579</v>
      </c>
      <c r="M45" s="7">
        <v>2</v>
      </c>
      <c r="N45" s="20">
        <v>42.733339000000001</v>
      </c>
      <c r="O45" s="11">
        <v>-93.910901999999993</v>
      </c>
      <c r="P45" s="12">
        <v>2006</v>
      </c>
      <c r="Q45" s="12" t="s">
        <v>388</v>
      </c>
      <c r="R45" s="12">
        <f t="shared" si="0"/>
        <v>1</v>
      </c>
      <c r="S45" s="12"/>
      <c r="T45" s="7" t="s">
        <v>536</v>
      </c>
      <c r="AB45" s="13" t="s">
        <v>390</v>
      </c>
      <c r="AC45" s="13" t="s">
        <v>391</v>
      </c>
      <c r="AD45" s="13" t="s">
        <v>378</v>
      </c>
      <c r="AE45" s="8" t="str">
        <f t="shared" si="1"/>
        <v>High</v>
      </c>
      <c r="AF45" s="14"/>
      <c r="AG45" s="14"/>
      <c r="AH45" s="14"/>
      <c r="AI45" s="14"/>
      <c r="AJ45" s="15">
        <f>VLOOKUP(E45,'[1]Ethanol Plant Listing 2025'!$B$3:$E$220,4,FALSE)</f>
        <v>80</v>
      </c>
      <c r="AK45" s="14">
        <f>+AJ45*[1]Yield!$K$4</f>
        <v>76</v>
      </c>
      <c r="AL45" s="14">
        <f>AK45/VLOOKUP(Q45,[1]Yield!$E$5:$F$14,2,FALSE)</f>
        <v>25.762711864406779</v>
      </c>
      <c r="AM45" s="14"/>
      <c r="AN45" s="14"/>
      <c r="AO45" s="16">
        <f t="shared" si="2"/>
        <v>169000</v>
      </c>
      <c r="AP45" s="16" t="s">
        <v>393</v>
      </c>
      <c r="AQ45" s="17" t="str">
        <f t="shared" si="10"/>
        <v>ICM</v>
      </c>
      <c r="AR45" s="18">
        <f>VLOOKUP(AQ45,[1]Yield!$A$5:$B$10,2,FALSE)</f>
        <v>0.9</v>
      </c>
      <c r="AS45" s="14">
        <f t="shared" si="4"/>
        <v>23.1864406779661</v>
      </c>
      <c r="AT45" s="8" t="s">
        <v>437</v>
      </c>
      <c r="AU45" s="8"/>
      <c r="AV45" s="8" t="s">
        <v>395</v>
      </c>
      <c r="AW45" s="13"/>
      <c r="AX45" s="8" t="str">
        <f>IFERROR(VLOOKUP(E45,[1]Sheet3!$C$2:$E$68,2,FALSE),"None")</f>
        <v>Summit Carbon Solutions</v>
      </c>
      <c r="AY45" s="8">
        <f>IFERROR(VLOOKUP(AX45,[1]Sheet3!$H$3:$I$5,2,FALSE),0)</f>
        <v>31</v>
      </c>
      <c r="AZ45" s="14">
        <f t="shared" si="5"/>
        <v>80</v>
      </c>
      <c r="BA45" s="14">
        <f t="shared" si="6"/>
        <v>131.51999999999998</v>
      </c>
      <c r="BB45" s="12">
        <f>SUMIFS('[1]Corn 2023'!V:V,'[1]Corn 2023'!B:B,"=2023",'[1]Corn 2023'!L:L,"="&amp;'Corn Processors'!L45)</f>
        <v>171000</v>
      </c>
      <c r="BC45" s="7"/>
      <c r="BD45" s="19" t="s">
        <v>580</v>
      </c>
      <c r="BE45" s="7" t="s">
        <v>428</v>
      </c>
      <c r="BF45" s="7" t="s">
        <v>398</v>
      </c>
      <c r="BK45" s="7">
        <f t="shared" si="7"/>
        <v>25</v>
      </c>
    </row>
    <row r="46" spans="1:64" ht="15.6" customHeight="1" x14ac:dyDescent="0.3">
      <c r="A46" s="7">
        <v>45</v>
      </c>
      <c r="B46" s="8">
        <v>4810</v>
      </c>
      <c r="C46" s="8">
        <v>70083</v>
      </c>
      <c r="D46" s="8">
        <v>3169</v>
      </c>
      <c r="E46" s="8">
        <v>3592</v>
      </c>
      <c r="F46" s="8" t="str">
        <f t="shared" si="9"/>
        <v>Active</v>
      </c>
      <c r="G46" s="9" t="s">
        <v>581</v>
      </c>
      <c r="H46" s="9" t="str">
        <f>VLOOKUP(E46,'[1]EPA Ethanol Capacity 2024'!$B$5:$C$235,2,FALSE)</f>
        <v>Dakota Ethanol LLC</v>
      </c>
      <c r="I46" s="8" t="s">
        <v>582</v>
      </c>
      <c r="J46" t="s">
        <v>583</v>
      </c>
      <c r="K46" s="7">
        <v>57075</v>
      </c>
      <c r="L46" s="7" t="s">
        <v>584</v>
      </c>
      <c r="M46" s="7">
        <v>2</v>
      </c>
      <c r="N46" s="20">
        <v>43.976388999999998</v>
      </c>
      <c r="O46" s="11">
        <v>-96.953329999999994</v>
      </c>
      <c r="P46" s="12">
        <v>2001</v>
      </c>
      <c r="Q46" s="12" t="s">
        <v>388</v>
      </c>
      <c r="R46" s="12">
        <f t="shared" si="0"/>
        <v>1</v>
      </c>
      <c r="S46" s="12" t="s">
        <v>389</v>
      </c>
      <c r="AB46" s="13" t="s">
        <v>390</v>
      </c>
      <c r="AC46" s="13" t="s">
        <v>391</v>
      </c>
      <c r="AD46" s="13" t="s">
        <v>378</v>
      </c>
      <c r="AE46" s="8" t="str">
        <f t="shared" si="1"/>
        <v>High</v>
      </c>
      <c r="AF46" s="14">
        <v>80</v>
      </c>
      <c r="AG46" s="14">
        <v>55</v>
      </c>
      <c r="AH46" s="14" t="s">
        <v>585</v>
      </c>
      <c r="AI46" s="14"/>
      <c r="AJ46" s="15">
        <f>VLOOKUP(E46,'[1]Ethanol Plant Listing 2025'!$B$3:$E$220,4,FALSE)</f>
        <v>100</v>
      </c>
      <c r="AK46" s="14">
        <f>+AJ46*[1]Yield!$K$4</f>
        <v>95</v>
      </c>
      <c r="AL46" s="14">
        <f>AK46/VLOOKUP(Q46,[1]Yield!$E$5:$F$14,2,FALSE)</f>
        <v>32.20338983050847</v>
      </c>
      <c r="AM46" s="14"/>
      <c r="AN46" s="14"/>
      <c r="AO46" s="16">
        <f t="shared" si="2"/>
        <v>211000</v>
      </c>
      <c r="AP46" s="16" t="s">
        <v>393</v>
      </c>
      <c r="AQ46" s="17" t="str">
        <f t="shared" si="10"/>
        <v>ICM</v>
      </c>
      <c r="AR46" s="18">
        <f>VLOOKUP(AQ46,[1]Yield!$A$5:$B$10,2,FALSE)</f>
        <v>0.9</v>
      </c>
      <c r="AS46" s="14">
        <f t="shared" si="4"/>
        <v>28.983050847457623</v>
      </c>
      <c r="AT46" s="8" t="s">
        <v>437</v>
      </c>
      <c r="AU46" s="8"/>
      <c r="AV46" s="8" t="s">
        <v>395</v>
      </c>
      <c r="AW46" s="13"/>
      <c r="AX46" s="8" t="str">
        <f>IFERROR(VLOOKUP(E46,[1]Sheet3!$C$2:$E$68,2,FALSE),"None")</f>
        <v>Summit Carbon Solutions</v>
      </c>
      <c r="AY46" s="8">
        <f>IFERROR(VLOOKUP(AX46,[1]Sheet3!$H$3:$I$5,2,FALSE),0)</f>
        <v>31</v>
      </c>
      <c r="AZ46" s="14">
        <f t="shared" si="5"/>
        <v>100</v>
      </c>
      <c r="BA46" s="14">
        <f t="shared" si="6"/>
        <v>164.4</v>
      </c>
      <c r="BB46" s="12">
        <f>SUMIFS('[1]Corn 2023'!V:V,'[1]Corn 2023'!K:K,"="&amp;'Corn Processors'!J46,'[1]Corn 2023'!B:B,"=2023")</f>
        <v>0</v>
      </c>
      <c r="BC46" s="7"/>
      <c r="BD46" s="19" t="s">
        <v>586</v>
      </c>
      <c r="BE46" s="7" t="s">
        <v>481</v>
      </c>
      <c r="BF46" s="7" t="s">
        <v>398</v>
      </c>
      <c r="BJ46" s="7" t="s">
        <v>400</v>
      </c>
      <c r="BK46" s="7">
        <f t="shared" si="7"/>
        <v>25</v>
      </c>
    </row>
    <row r="47" spans="1:64" ht="15.6" customHeight="1" x14ac:dyDescent="0.3">
      <c r="A47" s="7">
        <v>46</v>
      </c>
      <c r="B47" s="8"/>
      <c r="C47" s="8"/>
      <c r="D47" s="8">
        <v>3170</v>
      </c>
      <c r="E47" s="8">
        <v>3593</v>
      </c>
      <c r="F47" s="8" t="str">
        <f t="shared" si="9"/>
        <v>Active</v>
      </c>
      <c r="G47" s="9" t="s">
        <v>507</v>
      </c>
      <c r="H47" s="9" t="str">
        <f>VLOOKUP(E47,'[1]EPA Ethanol Capacity 2024'!$B$5:$C$235,2,FALSE)</f>
        <v>Dakota Spirit Agenergy</v>
      </c>
      <c r="I47" s="8" t="s">
        <v>508</v>
      </c>
      <c r="J47" t="s">
        <v>587</v>
      </c>
      <c r="K47" s="7">
        <v>58481</v>
      </c>
      <c r="L47" s="7" t="s">
        <v>588</v>
      </c>
      <c r="M47" s="7">
        <v>2</v>
      </c>
      <c r="N47" s="20">
        <v>46.924798000000003</v>
      </c>
      <c r="O47" s="11">
        <v>-98.503225</v>
      </c>
      <c r="P47" s="12">
        <v>2007</v>
      </c>
      <c r="Q47" s="12" t="s">
        <v>388</v>
      </c>
      <c r="R47" s="12">
        <f t="shared" si="0"/>
        <v>3</v>
      </c>
      <c r="S47" s="12"/>
      <c r="Z47" s="7" t="s">
        <v>589</v>
      </c>
      <c r="AB47" s="13" t="s">
        <v>390</v>
      </c>
      <c r="AC47" s="13" t="s">
        <v>391</v>
      </c>
      <c r="AD47" s="13" t="s">
        <v>378</v>
      </c>
      <c r="AE47" s="8" t="str">
        <f t="shared" si="1"/>
        <v>High</v>
      </c>
      <c r="AF47" s="14"/>
      <c r="AG47" s="14"/>
      <c r="AH47" s="14"/>
      <c r="AI47" s="14"/>
      <c r="AJ47" s="15">
        <f>VLOOKUP(E47,'[1]Ethanol Plant Listing 2025'!$B$3:$E$220,4,FALSE)</f>
        <v>80</v>
      </c>
      <c r="AK47" s="14">
        <f>+AJ47*[1]Yield!$K$4</f>
        <v>76</v>
      </c>
      <c r="AL47" s="14">
        <f>AK47/VLOOKUP(Q47,[1]Yield!$E$5:$F$14,2,FALSE)</f>
        <v>25.762711864406779</v>
      </c>
      <c r="AM47" s="14"/>
      <c r="AN47" s="14"/>
      <c r="AO47" s="16">
        <f t="shared" si="2"/>
        <v>169000</v>
      </c>
      <c r="AP47" s="16" t="s">
        <v>393</v>
      </c>
      <c r="AQ47" s="17" t="str">
        <f t="shared" si="10"/>
        <v>ICM</v>
      </c>
      <c r="AR47" s="18">
        <f>VLOOKUP(AQ47,[1]Yield!$A$5:$B$10,2,FALSE)</f>
        <v>0.9</v>
      </c>
      <c r="AS47" s="14">
        <f t="shared" si="4"/>
        <v>23.1864406779661</v>
      </c>
      <c r="AT47" s="8" t="s">
        <v>394</v>
      </c>
      <c r="AU47" s="8" t="s">
        <v>450</v>
      </c>
      <c r="AV47" s="8"/>
      <c r="AW47" s="13"/>
      <c r="AX47" s="8" t="str">
        <f>IFERROR(VLOOKUP(E47,[1]Sheet3!$C$2:$E$68,2,FALSE),"None")</f>
        <v>Direct Inject</v>
      </c>
      <c r="AY47" s="8">
        <f>IFERROR(VLOOKUP(AX47,[1]Sheet3!$H$3:$I$5,2,FALSE),0)</f>
        <v>32</v>
      </c>
      <c r="AZ47" s="14">
        <f t="shared" si="5"/>
        <v>80</v>
      </c>
      <c r="BA47" s="14">
        <f t="shared" si="6"/>
        <v>131.51999999999998</v>
      </c>
      <c r="BB47" s="12">
        <f>SUMIFS('[1]Corn 2023'!V:V,'[1]Corn 2023'!K:K,"="&amp;'Corn Processors'!J47,'[1]Corn 2023'!B:B,"=2023")</f>
        <v>0</v>
      </c>
      <c r="BC47" s="7"/>
      <c r="BD47" s="19" t="s">
        <v>590</v>
      </c>
      <c r="BE47" s="7" t="s">
        <v>481</v>
      </c>
      <c r="BF47" s="7" t="s">
        <v>398</v>
      </c>
      <c r="BJ47" s="7" t="s">
        <v>400</v>
      </c>
      <c r="BK47" s="7">
        <f t="shared" si="7"/>
        <v>25</v>
      </c>
    </row>
    <row r="48" spans="1:64" ht="15.6" customHeight="1" x14ac:dyDescent="0.3">
      <c r="A48" s="7">
        <v>47</v>
      </c>
      <c r="B48" s="8"/>
      <c r="C48" s="8">
        <v>70082</v>
      </c>
      <c r="D48" s="8">
        <v>2882</v>
      </c>
      <c r="E48" s="8">
        <v>3594</v>
      </c>
      <c r="F48" s="8" t="str">
        <f t="shared" si="9"/>
        <v>Active</v>
      </c>
      <c r="G48" s="9" t="s">
        <v>68</v>
      </c>
      <c r="H48" s="9" t="str">
        <f>VLOOKUP(E48,'[1]EPA Ethanol Capacity 2024'!$B$5:$C$235,2,FALSE)</f>
        <v>Denco II LLC</v>
      </c>
      <c r="I48" s="8" t="s">
        <v>429</v>
      </c>
      <c r="J48" t="s">
        <v>69</v>
      </c>
      <c r="K48" s="7">
        <v>56267</v>
      </c>
      <c r="L48" s="7" t="s">
        <v>591</v>
      </c>
      <c r="M48" s="7">
        <v>2</v>
      </c>
      <c r="N48" s="20">
        <v>45.575159999999997</v>
      </c>
      <c r="O48" s="11">
        <v>-95.912385999999998</v>
      </c>
      <c r="P48" s="12">
        <v>1991</v>
      </c>
      <c r="Q48" s="12" t="s">
        <v>388</v>
      </c>
      <c r="R48" s="12">
        <f t="shared" si="0"/>
        <v>1</v>
      </c>
      <c r="S48" s="12"/>
      <c r="Z48" s="7" t="s">
        <v>589</v>
      </c>
      <c r="AB48" s="13" t="s">
        <v>390</v>
      </c>
      <c r="AC48" s="13" t="s">
        <v>426</v>
      </c>
      <c r="AD48" s="13" t="s">
        <v>378</v>
      </c>
      <c r="AE48" s="8" t="str">
        <f t="shared" si="1"/>
        <v>High</v>
      </c>
      <c r="AF48" s="14"/>
      <c r="AG48" s="14"/>
      <c r="AH48" s="14"/>
      <c r="AI48" s="14"/>
      <c r="AJ48" s="15">
        <f>VLOOKUP(E48,'[1]Ethanol Plant Listing 2025'!$B$3:$E$220,4,FALSE)</f>
        <v>30</v>
      </c>
      <c r="AK48" s="14">
        <f>+AJ48*[1]Yield!$K$4</f>
        <v>28.5</v>
      </c>
      <c r="AL48" s="14">
        <f>AK48/VLOOKUP(Q48,[1]Yield!$E$5:$F$14,2,FALSE)</f>
        <v>9.6610169491525415</v>
      </c>
      <c r="AM48" s="14"/>
      <c r="AN48" s="14"/>
      <c r="AO48" s="16">
        <f t="shared" si="2"/>
        <v>63000</v>
      </c>
      <c r="AP48" s="16" t="s">
        <v>393</v>
      </c>
      <c r="AQ48" s="17" t="str">
        <f t="shared" si="10"/>
        <v>ICM</v>
      </c>
      <c r="AR48" s="18">
        <f>VLOOKUP(AQ48,[1]Yield!$A$5:$B$10,2,FALSE)</f>
        <v>0.9</v>
      </c>
      <c r="AS48" s="14">
        <f t="shared" si="4"/>
        <v>8.6949152542372872</v>
      </c>
      <c r="AT48" s="8" t="s">
        <v>394</v>
      </c>
      <c r="AU48" s="8"/>
      <c r="AV48" s="8"/>
      <c r="AW48" s="13"/>
      <c r="AX48" s="8" t="str">
        <f>IFERROR(VLOOKUP(E48,[1]Sheet3!$C$2:$E$68,2,FALSE),"None")</f>
        <v>None</v>
      </c>
      <c r="AY48" s="8">
        <f>IFERROR(VLOOKUP(AX48,[1]Sheet3!$H$3:$I$5,2,FALSE),0)</f>
        <v>0</v>
      </c>
      <c r="AZ48" s="14">
        <f t="shared" si="5"/>
        <v>30</v>
      </c>
      <c r="BA48" s="14">
        <f t="shared" si="6"/>
        <v>49.32</v>
      </c>
      <c r="BB48" s="12">
        <f>SUMIFS('[1]Corn 2023'!V:V,'[1]Corn 2023'!K:K,"="&amp;'Corn Processors'!J48,'[1]Corn 2023'!B:B,"=2023")</f>
        <v>0</v>
      </c>
      <c r="BC48" s="7"/>
      <c r="BD48" s="19" t="s">
        <v>592</v>
      </c>
      <c r="BE48" s="26" t="s">
        <v>593</v>
      </c>
      <c r="BF48" s="7" t="s">
        <v>414</v>
      </c>
      <c r="BG48" s="7" t="s">
        <v>398</v>
      </c>
      <c r="BK48" s="7">
        <f t="shared" si="7"/>
        <v>25</v>
      </c>
    </row>
    <row r="49" spans="1:64" ht="15.6" customHeight="1" x14ac:dyDescent="0.3">
      <c r="A49" s="7">
        <v>48</v>
      </c>
      <c r="B49" s="8"/>
      <c r="C49" s="8"/>
      <c r="D49" s="8">
        <v>3171</v>
      </c>
      <c r="E49" s="8">
        <v>3595</v>
      </c>
      <c r="F49" s="8" t="str">
        <f t="shared" si="9"/>
        <v>Active</v>
      </c>
      <c r="G49" s="9" t="s">
        <v>44</v>
      </c>
      <c r="H49" s="9" t="str">
        <f>VLOOKUP(E49,'[1]EPA Ethanol Capacity 2024'!$B$5:$C$235,2,FALSE)</f>
        <v>HET Levelland LLC</v>
      </c>
      <c r="I49" s="8" t="s">
        <v>594</v>
      </c>
      <c r="J49" t="s">
        <v>595</v>
      </c>
      <c r="K49" s="7">
        <v>79336</v>
      </c>
      <c r="L49" s="7" t="s">
        <v>596</v>
      </c>
      <c r="M49" s="7">
        <v>3</v>
      </c>
      <c r="N49" s="20">
        <v>33.588611</v>
      </c>
      <c r="O49" s="11">
        <v>-102.262778</v>
      </c>
      <c r="P49" s="12">
        <v>2007</v>
      </c>
      <c r="Q49" s="12" t="s">
        <v>388</v>
      </c>
      <c r="R49" s="12">
        <f t="shared" si="0"/>
        <v>3</v>
      </c>
      <c r="S49" s="12"/>
      <c r="AB49" s="13" t="s">
        <v>425</v>
      </c>
      <c r="AC49" s="13" t="s">
        <v>391</v>
      </c>
      <c r="AD49" s="13" t="s">
        <v>378</v>
      </c>
      <c r="AE49" s="8" t="str">
        <f t="shared" si="1"/>
        <v>High</v>
      </c>
      <c r="AF49" s="14"/>
      <c r="AG49" s="14"/>
      <c r="AH49" s="14"/>
      <c r="AI49" s="14"/>
      <c r="AJ49" s="15">
        <f>VLOOKUP(E49,'[1]Ethanol Plant Listing 2025'!$B$3:$E$220,4,FALSE)</f>
        <v>50.274000000000001</v>
      </c>
      <c r="AK49" s="14">
        <f>+AJ49*[1]Yield!$K$4</f>
        <v>47.760300000000001</v>
      </c>
      <c r="AL49" s="14">
        <f>AK49/VLOOKUP(Q49,[1]Yield!$E$5:$F$14,2,FALSE)</f>
        <v>16.18993220338983</v>
      </c>
      <c r="AM49" s="14"/>
      <c r="AN49" s="14"/>
      <c r="AO49" s="16">
        <f t="shared" si="2"/>
        <v>106000</v>
      </c>
      <c r="AP49" s="16" t="s">
        <v>393</v>
      </c>
      <c r="AQ49" s="17" t="str">
        <f t="shared" si="10"/>
        <v>ICM</v>
      </c>
      <c r="AR49" s="18">
        <f>VLOOKUP(AQ49,[1]Yield!$A$5:$B$10,2,FALSE)</f>
        <v>0.9</v>
      </c>
      <c r="AS49" s="14">
        <f t="shared" si="4"/>
        <v>14.570938983050848</v>
      </c>
      <c r="AT49" s="8" t="s">
        <v>394</v>
      </c>
      <c r="AX49" s="8" t="str">
        <f>IFERROR(VLOOKUP(E49,[1]Sheet3!$C$2:$E$68,2,FALSE),"None")</f>
        <v>None</v>
      </c>
      <c r="AY49" s="8">
        <f>IFERROR(VLOOKUP(AX49,[1]Sheet3!$H$3:$I$5,2,FALSE),0)</f>
        <v>0</v>
      </c>
      <c r="AZ49" s="14">
        <f t="shared" si="5"/>
        <v>50.274000000000001</v>
      </c>
      <c r="BA49" s="14">
        <f t="shared" si="6"/>
        <v>82.650455999999991</v>
      </c>
      <c r="BB49" s="12">
        <f>SUMIFS('[1]Corn 2023'!V:V,'[1]Corn 2023'!K:K,"="&amp;'Corn Processors'!J49,'[1]Corn 2023'!B:B,"=2023")</f>
        <v>0</v>
      </c>
      <c r="BC49" s="7"/>
      <c r="BD49" s="19" t="s">
        <v>484</v>
      </c>
      <c r="BE49" s="7" t="s">
        <v>481</v>
      </c>
      <c r="BF49" s="7" t="s">
        <v>398</v>
      </c>
      <c r="BK49" s="7">
        <f t="shared" si="7"/>
        <v>20</v>
      </c>
    </row>
    <row r="50" spans="1:64" ht="15.6" customHeight="1" x14ac:dyDescent="0.3">
      <c r="A50" s="7">
        <v>49</v>
      </c>
      <c r="B50" s="8"/>
      <c r="C50" s="8"/>
      <c r="D50" s="8">
        <v>3172</v>
      </c>
      <c r="E50" s="8">
        <v>3596</v>
      </c>
      <c r="F50" s="8" t="str">
        <f t="shared" si="9"/>
        <v>Active</v>
      </c>
      <c r="G50" s="9" t="s">
        <v>597</v>
      </c>
      <c r="H50" s="9" t="str">
        <f>VLOOKUP(E50,'[1]EPA Ethanol Capacity 2024'!$B$5:$C$235,2,FALSE)</f>
        <v>Didion Ethanol LLC</v>
      </c>
      <c r="I50" s="8" t="s">
        <v>402</v>
      </c>
      <c r="J50" s="23" t="s">
        <v>598</v>
      </c>
      <c r="K50" s="7">
        <v>53923</v>
      </c>
      <c r="L50" s="7" t="s">
        <v>599</v>
      </c>
      <c r="M50" s="7">
        <v>2</v>
      </c>
      <c r="N50" s="20">
        <v>43.537309999999998</v>
      </c>
      <c r="O50" s="11">
        <v>-89.103149999999999</v>
      </c>
      <c r="P50" s="12">
        <v>0</v>
      </c>
      <c r="Q50" s="12" t="s">
        <v>405</v>
      </c>
      <c r="R50" s="12">
        <f t="shared" si="0"/>
        <v>1</v>
      </c>
      <c r="S50" s="12" t="s">
        <v>389</v>
      </c>
      <c r="AB50" s="13" t="s">
        <v>390</v>
      </c>
      <c r="AC50" s="13" t="s">
        <v>391</v>
      </c>
      <c r="AD50" s="13" t="s">
        <v>378</v>
      </c>
      <c r="AE50" s="8" t="str">
        <f t="shared" si="1"/>
        <v>High</v>
      </c>
      <c r="AF50" s="14"/>
      <c r="AG50" s="14"/>
      <c r="AH50" s="14"/>
      <c r="AI50" s="14"/>
      <c r="AJ50" s="15">
        <f>VLOOKUP(E50,'[1]Ethanol Plant Listing 2025'!$B$3:$E$220,4,FALSE)</f>
        <v>54</v>
      </c>
      <c r="AK50" s="14">
        <f>+AJ50*[1]Yield!$K$4</f>
        <v>51.3</v>
      </c>
      <c r="AL50" s="14">
        <f>AK50/VLOOKUP(Q50,[1]Yield!$E$5:$F$14,2,FALSE)</f>
        <v>17.8125</v>
      </c>
      <c r="AM50" s="14"/>
      <c r="AN50" s="14"/>
      <c r="AO50" s="16">
        <f t="shared" si="2"/>
        <v>117000</v>
      </c>
      <c r="AP50" s="16" t="s">
        <v>410</v>
      </c>
      <c r="AQ50" s="17" t="str">
        <f t="shared" si="10"/>
        <v>None</v>
      </c>
      <c r="AR50" s="18">
        <f>VLOOKUP(AQ50,[1]Yield!$A$5:$B$10,2,FALSE)</f>
        <v>0.81499999999999995</v>
      </c>
      <c r="AS50" s="14">
        <f t="shared" si="4"/>
        <v>14.517187499999999</v>
      </c>
      <c r="AT50" s="8" t="s">
        <v>411</v>
      </c>
      <c r="AX50" s="8" t="str">
        <f>IFERROR(VLOOKUP(E50,[1]Sheet3!$C$2:$E$68,2,FALSE),"None")</f>
        <v>None</v>
      </c>
      <c r="AY50" s="8">
        <f>IFERROR(VLOOKUP(AX50,[1]Sheet3!$H$3:$I$5,2,FALSE),0)</f>
        <v>0</v>
      </c>
      <c r="AZ50" s="14">
        <f t="shared" si="5"/>
        <v>54</v>
      </c>
      <c r="BA50" s="14">
        <f t="shared" si="6"/>
        <v>88.775999999999996</v>
      </c>
      <c r="BB50" s="12">
        <f>SUMIFS('[1]Corn 2023'!V:V,'[1]Corn 2023'!K:K,"="&amp;'Corn Processors'!J50,'[1]Corn 2023'!B:B,"=2023")</f>
        <v>0</v>
      </c>
      <c r="BC50" s="7"/>
      <c r="BD50" s="19" t="s">
        <v>600</v>
      </c>
      <c r="BE50" s="7" t="s">
        <v>601</v>
      </c>
      <c r="BF50" s="7" t="s">
        <v>414</v>
      </c>
      <c r="BK50" s="7">
        <f t="shared" si="7"/>
        <v>20</v>
      </c>
    </row>
    <row r="51" spans="1:64" ht="15.6" customHeight="1" x14ac:dyDescent="0.3">
      <c r="A51" s="7">
        <v>50</v>
      </c>
      <c r="B51" s="8">
        <v>4831</v>
      </c>
      <c r="C51" s="8">
        <v>70093</v>
      </c>
      <c r="D51" s="8">
        <v>3173</v>
      </c>
      <c r="E51" s="8">
        <v>3597</v>
      </c>
      <c r="F51" s="8" t="str">
        <f t="shared" si="9"/>
        <v>Active</v>
      </c>
      <c r="G51" s="9" t="s">
        <v>72</v>
      </c>
      <c r="H51" s="9" t="str">
        <f>VLOOKUP(E51,'[1]EPA Ethanol Capacity 2024'!$B$5:$C$235,2,FALSE)</f>
        <v>E Energy Adams LLC</v>
      </c>
      <c r="I51" s="8" t="s">
        <v>470</v>
      </c>
      <c r="J51" t="s">
        <v>73</v>
      </c>
      <c r="K51" s="7">
        <v>68301</v>
      </c>
      <c r="L51" s="7" t="s">
        <v>602</v>
      </c>
      <c r="M51" s="7">
        <v>2</v>
      </c>
      <c r="N51" s="20">
        <v>40.484200000000001</v>
      </c>
      <c r="O51" s="11">
        <v>-96.545900000000003</v>
      </c>
      <c r="P51" s="12">
        <v>2007</v>
      </c>
      <c r="Q51" s="12" t="s">
        <v>388</v>
      </c>
      <c r="R51" s="12">
        <f t="shared" si="0"/>
        <v>1</v>
      </c>
      <c r="S51" s="12" t="s">
        <v>389</v>
      </c>
      <c r="X51" s="7" t="s">
        <v>406</v>
      </c>
      <c r="Y51" s="7" t="s">
        <v>603</v>
      </c>
      <c r="Z51" s="7" t="s">
        <v>407</v>
      </c>
      <c r="AB51" s="13" t="s">
        <v>390</v>
      </c>
      <c r="AC51" s="13" t="s">
        <v>391</v>
      </c>
      <c r="AD51" s="13" t="s">
        <v>378</v>
      </c>
      <c r="AE51" s="8" t="str">
        <f t="shared" si="1"/>
        <v>High</v>
      </c>
      <c r="AF51" s="14"/>
      <c r="AG51" s="14"/>
      <c r="AH51" s="14"/>
      <c r="AI51" s="14"/>
      <c r="AJ51" s="15">
        <f>VLOOKUP(E51,'[1]Ethanol Plant Listing 2025'!$B$3:$E$220,4,FALSE)</f>
        <v>101</v>
      </c>
      <c r="AK51" s="14">
        <f>+AJ51*[1]Yield!$K$4</f>
        <v>95.949999999999989</v>
      </c>
      <c r="AL51" s="14">
        <f>AK51/VLOOKUP(Q51,[1]Yield!$E$5:$F$14,2,FALSE)</f>
        <v>32.525423728813557</v>
      </c>
      <c r="AM51" s="14"/>
      <c r="AN51" s="14"/>
      <c r="AO51" s="16">
        <f t="shared" si="2"/>
        <v>213000</v>
      </c>
      <c r="AP51" s="16" t="s">
        <v>393</v>
      </c>
      <c r="AQ51" s="17" t="str">
        <f t="shared" si="10"/>
        <v>ICM</v>
      </c>
      <c r="AR51" s="18">
        <f>VLOOKUP(AQ51,[1]Yield!$A$5:$B$10,2,FALSE)</f>
        <v>0.9</v>
      </c>
      <c r="AS51" s="14">
        <f t="shared" si="4"/>
        <v>29.272881355932203</v>
      </c>
      <c r="AT51" s="8" t="s">
        <v>394</v>
      </c>
      <c r="AU51" s="8"/>
      <c r="AV51" s="8"/>
      <c r="AW51" s="13"/>
      <c r="AX51" s="8" t="str">
        <f>IFERROR(VLOOKUP(E51,[1]Sheet3!$C$2:$E$68,2,FALSE),"None")</f>
        <v>None</v>
      </c>
      <c r="AY51" s="8">
        <f>IFERROR(VLOOKUP(AX51,[1]Sheet3!$H$3:$I$5,2,FALSE),0)</f>
        <v>0</v>
      </c>
      <c r="AZ51" s="14">
        <f t="shared" si="5"/>
        <v>101</v>
      </c>
      <c r="BA51" s="14">
        <f t="shared" si="6"/>
        <v>166.04399999999998</v>
      </c>
      <c r="BB51" s="12">
        <f>SUMIFS('[1]Corn 2023'!V:V,'[1]Corn 2023'!K:K,"="&amp;'Corn Processors'!J51,'[1]Corn 2023'!B:B,"=2023")</f>
        <v>0</v>
      </c>
      <c r="BC51" s="7"/>
      <c r="BD51" s="19" t="s">
        <v>604</v>
      </c>
      <c r="BE51" s="7" t="s">
        <v>481</v>
      </c>
      <c r="BF51" s="7" t="s">
        <v>398</v>
      </c>
      <c r="BJ51" s="7" t="s">
        <v>400</v>
      </c>
      <c r="BK51" s="7">
        <f t="shared" si="7"/>
        <v>25</v>
      </c>
    </row>
    <row r="52" spans="1:64" ht="15.6" customHeight="1" x14ac:dyDescent="0.3">
      <c r="A52" s="7">
        <v>51</v>
      </c>
      <c r="B52" s="8">
        <v>4483</v>
      </c>
      <c r="C52" s="8">
        <v>83483</v>
      </c>
      <c r="D52" s="8">
        <v>3174</v>
      </c>
      <c r="E52" s="8">
        <v>3598</v>
      </c>
      <c r="F52" s="8" t="str">
        <f t="shared" si="9"/>
        <v>Active</v>
      </c>
      <c r="G52" s="9" t="s">
        <v>605</v>
      </c>
      <c r="H52" s="9" t="str">
        <f>VLOOKUP(E52,'[1]EPA Ethanol Capacity 2024'!$B$5:$C$235,2,FALSE)</f>
        <v>East Kansas Agri-Energy LLC</v>
      </c>
      <c r="I52" s="8" t="s">
        <v>455</v>
      </c>
      <c r="J52" t="s">
        <v>606</v>
      </c>
      <c r="K52" s="7">
        <v>66032</v>
      </c>
      <c r="L52" s="7" t="s">
        <v>607</v>
      </c>
      <c r="M52" s="7">
        <v>2</v>
      </c>
      <c r="N52" s="20">
        <v>38.271521999999997</v>
      </c>
      <c r="O52" s="11">
        <v>-95.237414000000001</v>
      </c>
      <c r="P52" s="12">
        <v>2004</v>
      </c>
      <c r="Q52" s="12" t="s">
        <v>388</v>
      </c>
      <c r="R52" s="12">
        <f t="shared" si="0"/>
        <v>1</v>
      </c>
      <c r="S52" s="12" t="s">
        <v>389</v>
      </c>
      <c r="AB52" s="13" t="s">
        <v>390</v>
      </c>
      <c r="AC52" s="13" t="s">
        <v>391</v>
      </c>
      <c r="AD52" s="13" t="s">
        <v>378</v>
      </c>
      <c r="AE52" s="8" t="str">
        <f t="shared" si="1"/>
        <v>High</v>
      </c>
      <c r="AF52" s="14">
        <v>101</v>
      </c>
      <c r="AG52" s="14">
        <v>55</v>
      </c>
      <c r="AH52" s="14" t="s">
        <v>515</v>
      </c>
      <c r="AI52" s="14">
        <v>86373</v>
      </c>
      <c r="AJ52" s="15">
        <f>VLOOKUP(E52,'[1]Ethanol Plant Listing 2025'!$B$3:$E$220,4,FALSE)</f>
        <v>48</v>
      </c>
      <c r="AK52" s="14">
        <f>+AJ52*[1]Yield!$K$4</f>
        <v>45.599999999999994</v>
      </c>
      <c r="AL52" s="14">
        <f>AK52/VLOOKUP(Q52,[1]Yield!$E$5:$F$14,2,FALSE)</f>
        <v>15.457627118644066</v>
      </c>
      <c r="AM52" s="14"/>
      <c r="AN52" s="14"/>
      <c r="AO52" s="16">
        <f t="shared" si="2"/>
        <v>101000</v>
      </c>
      <c r="AP52" s="16" t="s">
        <v>393</v>
      </c>
      <c r="AQ52" s="17" t="str">
        <f t="shared" si="10"/>
        <v>ICM</v>
      </c>
      <c r="AR52" s="18">
        <f>VLOOKUP(AQ52,[1]Yield!$A$5:$B$10,2,FALSE)</f>
        <v>0.9</v>
      </c>
      <c r="AS52" s="14">
        <f t="shared" si="4"/>
        <v>13.91186440677966</v>
      </c>
      <c r="AT52" s="8" t="s">
        <v>394</v>
      </c>
      <c r="AX52" s="8"/>
      <c r="AY52" s="8">
        <f>IFERROR(VLOOKUP(AX52,[1]Sheet3!$H$3:$I$5,2,FALSE),0)</f>
        <v>0</v>
      </c>
      <c r="AZ52" s="14">
        <f t="shared" si="5"/>
        <v>48</v>
      </c>
      <c r="BA52" s="14">
        <f t="shared" si="6"/>
        <v>78.911999999999992</v>
      </c>
      <c r="BB52" s="27"/>
      <c r="BC52" s="7"/>
      <c r="BD52" s="19" t="s">
        <v>608</v>
      </c>
      <c r="BE52" s="7" t="s">
        <v>428</v>
      </c>
      <c r="BF52" s="7" t="s">
        <v>414</v>
      </c>
      <c r="BG52" s="7" t="s">
        <v>398</v>
      </c>
      <c r="BJ52" s="7" t="s">
        <v>400</v>
      </c>
      <c r="BK52" s="7">
        <f t="shared" si="7"/>
        <v>25</v>
      </c>
    </row>
    <row r="53" spans="1:64" ht="15.6" customHeight="1" x14ac:dyDescent="0.3">
      <c r="A53" s="7">
        <v>52</v>
      </c>
      <c r="B53" s="8">
        <v>6500</v>
      </c>
      <c r="C53" s="8">
        <v>71287</v>
      </c>
      <c r="D53" s="8">
        <v>3176</v>
      </c>
      <c r="E53" s="8">
        <v>3600</v>
      </c>
      <c r="F53" s="8" t="str">
        <f t="shared" si="9"/>
        <v>Active</v>
      </c>
      <c r="G53" s="9" t="s">
        <v>76</v>
      </c>
      <c r="H53" s="9" t="str">
        <f>VLOOKUP(E53,'[1]EPA Ethanol Capacity 2024'!$B$5:$C$235,2,FALSE)</f>
        <v>Elite Octane LLC</v>
      </c>
      <c r="I53" s="8" t="s">
        <v>387</v>
      </c>
      <c r="J53" t="s">
        <v>77</v>
      </c>
      <c r="K53" s="7">
        <v>50022</v>
      </c>
      <c r="L53" s="7" t="s">
        <v>609</v>
      </c>
      <c r="M53" s="7">
        <v>2</v>
      </c>
      <c r="N53" s="20">
        <v>41.417720000000003</v>
      </c>
      <c r="O53" s="11">
        <v>-95.031819999999996</v>
      </c>
      <c r="P53" s="12">
        <v>2019</v>
      </c>
      <c r="Q53" s="12" t="s">
        <v>388</v>
      </c>
      <c r="R53" s="12">
        <f t="shared" si="0"/>
        <v>1</v>
      </c>
      <c r="S53" s="12" t="s">
        <v>389</v>
      </c>
      <c r="Z53" s="7" t="s">
        <v>388</v>
      </c>
      <c r="AB53" s="13" t="s">
        <v>390</v>
      </c>
      <c r="AC53" s="13" t="s">
        <v>391</v>
      </c>
      <c r="AD53" s="13" t="s">
        <v>378</v>
      </c>
      <c r="AE53" s="8" t="str">
        <f t="shared" si="1"/>
        <v>High</v>
      </c>
      <c r="AF53" s="14"/>
      <c r="AG53" s="14"/>
      <c r="AH53" s="14"/>
      <c r="AI53" s="14"/>
      <c r="AJ53" s="15">
        <f>VLOOKUP(E53,'[1]Ethanol Plant Listing 2025'!$B$3:$E$220,4,FALSE)</f>
        <v>175</v>
      </c>
      <c r="AK53" s="14">
        <f>+AJ53*[1]Yield!$K$4</f>
        <v>166.25</v>
      </c>
      <c r="AL53" s="14">
        <f>AK53/VLOOKUP(Q53,[1]Yield!$E$5:$F$14,2,FALSE)</f>
        <v>56.355932203389827</v>
      </c>
      <c r="AM53" s="14"/>
      <c r="AN53" s="14"/>
      <c r="AO53" s="16">
        <f t="shared" si="2"/>
        <v>369000</v>
      </c>
      <c r="AP53" s="16" t="s">
        <v>393</v>
      </c>
      <c r="AQ53" s="17" t="str">
        <f t="shared" si="10"/>
        <v>ICM</v>
      </c>
      <c r="AR53" s="18">
        <f>VLOOKUP(AQ53,[1]Yield!$A$5:$B$10,2,FALSE)</f>
        <v>0.9</v>
      </c>
      <c r="AS53" s="14">
        <f t="shared" si="4"/>
        <v>50.720338983050844</v>
      </c>
      <c r="AT53" s="8" t="s">
        <v>394</v>
      </c>
      <c r="AU53" s="8"/>
      <c r="AV53" s="8"/>
      <c r="AW53" s="13"/>
      <c r="AX53" s="8" t="str">
        <f>IFERROR(VLOOKUP(E53,[1]Sheet3!$C$2:$E$68,2,FALSE),"None")</f>
        <v>None</v>
      </c>
      <c r="AY53" s="8">
        <f>IFERROR(VLOOKUP(AX53,[1]Sheet3!$H$3:$I$5,2,FALSE),0)</f>
        <v>0</v>
      </c>
      <c r="AZ53" s="14">
        <f t="shared" si="5"/>
        <v>175</v>
      </c>
      <c r="BA53" s="14">
        <f t="shared" si="6"/>
        <v>287.7</v>
      </c>
      <c r="BB53" s="12">
        <f>SUMIFS('[1]Corn 2023'!V:V,'[1]Corn 2023'!B:B,"=2023",'[1]Corn 2023'!L:L,"="&amp;'Corn Processors'!L53)</f>
        <v>0</v>
      </c>
      <c r="BC53" s="7"/>
      <c r="BD53" s="19" t="s">
        <v>610</v>
      </c>
      <c r="BE53" s="7" t="s">
        <v>560</v>
      </c>
      <c r="BF53" s="7" t="s">
        <v>398</v>
      </c>
      <c r="BI53" s="7" t="s">
        <v>399</v>
      </c>
      <c r="BJ53" s="7" t="s">
        <v>400</v>
      </c>
      <c r="BK53" s="7">
        <f t="shared" si="7"/>
        <v>25</v>
      </c>
    </row>
    <row r="54" spans="1:64" ht="15.6" customHeight="1" x14ac:dyDescent="0.3">
      <c r="A54" s="7">
        <v>53</v>
      </c>
      <c r="B54" s="8"/>
      <c r="C54" s="8"/>
      <c r="D54" s="8">
        <v>3175</v>
      </c>
      <c r="E54" s="8">
        <v>3601</v>
      </c>
      <c r="F54" s="8" t="str">
        <f t="shared" si="9"/>
        <v>Active</v>
      </c>
      <c r="G54" s="9" t="s">
        <v>401</v>
      </c>
      <c r="H54" s="9" t="str">
        <f>VLOOKUP(E54,'[1]EPA Ethanol Capacity 2024'!$B$5:$C$235,2,FALSE)</f>
        <v>Fox River Valley Ethanol LLC</v>
      </c>
      <c r="I54" s="8" t="s">
        <v>402</v>
      </c>
      <c r="J54" t="s">
        <v>611</v>
      </c>
      <c r="K54" s="7">
        <v>54904</v>
      </c>
      <c r="L54" s="7" t="s">
        <v>612</v>
      </c>
      <c r="M54" s="7">
        <v>2</v>
      </c>
      <c r="N54" s="20">
        <v>43.980232999999998</v>
      </c>
      <c r="O54" s="11">
        <v>-88.651814999999999</v>
      </c>
      <c r="P54" s="12">
        <v>0</v>
      </c>
      <c r="Q54" s="12" t="s">
        <v>405</v>
      </c>
      <c r="R54" s="12">
        <f t="shared" si="0"/>
        <v>2</v>
      </c>
      <c r="S54" s="12"/>
      <c r="X54" s="7" t="s">
        <v>406</v>
      </c>
      <c r="AB54" s="13" t="s">
        <v>390</v>
      </c>
      <c r="AC54" s="13" t="s">
        <v>391</v>
      </c>
      <c r="AD54" s="13" t="s">
        <v>378</v>
      </c>
      <c r="AE54" s="8" t="str">
        <f t="shared" si="1"/>
        <v>High</v>
      </c>
      <c r="AF54" s="14">
        <v>150</v>
      </c>
      <c r="AG54" s="14">
        <v>150</v>
      </c>
      <c r="AH54" s="14" t="s">
        <v>613</v>
      </c>
      <c r="AI54" s="14"/>
      <c r="AJ54" s="15">
        <f>VLOOKUP(E54,'[1]Ethanol Plant Listing 2025'!$B$3:$E$220,4,FALSE)</f>
        <v>64</v>
      </c>
      <c r="AK54" s="14">
        <f>+AJ54*[1]Yield!$K$4</f>
        <v>60.8</v>
      </c>
      <c r="AL54" s="14">
        <f>AK54/VLOOKUP(Q54,[1]Yield!$E$5:$F$14,2,FALSE)</f>
        <v>21.111111111111111</v>
      </c>
      <c r="AM54" s="14"/>
      <c r="AN54" s="14"/>
      <c r="AO54" s="16">
        <f t="shared" si="2"/>
        <v>138000</v>
      </c>
      <c r="AP54" s="16" t="s">
        <v>410</v>
      </c>
      <c r="AQ54" s="17" t="str">
        <f t="shared" si="10"/>
        <v>None</v>
      </c>
      <c r="AR54" s="18">
        <f>VLOOKUP(AQ54,[1]Yield!$A$5:$B$10,2,FALSE)</f>
        <v>0.81499999999999995</v>
      </c>
      <c r="AS54" s="14">
        <f t="shared" si="4"/>
        <v>17.205555555555556</v>
      </c>
      <c r="AT54" s="8" t="s">
        <v>411</v>
      </c>
      <c r="AX54" s="8" t="str">
        <f>IFERROR(VLOOKUP(E54,[1]Sheet3!$C$2:$E$68,2,FALSE),"None")</f>
        <v>None</v>
      </c>
      <c r="AY54" s="8">
        <f>IFERROR(VLOOKUP(AX54,[1]Sheet3!$H$3:$I$5,2,FALSE),0)</f>
        <v>0</v>
      </c>
      <c r="AZ54" s="14">
        <f t="shared" si="5"/>
        <v>64</v>
      </c>
      <c r="BA54" s="14">
        <f t="shared" si="6"/>
        <v>105.21599999999999</v>
      </c>
      <c r="BB54" s="27"/>
      <c r="BC54" s="7"/>
      <c r="BD54" s="19" t="s">
        <v>614</v>
      </c>
      <c r="BE54" s="7" t="s">
        <v>601</v>
      </c>
      <c r="BF54" s="7" t="s">
        <v>414</v>
      </c>
      <c r="BG54" s="7" t="s">
        <v>398</v>
      </c>
      <c r="BI54" s="7" t="s">
        <v>399</v>
      </c>
      <c r="BJ54" s="7" t="s">
        <v>400</v>
      </c>
      <c r="BK54" s="7">
        <f t="shared" si="7"/>
        <v>20</v>
      </c>
    </row>
    <row r="55" spans="1:64" ht="15.6" customHeight="1" x14ac:dyDescent="0.3">
      <c r="A55" s="7">
        <v>54</v>
      </c>
      <c r="B55" s="8">
        <v>4758</v>
      </c>
      <c r="C55" s="8">
        <v>70058</v>
      </c>
      <c r="D55" s="8">
        <v>3177</v>
      </c>
      <c r="E55" s="8">
        <v>3602</v>
      </c>
      <c r="F55" s="8" t="str">
        <f t="shared" si="9"/>
        <v>Active</v>
      </c>
      <c r="G55" s="9" t="s">
        <v>615</v>
      </c>
      <c r="H55" s="9" t="str">
        <f>VLOOKUP(E55,'[1]EPA Ethanol Capacity 2024'!$B$5:$C$235,2,FALSE)</f>
        <v>Front Range Energy LLC</v>
      </c>
      <c r="I55" s="8" t="s">
        <v>616</v>
      </c>
      <c r="J55" t="s">
        <v>617</v>
      </c>
      <c r="K55" s="7">
        <v>80550</v>
      </c>
      <c r="L55" s="7" t="s">
        <v>618</v>
      </c>
      <c r="M55" s="7">
        <v>4</v>
      </c>
      <c r="N55" s="20">
        <v>40.457459999999998</v>
      </c>
      <c r="O55" s="11">
        <v>-104.856211</v>
      </c>
      <c r="P55" s="12">
        <v>2006</v>
      </c>
      <c r="Q55" s="12" t="s">
        <v>388</v>
      </c>
      <c r="R55" s="12">
        <f t="shared" si="0"/>
        <v>1</v>
      </c>
      <c r="S55" s="12"/>
      <c r="X55" s="7" t="s">
        <v>346</v>
      </c>
      <c r="AB55" s="13" t="s">
        <v>390</v>
      </c>
      <c r="AC55" s="13" t="s">
        <v>426</v>
      </c>
      <c r="AD55" s="13" t="s">
        <v>378</v>
      </c>
      <c r="AE55" s="8" t="str">
        <f t="shared" si="1"/>
        <v>High</v>
      </c>
      <c r="AF55" s="14"/>
      <c r="AG55" s="14"/>
      <c r="AH55" s="14"/>
      <c r="AI55" s="14"/>
      <c r="AJ55" s="15">
        <f>VLOOKUP(E55,'[1]Ethanol Plant Listing 2025'!$B$3:$E$220,4,FALSE)</f>
        <v>46</v>
      </c>
      <c r="AK55" s="14">
        <f>+AJ55*[1]Yield!$K$4</f>
        <v>43.699999999999996</v>
      </c>
      <c r="AL55" s="14">
        <f>AK55/VLOOKUP(Q55,[1]Yield!$E$5:$F$14,2,FALSE)</f>
        <v>14.813559322033896</v>
      </c>
      <c r="AM55" s="14"/>
      <c r="AN55" s="14"/>
      <c r="AO55" s="16">
        <f t="shared" si="2"/>
        <v>97000</v>
      </c>
      <c r="AP55" s="16" t="s">
        <v>393</v>
      </c>
      <c r="AQ55" s="17" t="str">
        <f t="shared" si="10"/>
        <v>ICM</v>
      </c>
      <c r="AR55" s="18">
        <f>VLOOKUP(AQ55,[1]Yield!$A$5:$B$10,2,FALSE)</f>
        <v>0.9</v>
      </c>
      <c r="AS55" s="14">
        <f t="shared" si="4"/>
        <v>13.332203389830507</v>
      </c>
      <c r="AT55" s="8" t="s">
        <v>394</v>
      </c>
      <c r="AX55" s="8" t="str">
        <f>IFERROR(VLOOKUP(E55,[1]Sheet3!$C$2:$E$68,2,FALSE),"None")</f>
        <v>None</v>
      </c>
      <c r="AY55" s="8">
        <f>IFERROR(VLOOKUP(AX55,[1]Sheet3!$H$3:$I$5,2,FALSE),0)</f>
        <v>0</v>
      </c>
      <c r="AZ55" s="14">
        <f t="shared" si="5"/>
        <v>46</v>
      </c>
      <c r="BA55" s="14">
        <f t="shared" si="6"/>
        <v>75.623999999999995</v>
      </c>
      <c r="BB55" s="27"/>
      <c r="BC55" s="7"/>
      <c r="BD55" s="19" t="s">
        <v>619</v>
      </c>
      <c r="BE55" s="7" t="s">
        <v>474</v>
      </c>
      <c r="BF55" s="7" t="s">
        <v>414</v>
      </c>
      <c r="BK55" s="7">
        <f t="shared" si="7"/>
        <v>20</v>
      </c>
    </row>
    <row r="56" spans="1:64" ht="15.6" customHeight="1" x14ac:dyDescent="0.3">
      <c r="A56" s="7">
        <v>55</v>
      </c>
      <c r="B56" s="8">
        <v>4764</v>
      </c>
      <c r="C56" s="8">
        <v>70221</v>
      </c>
      <c r="D56" s="8">
        <v>2900</v>
      </c>
      <c r="E56" s="8">
        <v>3604</v>
      </c>
      <c r="F56" s="8" t="str">
        <f t="shared" si="9"/>
        <v>Active</v>
      </c>
      <c r="G56" s="9" t="s">
        <v>80</v>
      </c>
      <c r="H56" s="9" t="str">
        <f>VLOOKUP(E56,'[1]EPA Ethanol Capacity 2024'!$B$5:$C$235,2,FALSE)</f>
        <v>Hub City Energy LLC</v>
      </c>
      <c r="I56" s="8" t="s">
        <v>582</v>
      </c>
      <c r="J56" t="s">
        <v>620</v>
      </c>
      <c r="K56" s="7">
        <v>57401</v>
      </c>
      <c r="L56" s="7" t="s">
        <v>621</v>
      </c>
      <c r="M56" s="7">
        <v>2</v>
      </c>
      <c r="N56" s="20">
        <v>45.459443999999998</v>
      </c>
      <c r="O56" s="11">
        <v>-98.542788999999999</v>
      </c>
      <c r="P56" s="12">
        <v>2007</v>
      </c>
      <c r="Q56" s="12" t="s">
        <v>388</v>
      </c>
      <c r="R56" s="12">
        <f t="shared" si="0"/>
        <v>4</v>
      </c>
      <c r="S56" s="12" t="s">
        <v>389</v>
      </c>
      <c r="AB56" s="13" t="s">
        <v>390</v>
      </c>
      <c r="AC56" s="13" t="s">
        <v>391</v>
      </c>
      <c r="AD56" s="13" t="s">
        <v>378</v>
      </c>
      <c r="AE56" s="8" t="str">
        <f t="shared" si="1"/>
        <v>High</v>
      </c>
      <c r="AF56" s="14"/>
      <c r="AG56" s="14"/>
      <c r="AH56" s="14"/>
      <c r="AI56" s="14"/>
      <c r="AJ56" s="15">
        <f>VLOOKUP(E56,'[1]Ethanol Plant Listing 2025'!$B$3:$E$220,4,FALSE)</f>
        <v>70</v>
      </c>
      <c r="AK56" s="14">
        <f>+AJ56*[1]Yield!$K$4</f>
        <v>66.5</v>
      </c>
      <c r="AL56" s="14">
        <f>AK56/VLOOKUP(Q56,[1]Yield!$E$5:$F$14,2,FALSE)</f>
        <v>22.542372881355931</v>
      </c>
      <c r="AM56" s="14"/>
      <c r="AN56" s="14"/>
      <c r="AO56" s="16">
        <f t="shared" si="2"/>
        <v>148000</v>
      </c>
      <c r="AP56" s="16" t="s">
        <v>393</v>
      </c>
      <c r="AQ56" s="17" t="str">
        <f t="shared" si="10"/>
        <v>ICM</v>
      </c>
      <c r="AR56" s="18">
        <f>VLOOKUP(AQ56,[1]Yield!$A$5:$B$10,2,FALSE)</f>
        <v>0.9</v>
      </c>
      <c r="AS56" s="14">
        <f t="shared" si="4"/>
        <v>20.288135593220339</v>
      </c>
      <c r="AT56" s="8" t="s">
        <v>437</v>
      </c>
      <c r="AU56" s="8"/>
      <c r="AV56" s="8"/>
      <c r="AW56" s="13"/>
      <c r="AX56" s="8" t="str">
        <f>IFERROR(VLOOKUP(E56,[1]Sheet3!$C$2:$E$68,2,FALSE),"None")</f>
        <v>None</v>
      </c>
      <c r="AY56" s="8">
        <f>IFERROR(VLOOKUP(AX56,[1]Sheet3!$H$3:$I$5,2,FALSE),0)</f>
        <v>0</v>
      </c>
      <c r="AZ56" s="14">
        <f t="shared" si="5"/>
        <v>70</v>
      </c>
      <c r="BA56" s="14">
        <f t="shared" si="6"/>
        <v>115.08</v>
      </c>
      <c r="BB56" s="27"/>
      <c r="BC56" s="7" t="s">
        <v>437</v>
      </c>
      <c r="BD56" s="19" t="s">
        <v>622</v>
      </c>
      <c r="BE56" s="7" t="s">
        <v>481</v>
      </c>
      <c r="BF56" s="7" t="s">
        <v>414</v>
      </c>
      <c r="BG56" s="7" t="s">
        <v>398</v>
      </c>
      <c r="BI56" s="7" t="s">
        <v>399</v>
      </c>
      <c r="BK56" s="7">
        <f t="shared" si="7"/>
        <v>25</v>
      </c>
    </row>
    <row r="57" spans="1:64" ht="15.6" customHeight="1" x14ac:dyDescent="0.3">
      <c r="A57" s="7">
        <v>56</v>
      </c>
      <c r="B57" s="8">
        <v>4764</v>
      </c>
      <c r="C57" s="8">
        <v>70722</v>
      </c>
      <c r="D57" s="8">
        <v>2901</v>
      </c>
      <c r="E57" s="8">
        <v>3605</v>
      </c>
      <c r="F57" s="8" t="str">
        <f t="shared" si="9"/>
        <v>Active</v>
      </c>
      <c r="G57" s="9" t="s">
        <v>80</v>
      </c>
      <c r="H57" s="9" t="str">
        <f>VLOOKUP(E57,'[1]EPA Ethanol Capacity 2024'!$B$5:$C$235,2,FALSE)</f>
        <v>Huron Energy LLC</v>
      </c>
      <c r="I57" s="8" t="s">
        <v>582</v>
      </c>
      <c r="J57" t="s">
        <v>82</v>
      </c>
      <c r="K57" s="7">
        <v>57350</v>
      </c>
      <c r="L57" s="7" t="s">
        <v>623</v>
      </c>
      <c r="M57" s="7">
        <v>2</v>
      </c>
      <c r="N57" s="20">
        <v>44.374507999999999</v>
      </c>
      <c r="O57" s="11">
        <v>-98.253287999999998</v>
      </c>
      <c r="P57" s="12">
        <v>1998</v>
      </c>
      <c r="Q57" s="12" t="s">
        <v>388</v>
      </c>
      <c r="R57" s="12">
        <f t="shared" si="0"/>
        <v>4</v>
      </c>
      <c r="S57" s="12" t="s">
        <v>389</v>
      </c>
      <c r="AB57" s="13" t="s">
        <v>390</v>
      </c>
      <c r="AC57" s="13" t="s">
        <v>391</v>
      </c>
      <c r="AD57" s="13" t="s">
        <v>378</v>
      </c>
      <c r="AE57" s="8" t="str">
        <f t="shared" si="1"/>
        <v>High</v>
      </c>
      <c r="AF57" s="14"/>
      <c r="AG57" s="14"/>
      <c r="AH57" s="14"/>
      <c r="AI57" s="14"/>
      <c r="AJ57" s="15">
        <f>VLOOKUP(E57,'[1]Ethanol Plant Listing 2025'!$B$3:$E$220,4,FALSE)</f>
        <v>60</v>
      </c>
      <c r="AK57" s="14">
        <f>+AJ57*[1]Yield!$K$4</f>
        <v>57</v>
      </c>
      <c r="AL57" s="14">
        <f>AK57/VLOOKUP(Q57,[1]Yield!$E$5:$F$14,2,FALSE)</f>
        <v>19.322033898305083</v>
      </c>
      <c r="AM57" s="14"/>
      <c r="AN57" s="14"/>
      <c r="AO57" s="16">
        <f t="shared" si="2"/>
        <v>127000</v>
      </c>
      <c r="AP57" s="16" t="s">
        <v>393</v>
      </c>
      <c r="AQ57" s="17" t="str">
        <f t="shared" si="10"/>
        <v>ICM</v>
      </c>
      <c r="AR57" s="18">
        <f>VLOOKUP(AQ57,[1]Yield!$A$5:$B$10,2,FALSE)</f>
        <v>0.9</v>
      </c>
      <c r="AS57" s="14">
        <f t="shared" si="4"/>
        <v>17.389830508474574</v>
      </c>
      <c r="AT57" s="8" t="s">
        <v>437</v>
      </c>
      <c r="AU57" s="8"/>
      <c r="AV57" s="8"/>
      <c r="AW57" s="13"/>
      <c r="AX57" s="8" t="str">
        <f>IFERROR(VLOOKUP(E57,[1]Sheet3!$C$2:$E$68,2,FALSE),"None")</f>
        <v>None</v>
      </c>
      <c r="AY57" s="8">
        <f>IFERROR(VLOOKUP(AX57,[1]Sheet3!$H$3:$I$5,2,FALSE),0)</f>
        <v>0</v>
      </c>
      <c r="AZ57" s="14">
        <f t="shared" si="5"/>
        <v>60</v>
      </c>
      <c r="BA57" s="14">
        <f t="shared" si="6"/>
        <v>98.64</v>
      </c>
      <c r="BB57" s="27"/>
      <c r="BC57" s="7" t="s">
        <v>437</v>
      </c>
      <c r="BD57" s="19" t="s">
        <v>622</v>
      </c>
      <c r="BE57" s="7" t="s">
        <v>624</v>
      </c>
      <c r="BF57" s="7" t="s">
        <v>414</v>
      </c>
      <c r="BK57" s="7">
        <f t="shared" si="7"/>
        <v>25</v>
      </c>
      <c r="BL57" s="9" t="s">
        <v>625</v>
      </c>
    </row>
    <row r="58" spans="1:64" ht="15.6" customHeight="1" x14ac:dyDescent="0.3">
      <c r="A58" s="7">
        <v>57</v>
      </c>
      <c r="B58" s="8">
        <v>4764</v>
      </c>
      <c r="C58" s="8">
        <v>70799</v>
      </c>
      <c r="D58" s="8">
        <v>3179</v>
      </c>
      <c r="E58" s="8">
        <v>3606</v>
      </c>
      <c r="F58" s="8" t="str">
        <f t="shared" si="9"/>
        <v>Active</v>
      </c>
      <c r="G58" s="9" t="s">
        <v>80</v>
      </c>
      <c r="H58" s="9" t="str">
        <f>VLOOKUP(E58,'[1]EPA Ethanol Capacity 2024'!$B$5:$C$235,2,FALSE)</f>
        <v>Glacial Lakes Energy</v>
      </c>
      <c r="I58" s="8" t="s">
        <v>582</v>
      </c>
      <c r="J58" t="s">
        <v>626</v>
      </c>
      <c r="K58" s="7">
        <v>57451</v>
      </c>
      <c r="L58" s="7" t="s">
        <v>627</v>
      </c>
      <c r="M58" s="7">
        <v>2</v>
      </c>
      <c r="N58" s="20">
        <v>45.442416999999999</v>
      </c>
      <c r="O58" s="11">
        <v>-98.787138999999996</v>
      </c>
      <c r="P58" s="12">
        <v>2008</v>
      </c>
      <c r="Q58" s="12" t="s">
        <v>388</v>
      </c>
      <c r="R58" s="12">
        <f t="shared" si="0"/>
        <v>4</v>
      </c>
      <c r="S58" s="12"/>
      <c r="X58" s="7" t="s">
        <v>406</v>
      </c>
      <c r="AB58" s="13" t="s">
        <v>390</v>
      </c>
      <c r="AC58" s="13" t="s">
        <v>391</v>
      </c>
      <c r="AD58" s="13" t="s">
        <v>378</v>
      </c>
      <c r="AE58" s="8" t="str">
        <f t="shared" si="1"/>
        <v>High</v>
      </c>
      <c r="AF58" s="14"/>
      <c r="AG58" s="14"/>
      <c r="AH58" s="14"/>
      <c r="AI58" s="14"/>
      <c r="AJ58" s="15">
        <f>VLOOKUP(E58,'[1]Ethanol Plant Listing 2025'!$B$3:$E$220,4,FALSE)</f>
        <v>162</v>
      </c>
      <c r="AK58" s="14">
        <f>+AJ58*[1]Yield!$K$4</f>
        <v>153.9</v>
      </c>
      <c r="AL58" s="14">
        <f>AK58/VLOOKUP(Q58,[1]Yield!$E$5:$F$14,2,FALSE)</f>
        <v>52.16949152542373</v>
      </c>
      <c r="AM58" s="14"/>
      <c r="AN58" s="14"/>
      <c r="AO58" s="16">
        <f t="shared" si="2"/>
        <v>342000</v>
      </c>
      <c r="AP58" s="16" t="s">
        <v>393</v>
      </c>
      <c r="AQ58" s="17" t="str">
        <f t="shared" si="10"/>
        <v>ICM</v>
      </c>
      <c r="AR58" s="18">
        <f>VLOOKUP(AQ58,[1]Yield!$A$5:$B$10,2,FALSE)</f>
        <v>0.9</v>
      </c>
      <c r="AS58" s="14">
        <f t="shared" si="4"/>
        <v>46.952542372881361</v>
      </c>
      <c r="AT58" s="8" t="s">
        <v>437</v>
      </c>
      <c r="AU58" s="8"/>
      <c r="AV58" s="8"/>
      <c r="AW58" s="13"/>
      <c r="AX58" s="8" t="str">
        <f>IFERROR(VLOOKUP(E58,[1]Sheet3!$C$2:$E$68,2,FALSE),"None")</f>
        <v>None</v>
      </c>
      <c r="AY58" s="8">
        <f>IFERROR(VLOOKUP(AX58,[1]Sheet3!$H$3:$I$5,2,FALSE),0)</f>
        <v>0</v>
      </c>
      <c r="AZ58" s="14">
        <f t="shared" si="5"/>
        <v>162</v>
      </c>
      <c r="BA58" s="14">
        <f t="shared" si="6"/>
        <v>266.32799999999997</v>
      </c>
      <c r="BB58" s="27"/>
      <c r="BC58" s="7" t="s">
        <v>437</v>
      </c>
      <c r="BD58" s="19" t="s">
        <v>622</v>
      </c>
      <c r="BE58" s="7" t="s">
        <v>481</v>
      </c>
      <c r="BF58" s="7" t="s">
        <v>398</v>
      </c>
      <c r="BK58" s="7">
        <f t="shared" si="7"/>
        <v>25</v>
      </c>
      <c r="BL58" s="9" t="s">
        <v>625</v>
      </c>
    </row>
    <row r="59" spans="1:64" ht="15.6" customHeight="1" x14ac:dyDescent="0.3">
      <c r="A59" s="7">
        <v>58</v>
      </c>
      <c r="B59" s="8">
        <v>4764</v>
      </c>
      <c r="C59" s="8">
        <v>70064</v>
      </c>
      <c r="D59" s="8">
        <v>3180</v>
      </c>
      <c r="E59" s="8">
        <v>3607</v>
      </c>
      <c r="F59" s="8" t="str">
        <f t="shared" si="9"/>
        <v>Active</v>
      </c>
      <c r="G59" s="9" t="s">
        <v>80</v>
      </c>
      <c r="H59" s="9" t="str">
        <f>VLOOKUP(E59,'[1]EPA Ethanol Capacity 2024'!$B$5:$C$235,2,FALSE)</f>
        <v>Glacial Lakes Energy</v>
      </c>
      <c r="I59" s="8" t="s">
        <v>582</v>
      </c>
      <c r="J59" t="s">
        <v>85</v>
      </c>
      <c r="K59" s="7">
        <v>57201</v>
      </c>
      <c r="L59" s="7" t="s">
        <v>628</v>
      </c>
      <c r="M59" s="7">
        <v>2</v>
      </c>
      <c r="N59" s="20">
        <v>44.876240000000003</v>
      </c>
      <c r="O59" s="11">
        <v>-97.113669999999999</v>
      </c>
      <c r="P59" s="12">
        <v>2002</v>
      </c>
      <c r="Q59" s="12" t="s">
        <v>388</v>
      </c>
      <c r="R59" s="12">
        <f t="shared" si="0"/>
        <v>4</v>
      </c>
      <c r="S59" s="12" t="s">
        <v>389</v>
      </c>
      <c r="AB59" s="13" t="s">
        <v>390</v>
      </c>
      <c r="AC59" s="13" t="s">
        <v>391</v>
      </c>
      <c r="AD59" s="13" t="s">
        <v>378</v>
      </c>
      <c r="AE59" s="8" t="str">
        <f t="shared" si="1"/>
        <v>High</v>
      </c>
      <c r="AF59" s="14"/>
      <c r="AG59" s="14"/>
      <c r="AH59" s="14"/>
      <c r="AI59" s="14"/>
      <c r="AJ59" s="15">
        <f>VLOOKUP(E59,'[1]Ethanol Plant Listing 2025'!$B$3:$E$220,4,FALSE)</f>
        <v>148</v>
      </c>
      <c r="AK59" s="14">
        <f>+AJ59*[1]Yield!$K$4</f>
        <v>140.6</v>
      </c>
      <c r="AL59" s="14">
        <f>AK59/VLOOKUP(Q59,[1]Yield!$E$5:$F$14,2,FALSE)</f>
        <v>47.66101694915254</v>
      </c>
      <c r="AM59" s="14"/>
      <c r="AN59" s="14"/>
      <c r="AO59" s="16">
        <f t="shared" si="2"/>
        <v>312000</v>
      </c>
      <c r="AP59" s="16" t="s">
        <v>393</v>
      </c>
      <c r="AQ59" s="17" t="str">
        <f t="shared" si="10"/>
        <v>ICM</v>
      </c>
      <c r="AR59" s="18">
        <f>VLOOKUP(AQ59,[1]Yield!$A$5:$B$10,2,FALSE)</f>
        <v>0.9</v>
      </c>
      <c r="AS59" s="14">
        <f t="shared" si="4"/>
        <v>42.89491525423729</v>
      </c>
      <c r="AT59" s="8" t="s">
        <v>437</v>
      </c>
      <c r="AU59" s="8"/>
      <c r="AV59" s="8"/>
      <c r="AW59" s="13"/>
      <c r="AX59" s="8" t="str">
        <f>IFERROR(VLOOKUP(E59,[1]Sheet3!$C$2:$E$68,2,FALSE),"None")</f>
        <v>None</v>
      </c>
      <c r="AY59" s="8">
        <f>IFERROR(VLOOKUP(AX59,[1]Sheet3!$H$3:$I$5,2,FALSE),0)</f>
        <v>0</v>
      </c>
      <c r="AZ59" s="14">
        <f t="shared" si="5"/>
        <v>148</v>
      </c>
      <c r="BA59" s="14">
        <f t="shared" si="6"/>
        <v>243.31199999999998</v>
      </c>
      <c r="BB59" s="27"/>
      <c r="BC59" s="7" t="s">
        <v>437</v>
      </c>
      <c r="BD59" s="19" t="s">
        <v>622</v>
      </c>
      <c r="BE59" s="7" t="s">
        <v>481</v>
      </c>
      <c r="BF59" s="7" t="s">
        <v>398</v>
      </c>
      <c r="BK59" s="7">
        <f t="shared" si="7"/>
        <v>25</v>
      </c>
    </row>
    <row r="60" spans="1:64" ht="15.6" customHeight="1" x14ac:dyDescent="0.3">
      <c r="A60" s="7">
        <v>59</v>
      </c>
      <c r="B60" s="8">
        <v>4829</v>
      </c>
      <c r="C60" s="8">
        <v>70691</v>
      </c>
      <c r="D60" s="8">
        <v>3181</v>
      </c>
      <c r="E60" s="8">
        <v>3608</v>
      </c>
      <c r="F60" s="8" t="str">
        <f t="shared" si="9"/>
        <v>Active</v>
      </c>
      <c r="G60" s="9" t="s">
        <v>629</v>
      </c>
      <c r="H60" s="9" t="str">
        <f>VLOOKUP(E60,'[1]EPA Ethanol Capacity 2024'!$B$5:$C$235,2,FALSE)</f>
        <v>Golden Grain Energy LLC</v>
      </c>
      <c r="I60" s="8" t="s">
        <v>387</v>
      </c>
      <c r="J60" t="s">
        <v>630</v>
      </c>
      <c r="K60" s="7">
        <v>50401</v>
      </c>
      <c r="L60" s="7" t="s">
        <v>631</v>
      </c>
      <c r="M60" s="7">
        <v>2</v>
      </c>
      <c r="N60" s="20">
        <v>43.11204</v>
      </c>
      <c r="O60" s="11">
        <v>-93.231039999999993</v>
      </c>
      <c r="P60" s="12">
        <v>2004</v>
      </c>
      <c r="Q60" s="12" t="s">
        <v>388</v>
      </c>
      <c r="R60" s="12">
        <f t="shared" si="0"/>
        <v>1</v>
      </c>
      <c r="S60" s="12"/>
      <c r="T60" s="7" t="s">
        <v>536</v>
      </c>
      <c r="X60" s="7" t="s">
        <v>406</v>
      </c>
      <c r="AB60" s="13" t="s">
        <v>390</v>
      </c>
      <c r="AC60" s="13" t="s">
        <v>391</v>
      </c>
      <c r="AD60" s="13" t="s">
        <v>378</v>
      </c>
      <c r="AE60" s="8" t="str">
        <f t="shared" si="1"/>
        <v>High</v>
      </c>
      <c r="AF60" s="14"/>
      <c r="AG60" s="14"/>
      <c r="AH60" s="14"/>
      <c r="AI60" s="14"/>
      <c r="AJ60" s="15">
        <f>VLOOKUP(E60,'[1]Ethanol Plant Listing 2025'!$B$3:$E$220,4,FALSE)</f>
        <v>140</v>
      </c>
      <c r="AK60" s="14">
        <f>+AJ60*[1]Yield!$K$4</f>
        <v>133</v>
      </c>
      <c r="AL60" s="14">
        <f>AK60/VLOOKUP(Q60,[1]Yield!$E$5:$F$14,2,FALSE)</f>
        <v>45.084745762711862</v>
      </c>
      <c r="AM60" s="14"/>
      <c r="AN60" s="14"/>
      <c r="AO60" s="16">
        <f t="shared" si="2"/>
        <v>295000</v>
      </c>
      <c r="AP60" s="16" t="s">
        <v>393</v>
      </c>
      <c r="AQ60" s="17" t="str">
        <f t="shared" si="10"/>
        <v>ICM</v>
      </c>
      <c r="AR60" s="18">
        <f>VLOOKUP(AQ60,[1]Yield!$A$5:$B$10,2,FALSE)</f>
        <v>0.9</v>
      </c>
      <c r="AS60" s="14">
        <f t="shared" si="4"/>
        <v>40.576271186440678</v>
      </c>
      <c r="AT60" s="8" t="s">
        <v>437</v>
      </c>
      <c r="AU60" s="8"/>
      <c r="AV60" s="8" t="s">
        <v>395</v>
      </c>
      <c r="AW60" s="13"/>
      <c r="AX60" s="8" t="str">
        <f>IFERROR(VLOOKUP(E60,[1]Sheet3!$C$2:$E$68,2,FALSE),"None")</f>
        <v>Summit Carbon Solutions</v>
      </c>
      <c r="AY60" s="8">
        <f>IFERROR(VLOOKUP(AX60,[1]Sheet3!$H$3:$I$5,2,FALSE),0)</f>
        <v>31</v>
      </c>
      <c r="AZ60" s="14">
        <f t="shared" si="5"/>
        <v>140</v>
      </c>
      <c r="BA60" s="14">
        <f t="shared" si="6"/>
        <v>230.16</v>
      </c>
      <c r="BB60" s="12">
        <f>SUMIFS('[1]Corn 2023'!V:V,'[1]Corn 2023'!B:B,"=2023",'[1]Corn 2023'!L:L,"="&amp;'Corn Processors'!L60)</f>
        <v>0</v>
      </c>
      <c r="BC60" s="7"/>
      <c r="BD60" s="19" t="s">
        <v>632</v>
      </c>
      <c r="BE60" s="7" t="s">
        <v>428</v>
      </c>
      <c r="BF60" s="7" t="s">
        <v>398</v>
      </c>
      <c r="BI60" s="7" t="s">
        <v>399</v>
      </c>
      <c r="BJ60" s="7" t="s">
        <v>400</v>
      </c>
      <c r="BK60" s="7">
        <f t="shared" si="7"/>
        <v>25</v>
      </c>
    </row>
    <row r="61" spans="1:64" ht="15.6" customHeight="1" x14ac:dyDescent="0.3">
      <c r="A61" s="7">
        <v>60</v>
      </c>
      <c r="B61" s="8"/>
      <c r="C61" s="8"/>
      <c r="D61" s="8">
        <v>3182</v>
      </c>
      <c r="E61" s="8">
        <v>3609</v>
      </c>
      <c r="F61" s="8" t="str">
        <f t="shared" si="9"/>
        <v>Active</v>
      </c>
      <c r="G61" s="9" t="s">
        <v>633</v>
      </c>
      <c r="H61" s="9" t="str">
        <f>VLOOKUP(E61,'[1]EPA Ethanol Capacity 2024'!$B$5:$C$235,2,FALSE)</f>
        <v>Grain Processing Corp</v>
      </c>
      <c r="I61" s="8" t="s">
        <v>387</v>
      </c>
      <c r="J61" t="s">
        <v>634</v>
      </c>
      <c r="K61" s="7">
        <v>52761</v>
      </c>
      <c r="L61" s="7" t="s">
        <v>634</v>
      </c>
      <c r="M61" s="7">
        <v>2</v>
      </c>
      <c r="N61" s="20">
        <v>41.400400842234298</v>
      </c>
      <c r="O61" s="11">
        <v>-91.062989179570295</v>
      </c>
      <c r="P61" s="12">
        <v>0</v>
      </c>
      <c r="Q61" s="12" t="s">
        <v>452</v>
      </c>
      <c r="R61" s="12">
        <f t="shared" si="0"/>
        <v>2</v>
      </c>
      <c r="S61" s="12"/>
      <c r="X61" s="7" t="s">
        <v>406</v>
      </c>
      <c r="AB61" s="13" t="s">
        <v>390</v>
      </c>
      <c r="AC61" s="13" t="s">
        <v>391</v>
      </c>
      <c r="AD61" s="13" t="s">
        <v>378</v>
      </c>
      <c r="AE61" s="8" t="str">
        <f t="shared" si="1"/>
        <v>High</v>
      </c>
      <c r="AF61" s="14">
        <v>157.5</v>
      </c>
      <c r="AG61" s="14">
        <v>150</v>
      </c>
      <c r="AH61" s="14" t="s">
        <v>635</v>
      </c>
      <c r="AI61" s="14"/>
      <c r="AJ61" s="15">
        <f>VLOOKUP(E61,'[1]Ethanol Plant Listing 2025'!$B$3:$E$220,4,FALSE)</f>
        <v>82.5</v>
      </c>
      <c r="AK61" s="14">
        <f>+AJ61*[1]Yield!$K$4</f>
        <v>78.375</v>
      </c>
      <c r="AL61" s="14">
        <f>AK61/VLOOKUP(Q61,[1]Yield!$E$5:$F$14,2,FALSE)</f>
        <v>28.5</v>
      </c>
      <c r="AM61" s="14"/>
      <c r="AN61" s="14"/>
      <c r="AO61" s="16">
        <f t="shared" si="2"/>
        <v>187000</v>
      </c>
      <c r="AP61" s="16"/>
      <c r="AQ61" s="17" t="str">
        <f t="shared" si="10"/>
        <v>None</v>
      </c>
      <c r="AR61" s="18">
        <f>VLOOKUP(AQ61,[1]Yield!$A$5:$B$10,2,FALSE)</f>
        <v>0.81499999999999995</v>
      </c>
      <c r="AS61" s="14">
        <f t="shared" si="4"/>
        <v>23.227499999999999</v>
      </c>
      <c r="AT61" s="8" t="s">
        <v>394</v>
      </c>
      <c r="AU61" s="8"/>
      <c r="AV61" s="8"/>
      <c r="AW61" s="13"/>
      <c r="AX61" s="8" t="str">
        <f>IFERROR(VLOOKUP(E61,[1]Sheet3!$C$2:$E$68,2,FALSE),"None")</f>
        <v>None</v>
      </c>
      <c r="AY61" s="8">
        <f>IFERROR(VLOOKUP(AX61,[1]Sheet3!$H$3:$I$5,2,FALSE),0)</f>
        <v>0</v>
      </c>
      <c r="AZ61" s="14">
        <f t="shared" si="5"/>
        <v>82.5</v>
      </c>
      <c r="BA61" s="14">
        <f t="shared" si="6"/>
        <v>135.63</v>
      </c>
      <c r="BB61" s="12">
        <f>SUMIFS('[1]Corn 2023'!V:V,'[1]Corn 2023'!B:B,"=2023",'[1]Corn 2023'!L:L,"="&amp;'Corn Processors'!L61)</f>
        <v>88700</v>
      </c>
      <c r="BC61" s="7"/>
      <c r="BD61" s="19" t="s">
        <v>636</v>
      </c>
      <c r="BE61" s="7" t="s">
        <v>432</v>
      </c>
      <c r="BF61" s="7" t="s">
        <v>398</v>
      </c>
      <c r="BJ61" s="7" t="s">
        <v>400</v>
      </c>
      <c r="BK61" s="7">
        <f t="shared" si="7"/>
        <v>20</v>
      </c>
    </row>
    <row r="62" spans="1:64" ht="15.6" customHeight="1" x14ac:dyDescent="0.3">
      <c r="A62" s="7">
        <v>61</v>
      </c>
      <c r="B62" s="8"/>
      <c r="C62" s="8"/>
      <c r="D62" s="8">
        <v>3183</v>
      </c>
      <c r="E62" s="8">
        <v>3610</v>
      </c>
      <c r="F62" s="8" t="str">
        <f t="shared" si="9"/>
        <v>Active</v>
      </c>
      <c r="G62" s="9" t="s">
        <v>633</v>
      </c>
      <c r="H62" s="9" t="str">
        <f>VLOOKUP(E62,'[1]EPA Ethanol Capacity 2024'!$B$5:$C$235,2,FALSE)</f>
        <v>Grain Processing Corp</v>
      </c>
      <c r="I62" s="8" t="s">
        <v>533</v>
      </c>
      <c r="J62" t="s">
        <v>540</v>
      </c>
      <c r="K62" s="7">
        <v>47501</v>
      </c>
      <c r="L62" s="7" t="s">
        <v>637</v>
      </c>
      <c r="M62" s="7">
        <v>2</v>
      </c>
      <c r="N62" s="20">
        <v>38.635926372887397</v>
      </c>
      <c r="O62" s="11">
        <v>-87.224465500032494</v>
      </c>
      <c r="P62" s="12">
        <v>0</v>
      </c>
      <c r="Q62" s="12" t="s">
        <v>452</v>
      </c>
      <c r="R62" s="12">
        <f t="shared" si="0"/>
        <v>2</v>
      </c>
      <c r="S62" s="12"/>
      <c r="AB62" s="13" t="s">
        <v>390</v>
      </c>
      <c r="AC62" s="13" t="s">
        <v>391</v>
      </c>
      <c r="AD62" s="13" t="s">
        <v>378</v>
      </c>
      <c r="AE62" s="8" t="str">
        <f t="shared" si="1"/>
        <v>High</v>
      </c>
      <c r="AF62" s="14"/>
      <c r="AG62" s="14"/>
      <c r="AH62" s="14"/>
      <c r="AI62" s="14"/>
      <c r="AJ62" s="15">
        <f>VLOOKUP(E62,'[1]Ethanol Plant Listing 2025'!$B$3:$E$220,4,FALSE)</f>
        <v>36.72</v>
      </c>
      <c r="AK62" s="14">
        <f>+AJ62*[1]Yield!$K$4</f>
        <v>34.884</v>
      </c>
      <c r="AL62" s="14">
        <f>AK62/VLOOKUP(Q62,[1]Yield!$E$5:$F$14,2,FALSE)</f>
        <v>12.68509090909091</v>
      </c>
      <c r="AM62" s="14"/>
      <c r="AN62" s="14"/>
      <c r="AO62" s="16">
        <f t="shared" si="2"/>
        <v>83000</v>
      </c>
      <c r="AP62" s="16"/>
      <c r="AQ62" s="17" t="str">
        <f t="shared" si="10"/>
        <v>None</v>
      </c>
      <c r="AR62" s="18">
        <f>VLOOKUP(AQ62,[1]Yield!$A$5:$B$10,2,FALSE)</f>
        <v>0.81499999999999995</v>
      </c>
      <c r="AS62" s="14">
        <f t="shared" si="4"/>
        <v>10.338349090909091</v>
      </c>
      <c r="AT62" s="8" t="s">
        <v>394</v>
      </c>
      <c r="AX62" s="8" t="str">
        <f>IFERROR(VLOOKUP(E62,[1]Sheet3!$C$2:$E$68,2,FALSE),"None")</f>
        <v>None</v>
      </c>
      <c r="AY62" s="8">
        <f>IFERROR(VLOOKUP(AX62,[1]Sheet3!$H$3:$I$5,2,FALSE),0)</f>
        <v>0</v>
      </c>
      <c r="AZ62" s="14">
        <f t="shared" si="5"/>
        <v>36.72</v>
      </c>
      <c r="BA62" s="14">
        <f t="shared" si="6"/>
        <v>60.367679999999993</v>
      </c>
      <c r="BB62" s="27"/>
      <c r="BC62" s="7"/>
      <c r="BD62" s="19" t="s">
        <v>636</v>
      </c>
      <c r="BE62" s="7" t="s">
        <v>531</v>
      </c>
      <c r="BF62" s="7" t="s">
        <v>398</v>
      </c>
      <c r="BJ62" s="7" t="s">
        <v>400</v>
      </c>
      <c r="BK62" s="7">
        <f t="shared" si="7"/>
        <v>20</v>
      </c>
    </row>
    <row r="63" spans="1:64" ht="15.6" customHeight="1" x14ac:dyDescent="0.3">
      <c r="A63" s="7">
        <v>62</v>
      </c>
      <c r="B63" s="8"/>
      <c r="C63" s="8">
        <v>70071</v>
      </c>
      <c r="D63" s="8">
        <v>3184</v>
      </c>
      <c r="E63" s="8">
        <v>3611</v>
      </c>
      <c r="F63" s="8" t="str">
        <f t="shared" si="9"/>
        <v>Active</v>
      </c>
      <c r="G63" s="9" t="s">
        <v>88</v>
      </c>
      <c r="H63" s="9" t="str">
        <f>VLOOKUP(E63,'[1]EPA Ethanol Capacity 2024'!$B$5:$C$235,2,FALSE)</f>
        <v>Granite Falls Energy LLC</v>
      </c>
      <c r="I63" s="8" t="s">
        <v>429</v>
      </c>
      <c r="J63" t="s">
        <v>89</v>
      </c>
      <c r="K63" s="7">
        <v>56241</v>
      </c>
      <c r="L63" s="7" t="s">
        <v>638</v>
      </c>
      <c r="M63" s="7">
        <v>2</v>
      </c>
      <c r="N63" s="20">
        <v>44.799900000000001</v>
      </c>
      <c r="O63" s="11">
        <v>-95.486900000000006</v>
      </c>
      <c r="P63" s="12">
        <v>2005</v>
      </c>
      <c r="Q63" s="12" t="s">
        <v>388</v>
      </c>
      <c r="R63" s="12">
        <f t="shared" si="0"/>
        <v>2</v>
      </c>
      <c r="S63" s="12" t="s">
        <v>389</v>
      </c>
      <c r="AB63" s="13" t="s">
        <v>390</v>
      </c>
      <c r="AC63" s="13" t="s">
        <v>391</v>
      </c>
      <c r="AD63" s="13" t="s">
        <v>378</v>
      </c>
      <c r="AE63" s="8" t="str">
        <f t="shared" si="1"/>
        <v>High</v>
      </c>
      <c r="AF63" s="14"/>
      <c r="AG63" s="14"/>
      <c r="AH63" s="14"/>
      <c r="AI63" s="14"/>
      <c r="AJ63" s="15">
        <f>VLOOKUP(E63,'[1]Ethanol Plant Listing 2025'!$B$3:$E$220,4,FALSE)</f>
        <v>63</v>
      </c>
      <c r="AK63" s="14">
        <f>+AJ63*[1]Yield!$K$4</f>
        <v>59.849999999999994</v>
      </c>
      <c r="AL63" s="14">
        <f>AK63/VLOOKUP(Q63,[1]Yield!$E$5:$F$14,2,FALSE)</f>
        <v>20.288135593220336</v>
      </c>
      <c r="AM63" s="14"/>
      <c r="AN63" s="14"/>
      <c r="AO63" s="16">
        <f t="shared" si="2"/>
        <v>133000</v>
      </c>
      <c r="AP63" s="16" t="s">
        <v>393</v>
      </c>
      <c r="AQ63" s="17" t="str">
        <f t="shared" si="10"/>
        <v>ICM</v>
      </c>
      <c r="AR63" s="18">
        <f>VLOOKUP(AQ63,[1]Yield!$A$5:$B$10,2,FALSE)</f>
        <v>0.9</v>
      </c>
      <c r="AS63" s="14">
        <f t="shared" si="4"/>
        <v>18.259322033898304</v>
      </c>
      <c r="AT63" s="8" t="s">
        <v>437</v>
      </c>
      <c r="AU63" s="8"/>
      <c r="AV63" s="8"/>
      <c r="AW63" s="13"/>
      <c r="AX63" s="8" t="str">
        <f>IFERROR(VLOOKUP(E63,[1]Sheet3!$C$2:$E$68,2,FALSE),"None")</f>
        <v>Summit Carbon Solutions</v>
      </c>
      <c r="AY63" s="8">
        <f>IFERROR(VLOOKUP(AX63,[1]Sheet3!$H$3:$I$5,2,FALSE),0)</f>
        <v>31</v>
      </c>
      <c r="AZ63" s="14">
        <f t="shared" si="5"/>
        <v>63</v>
      </c>
      <c r="BA63" s="14">
        <f t="shared" si="6"/>
        <v>103.57199999999999</v>
      </c>
      <c r="BB63" s="27"/>
      <c r="BC63" s="7"/>
      <c r="BD63" s="19" t="s">
        <v>639</v>
      </c>
      <c r="BE63" s="7" t="s">
        <v>640</v>
      </c>
      <c r="BF63" s="7" t="s">
        <v>398</v>
      </c>
      <c r="BJ63" s="7" t="s">
        <v>400</v>
      </c>
      <c r="BK63" s="7">
        <f t="shared" si="7"/>
        <v>25</v>
      </c>
    </row>
    <row r="64" spans="1:64" ht="15.6" customHeight="1" x14ac:dyDescent="0.3">
      <c r="A64" s="7">
        <v>63</v>
      </c>
      <c r="B64" s="8"/>
      <c r="C64" s="8">
        <v>73561</v>
      </c>
      <c r="D64" s="8">
        <v>3186</v>
      </c>
      <c r="E64" s="8">
        <v>3613</v>
      </c>
      <c r="F64" s="8" t="str">
        <f t="shared" si="9"/>
        <v>Active</v>
      </c>
      <c r="G64" s="9" t="s">
        <v>92</v>
      </c>
      <c r="H64" s="9" t="str">
        <f>VLOOKUP(E64,'[1]EPA Ethanol Capacity 2024'!$B$5:$C$235,2,FALSE)</f>
        <v>Sandhills Renewable Energy LLC</v>
      </c>
      <c r="I64" s="8" t="s">
        <v>470</v>
      </c>
      <c r="J64" t="s">
        <v>93</v>
      </c>
      <c r="K64" s="7">
        <v>68713</v>
      </c>
      <c r="L64" s="7" t="s">
        <v>641</v>
      </c>
      <c r="M64" s="7">
        <v>2</v>
      </c>
      <c r="N64" s="20">
        <v>42.518990000000002</v>
      </c>
      <c r="O64" s="11">
        <v>-98.959599999999995</v>
      </c>
      <c r="P64" s="12">
        <v>2008</v>
      </c>
      <c r="Q64" s="12" t="s">
        <v>405</v>
      </c>
      <c r="R64" s="12">
        <f t="shared" si="0"/>
        <v>2</v>
      </c>
      <c r="S64" s="12" t="s">
        <v>389</v>
      </c>
      <c r="AA64" s="7" t="s">
        <v>349</v>
      </c>
      <c r="AB64" s="13" t="s">
        <v>390</v>
      </c>
      <c r="AC64" s="13" t="s">
        <v>391</v>
      </c>
      <c r="AD64" s="13" t="s">
        <v>378</v>
      </c>
      <c r="AE64" s="8" t="str">
        <f t="shared" si="1"/>
        <v>High</v>
      </c>
      <c r="AF64" s="14"/>
      <c r="AG64" s="14"/>
      <c r="AH64" s="14"/>
      <c r="AI64" s="14"/>
      <c r="AJ64" s="15">
        <f>VLOOKUP(E64,'[1]Ethanol Plant Listing 2025'!$B$3:$E$220,4,FALSE)</f>
        <v>52.5</v>
      </c>
      <c r="AK64" s="14">
        <f>+AJ64*[1]Yield!$K$4</f>
        <v>49.875</v>
      </c>
      <c r="AL64" s="14">
        <f>AK64/VLOOKUP(Q64,[1]Yield!$E$5:$F$14,2,FALSE)</f>
        <v>17.317708333333336</v>
      </c>
      <c r="AM64" s="14">
        <v>5109</v>
      </c>
      <c r="AN64" s="28">
        <f t="shared" ref="AN64:AN74" si="11">+AM64/(AL64*2.85714285714286)</f>
        <v>103.25557894736831</v>
      </c>
      <c r="AO64" s="16">
        <f t="shared" si="2"/>
        <v>113000</v>
      </c>
      <c r="AP64" s="16" t="s">
        <v>410</v>
      </c>
      <c r="AQ64" s="17" t="str">
        <f t="shared" si="10"/>
        <v>None</v>
      </c>
      <c r="AR64" s="18">
        <f>VLOOKUP(AQ64,[1]Yield!$A$5:$B$10,2,FALSE)</f>
        <v>0.81499999999999995</v>
      </c>
      <c r="AS64" s="14">
        <f t="shared" si="4"/>
        <v>14.113932291666668</v>
      </c>
      <c r="AT64" s="8" t="s">
        <v>437</v>
      </c>
      <c r="AU64" s="8"/>
      <c r="AV64" s="8"/>
      <c r="AW64" s="13"/>
      <c r="AX64" s="8" t="str">
        <f>IFERROR(VLOOKUP(E64,[1]Sheet3!$C$2:$E$68,2,FALSE),"None")</f>
        <v>None</v>
      </c>
      <c r="AY64" s="8">
        <f>IFERROR(VLOOKUP(AX64,[1]Sheet3!$H$3:$I$5,2,FALSE),0)</f>
        <v>0</v>
      </c>
      <c r="AZ64" s="14">
        <f t="shared" si="5"/>
        <v>52.5</v>
      </c>
      <c r="BA64" s="14">
        <f t="shared" si="6"/>
        <v>86.31</v>
      </c>
      <c r="BB64" s="27"/>
      <c r="BC64" s="7" t="s">
        <v>437</v>
      </c>
      <c r="BD64" s="19" t="s">
        <v>642</v>
      </c>
      <c r="BE64" s="7" t="s">
        <v>481</v>
      </c>
      <c r="BF64" s="7" t="s">
        <v>414</v>
      </c>
      <c r="BJ64" s="7" t="s">
        <v>400</v>
      </c>
      <c r="BK64" s="7">
        <f t="shared" si="7"/>
        <v>20</v>
      </c>
    </row>
    <row r="65" spans="1:64" ht="15.6" customHeight="1" x14ac:dyDescent="0.3">
      <c r="A65" s="7">
        <v>64</v>
      </c>
      <c r="B65" s="8">
        <v>3368</v>
      </c>
      <c r="C65" s="8">
        <v>70141</v>
      </c>
      <c r="D65" s="8">
        <v>3187</v>
      </c>
      <c r="E65" s="8">
        <v>3614</v>
      </c>
      <c r="F65" s="8" t="str">
        <f t="shared" si="9"/>
        <v>Active</v>
      </c>
      <c r="G65" s="9" t="s">
        <v>96</v>
      </c>
      <c r="H65" s="9" t="str">
        <f>VLOOKUP(E65,'[1]EPA Ethanol Capacity 2024'!$B$5:$C$235,2,FALSE)</f>
        <v>Green Plains Central City LLC</v>
      </c>
      <c r="I65" s="8" t="s">
        <v>470</v>
      </c>
      <c r="J65" s="22" t="s">
        <v>97</v>
      </c>
      <c r="K65" s="7">
        <v>68826</v>
      </c>
      <c r="L65" s="7" t="s">
        <v>643</v>
      </c>
      <c r="M65" s="7">
        <v>2</v>
      </c>
      <c r="N65" s="20">
        <v>41.1111</v>
      </c>
      <c r="O65" s="11">
        <v>-97.972700000000003</v>
      </c>
      <c r="P65" s="12">
        <v>2004</v>
      </c>
      <c r="Q65" s="12" t="s">
        <v>388</v>
      </c>
      <c r="R65" s="12">
        <f t="shared" si="0"/>
        <v>11</v>
      </c>
      <c r="S65" s="12" t="s">
        <v>389</v>
      </c>
      <c r="T65" s="8" t="s">
        <v>486</v>
      </c>
      <c r="Z65" s="7" t="str">
        <f>+T65</f>
        <v>FQPT HI PRO</v>
      </c>
      <c r="AB65" s="13" t="s">
        <v>390</v>
      </c>
      <c r="AC65" s="13" t="s">
        <v>391</v>
      </c>
      <c r="AD65" s="13" t="s">
        <v>378</v>
      </c>
      <c r="AE65" s="8" t="str">
        <f t="shared" si="1"/>
        <v>High</v>
      </c>
      <c r="AF65" s="14">
        <v>52.5</v>
      </c>
      <c r="AG65" s="14">
        <v>52.5</v>
      </c>
      <c r="AH65" s="14" t="s">
        <v>515</v>
      </c>
      <c r="AI65" s="14">
        <v>86416</v>
      </c>
      <c r="AJ65" s="15">
        <f>VLOOKUP(E65,'[1]Ethanol Plant Listing 2025'!$B$3:$E$220,4,FALSE)</f>
        <v>135</v>
      </c>
      <c r="AK65" s="14">
        <f>+AJ65*[1]Yield!$K$4</f>
        <v>128.25</v>
      </c>
      <c r="AL65" s="14">
        <f>AK65/VLOOKUP(Q65,[1]Yield!$E$5:$F$14,2,FALSE)</f>
        <v>43.474576271186436</v>
      </c>
      <c r="AM65" s="14">
        <v>1400</v>
      </c>
      <c r="AN65" s="28">
        <f t="shared" si="11"/>
        <v>11.270955165692</v>
      </c>
      <c r="AO65" s="16">
        <f t="shared" si="2"/>
        <v>285000</v>
      </c>
      <c r="AP65" s="16" t="s">
        <v>393</v>
      </c>
      <c r="AQ65" s="17" t="str">
        <f t="shared" si="10"/>
        <v>FQPT HI PRO</v>
      </c>
      <c r="AR65" s="18">
        <f>VLOOKUP(AQ65,[1]Yield!$A$5:$B$10,2,FALSE)</f>
        <v>1.05</v>
      </c>
      <c r="AS65" s="14">
        <f t="shared" si="4"/>
        <v>45.648305084745758</v>
      </c>
      <c r="AT65" s="8" t="s">
        <v>437</v>
      </c>
      <c r="AU65" s="8"/>
      <c r="AV65" s="8" t="str">
        <f>+AX65</f>
        <v>Tall Grass</v>
      </c>
      <c r="AW65" s="13"/>
      <c r="AX65" s="8" t="str">
        <f>IFERROR(VLOOKUP(E65,[1]Sheet3!$C$2:$E$68,2,FALSE),"None")</f>
        <v>Tall Grass</v>
      </c>
      <c r="AY65" s="8">
        <f>IFERROR(VLOOKUP(AX65,[1]Sheet3!$H$3:$I$5,2,FALSE),0)</f>
        <v>30</v>
      </c>
      <c r="AZ65" s="14">
        <f t="shared" si="5"/>
        <v>135</v>
      </c>
      <c r="BA65" s="14">
        <f t="shared" si="6"/>
        <v>221.94</v>
      </c>
      <c r="BB65" s="27"/>
      <c r="BC65" s="7" t="s">
        <v>437</v>
      </c>
      <c r="BD65" s="19" t="s">
        <v>642</v>
      </c>
      <c r="BE65" s="7" t="s">
        <v>428</v>
      </c>
      <c r="BF65" s="7" t="s">
        <v>398</v>
      </c>
      <c r="BK65" s="7">
        <f t="shared" si="7"/>
        <v>25</v>
      </c>
    </row>
    <row r="66" spans="1:64" ht="15.6" customHeight="1" x14ac:dyDescent="0.3">
      <c r="A66" s="7">
        <v>65</v>
      </c>
      <c r="B66" s="8"/>
      <c r="C66" s="8"/>
      <c r="D66" s="8">
        <v>3188</v>
      </c>
      <c r="E66" s="8">
        <v>3615</v>
      </c>
      <c r="F66" s="8" t="str">
        <f t="shared" si="9"/>
        <v>Active</v>
      </c>
      <c r="G66" s="9" t="s">
        <v>96</v>
      </c>
      <c r="H66" s="9" t="str">
        <f>VLOOKUP(E66,'[1]EPA Ethanol Capacity 2024'!$B$5:$C$235,2,FALSE)</f>
        <v>Green Plains Fairmont LLC</v>
      </c>
      <c r="I66" s="8" t="s">
        <v>429</v>
      </c>
      <c r="J66" t="s">
        <v>201</v>
      </c>
      <c r="K66" s="7">
        <v>56031</v>
      </c>
      <c r="L66" s="7" t="s">
        <v>644</v>
      </c>
      <c r="M66" s="7">
        <v>2</v>
      </c>
      <c r="N66" s="20">
        <v>43.664020999999998</v>
      </c>
      <c r="O66" s="11">
        <v>-94.492559</v>
      </c>
      <c r="P66" s="12">
        <v>2008</v>
      </c>
      <c r="Q66" s="12" t="s">
        <v>405</v>
      </c>
      <c r="R66" s="12">
        <f t="shared" ref="R66:R129" si="12">COUNTIF(G:G,"="&amp;G66)</f>
        <v>11</v>
      </c>
      <c r="S66" s="12"/>
      <c r="AA66" s="7" t="s">
        <v>349</v>
      </c>
      <c r="AB66" s="13" t="s">
        <v>390</v>
      </c>
      <c r="AC66" s="13" t="s">
        <v>391</v>
      </c>
      <c r="AD66" s="13" t="s">
        <v>378</v>
      </c>
      <c r="AE66" s="8" t="str">
        <f t="shared" ref="AE66:AE129" si="13">IF(BK66=1,"Low","High")</f>
        <v>High</v>
      </c>
      <c r="AF66" s="14">
        <v>135</v>
      </c>
      <c r="AG66" s="14">
        <v>100</v>
      </c>
      <c r="AH66" s="14" t="s">
        <v>515</v>
      </c>
      <c r="AI66" s="14">
        <v>82836</v>
      </c>
      <c r="AJ66" s="15">
        <f>VLOOKUP(E66,'[1]Ethanol Plant Listing 2025'!$B$3:$E$220,4,FALSE)</f>
        <v>122.9</v>
      </c>
      <c r="AK66" s="14">
        <f>+AJ66*[1]Yield!$K$4</f>
        <v>116.755</v>
      </c>
      <c r="AL66" s="14">
        <f>AK66/VLOOKUP(Q66,[1]Yield!$E$5:$F$14,2,FALSE)</f>
        <v>40.539930555555557</v>
      </c>
      <c r="AM66" s="14">
        <v>1611</v>
      </c>
      <c r="AN66" s="28">
        <f t="shared" si="11"/>
        <v>13.908509271551527</v>
      </c>
      <c r="AO66" s="16">
        <f t="shared" ref="AO66:AO129" si="14">ROUND((+AL66*13.1*1000000)/2000,-3)</f>
        <v>266000</v>
      </c>
      <c r="AP66" s="16" t="s">
        <v>410</v>
      </c>
      <c r="AQ66" s="17" t="str">
        <f t="shared" si="10"/>
        <v>None</v>
      </c>
      <c r="AR66" s="18">
        <f>VLOOKUP(AQ66,[1]Yield!$A$5:$B$10,2,FALSE)</f>
        <v>0.81499999999999995</v>
      </c>
      <c r="AS66" s="14">
        <f t="shared" ref="AS66:AS129" si="15">(AL66)*AR66</f>
        <v>33.040043402777776</v>
      </c>
      <c r="AT66" s="8" t="s">
        <v>437</v>
      </c>
      <c r="AU66" s="8"/>
      <c r="AV66" s="8"/>
      <c r="AW66" s="13"/>
      <c r="AX66" s="8" t="str">
        <f>IFERROR(VLOOKUP(E66,[1]Sheet3!$C$2:$E$68,2,FALSE),"None")</f>
        <v>Summit Carbon Solutions</v>
      </c>
      <c r="AY66" s="8">
        <f>IFERROR(VLOOKUP(AX66,[1]Sheet3!$H$3:$I$5,2,FALSE),0)</f>
        <v>31</v>
      </c>
      <c r="AZ66" s="14">
        <f t="shared" ref="AZ66:AZ129" si="16">AJ66</f>
        <v>122.9</v>
      </c>
      <c r="BA66" s="14">
        <f t="shared" ref="BA66:BA129" si="17">+AJ66*6.85*0.48/2</f>
        <v>202.04759999999999</v>
      </c>
      <c r="BB66" s="27"/>
      <c r="BC66" s="7" t="s">
        <v>437</v>
      </c>
      <c r="BD66" s="19" t="s">
        <v>642</v>
      </c>
      <c r="BE66" s="7" t="s">
        <v>428</v>
      </c>
      <c r="BF66" s="7" t="s">
        <v>398</v>
      </c>
      <c r="BK66" s="7">
        <f t="shared" ref="BK66:BK129" si="18">IF(M66=2,10,5)+IF(Q66="ICM",10,5)+IF(X66="Y",10,5)</f>
        <v>20</v>
      </c>
    </row>
    <row r="67" spans="1:64" ht="15.6" customHeight="1" x14ac:dyDescent="0.3">
      <c r="A67" s="7">
        <v>66</v>
      </c>
      <c r="B67" s="8"/>
      <c r="C67" s="8"/>
      <c r="D67" s="8">
        <v>3189</v>
      </c>
      <c r="E67" s="8">
        <v>3616</v>
      </c>
      <c r="F67" s="8" t="str">
        <f t="shared" si="9"/>
        <v>Active</v>
      </c>
      <c r="G67" s="9" t="s">
        <v>96</v>
      </c>
      <c r="H67" s="9" t="str">
        <f>VLOOKUP(E67,'[1]EPA Ethanol Capacity 2024'!$B$5:$C$235,2,FALSE)</f>
        <v>Green Plains Madison LLC</v>
      </c>
      <c r="I67" s="8" t="s">
        <v>416</v>
      </c>
      <c r="J67" t="s">
        <v>569</v>
      </c>
      <c r="K67" s="7">
        <v>62060</v>
      </c>
      <c r="L67" s="7" t="s">
        <v>569</v>
      </c>
      <c r="M67" s="7">
        <v>2</v>
      </c>
      <c r="N67" s="20">
        <v>38.679949999999998</v>
      </c>
      <c r="O67" s="11">
        <v>-90.171850000000006</v>
      </c>
      <c r="P67" s="12">
        <v>2009</v>
      </c>
      <c r="Q67" s="12" t="s">
        <v>445</v>
      </c>
      <c r="R67" s="12">
        <f t="shared" si="12"/>
        <v>11</v>
      </c>
      <c r="S67" s="12" t="s">
        <v>389</v>
      </c>
      <c r="AA67" s="7" t="s">
        <v>349</v>
      </c>
      <c r="AB67" s="13" t="s">
        <v>390</v>
      </c>
      <c r="AC67" s="13" t="s">
        <v>391</v>
      </c>
      <c r="AD67" s="13" t="s">
        <v>645</v>
      </c>
      <c r="AE67" s="8" t="str">
        <f t="shared" si="13"/>
        <v>High</v>
      </c>
      <c r="AF67" s="14"/>
      <c r="AG67" s="14">
        <v>122.9</v>
      </c>
      <c r="AH67" s="14"/>
      <c r="AI67" s="14"/>
      <c r="AJ67" s="15">
        <f>VLOOKUP(E67,'[1]Ethanol Plant Listing 2025'!$B$3:$E$220,4,FALSE)</f>
        <v>100</v>
      </c>
      <c r="AK67" s="14">
        <f>+AJ67*[1]Yield!$K$4</f>
        <v>95</v>
      </c>
      <c r="AL67" s="14">
        <f>AK67/VLOOKUP(Q67,[1]Yield!$E$5:$F$14,2,FALSE)</f>
        <v>32.758620689655174</v>
      </c>
      <c r="AM67" s="14">
        <v>1015</v>
      </c>
      <c r="AN67" s="28">
        <f t="shared" si="11"/>
        <v>10.844473684210516</v>
      </c>
      <c r="AO67" s="16">
        <f t="shared" si="14"/>
        <v>215000</v>
      </c>
      <c r="AP67" s="16" t="s">
        <v>393</v>
      </c>
      <c r="AQ67" s="17" t="str">
        <f t="shared" si="10"/>
        <v>None</v>
      </c>
      <c r="AR67" s="18">
        <f>VLOOKUP(AQ67,[1]Yield!$A$5:$B$10,2,FALSE)</f>
        <v>0.81499999999999995</v>
      </c>
      <c r="AS67" s="14">
        <f t="shared" si="15"/>
        <v>26.698275862068964</v>
      </c>
      <c r="AT67" s="8" t="s">
        <v>394</v>
      </c>
      <c r="AX67" s="8" t="str">
        <f>IFERROR(VLOOKUP(E67,[1]Sheet3!$C$2:$E$68,2,FALSE),"None")</f>
        <v>None</v>
      </c>
      <c r="AY67" s="8">
        <f>IFERROR(VLOOKUP(AX67,[1]Sheet3!$H$3:$I$5,2,FALSE),0)</f>
        <v>0</v>
      </c>
      <c r="AZ67" s="14">
        <f t="shared" si="16"/>
        <v>100</v>
      </c>
      <c r="BA67" s="14">
        <f t="shared" si="17"/>
        <v>164.4</v>
      </c>
      <c r="BB67" s="27"/>
      <c r="BC67" s="7" t="s">
        <v>437</v>
      </c>
      <c r="BD67" s="19" t="s">
        <v>642</v>
      </c>
      <c r="BE67" s="7" t="s">
        <v>646</v>
      </c>
      <c r="BF67" s="7" t="s">
        <v>398</v>
      </c>
      <c r="BK67" s="7">
        <f t="shared" si="18"/>
        <v>20</v>
      </c>
    </row>
    <row r="68" spans="1:64" ht="15.6" customHeight="1" x14ac:dyDescent="0.3">
      <c r="A68" s="7">
        <v>67</v>
      </c>
      <c r="B68" s="8"/>
      <c r="C68" s="8"/>
      <c r="D68" s="8">
        <v>3190</v>
      </c>
      <c r="E68" s="8">
        <v>3617</v>
      </c>
      <c r="F68" s="8" t="str">
        <f t="shared" si="9"/>
        <v>Active</v>
      </c>
      <c r="G68" s="9" t="s">
        <v>96</v>
      </c>
      <c r="H68" s="9" t="str">
        <f>VLOOKUP(E68,'[1]EPA Ethanol Capacity 2024'!$B$5:$C$235,2,FALSE)</f>
        <v>Green Plains Mount Vernon LLC</v>
      </c>
      <c r="I68" s="8" t="s">
        <v>533</v>
      </c>
      <c r="J68" s="22" t="s">
        <v>647</v>
      </c>
      <c r="K68" s="7">
        <v>47620</v>
      </c>
      <c r="L68" s="7" t="s">
        <v>648</v>
      </c>
      <c r="M68" s="7">
        <v>2</v>
      </c>
      <c r="N68" s="20">
        <v>37.908200000000001</v>
      </c>
      <c r="O68" s="11">
        <v>-87.725700000000003</v>
      </c>
      <c r="P68" s="12">
        <v>2009</v>
      </c>
      <c r="Q68" s="12" t="s">
        <v>445</v>
      </c>
      <c r="R68" s="12">
        <f t="shared" si="12"/>
        <v>11</v>
      </c>
      <c r="S68" s="12"/>
      <c r="T68" s="8" t="s">
        <v>486</v>
      </c>
      <c r="Z68" s="7" t="str">
        <f t="shared" ref="Z68:Z69" si="19">+T68</f>
        <v>FQPT HI PRO</v>
      </c>
      <c r="AA68" s="7" t="s">
        <v>349</v>
      </c>
      <c r="AB68" s="13" t="s">
        <v>390</v>
      </c>
      <c r="AC68" s="13" t="s">
        <v>391</v>
      </c>
      <c r="AD68" s="13" t="s">
        <v>378</v>
      </c>
      <c r="AE68" s="8" t="str">
        <f t="shared" si="13"/>
        <v>High</v>
      </c>
      <c r="AF68" s="14"/>
      <c r="AG68" s="14">
        <v>110</v>
      </c>
      <c r="AH68" s="14"/>
      <c r="AI68" s="14"/>
      <c r="AJ68" s="15">
        <f>VLOOKUP(E68,'[1]Ethanol Plant Listing 2025'!$B$3:$E$220,4,FALSE)</f>
        <v>135</v>
      </c>
      <c r="AK68" s="14">
        <f>+AJ68*[1]Yield!$K$4</f>
        <v>128.25</v>
      </c>
      <c r="AL68" s="14">
        <f>AK68/VLOOKUP(Q68,[1]Yield!$E$5:$F$14,2,FALSE)</f>
        <v>44.224137931034484</v>
      </c>
      <c r="AM68" s="14">
        <v>1034</v>
      </c>
      <c r="AN68" s="28">
        <f t="shared" si="11"/>
        <v>8.1833138401559378</v>
      </c>
      <c r="AO68" s="16">
        <f t="shared" si="14"/>
        <v>290000</v>
      </c>
      <c r="AP68" s="16"/>
      <c r="AQ68" s="17" t="str">
        <f t="shared" si="10"/>
        <v>FQPT HI PRO</v>
      </c>
      <c r="AR68" s="18">
        <f>VLOOKUP(AQ68,[1]Yield!$A$5:$B$10,2,FALSE)</f>
        <v>1.05</v>
      </c>
      <c r="AS68" s="14">
        <f t="shared" si="15"/>
        <v>46.435344827586214</v>
      </c>
      <c r="AT68" s="8" t="s">
        <v>394</v>
      </c>
      <c r="AX68" s="8" t="str">
        <f>IFERROR(VLOOKUP(E68,[1]Sheet3!$C$2:$E$68,2,FALSE),"None")</f>
        <v>None</v>
      </c>
      <c r="AY68" s="8">
        <f>IFERROR(VLOOKUP(AX68,[1]Sheet3!$H$3:$I$5,2,FALSE),0)</f>
        <v>0</v>
      </c>
      <c r="AZ68" s="14">
        <f t="shared" si="16"/>
        <v>135</v>
      </c>
      <c r="BA68" s="14">
        <f t="shared" si="17"/>
        <v>221.94</v>
      </c>
      <c r="BB68" s="27"/>
      <c r="BC68" s="7" t="s">
        <v>437</v>
      </c>
      <c r="BD68" s="19" t="s">
        <v>642</v>
      </c>
      <c r="BE68" s="7" t="s">
        <v>531</v>
      </c>
      <c r="BF68" s="7" t="s">
        <v>398</v>
      </c>
      <c r="BH68" s="7" t="s">
        <v>448</v>
      </c>
      <c r="BK68" s="7">
        <f t="shared" si="18"/>
        <v>20</v>
      </c>
      <c r="BL68" s="9" t="s">
        <v>649</v>
      </c>
    </row>
    <row r="69" spans="1:64" ht="15.6" customHeight="1" x14ac:dyDescent="0.3">
      <c r="A69" s="7">
        <v>68</v>
      </c>
      <c r="B69" s="8"/>
      <c r="C69" s="8"/>
      <c r="D69" s="8">
        <v>3191</v>
      </c>
      <c r="E69" s="8">
        <v>3618</v>
      </c>
      <c r="F69" s="8" t="str">
        <f t="shared" ref="F69:F132" si="20">IF(A69&lt;300,"Active","Retired")</f>
        <v>Active</v>
      </c>
      <c r="G69" s="9" t="s">
        <v>96</v>
      </c>
      <c r="H69" s="9" t="s">
        <v>650</v>
      </c>
      <c r="I69" s="8" t="s">
        <v>651</v>
      </c>
      <c r="J69" s="22" t="s">
        <v>652</v>
      </c>
      <c r="K69" s="7">
        <v>38253</v>
      </c>
      <c r="L69" s="7" t="s">
        <v>653</v>
      </c>
      <c r="M69" s="7">
        <v>2</v>
      </c>
      <c r="N69" s="20">
        <v>36.283050000000003</v>
      </c>
      <c r="O69" s="11">
        <v>-89.147606999999994</v>
      </c>
      <c r="P69" s="12">
        <v>2008</v>
      </c>
      <c r="Q69" s="12" t="s">
        <v>388</v>
      </c>
      <c r="R69" s="12">
        <f t="shared" si="12"/>
        <v>11</v>
      </c>
      <c r="S69" s="12" t="s">
        <v>389</v>
      </c>
      <c r="T69" s="8" t="s">
        <v>486</v>
      </c>
      <c r="Z69" s="7" t="str">
        <f t="shared" si="19"/>
        <v>FQPT HI PRO</v>
      </c>
      <c r="AB69" s="13" t="s">
        <v>390</v>
      </c>
      <c r="AC69" s="13" t="s">
        <v>391</v>
      </c>
      <c r="AD69" s="13" t="s">
        <v>378</v>
      </c>
      <c r="AE69" s="8" t="str">
        <f t="shared" si="13"/>
        <v>High</v>
      </c>
      <c r="AF69" s="14"/>
      <c r="AG69" s="14">
        <v>110</v>
      </c>
      <c r="AH69" s="14"/>
      <c r="AI69" s="14"/>
      <c r="AJ69" s="15">
        <f>VLOOKUP(E69,'[1]Ethanol Plant Listing 2025'!$B$3:$E$220,4,FALSE)</f>
        <v>135</v>
      </c>
      <c r="AK69" s="14">
        <f>+AJ69*[1]Yield!$K$4</f>
        <v>128.25</v>
      </c>
      <c r="AL69" s="14">
        <f>AK69/VLOOKUP(Q69,[1]Yield!$E$5:$F$14,2,FALSE)</f>
        <v>43.474576271186436</v>
      </c>
      <c r="AM69" s="14">
        <v>8168</v>
      </c>
      <c r="AN69" s="28">
        <f t="shared" si="11"/>
        <v>65.757972709551609</v>
      </c>
      <c r="AO69" s="16">
        <f t="shared" si="14"/>
        <v>285000</v>
      </c>
      <c r="AP69" s="16" t="s">
        <v>393</v>
      </c>
      <c r="AQ69" s="17" t="str">
        <f t="shared" si="10"/>
        <v>FQPT HI PRO</v>
      </c>
      <c r="AR69" s="18">
        <f>VLOOKUP(AQ69,[1]Yield!$A$5:$B$10,2,FALSE)</f>
        <v>1.05</v>
      </c>
      <c r="AS69" s="14">
        <f t="shared" si="15"/>
        <v>45.648305084745758</v>
      </c>
      <c r="AT69" s="8" t="s">
        <v>394</v>
      </c>
      <c r="AX69" s="8" t="str">
        <f>IFERROR(VLOOKUP(E69,[1]Sheet3!$C$2:$E$68,2,FALSE),"None")</f>
        <v>None</v>
      </c>
      <c r="AY69" s="8">
        <f>IFERROR(VLOOKUP(AX69,[1]Sheet3!$H$3:$I$5,2,FALSE),0)</f>
        <v>0</v>
      </c>
      <c r="AZ69" s="14">
        <f t="shared" si="16"/>
        <v>135</v>
      </c>
      <c r="BA69" s="14">
        <f t="shared" si="17"/>
        <v>221.94</v>
      </c>
      <c r="BB69" s="27"/>
      <c r="BC69" s="7" t="s">
        <v>437</v>
      </c>
      <c r="BD69" s="19" t="s">
        <v>642</v>
      </c>
      <c r="BE69" s="7" t="s">
        <v>413</v>
      </c>
      <c r="BF69" s="7" t="s">
        <v>398</v>
      </c>
      <c r="BK69" s="7">
        <f t="shared" si="18"/>
        <v>25</v>
      </c>
      <c r="BL69" s="9" t="s">
        <v>649</v>
      </c>
    </row>
    <row r="70" spans="1:64" ht="15.6" customHeight="1" x14ac:dyDescent="0.3">
      <c r="A70" s="7">
        <v>69</v>
      </c>
      <c r="B70" s="8"/>
      <c r="C70" s="8">
        <v>70110</v>
      </c>
      <c r="D70" s="8">
        <v>3192</v>
      </c>
      <c r="E70" s="8">
        <v>3619</v>
      </c>
      <c r="F70" s="8" t="str">
        <f t="shared" si="20"/>
        <v>Active</v>
      </c>
      <c r="G70" s="9" t="s">
        <v>96</v>
      </c>
      <c r="H70" s="9" t="str">
        <f>VLOOKUP(E70,'[1]EPA Ethanol Capacity 2024'!$B$5:$C$235,2,FALSE)</f>
        <v>Green Plains Otter Tail LLC</v>
      </c>
      <c r="I70" s="8" t="s">
        <v>429</v>
      </c>
      <c r="J70" t="s">
        <v>654</v>
      </c>
      <c r="K70" s="7">
        <v>56537</v>
      </c>
      <c r="L70" s="7" t="s">
        <v>654</v>
      </c>
      <c r="M70" s="7">
        <v>2</v>
      </c>
      <c r="N70" s="20">
        <v>46.3125</v>
      </c>
      <c r="O70" s="11">
        <v>-96.133700000000005</v>
      </c>
      <c r="P70" s="12">
        <v>2008</v>
      </c>
      <c r="Q70" s="12" t="s">
        <v>405</v>
      </c>
      <c r="R70" s="12">
        <f t="shared" si="12"/>
        <v>11</v>
      </c>
      <c r="S70" s="12"/>
      <c r="AA70" s="7" t="s">
        <v>349</v>
      </c>
      <c r="AB70" s="13" t="s">
        <v>390</v>
      </c>
      <c r="AC70" s="13" t="s">
        <v>391</v>
      </c>
      <c r="AD70" s="13" t="s">
        <v>378</v>
      </c>
      <c r="AE70" s="8" t="str">
        <f t="shared" si="13"/>
        <v>High</v>
      </c>
      <c r="AF70" s="14" t="s">
        <v>389</v>
      </c>
      <c r="AG70" s="14" t="s">
        <v>389</v>
      </c>
      <c r="AH70" s="14"/>
      <c r="AI70" s="14"/>
      <c r="AJ70" s="15">
        <f>VLOOKUP(E70,'[1]Ethanol Plant Listing 2025'!$B$3:$E$220,4,FALSE)</f>
        <v>66.599999999999994</v>
      </c>
      <c r="AK70" s="14">
        <f>+AJ70*[1]Yield!$K$4</f>
        <v>63.269999999999989</v>
      </c>
      <c r="AL70" s="14">
        <f>AK70/VLOOKUP(Q70,[1]Yield!$E$5:$F$14,2,FALSE)</f>
        <v>21.968749999999996</v>
      </c>
      <c r="AM70" s="14">
        <v>628</v>
      </c>
      <c r="AN70" s="28">
        <f t="shared" si="11"/>
        <v>10.005120910384059</v>
      </c>
      <c r="AO70" s="16">
        <f t="shared" si="14"/>
        <v>144000</v>
      </c>
      <c r="AP70" s="16" t="s">
        <v>410</v>
      </c>
      <c r="AQ70" s="17" t="str">
        <f t="shared" si="10"/>
        <v>None</v>
      </c>
      <c r="AR70" s="18">
        <f>VLOOKUP(AQ70,[1]Yield!$A$5:$B$10,2,FALSE)</f>
        <v>0.81499999999999995</v>
      </c>
      <c r="AS70" s="14">
        <f t="shared" si="15"/>
        <v>17.904531249999994</v>
      </c>
      <c r="AT70" s="8" t="s">
        <v>437</v>
      </c>
      <c r="AU70" s="8"/>
      <c r="AV70" s="8"/>
      <c r="AW70" s="13"/>
      <c r="AX70" s="8" t="str">
        <f>IFERROR(VLOOKUP(E70,[1]Sheet3!$C$2:$E$68,2,FALSE),"None")</f>
        <v>Summit Carbon Solutions</v>
      </c>
      <c r="AY70" s="8">
        <f>IFERROR(VLOOKUP(AX70,[1]Sheet3!$H$3:$I$5,2,FALSE),0)</f>
        <v>31</v>
      </c>
      <c r="AZ70" s="14">
        <f t="shared" si="16"/>
        <v>66.599999999999994</v>
      </c>
      <c r="BA70" s="14">
        <f t="shared" si="17"/>
        <v>109.49039999999998</v>
      </c>
      <c r="BB70" s="27"/>
      <c r="BC70" s="7" t="s">
        <v>437</v>
      </c>
      <c r="BD70" s="19" t="s">
        <v>642</v>
      </c>
      <c r="BE70" s="7" t="s">
        <v>481</v>
      </c>
      <c r="BF70" s="7" t="s">
        <v>398</v>
      </c>
      <c r="BK70" s="7">
        <f t="shared" si="18"/>
        <v>20</v>
      </c>
    </row>
    <row r="71" spans="1:64" ht="15.6" customHeight="1" x14ac:dyDescent="0.3">
      <c r="A71" s="7">
        <v>70</v>
      </c>
      <c r="B71" s="8"/>
      <c r="C71" s="8"/>
      <c r="D71" s="8">
        <v>3193</v>
      </c>
      <c r="E71" s="8">
        <v>3620</v>
      </c>
      <c r="F71" s="8" t="str">
        <f t="shared" si="20"/>
        <v>Active</v>
      </c>
      <c r="G71" s="9" t="s">
        <v>96</v>
      </c>
      <c r="H71" s="9" t="str">
        <f>VLOOKUP(E71,'[1]EPA Ethanol Capacity 2024'!$B$5:$C$235,2,FALSE)</f>
        <v>Green Plains Shenandoah LLC</v>
      </c>
      <c r="I71" s="8" t="s">
        <v>387</v>
      </c>
      <c r="J71" s="22" t="s">
        <v>655</v>
      </c>
      <c r="K71" s="7">
        <v>51601</v>
      </c>
      <c r="L71" s="7" t="s">
        <v>656</v>
      </c>
      <c r="M71" s="7">
        <v>2</v>
      </c>
      <c r="N71" s="20">
        <v>40.754899999999999</v>
      </c>
      <c r="O71" s="11">
        <v>-95.395300000000006</v>
      </c>
      <c r="P71" s="12">
        <v>2007</v>
      </c>
      <c r="Q71" s="12" t="s">
        <v>388</v>
      </c>
      <c r="R71" s="12">
        <f t="shared" si="12"/>
        <v>11</v>
      </c>
      <c r="S71" s="12" t="s">
        <v>389</v>
      </c>
      <c r="T71" s="8" t="s">
        <v>486</v>
      </c>
      <c r="Z71" s="7" t="str">
        <f>+T71</f>
        <v>FQPT HI PRO</v>
      </c>
      <c r="AB71" s="13" t="s">
        <v>390</v>
      </c>
      <c r="AC71" s="13" t="s">
        <v>391</v>
      </c>
      <c r="AD71" s="13" t="s">
        <v>378</v>
      </c>
      <c r="AE71" s="8" t="str">
        <f t="shared" si="13"/>
        <v>High</v>
      </c>
      <c r="AF71" s="14"/>
      <c r="AG71" s="14">
        <v>65</v>
      </c>
      <c r="AH71" s="14"/>
      <c r="AI71" s="14"/>
      <c r="AJ71" s="15">
        <f>VLOOKUP(E71,'[1]Ethanol Plant Listing 2025'!$B$3:$E$220,4,FALSE)</f>
        <v>100</v>
      </c>
      <c r="AK71" s="14">
        <f>+AJ71*[1]Yield!$K$4</f>
        <v>95</v>
      </c>
      <c r="AL71" s="14">
        <f>AK71/VLOOKUP(Q71,[1]Yield!$E$5:$F$14,2,FALSE)</f>
        <v>32.20338983050847</v>
      </c>
      <c r="AM71" s="14">
        <v>886</v>
      </c>
      <c r="AN71" s="28">
        <f t="shared" si="11"/>
        <v>9.6294210526315709</v>
      </c>
      <c r="AO71" s="16">
        <f t="shared" si="14"/>
        <v>211000</v>
      </c>
      <c r="AP71" s="16" t="s">
        <v>393</v>
      </c>
      <c r="AQ71" s="17" t="str">
        <f t="shared" si="10"/>
        <v>FQPT HI PRO</v>
      </c>
      <c r="AR71" s="18">
        <f>VLOOKUP(AQ71,[1]Yield!$A$5:$B$10,2,FALSE)</f>
        <v>1.05</v>
      </c>
      <c r="AS71" s="14">
        <f t="shared" si="15"/>
        <v>33.813559322033896</v>
      </c>
      <c r="AT71" s="8" t="s">
        <v>437</v>
      </c>
      <c r="AU71" s="8"/>
      <c r="AV71" s="8"/>
      <c r="AW71" s="13"/>
      <c r="AX71" s="8" t="str">
        <f>IFERROR(VLOOKUP(E71,[1]Sheet3!$C$2:$E$68,2,FALSE),"None")</f>
        <v>None</v>
      </c>
      <c r="AY71" s="8">
        <f>IFERROR(VLOOKUP(AX71,[1]Sheet3!$H$3:$I$5,2,FALSE),0)</f>
        <v>0</v>
      </c>
      <c r="AZ71" s="14">
        <f t="shared" si="16"/>
        <v>100</v>
      </c>
      <c r="BA71" s="14">
        <f t="shared" si="17"/>
        <v>164.4</v>
      </c>
      <c r="BB71" s="12">
        <f>SUMIFS('[1]Corn 2023'!V:V,'[1]Corn 2023'!B:B,"=2023",'[1]Corn 2023'!L:L,"="&amp;'Corn Processors'!L71)</f>
        <v>112000</v>
      </c>
      <c r="BC71" s="7" t="s">
        <v>437</v>
      </c>
      <c r="BD71" s="19" t="s">
        <v>642</v>
      </c>
      <c r="BE71" s="7" t="s">
        <v>481</v>
      </c>
      <c r="BF71" s="7" t="s">
        <v>414</v>
      </c>
      <c r="BK71" s="7">
        <f t="shared" si="18"/>
        <v>25</v>
      </c>
    </row>
    <row r="72" spans="1:64" ht="15.6" customHeight="1" x14ac:dyDescent="0.3">
      <c r="A72" s="7">
        <v>71</v>
      </c>
      <c r="B72" s="8">
        <v>5861</v>
      </c>
      <c r="C72" s="8">
        <v>70304</v>
      </c>
      <c r="D72" s="8">
        <v>3194</v>
      </c>
      <c r="E72" s="8">
        <v>3621</v>
      </c>
      <c r="F72" s="8" t="str">
        <f t="shared" si="20"/>
        <v>Active</v>
      </c>
      <c r="G72" s="9" t="s">
        <v>96</v>
      </c>
      <c r="H72" s="9" t="str">
        <f>VLOOKUP(E72,'[1]EPA Ethanol Capacity 2024'!$B$5:$C$235,2,FALSE)</f>
        <v>Green Plains Superior</v>
      </c>
      <c r="I72" s="8" t="s">
        <v>387</v>
      </c>
      <c r="J72" t="s">
        <v>657</v>
      </c>
      <c r="K72" s="7">
        <v>51363</v>
      </c>
      <c r="L72" s="7" t="s">
        <v>658</v>
      </c>
      <c r="M72" s="7">
        <v>2</v>
      </c>
      <c r="N72" s="20">
        <v>43.431367000000002</v>
      </c>
      <c r="O72" s="11">
        <v>-94.954220000000007</v>
      </c>
      <c r="P72" s="12">
        <v>2007</v>
      </c>
      <c r="Q72" s="12" t="s">
        <v>405</v>
      </c>
      <c r="R72" s="12">
        <f t="shared" si="12"/>
        <v>11</v>
      </c>
      <c r="S72" s="12" t="s">
        <v>389</v>
      </c>
      <c r="AA72" s="7" t="s">
        <v>349</v>
      </c>
      <c r="AB72" s="13" t="s">
        <v>390</v>
      </c>
      <c r="AC72" s="13" t="s">
        <v>391</v>
      </c>
      <c r="AD72" s="13" t="s">
        <v>378</v>
      </c>
      <c r="AE72" s="8" t="str">
        <f t="shared" si="13"/>
        <v>High</v>
      </c>
      <c r="AF72" s="14">
        <v>100</v>
      </c>
      <c r="AG72" s="14">
        <v>63</v>
      </c>
      <c r="AH72" s="14" t="s">
        <v>659</v>
      </c>
      <c r="AI72" s="14"/>
      <c r="AJ72" s="15">
        <f>VLOOKUP(E72,'[1]Ethanol Plant Listing 2025'!$B$3:$E$220,4,FALSE)</f>
        <v>68.5</v>
      </c>
      <c r="AK72" s="14">
        <f>+AJ72*[1]Yield!$K$4</f>
        <v>65.075000000000003</v>
      </c>
      <c r="AL72" s="14">
        <f>AK72/VLOOKUP(Q72,[1]Yield!$E$5:$F$14,2,FALSE)</f>
        <v>22.595486111111114</v>
      </c>
      <c r="AM72" s="14">
        <v>1770</v>
      </c>
      <c r="AN72" s="28">
        <f t="shared" si="11"/>
        <v>27.416980407222404</v>
      </c>
      <c r="AO72" s="16">
        <f t="shared" si="14"/>
        <v>148000</v>
      </c>
      <c r="AP72" s="16" t="s">
        <v>410</v>
      </c>
      <c r="AQ72" s="17" t="str">
        <f t="shared" si="10"/>
        <v>None</v>
      </c>
      <c r="AR72" s="18">
        <f>VLOOKUP(AQ72,[1]Yield!$A$5:$B$10,2,FALSE)</f>
        <v>0.81499999999999995</v>
      </c>
      <c r="AS72" s="14">
        <f t="shared" si="15"/>
        <v>18.415321180555559</v>
      </c>
      <c r="AT72" s="8" t="s">
        <v>437</v>
      </c>
      <c r="AU72" s="8"/>
      <c r="AV72" s="8" t="s">
        <v>395</v>
      </c>
      <c r="AW72" s="13"/>
      <c r="AX72" s="8" t="str">
        <f>IFERROR(VLOOKUP(E72,[1]Sheet3!$C$2:$E$68,2,FALSE),"None")</f>
        <v>Summit Carbon Solutions</v>
      </c>
      <c r="AY72" s="8">
        <f>IFERROR(VLOOKUP(AX72,[1]Sheet3!$H$3:$I$5,2,FALSE),0)</f>
        <v>31</v>
      </c>
      <c r="AZ72" s="14">
        <f t="shared" si="16"/>
        <v>68.5</v>
      </c>
      <c r="BA72" s="14">
        <f t="shared" si="17"/>
        <v>112.61399999999999</v>
      </c>
      <c r="BB72" s="12">
        <f>SUMIFS('[1]Corn 2023'!V:V,'[1]Corn 2023'!B:B,"=2023",'[1]Corn 2023'!L:L,"="&amp;'Corn Processors'!L72)</f>
        <v>92500</v>
      </c>
      <c r="BC72" s="7" t="s">
        <v>437</v>
      </c>
      <c r="BD72" s="19" t="s">
        <v>642</v>
      </c>
      <c r="BE72" s="7" t="s">
        <v>428</v>
      </c>
      <c r="BF72" s="7" t="s">
        <v>398</v>
      </c>
      <c r="BK72" s="7">
        <f t="shared" si="18"/>
        <v>20</v>
      </c>
    </row>
    <row r="73" spans="1:64" ht="15.6" customHeight="1" x14ac:dyDescent="0.3">
      <c r="A73" s="7">
        <v>72</v>
      </c>
      <c r="B73" s="8">
        <v>6162</v>
      </c>
      <c r="C73" s="8">
        <v>70249</v>
      </c>
      <c r="D73" s="8">
        <v>3195</v>
      </c>
      <c r="E73" s="8">
        <v>3622</v>
      </c>
      <c r="F73" s="8" t="str">
        <f t="shared" si="20"/>
        <v>Active</v>
      </c>
      <c r="G73" s="9" t="s">
        <v>96</v>
      </c>
      <c r="H73" s="9" t="str">
        <f>VLOOKUP(E73,'[1]EPA Ethanol Capacity 2024'!$B$5:$C$235,2,FALSE)</f>
        <v>Green Plains Wood River LLC</v>
      </c>
      <c r="I73" s="8" t="s">
        <v>470</v>
      </c>
      <c r="J73" s="22" t="s">
        <v>100</v>
      </c>
      <c r="K73" s="7">
        <v>68883</v>
      </c>
      <c r="L73" s="7" t="s">
        <v>660</v>
      </c>
      <c r="M73" s="7">
        <v>2</v>
      </c>
      <c r="N73" s="20">
        <v>40.815770000000001</v>
      </c>
      <c r="O73" s="11">
        <v>-98.607389999999995</v>
      </c>
      <c r="P73" s="12">
        <v>2008</v>
      </c>
      <c r="Q73" s="12" t="s">
        <v>405</v>
      </c>
      <c r="R73" s="12">
        <f t="shared" si="12"/>
        <v>11</v>
      </c>
      <c r="S73" s="12"/>
      <c r="T73" s="8" t="s">
        <v>486</v>
      </c>
      <c r="Z73" s="7" t="str">
        <f>+T73</f>
        <v>FQPT HI PRO</v>
      </c>
      <c r="AA73" s="7" t="s">
        <v>349</v>
      </c>
      <c r="AB73" s="13" t="s">
        <v>390</v>
      </c>
      <c r="AC73" s="13" t="s">
        <v>391</v>
      </c>
      <c r="AD73" s="13" t="s">
        <v>378</v>
      </c>
      <c r="AE73" s="8" t="str">
        <f t="shared" si="13"/>
        <v>High</v>
      </c>
      <c r="AF73" s="14">
        <v>63</v>
      </c>
      <c r="AG73" s="14">
        <v>63</v>
      </c>
      <c r="AH73" s="14" t="s">
        <v>661</v>
      </c>
      <c r="AI73" s="14"/>
      <c r="AJ73" s="15">
        <f>VLOOKUP(E73,'[1]Ethanol Plant Listing 2025'!$B$3:$E$220,4,FALSE)</f>
        <v>123.9</v>
      </c>
      <c r="AK73" s="14">
        <f>+AJ73*[1]Yield!$K$4</f>
        <v>117.705</v>
      </c>
      <c r="AL73" s="14">
        <f>AK73/VLOOKUP(Q73,[1]Yield!$E$5:$F$14,2,FALSE)</f>
        <v>40.869791666666664</v>
      </c>
      <c r="AM73" s="14">
        <v>3293</v>
      </c>
      <c r="AN73" s="28">
        <f t="shared" si="11"/>
        <v>28.20053523639605</v>
      </c>
      <c r="AO73" s="16">
        <f t="shared" si="14"/>
        <v>268000</v>
      </c>
      <c r="AP73" s="16" t="s">
        <v>410</v>
      </c>
      <c r="AQ73" s="17" t="str">
        <f t="shared" si="10"/>
        <v>FQPT HI PRO</v>
      </c>
      <c r="AR73" s="18">
        <f>VLOOKUP(AQ73,[1]Yield!$A$5:$B$10,2,FALSE)</f>
        <v>1.05</v>
      </c>
      <c r="AS73" s="14">
        <f t="shared" si="15"/>
        <v>42.913281249999997</v>
      </c>
      <c r="AT73" s="8" t="s">
        <v>437</v>
      </c>
      <c r="AU73" s="8"/>
      <c r="AV73" s="8" t="str">
        <f>+AX73</f>
        <v>Tall Grass</v>
      </c>
      <c r="AW73" s="13"/>
      <c r="AX73" s="8" t="str">
        <f>IFERROR(VLOOKUP(E73,[1]Sheet3!$C$2:$E$68,2,FALSE),"None")</f>
        <v>Tall Grass</v>
      </c>
      <c r="AY73" s="8">
        <f>IFERROR(VLOOKUP(AX73,[1]Sheet3!$H$3:$I$5,2,FALSE),0)</f>
        <v>30</v>
      </c>
      <c r="AZ73" s="14">
        <f t="shared" si="16"/>
        <v>123.9</v>
      </c>
      <c r="BA73" s="14">
        <f t="shared" si="17"/>
        <v>203.69159999999999</v>
      </c>
      <c r="BB73" s="27"/>
      <c r="BC73" s="7" t="s">
        <v>437</v>
      </c>
      <c r="BD73" s="19" t="s">
        <v>642</v>
      </c>
      <c r="BE73" s="7" t="s">
        <v>428</v>
      </c>
      <c r="BF73" s="7" t="s">
        <v>398</v>
      </c>
      <c r="BK73" s="7">
        <f t="shared" si="18"/>
        <v>20</v>
      </c>
    </row>
    <row r="74" spans="1:64" ht="15.6" customHeight="1" x14ac:dyDescent="0.3">
      <c r="A74" s="7">
        <v>73</v>
      </c>
      <c r="B74" s="8"/>
      <c r="C74" s="8"/>
      <c r="D74" s="8">
        <v>3196</v>
      </c>
      <c r="E74" s="8">
        <v>3623</v>
      </c>
      <c r="F74" s="8" t="str">
        <f t="shared" si="20"/>
        <v>Active</v>
      </c>
      <c r="G74" s="9" t="s">
        <v>96</v>
      </c>
      <c r="H74" s="9" t="str">
        <f>VLOOKUP(E74,'[1]EPA Ethanol Capacity 2024'!$B$5:$C$235,2,FALSE)</f>
        <v>Green Plains York LLC</v>
      </c>
      <c r="I74" s="8" t="s">
        <v>470</v>
      </c>
      <c r="J74" t="s">
        <v>662</v>
      </c>
      <c r="K74" s="7">
        <v>68467</v>
      </c>
      <c r="L74" s="7" t="s">
        <v>662</v>
      </c>
      <c r="M74" s="7">
        <v>2</v>
      </c>
      <c r="N74" s="20">
        <v>40.698740000000001</v>
      </c>
      <c r="O74" s="11">
        <v>-97.567402000000001</v>
      </c>
      <c r="P74" s="12">
        <v>1994</v>
      </c>
      <c r="Q74" s="12" t="s">
        <v>663</v>
      </c>
      <c r="R74" s="12">
        <f t="shared" si="12"/>
        <v>11</v>
      </c>
      <c r="S74" s="12"/>
      <c r="AB74" s="13" t="s">
        <v>390</v>
      </c>
      <c r="AC74" s="13" t="s">
        <v>391</v>
      </c>
      <c r="AD74" s="13" t="s">
        <v>378</v>
      </c>
      <c r="AE74" s="8" t="str">
        <f t="shared" si="13"/>
        <v>High</v>
      </c>
      <c r="AF74" s="14">
        <v>123.9</v>
      </c>
      <c r="AG74" s="14">
        <v>100</v>
      </c>
      <c r="AH74" s="14" t="s">
        <v>515</v>
      </c>
      <c r="AI74" s="14">
        <v>86000</v>
      </c>
      <c r="AJ74" s="15">
        <f>VLOOKUP(E74,'[1]Ethanol Plant Listing 2025'!$B$3:$E$220,4,FALSE)</f>
        <v>60</v>
      </c>
      <c r="AK74" s="14">
        <f>+AJ74*[1]Yield!$K$4</f>
        <v>57</v>
      </c>
      <c r="AL74" s="14">
        <f>AK74/VLOOKUP(Q74,[1]Yield!$E$5:$F$14,2,FALSE)</f>
        <v>19.860627177700348</v>
      </c>
      <c r="AM74" s="14">
        <v>365</v>
      </c>
      <c r="AN74" s="28">
        <f t="shared" si="11"/>
        <v>6.4323245614035027</v>
      </c>
      <c r="AO74" s="16">
        <f t="shared" si="14"/>
        <v>130000</v>
      </c>
      <c r="AP74" s="16"/>
      <c r="AQ74" s="17" t="str">
        <f t="shared" si="10"/>
        <v>None</v>
      </c>
      <c r="AR74" s="18">
        <f>VLOOKUP(AQ74,[1]Yield!$A$5:$B$10,2,FALSE)</f>
        <v>0.81499999999999995</v>
      </c>
      <c r="AS74" s="14">
        <f t="shared" si="15"/>
        <v>16.186411149825783</v>
      </c>
      <c r="AT74" s="8" t="s">
        <v>437</v>
      </c>
      <c r="AU74" s="8"/>
      <c r="AV74" s="8" t="str">
        <f>+AX74</f>
        <v>Tall Grass</v>
      </c>
      <c r="AW74" s="13"/>
      <c r="AX74" s="8" t="str">
        <f>IFERROR(VLOOKUP(E74,[1]Sheet3!$C$2:$E$68,2,FALSE),"None")</f>
        <v>Tall Grass</v>
      </c>
      <c r="AY74" s="8">
        <f>IFERROR(VLOOKUP(AX74,[1]Sheet3!$H$3:$I$5,2,FALSE),0)</f>
        <v>30</v>
      </c>
      <c r="AZ74" s="14">
        <f t="shared" si="16"/>
        <v>60</v>
      </c>
      <c r="BA74" s="14">
        <f t="shared" si="17"/>
        <v>98.64</v>
      </c>
      <c r="BB74" s="27"/>
      <c r="BC74" s="7" t="s">
        <v>437</v>
      </c>
      <c r="BD74" s="19" t="s">
        <v>642</v>
      </c>
      <c r="BE74" s="7" t="s">
        <v>481</v>
      </c>
      <c r="BF74" s="7" t="s">
        <v>398</v>
      </c>
      <c r="BK74" s="7">
        <f t="shared" si="18"/>
        <v>20</v>
      </c>
    </row>
    <row r="75" spans="1:64" ht="15.6" customHeight="1" x14ac:dyDescent="0.3">
      <c r="A75" s="7">
        <v>74</v>
      </c>
      <c r="B75" s="8">
        <v>1481</v>
      </c>
      <c r="C75" s="8">
        <v>71641</v>
      </c>
      <c r="D75" s="8">
        <v>3185</v>
      </c>
      <c r="E75" s="8">
        <v>3612</v>
      </c>
      <c r="F75" s="8" t="str">
        <f t="shared" si="20"/>
        <v>Active</v>
      </c>
      <c r="G75" s="9" t="s">
        <v>664</v>
      </c>
      <c r="H75" s="9" t="str">
        <f>VLOOKUP(E75,'[1]EPA Ethanol Capacity 2024'!$B$5:$C$235,2,FALSE)</f>
        <v>Green America Biofuels Ord LLC</v>
      </c>
      <c r="I75" s="8" t="s">
        <v>470</v>
      </c>
      <c r="J75" t="s">
        <v>665</v>
      </c>
      <c r="K75" s="7">
        <v>68862</v>
      </c>
      <c r="L75" s="7" t="s">
        <v>666</v>
      </c>
      <c r="M75" s="7">
        <v>2</v>
      </c>
      <c r="N75" s="20">
        <v>41.570099999999996</v>
      </c>
      <c r="O75" s="11">
        <v>-98.820999999999998</v>
      </c>
      <c r="P75" s="12">
        <v>2007</v>
      </c>
      <c r="Q75" s="12" t="s">
        <v>388</v>
      </c>
      <c r="R75" s="12">
        <f t="shared" si="12"/>
        <v>1</v>
      </c>
      <c r="S75" s="12" t="s">
        <v>389</v>
      </c>
      <c r="AB75" s="13" t="s">
        <v>390</v>
      </c>
      <c r="AC75" s="13" t="s">
        <v>391</v>
      </c>
      <c r="AD75" s="13" t="s">
        <v>378</v>
      </c>
      <c r="AE75" s="8" t="str">
        <f t="shared" si="13"/>
        <v>High</v>
      </c>
      <c r="AF75" s="14">
        <v>60</v>
      </c>
      <c r="AG75" s="14">
        <v>50</v>
      </c>
      <c r="AH75" s="14" t="s">
        <v>515</v>
      </c>
      <c r="AI75" s="14">
        <v>59094</v>
      </c>
      <c r="AJ75" s="15">
        <f>VLOOKUP(E75,'[1]Ethanol Plant Listing 2025'!$B$3:$E$220,4,FALSE)</f>
        <v>68</v>
      </c>
      <c r="AK75" s="14">
        <f>+AJ75*[1]Yield!$K$4</f>
        <v>64.599999999999994</v>
      </c>
      <c r="AL75" s="14">
        <f>AK75/VLOOKUP(Q75,[1]Yield!$E$5:$F$14,2,FALSE)</f>
        <v>21.898305084745761</v>
      </c>
      <c r="AM75" s="14"/>
      <c r="AN75" s="14"/>
      <c r="AO75" s="16">
        <f t="shared" si="14"/>
        <v>143000</v>
      </c>
      <c r="AP75" s="16" t="s">
        <v>393</v>
      </c>
      <c r="AQ75" s="17" t="str">
        <f t="shared" si="10"/>
        <v>ICM</v>
      </c>
      <c r="AR75" s="18">
        <f>VLOOKUP(AQ75,[1]Yield!$A$5:$B$10,2,FALSE)</f>
        <v>0.9</v>
      </c>
      <c r="AS75" s="14">
        <f t="shared" si="15"/>
        <v>19.708474576271186</v>
      </c>
      <c r="AT75" s="8" t="s">
        <v>394</v>
      </c>
      <c r="AU75" s="8"/>
      <c r="AV75" s="8"/>
      <c r="AW75" s="13"/>
      <c r="AX75" s="8" t="str">
        <f>IFERROR(VLOOKUP(E75,[1]Sheet3!$C$2:$E$68,2,FALSE),"None")</f>
        <v>None</v>
      </c>
      <c r="AY75" s="8">
        <f>IFERROR(VLOOKUP(AX75,[1]Sheet3!$H$3:$I$5,2,FALSE),0)</f>
        <v>0</v>
      </c>
      <c r="AZ75" s="14">
        <f t="shared" si="16"/>
        <v>68</v>
      </c>
      <c r="BA75" s="14">
        <f t="shared" si="17"/>
        <v>111.79199999999999</v>
      </c>
      <c r="BB75" s="27"/>
      <c r="BC75" s="7"/>
      <c r="BD75" s="19" t="s">
        <v>667</v>
      </c>
      <c r="BE75" s="7" t="s">
        <v>481</v>
      </c>
      <c r="BF75" s="7" t="s">
        <v>398</v>
      </c>
      <c r="BJ75" s="7" t="s">
        <v>400</v>
      </c>
      <c r="BK75" s="7">
        <f t="shared" si="18"/>
        <v>25</v>
      </c>
      <c r="BL75" s="9" t="s">
        <v>649</v>
      </c>
    </row>
    <row r="76" spans="1:64" ht="15.6" customHeight="1" x14ac:dyDescent="0.3">
      <c r="A76" s="7">
        <v>75</v>
      </c>
      <c r="B76" s="8"/>
      <c r="C76" s="8"/>
      <c r="D76" s="8">
        <v>3197</v>
      </c>
      <c r="E76" s="8">
        <v>3624</v>
      </c>
      <c r="F76" s="8" t="str">
        <f t="shared" si="20"/>
        <v>Active</v>
      </c>
      <c r="G76" s="9" t="s">
        <v>668</v>
      </c>
      <c r="H76" s="9" t="str">
        <f>VLOOKUP(E76,'[1]EPA Ethanol Capacity 2024'!$B$5:$C$235,2,FALSE)</f>
        <v>Greenfield Global Corn Plus LLC</v>
      </c>
      <c r="I76" s="8" t="s">
        <v>429</v>
      </c>
      <c r="J76" t="s">
        <v>612</v>
      </c>
      <c r="K76" s="7">
        <v>56098</v>
      </c>
      <c r="L76" s="7" t="s">
        <v>669</v>
      </c>
      <c r="M76" s="7">
        <v>2</v>
      </c>
      <c r="N76" s="20">
        <v>43.760415000000002</v>
      </c>
      <c r="O76" s="11">
        <v>-94.149857999999995</v>
      </c>
      <c r="P76" s="12">
        <v>1994</v>
      </c>
      <c r="Q76" s="12" t="s">
        <v>405</v>
      </c>
      <c r="R76" s="12">
        <f t="shared" si="12"/>
        <v>1</v>
      </c>
      <c r="S76" s="12" t="s">
        <v>389</v>
      </c>
      <c r="AB76" s="13" t="s">
        <v>390</v>
      </c>
      <c r="AC76" s="13" t="s">
        <v>391</v>
      </c>
      <c r="AD76" s="13" t="s">
        <v>378</v>
      </c>
      <c r="AE76" s="8" t="str">
        <f t="shared" si="13"/>
        <v>High</v>
      </c>
      <c r="AF76" s="14">
        <v>75</v>
      </c>
      <c r="AG76" s="14">
        <v>55</v>
      </c>
      <c r="AH76" s="14" t="s">
        <v>515</v>
      </c>
      <c r="AI76" s="14">
        <v>85861</v>
      </c>
      <c r="AJ76" s="15">
        <f>VLOOKUP(E76,'[1]Ethanol Plant Listing 2025'!$B$3:$E$220,4,FALSE)</f>
        <v>43</v>
      </c>
      <c r="AK76" s="14">
        <f>+AJ76*[1]Yield!$K$4</f>
        <v>40.85</v>
      </c>
      <c r="AL76" s="14">
        <f>AK76/VLOOKUP(Q76,[1]Yield!$E$5:$F$14,2,FALSE)</f>
        <v>14.184027777777779</v>
      </c>
      <c r="AM76" s="14"/>
      <c r="AN76" s="14"/>
      <c r="AO76" s="16">
        <f t="shared" si="14"/>
        <v>93000</v>
      </c>
      <c r="AP76" s="16" t="s">
        <v>410</v>
      </c>
      <c r="AQ76" s="17" t="str">
        <f t="shared" si="10"/>
        <v>None</v>
      </c>
      <c r="AR76" s="18">
        <f>VLOOKUP(AQ76,[1]Yield!$A$5:$B$10,2,FALSE)</f>
        <v>0.81499999999999995</v>
      </c>
      <c r="AS76" s="14">
        <f t="shared" si="15"/>
        <v>11.559982638888888</v>
      </c>
      <c r="AT76" s="8" t="s">
        <v>394</v>
      </c>
      <c r="AU76" s="8"/>
      <c r="AV76" s="8"/>
      <c r="AW76" s="13"/>
      <c r="AX76" s="8" t="str">
        <f>IFERROR(VLOOKUP(E76,[1]Sheet3!$C$2:$E$68,2,FALSE),"None")</f>
        <v>None</v>
      </c>
      <c r="AY76" s="8">
        <f>IFERROR(VLOOKUP(AX76,[1]Sheet3!$H$3:$I$5,2,FALSE),0)</f>
        <v>0</v>
      </c>
      <c r="AZ76" s="14">
        <f t="shared" si="16"/>
        <v>43</v>
      </c>
      <c r="BA76" s="14">
        <f t="shared" si="17"/>
        <v>70.691999999999993</v>
      </c>
      <c r="BB76" s="27"/>
      <c r="BC76" s="7"/>
      <c r="BD76" s="19" t="s">
        <v>670</v>
      </c>
      <c r="BE76" s="7" t="s">
        <v>432</v>
      </c>
      <c r="BF76" s="7" t="s">
        <v>414</v>
      </c>
      <c r="BK76" s="7">
        <f t="shared" si="18"/>
        <v>20</v>
      </c>
      <c r="BL76" s="9" t="s">
        <v>671</v>
      </c>
    </row>
    <row r="77" spans="1:64" ht="15.6" customHeight="1" x14ac:dyDescent="0.3">
      <c r="A77" s="7">
        <v>76</v>
      </c>
      <c r="B77" s="8">
        <v>3383</v>
      </c>
      <c r="C77" s="8">
        <v>70289</v>
      </c>
      <c r="D77" s="8">
        <v>3198</v>
      </c>
      <c r="E77" s="8">
        <v>3625</v>
      </c>
      <c r="F77" s="8" t="str">
        <f t="shared" si="20"/>
        <v>Active</v>
      </c>
      <c r="G77" s="9" t="s">
        <v>103</v>
      </c>
      <c r="H77" s="9" t="str">
        <f>VLOOKUP(E77,'[1]EPA Ethanol Capacity 2024'!$B$5:$C$235,2,FALSE)</f>
        <v>Guardian Energy LLC</v>
      </c>
      <c r="I77" s="8" t="s">
        <v>429</v>
      </c>
      <c r="J77" t="s">
        <v>104</v>
      </c>
      <c r="K77" s="7">
        <v>56048</v>
      </c>
      <c r="L77" s="7" t="s">
        <v>672</v>
      </c>
      <c r="M77" s="7">
        <v>2</v>
      </c>
      <c r="N77" s="20">
        <v>44.111944000000001</v>
      </c>
      <c r="O77" s="11">
        <v>-93.678611000000004</v>
      </c>
      <c r="P77" s="12">
        <v>2009</v>
      </c>
      <c r="Q77" s="12" t="s">
        <v>388</v>
      </c>
      <c r="R77" s="12">
        <f t="shared" si="12"/>
        <v>3</v>
      </c>
      <c r="S77" s="12" t="s">
        <v>389</v>
      </c>
      <c r="AB77" s="13" t="s">
        <v>390</v>
      </c>
      <c r="AC77" s="13" t="s">
        <v>391</v>
      </c>
      <c r="AD77" s="13" t="s">
        <v>378</v>
      </c>
      <c r="AE77" s="8" t="str">
        <f t="shared" si="13"/>
        <v>High</v>
      </c>
      <c r="AF77" s="14"/>
      <c r="AG77" s="14"/>
      <c r="AH77" s="14"/>
      <c r="AI77" s="14"/>
      <c r="AJ77" s="15">
        <f>VLOOKUP(E77,'[1]Ethanol Plant Listing 2025'!$B$3:$E$220,4,FALSE)</f>
        <v>164</v>
      </c>
      <c r="AK77" s="14">
        <f>+AJ77*[1]Yield!$K$4</f>
        <v>155.79999999999998</v>
      </c>
      <c r="AL77" s="14">
        <f>AK77/VLOOKUP(Q77,[1]Yield!$E$5:$F$14,2,FALSE)</f>
        <v>52.813559322033889</v>
      </c>
      <c r="AM77" s="14"/>
      <c r="AN77" s="14"/>
      <c r="AO77" s="16">
        <f t="shared" si="14"/>
        <v>346000</v>
      </c>
      <c r="AP77" s="16" t="s">
        <v>393</v>
      </c>
      <c r="AQ77" s="17" t="str">
        <f t="shared" ref="AQ77:AQ105" si="21">IF(G77="POET Biorefining",G77,IF(T77="FQPT HI Pro",T77,IF(Z77="ICM FOT",Z77,IF(Q77="ICM",Q77,IF(Q77="ADM",Q77,"None")))))</f>
        <v>ICM</v>
      </c>
      <c r="AR77" s="18">
        <f>VLOOKUP(AQ77,[1]Yield!$A$5:$B$10,2,FALSE)</f>
        <v>0.9</v>
      </c>
      <c r="AS77" s="14">
        <f t="shared" si="15"/>
        <v>47.532203389830499</v>
      </c>
      <c r="AT77" s="8" t="s">
        <v>394</v>
      </c>
      <c r="AU77" s="8"/>
      <c r="AV77" s="8"/>
      <c r="AW77" s="13"/>
      <c r="AX77" s="8" t="str">
        <f>IFERROR(VLOOKUP(E77,[1]Sheet3!$C$2:$E$68,2,FALSE),"None")</f>
        <v>None</v>
      </c>
      <c r="AY77" s="8">
        <f>IFERROR(VLOOKUP(AX77,[1]Sheet3!$H$3:$I$5,2,FALSE),0)</f>
        <v>0</v>
      </c>
      <c r="AZ77" s="14">
        <f t="shared" si="16"/>
        <v>164</v>
      </c>
      <c r="BA77" s="14">
        <f t="shared" si="17"/>
        <v>269.61599999999999</v>
      </c>
      <c r="BB77" s="27"/>
      <c r="BC77" s="7"/>
      <c r="BD77" s="19" t="s">
        <v>673</v>
      </c>
      <c r="BE77" s="7" t="s">
        <v>432</v>
      </c>
      <c r="BF77" s="7" t="s">
        <v>398</v>
      </c>
      <c r="BJ77" s="7" t="s">
        <v>400</v>
      </c>
      <c r="BK77" s="7">
        <f t="shared" si="18"/>
        <v>25</v>
      </c>
      <c r="BL77" s="9" t="s">
        <v>674</v>
      </c>
    </row>
    <row r="78" spans="1:64" ht="15.6" customHeight="1" x14ac:dyDescent="0.3">
      <c r="A78" s="7">
        <v>77</v>
      </c>
      <c r="B78" s="8">
        <v>6169</v>
      </c>
      <c r="C78" s="8">
        <v>70288</v>
      </c>
      <c r="D78" s="8">
        <v>3199</v>
      </c>
      <c r="E78" s="8">
        <v>3626</v>
      </c>
      <c r="F78" s="8" t="str">
        <f t="shared" si="20"/>
        <v>Active</v>
      </c>
      <c r="G78" s="9" t="s">
        <v>103</v>
      </c>
      <c r="H78" s="9" t="str">
        <f>VLOOKUP(E78,'[1]EPA Ethanol Capacity 2024'!$B$5:$C$235,2,FALSE)</f>
        <v>Hankinson Renewable Energy LLC</v>
      </c>
      <c r="I78" s="8" t="s">
        <v>508</v>
      </c>
      <c r="J78" t="s">
        <v>108</v>
      </c>
      <c r="K78" s="7">
        <v>58041</v>
      </c>
      <c r="L78" s="7" t="s">
        <v>675</v>
      </c>
      <c r="M78" s="7">
        <v>2</v>
      </c>
      <c r="N78" s="20">
        <v>46.073186</v>
      </c>
      <c r="O78" s="11">
        <v>-96.886775</v>
      </c>
      <c r="P78" s="12">
        <v>2008</v>
      </c>
      <c r="Q78" s="12" t="s">
        <v>388</v>
      </c>
      <c r="R78" s="12">
        <f t="shared" si="12"/>
        <v>3</v>
      </c>
      <c r="S78" s="12" t="s">
        <v>389</v>
      </c>
      <c r="AB78" s="13" t="s">
        <v>390</v>
      </c>
      <c r="AC78" s="13" t="s">
        <v>391</v>
      </c>
      <c r="AD78" s="13" t="s">
        <v>378</v>
      </c>
      <c r="AE78" s="8" t="str">
        <f t="shared" si="13"/>
        <v>High</v>
      </c>
      <c r="AF78" s="14"/>
      <c r="AG78" s="14"/>
      <c r="AH78" s="14"/>
      <c r="AI78" s="14"/>
      <c r="AJ78" s="15">
        <f>VLOOKUP(E78,'[1]Ethanol Plant Listing 2025'!$B$3:$E$220,4,FALSE)</f>
        <v>157.4</v>
      </c>
      <c r="AK78" s="14">
        <f>+AJ78*[1]Yield!$K$4</f>
        <v>149.53</v>
      </c>
      <c r="AL78" s="14">
        <f>AK78/VLOOKUP(Q78,[1]Yield!$E$5:$F$14,2,FALSE)</f>
        <v>50.688135593220338</v>
      </c>
      <c r="AM78" s="14"/>
      <c r="AN78" s="14"/>
      <c r="AO78" s="16">
        <f t="shared" si="14"/>
        <v>332000</v>
      </c>
      <c r="AP78" s="16" t="s">
        <v>393</v>
      </c>
      <c r="AQ78" s="17" t="str">
        <f t="shared" si="21"/>
        <v>ICM</v>
      </c>
      <c r="AR78" s="18">
        <f>VLOOKUP(AQ78,[1]Yield!$A$5:$B$10,2,FALSE)</f>
        <v>0.9</v>
      </c>
      <c r="AS78" s="14">
        <f t="shared" si="15"/>
        <v>45.619322033898307</v>
      </c>
      <c r="AT78" s="8" t="s">
        <v>394</v>
      </c>
      <c r="AU78" s="8"/>
      <c r="AV78" s="8"/>
      <c r="AW78" s="13"/>
      <c r="AX78" s="8" t="str">
        <f>IFERROR(VLOOKUP(E78,[1]Sheet3!$C$2:$E$68,2,FALSE),"None")</f>
        <v>None</v>
      </c>
      <c r="AY78" s="8">
        <f>IFERROR(VLOOKUP(AX78,[1]Sheet3!$H$3:$I$5,2,FALSE),0)</f>
        <v>0</v>
      </c>
      <c r="AZ78" s="14">
        <f t="shared" si="16"/>
        <v>157.4</v>
      </c>
      <c r="BA78" s="14">
        <f t="shared" si="17"/>
        <v>258.76560000000001</v>
      </c>
      <c r="BB78" s="27"/>
      <c r="BC78" s="7"/>
      <c r="BD78" s="19" t="s">
        <v>676</v>
      </c>
      <c r="BE78" s="7" t="s">
        <v>432</v>
      </c>
      <c r="BF78" s="7" t="s">
        <v>398</v>
      </c>
      <c r="BJ78" s="7" t="s">
        <v>400</v>
      </c>
      <c r="BK78" s="7">
        <f t="shared" si="18"/>
        <v>25</v>
      </c>
      <c r="BL78" s="9" t="s">
        <v>677</v>
      </c>
    </row>
    <row r="79" spans="1:64" ht="15.6" customHeight="1" x14ac:dyDescent="0.3">
      <c r="A79" s="7">
        <v>78</v>
      </c>
      <c r="B79" s="8"/>
      <c r="C79" s="8"/>
      <c r="D79" s="8">
        <v>3200</v>
      </c>
      <c r="E79" s="8">
        <v>3627</v>
      </c>
      <c r="F79" s="8" t="str">
        <f t="shared" si="20"/>
        <v>Active</v>
      </c>
      <c r="G79" s="9" t="s">
        <v>103</v>
      </c>
      <c r="H79" s="9" t="str">
        <f>VLOOKUP(E79,'[1]EPA Ethanol Capacity 2024'!$B$5:$C$235,2,FALSE)</f>
        <v>Guardian Lima LLC</v>
      </c>
      <c r="I79" s="8" t="s">
        <v>678</v>
      </c>
      <c r="J79" t="s">
        <v>679</v>
      </c>
      <c r="K79" s="7">
        <v>45804</v>
      </c>
      <c r="L79" s="7" t="s">
        <v>680</v>
      </c>
      <c r="M79" s="7">
        <v>2</v>
      </c>
      <c r="N79" s="20">
        <v>40.705880000000001</v>
      </c>
      <c r="O79" s="11">
        <v>-84.080070000000006</v>
      </c>
      <c r="P79" s="12">
        <v>2005</v>
      </c>
      <c r="Q79" s="12" t="s">
        <v>388</v>
      </c>
      <c r="R79" s="12">
        <f t="shared" si="12"/>
        <v>3</v>
      </c>
      <c r="S79" s="12" t="s">
        <v>389</v>
      </c>
      <c r="AB79" s="13" t="s">
        <v>390</v>
      </c>
      <c r="AC79" s="13" t="s">
        <v>391</v>
      </c>
      <c r="AD79" s="13" t="s">
        <v>378</v>
      </c>
      <c r="AE79" s="8" t="str">
        <f t="shared" si="13"/>
        <v>High</v>
      </c>
      <c r="AF79" s="14"/>
      <c r="AG79" s="14"/>
      <c r="AH79" s="14"/>
      <c r="AI79" s="14"/>
      <c r="AJ79" s="15">
        <f>VLOOKUP(E79,'[1]Ethanol Plant Listing 2025'!$B$3:$E$220,4,FALSE)</f>
        <v>84</v>
      </c>
      <c r="AK79" s="14">
        <f>+AJ79*[1]Yield!$K$4</f>
        <v>79.8</v>
      </c>
      <c r="AL79" s="14">
        <f>AK79/VLOOKUP(Q79,[1]Yield!$E$5:$F$14,2,FALSE)</f>
        <v>27.050847457627118</v>
      </c>
      <c r="AM79" s="14"/>
      <c r="AN79" s="14"/>
      <c r="AO79" s="16">
        <f t="shared" si="14"/>
        <v>177000</v>
      </c>
      <c r="AP79" s="16" t="s">
        <v>393</v>
      </c>
      <c r="AQ79" s="17" t="str">
        <f t="shared" si="21"/>
        <v>ICM</v>
      </c>
      <c r="AR79" s="18">
        <f>VLOOKUP(AQ79,[1]Yield!$A$5:$B$10,2,FALSE)</f>
        <v>0.9</v>
      </c>
      <c r="AS79" s="14">
        <f t="shared" si="15"/>
        <v>24.345762711864406</v>
      </c>
      <c r="AT79" s="8" t="s">
        <v>394</v>
      </c>
      <c r="AX79" s="8" t="str">
        <f>IFERROR(VLOOKUP(E79,[1]Sheet3!$C$2:$E$68,2,FALSE),"None")</f>
        <v>None</v>
      </c>
      <c r="AY79" s="8">
        <f>IFERROR(VLOOKUP(AX79,[1]Sheet3!$H$3:$I$5,2,FALSE),0)</f>
        <v>0</v>
      </c>
      <c r="AZ79" s="14">
        <f t="shared" si="16"/>
        <v>84</v>
      </c>
      <c r="BA79" s="14">
        <f t="shared" si="17"/>
        <v>138.096</v>
      </c>
      <c r="BB79" s="27"/>
      <c r="BC79" s="7"/>
      <c r="BD79" s="19" t="s">
        <v>681</v>
      </c>
      <c r="BE79" s="7" t="s">
        <v>682</v>
      </c>
      <c r="BF79" s="7" t="s">
        <v>398</v>
      </c>
      <c r="BK79" s="7">
        <f t="shared" si="18"/>
        <v>25</v>
      </c>
      <c r="BL79" s="9" t="s">
        <v>502</v>
      </c>
    </row>
    <row r="80" spans="1:64" ht="15.6" customHeight="1" x14ac:dyDescent="0.3">
      <c r="A80" s="7">
        <v>79</v>
      </c>
      <c r="B80" s="8">
        <v>4827</v>
      </c>
      <c r="C80" s="8">
        <v>70089</v>
      </c>
      <c r="D80" s="8">
        <v>2496</v>
      </c>
      <c r="E80" s="8">
        <v>3628</v>
      </c>
      <c r="F80" s="8" t="str">
        <f t="shared" si="20"/>
        <v>Active</v>
      </c>
      <c r="G80" s="9" t="s">
        <v>110</v>
      </c>
      <c r="H80" s="9" t="str">
        <f>VLOOKUP(E80,'[1]EPA Ethanol Capacity 2024'!$B$5:$C$235,2,FALSE)</f>
        <v>Heartland Corn Products</v>
      </c>
      <c r="I80" s="8" t="s">
        <v>429</v>
      </c>
      <c r="J80" t="s">
        <v>111</v>
      </c>
      <c r="K80" s="7">
        <v>55396</v>
      </c>
      <c r="L80" s="7" t="s">
        <v>683</v>
      </c>
      <c r="M80" s="7">
        <v>2</v>
      </c>
      <c r="N80" s="20">
        <v>44.541944000000001</v>
      </c>
      <c r="O80" s="11">
        <v>-94.341667000000001</v>
      </c>
      <c r="P80" s="12">
        <v>1995</v>
      </c>
      <c r="Q80" s="12" t="s">
        <v>388</v>
      </c>
      <c r="R80" s="12">
        <f t="shared" si="12"/>
        <v>1</v>
      </c>
      <c r="S80" s="12" t="s">
        <v>389</v>
      </c>
      <c r="AB80" s="13" t="s">
        <v>390</v>
      </c>
      <c r="AC80" s="13" t="s">
        <v>391</v>
      </c>
      <c r="AD80" s="13" t="s">
        <v>378</v>
      </c>
      <c r="AE80" s="8" t="str">
        <f t="shared" si="13"/>
        <v>High</v>
      </c>
      <c r="AF80" s="14"/>
      <c r="AG80" s="14"/>
      <c r="AH80" s="14"/>
      <c r="AI80" s="14"/>
      <c r="AJ80" s="15">
        <f>VLOOKUP(E80,'[1]Ethanol Plant Listing 2025'!$B$3:$E$220,4,FALSE)</f>
        <v>151</v>
      </c>
      <c r="AK80" s="14">
        <f>+AJ80*[1]Yield!$K$4</f>
        <v>143.44999999999999</v>
      </c>
      <c r="AL80" s="14">
        <f>AK80/VLOOKUP(Q80,[1]Yield!$E$5:$F$14,2,FALSE)</f>
        <v>48.627118644067792</v>
      </c>
      <c r="AM80" s="14"/>
      <c r="AN80" s="14"/>
      <c r="AO80" s="16">
        <f t="shared" si="14"/>
        <v>319000</v>
      </c>
      <c r="AP80" s="16" t="s">
        <v>393</v>
      </c>
      <c r="AQ80" s="17" t="str">
        <f t="shared" si="21"/>
        <v>ICM</v>
      </c>
      <c r="AR80" s="18">
        <f>VLOOKUP(AQ80,[1]Yield!$A$5:$B$10,2,FALSE)</f>
        <v>0.9</v>
      </c>
      <c r="AS80" s="14">
        <f t="shared" si="15"/>
        <v>43.764406779661016</v>
      </c>
      <c r="AT80" s="8" t="s">
        <v>394</v>
      </c>
      <c r="AU80" s="8"/>
      <c r="AV80" s="8"/>
      <c r="AW80" s="13"/>
      <c r="AX80" s="8" t="str">
        <f>IFERROR(VLOOKUP(E80,[1]Sheet3!$C$2:$E$68,2,FALSE),"None")</f>
        <v>Summit Carbon Solutions</v>
      </c>
      <c r="AY80" s="8">
        <f>IFERROR(VLOOKUP(AX80,[1]Sheet3!$H$3:$I$5,2,FALSE),0)</f>
        <v>31</v>
      </c>
      <c r="AZ80" s="14">
        <f t="shared" si="16"/>
        <v>151</v>
      </c>
      <c r="BA80" s="14">
        <f t="shared" si="17"/>
        <v>248.24399999999997</v>
      </c>
      <c r="BB80" s="27"/>
      <c r="BC80" s="7"/>
      <c r="BD80" s="19" t="s">
        <v>684</v>
      </c>
      <c r="BE80" s="7" t="s">
        <v>685</v>
      </c>
      <c r="BF80" s="7" t="s">
        <v>414</v>
      </c>
      <c r="BJ80" s="7" t="s">
        <v>400</v>
      </c>
      <c r="BK80" s="7">
        <f t="shared" si="18"/>
        <v>25</v>
      </c>
    </row>
    <row r="81" spans="1:64" ht="15.6" customHeight="1" x14ac:dyDescent="0.3">
      <c r="A81" s="7">
        <v>80</v>
      </c>
      <c r="B81" s="8"/>
      <c r="C81" s="8">
        <v>21601</v>
      </c>
      <c r="D81" s="8">
        <v>3068</v>
      </c>
      <c r="E81" s="8">
        <v>3629</v>
      </c>
      <c r="F81" s="8" t="str">
        <f t="shared" si="20"/>
        <v>Active</v>
      </c>
      <c r="G81" s="9" t="s">
        <v>114</v>
      </c>
      <c r="H81" s="9" t="str">
        <f>VLOOKUP(E81,'[1]EPA Ethanol Capacity 2024'!$B$5:$C$235,2,FALSE)</f>
        <v>Hereford Ethanol Partners LP</v>
      </c>
      <c r="I81" s="8" t="s">
        <v>594</v>
      </c>
      <c r="J81" t="s">
        <v>116</v>
      </c>
      <c r="K81" s="7">
        <v>79045</v>
      </c>
      <c r="L81" s="7" t="s">
        <v>686</v>
      </c>
      <c r="M81" s="7">
        <v>3</v>
      </c>
      <c r="N81" s="20">
        <v>34.849980000000002</v>
      </c>
      <c r="O81" s="11">
        <v>-102.28679</v>
      </c>
      <c r="P81" s="12">
        <v>2007</v>
      </c>
      <c r="Q81" s="12" t="s">
        <v>524</v>
      </c>
      <c r="R81" s="12">
        <f t="shared" si="12"/>
        <v>1</v>
      </c>
      <c r="S81" s="12"/>
      <c r="AB81" s="13" t="s">
        <v>390</v>
      </c>
      <c r="AC81" s="13" t="s">
        <v>391</v>
      </c>
      <c r="AD81" s="13" t="s">
        <v>378</v>
      </c>
      <c r="AE81" s="8" t="str">
        <f t="shared" si="13"/>
        <v>High</v>
      </c>
      <c r="AF81" s="14"/>
      <c r="AG81" s="14"/>
      <c r="AH81" s="14"/>
      <c r="AI81" s="14"/>
      <c r="AJ81" s="15">
        <f>VLOOKUP(E81,'[1]Ethanol Plant Listing 2025'!$B$3:$E$220,4,FALSE)</f>
        <v>120</v>
      </c>
      <c r="AK81" s="14">
        <f>+AJ81*[1]Yield!$K$4</f>
        <v>114</v>
      </c>
      <c r="AL81" s="14">
        <f>AK81/VLOOKUP(Q81,[1]Yield!$E$5:$F$14,2,FALSE)</f>
        <v>40</v>
      </c>
      <c r="AM81" s="14"/>
      <c r="AN81" s="14"/>
      <c r="AO81" s="16">
        <f t="shared" si="14"/>
        <v>262000</v>
      </c>
      <c r="AP81" s="16" t="s">
        <v>393</v>
      </c>
      <c r="AQ81" s="17" t="str">
        <f t="shared" si="21"/>
        <v>None</v>
      </c>
      <c r="AR81" s="18">
        <f>VLOOKUP(AQ81,[1]Yield!$A$5:$B$10,2,FALSE)</f>
        <v>0.81499999999999995</v>
      </c>
      <c r="AS81" s="14">
        <f t="shared" si="15"/>
        <v>32.599999999999994</v>
      </c>
      <c r="AT81" s="8" t="s">
        <v>394</v>
      </c>
      <c r="AX81" s="8" t="str">
        <f>IFERROR(VLOOKUP(E81,[1]Sheet3!$C$2:$E$68,2,FALSE),"None")</f>
        <v>None</v>
      </c>
      <c r="AY81" s="8">
        <f>IFERROR(VLOOKUP(AX81,[1]Sheet3!$H$3:$I$5,2,FALSE),0)</f>
        <v>0</v>
      </c>
      <c r="AZ81" s="14">
        <f t="shared" si="16"/>
        <v>120</v>
      </c>
      <c r="BA81" s="14">
        <f t="shared" si="17"/>
        <v>197.28</v>
      </c>
      <c r="BB81" s="27"/>
      <c r="BC81" s="7"/>
      <c r="BD81" s="19" t="s">
        <v>687</v>
      </c>
      <c r="BE81" s="7" t="s">
        <v>481</v>
      </c>
      <c r="BF81" s="7" t="s">
        <v>398</v>
      </c>
      <c r="BK81" s="7">
        <f t="shared" si="18"/>
        <v>15</v>
      </c>
    </row>
    <row r="82" spans="1:64" ht="15.6" customHeight="1" x14ac:dyDescent="0.3">
      <c r="A82" s="7">
        <v>81</v>
      </c>
      <c r="B82" s="8"/>
      <c r="C82" s="8">
        <v>70097</v>
      </c>
      <c r="D82" s="8">
        <v>3201</v>
      </c>
      <c r="E82" s="8">
        <v>3630</v>
      </c>
      <c r="F82" s="8" t="str">
        <f t="shared" si="20"/>
        <v>Active</v>
      </c>
      <c r="G82" s="9" t="s">
        <v>88</v>
      </c>
      <c r="H82" s="9" t="str">
        <f>VLOOKUP(E82,'[1]EPA Ethanol Capacity 2024'!$B$5:$C$235,2,FALSE)</f>
        <v>Heron Lake Bioenergy LLC</v>
      </c>
      <c r="I82" s="8" t="s">
        <v>429</v>
      </c>
      <c r="J82" t="s">
        <v>120</v>
      </c>
      <c r="K82" s="7">
        <v>56137</v>
      </c>
      <c r="L82" s="7" t="s">
        <v>279</v>
      </c>
      <c r="M82" s="7">
        <v>2</v>
      </c>
      <c r="N82" s="20">
        <v>43.862198999999997</v>
      </c>
      <c r="O82" s="11">
        <v>-95.300983000000002</v>
      </c>
      <c r="P82" s="12">
        <v>2007</v>
      </c>
      <c r="Q82" s="12" t="s">
        <v>388</v>
      </c>
      <c r="R82" s="12">
        <f t="shared" si="12"/>
        <v>2</v>
      </c>
      <c r="S82" s="12" t="s">
        <v>389</v>
      </c>
      <c r="AB82" s="13" t="s">
        <v>390</v>
      </c>
      <c r="AC82" s="13" t="s">
        <v>391</v>
      </c>
      <c r="AD82" s="13" t="s">
        <v>378</v>
      </c>
      <c r="AE82" s="8" t="str">
        <f t="shared" si="13"/>
        <v>High</v>
      </c>
      <c r="AF82" s="14"/>
      <c r="AG82" s="14"/>
      <c r="AH82" s="14"/>
      <c r="AI82" s="14"/>
      <c r="AJ82" s="15">
        <f>VLOOKUP(E82,'[1]Ethanol Plant Listing 2025'!$B$3:$E$220,4,FALSE)</f>
        <v>70</v>
      </c>
      <c r="AK82" s="14">
        <f>+AJ82*[1]Yield!$K$4</f>
        <v>66.5</v>
      </c>
      <c r="AL82" s="14">
        <f>AK82/VLOOKUP(Q82,[1]Yield!$E$5:$F$14,2,FALSE)</f>
        <v>22.542372881355931</v>
      </c>
      <c r="AM82" s="14"/>
      <c r="AN82" s="14"/>
      <c r="AO82" s="16">
        <f t="shared" si="14"/>
        <v>148000</v>
      </c>
      <c r="AP82" s="16" t="s">
        <v>393</v>
      </c>
      <c r="AQ82" s="17" t="str">
        <f t="shared" si="21"/>
        <v>ICM</v>
      </c>
      <c r="AR82" s="18">
        <f>VLOOKUP(AQ82,[1]Yield!$A$5:$B$10,2,FALSE)</f>
        <v>0.9</v>
      </c>
      <c r="AS82" s="14">
        <f t="shared" si="15"/>
        <v>20.288135593220339</v>
      </c>
      <c r="AT82" s="8" t="s">
        <v>437</v>
      </c>
      <c r="AU82" s="8"/>
      <c r="AV82" s="8"/>
      <c r="AW82" s="13"/>
      <c r="AX82" s="8" t="str">
        <f>IFERROR(VLOOKUP(E82,[1]Sheet3!$C$2:$E$68,2,FALSE),"None")</f>
        <v>Summit Carbon Solutions</v>
      </c>
      <c r="AY82" s="8">
        <f>IFERROR(VLOOKUP(AX82,[1]Sheet3!$H$3:$I$5,2,FALSE),0)</f>
        <v>31</v>
      </c>
      <c r="AZ82" s="14">
        <f t="shared" si="16"/>
        <v>70</v>
      </c>
      <c r="BA82" s="14">
        <f t="shared" si="17"/>
        <v>115.08</v>
      </c>
      <c r="BB82" s="27"/>
      <c r="BC82" s="7"/>
      <c r="BD82" s="19" t="s">
        <v>688</v>
      </c>
      <c r="BE82" s="7" t="s">
        <v>428</v>
      </c>
      <c r="BF82" s="7" t="s">
        <v>398</v>
      </c>
      <c r="BI82" s="7" t="s">
        <v>399</v>
      </c>
      <c r="BK82" s="7">
        <f t="shared" si="18"/>
        <v>25</v>
      </c>
    </row>
    <row r="83" spans="1:64" ht="15.6" customHeight="1" x14ac:dyDescent="0.3">
      <c r="A83" s="7">
        <v>82</v>
      </c>
      <c r="B83" s="8">
        <v>3303</v>
      </c>
      <c r="C83" s="8">
        <v>70235</v>
      </c>
      <c r="D83" s="8">
        <v>3202</v>
      </c>
      <c r="E83" s="8">
        <v>3631</v>
      </c>
      <c r="F83" s="8" t="str">
        <f t="shared" si="20"/>
        <v>Active</v>
      </c>
      <c r="G83" s="9" t="s">
        <v>123</v>
      </c>
      <c r="H83" s="9" t="str">
        <f>VLOOKUP(E83,'[1]EPA Ethanol Capacity 2024'!$B$5:$C$235,2,FALSE)</f>
        <v>Highwater Ethanol LLC</v>
      </c>
      <c r="I83" s="8" t="s">
        <v>429</v>
      </c>
      <c r="J83" t="s">
        <v>124</v>
      </c>
      <c r="K83" s="7">
        <v>56152</v>
      </c>
      <c r="L83" s="7" t="s">
        <v>689</v>
      </c>
      <c r="M83" s="7">
        <v>2</v>
      </c>
      <c r="N83" s="20">
        <v>44.232019999999999</v>
      </c>
      <c r="O83" s="11">
        <v>-95.300269999999998</v>
      </c>
      <c r="P83" s="12">
        <v>2009</v>
      </c>
      <c r="Q83" s="12" t="s">
        <v>388</v>
      </c>
      <c r="R83" s="12">
        <f t="shared" si="12"/>
        <v>1</v>
      </c>
      <c r="S83" s="12" t="s">
        <v>389</v>
      </c>
      <c r="AB83" s="13" t="s">
        <v>390</v>
      </c>
      <c r="AC83" s="13" t="s">
        <v>391</v>
      </c>
      <c r="AD83" s="13" t="s">
        <v>378</v>
      </c>
      <c r="AE83" s="8" t="str">
        <f t="shared" si="13"/>
        <v>High</v>
      </c>
      <c r="AF83" s="14"/>
      <c r="AG83" s="14"/>
      <c r="AH83" s="14"/>
      <c r="AI83" s="14"/>
      <c r="AJ83" s="15">
        <f>VLOOKUP(E83,'[1]Ethanol Plant Listing 2025'!$B$3:$E$220,4,FALSE)</f>
        <v>72</v>
      </c>
      <c r="AK83" s="14">
        <f>+AJ83*[1]Yield!$K$4</f>
        <v>68.399999999999991</v>
      </c>
      <c r="AL83" s="14">
        <f>AK83/VLOOKUP(Q83,[1]Yield!$E$5:$F$14,2,FALSE)</f>
        <v>23.186440677966097</v>
      </c>
      <c r="AM83" s="14"/>
      <c r="AN83" s="14"/>
      <c r="AO83" s="16">
        <f t="shared" si="14"/>
        <v>152000</v>
      </c>
      <c r="AP83" s="16" t="s">
        <v>393</v>
      </c>
      <c r="AQ83" s="17" t="str">
        <f t="shared" si="21"/>
        <v>ICM</v>
      </c>
      <c r="AR83" s="18">
        <f>VLOOKUP(AQ83,[1]Yield!$A$5:$B$10,2,FALSE)</f>
        <v>0.9</v>
      </c>
      <c r="AS83" s="14">
        <f t="shared" si="15"/>
        <v>20.867796610169489</v>
      </c>
      <c r="AT83" s="8" t="s">
        <v>437</v>
      </c>
      <c r="AU83" s="8"/>
      <c r="AV83" s="8"/>
      <c r="AW83" s="13"/>
      <c r="AX83" s="8" t="str">
        <f>IFERROR(VLOOKUP(E83,[1]Sheet3!$C$2:$E$68,2,FALSE),"None")</f>
        <v>None</v>
      </c>
      <c r="AY83" s="8">
        <f>IFERROR(VLOOKUP(AX83,[1]Sheet3!$H$3:$I$5,2,FALSE),0)</f>
        <v>0</v>
      </c>
      <c r="AZ83" s="14">
        <f t="shared" si="16"/>
        <v>72</v>
      </c>
      <c r="BA83" s="14">
        <f t="shared" si="17"/>
        <v>118.36799999999999</v>
      </c>
      <c r="BB83" s="27"/>
      <c r="BC83" s="7"/>
      <c r="BD83" s="19" t="s">
        <v>690</v>
      </c>
      <c r="BE83" s="7" t="s">
        <v>432</v>
      </c>
      <c r="BF83" s="7" t="s">
        <v>398</v>
      </c>
      <c r="BJ83" s="7" t="s">
        <v>400</v>
      </c>
      <c r="BK83" s="7">
        <f t="shared" si="18"/>
        <v>25</v>
      </c>
      <c r="BL83" s="9" t="s">
        <v>691</v>
      </c>
    </row>
    <row r="84" spans="1:64" ht="15.6" customHeight="1" x14ac:dyDescent="0.3">
      <c r="A84" s="7">
        <v>83</v>
      </c>
      <c r="B84" s="8">
        <v>3220</v>
      </c>
      <c r="C84" s="8">
        <v>70188</v>
      </c>
      <c r="D84" s="8">
        <v>3203</v>
      </c>
      <c r="E84" s="8">
        <v>3632</v>
      </c>
      <c r="F84" s="8" t="str">
        <f t="shared" si="20"/>
        <v>Active</v>
      </c>
      <c r="G84" s="9" t="s">
        <v>127</v>
      </c>
      <c r="H84" s="9" t="str">
        <f>VLOOKUP(E84,'[1]EPA Ethanol Capacity 2024'!$B$5:$C$235,2,FALSE)</f>
        <v>Homeland Energy Solutions LLC</v>
      </c>
      <c r="I84" s="8" t="s">
        <v>387</v>
      </c>
      <c r="J84" t="s">
        <v>128</v>
      </c>
      <c r="K84" s="7">
        <v>52154</v>
      </c>
      <c r="L84" s="7" t="s">
        <v>692</v>
      </c>
      <c r="M84" s="7">
        <v>2</v>
      </c>
      <c r="N84" s="20">
        <v>43.070207000000003</v>
      </c>
      <c r="O84" s="11">
        <v>-92.204999999999998</v>
      </c>
      <c r="P84" s="12">
        <v>2007</v>
      </c>
      <c r="Q84" s="12" t="s">
        <v>388</v>
      </c>
      <c r="R84" s="12">
        <f t="shared" si="12"/>
        <v>1</v>
      </c>
      <c r="S84" s="12" t="s">
        <v>389</v>
      </c>
      <c r="AB84" s="13" t="s">
        <v>390</v>
      </c>
      <c r="AC84" s="13" t="s">
        <v>391</v>
      </c>
      <c r="AD84" s="13" t="s">
        <v>378</v>
      </c>
      <c r="AE84" s="8" t="str">
        <f t="shared" si="13"/>
        <v>High</v>
      </c>
      <c r="AF84" s="14"/>
      <c r="AG84" s="14"/>
      <c r="AH84" s="14"/>
      <c r="AI84" s="14"/>
      <c r="AJ84" s="15">
        <f>VLOOKUP(E84,'[1]Ethanol Plant Listing 2025'!$B$3:$E$220,4,FALSE)</f>
        <v>207</v>
      </c>
      <c r="AK84" s="14">
        <f>+AJ84*[1]Yield!$K$4</f>
        <v>196.64999999999998</v>
      </c>
      <c r="AL84" s="14">
        <f>AK84/VLOOKUP(Q84,[1]Yield!$E$5:$F$14,2,FALSE)</f>
        <v>66.661016949152526</v>
      </c>
      <c r="AM84" s="14"/>
      <c r="AN84" s="14"/>
      <c r="AO84" s="16">
        <f t="shared" si="14"/>
        <v>437000</v>
      </c>
      <c r="AP84" s="16" t="s">
        <v>393</v>
      </c>
      <c r="AQ84" s="17" t="str">
        <f t="shared" si="21"/>
        <v>ICM</v>
      </c>
      <c r="AR84" s="18">
        <f>VLOOKUP(AQ84,[1]Yield!$A$5:$B$10,2,FALSE)</f>
        <v>0.9</v>
      </c>
      <c r="AS84" s="14">
        <f t="shared" si="15"/>
        <v>59.994915254237277</v>
      </c>
      <c r="AT84" s="8" t="s">
        <v>437</v>
      </c>
      <c r="AU84" s="8"/>
      <c r="AV84" s="8" t="s">
        <v>395</v>
      </c>
      <c r="AW84" s="13"/>
      <c r="AX84" s="8" t="str">
        <f>IFERROR(VLOOKUP(E84,[1]Sheet3!$C$2:$E$68,2,FALSE),"None")</f>
        <v>Summit Carbon Solutions</v>
      </c>
      <c r="AY84" s="8">
        <f>IFERROR(VLOOKUP(AX84,[1]Sheet3!$H$3:$I$5,2,FALSE),0)</f>
        <v>31</v>
      </c>
      <c r="AZ84" s="14">
        <f t="shared" si="16"/>
        <v>207</v>
      </c>
      <c r="BA84" s="14">
        <f t="shared" si="17"/>
        <v>340.30799999999994</v>
      </c>
      <c r="BB84" s="12">
        <f>SUMIFS('[1]Corn 2023'!V:V,'[1]Corn 2023'!B:B,"=2023",'[1]Corn 2023'!L:L,"="&amp;'Corn Processors'!L84)</f>
        <v>147000</v>
      </c>
      <c r="BC84" s="7"/>
      <c r="BD84" s="19" t="s">
        <v>693</v>
      </c>
      <c r="BE84" s="7" t="s">
        <v>432</v>
      </c>
      <c r="BF84" s="7" t="s">
        <v>398</v>
      </c>
      <c r="BK84" s="7">
        <f t="shared" si="18"/>
        <v>25</v>
      </c>
    </row>
    <row r="85" spans="1:64" ht="15.6" customHeight="1" x14ac:dyDescent="0.3">
      <c r="A85" s="7">
        <v>84</v>
      </c>
      <c r="B85" s="8">
        <v>5078</v>
      </c>
      <c r="C85" s="8">
        <v>70151</v>
      </c>
      <c r="D85" s="8">
        <v>3204</v>
      </c>
      <c r="E85" s="8">
        <v>3633</v>
      </c>
      <c r="F85" s="8" t="str">
        <f t="shared" si="20"/>
        <v>Active</v>
      </c>
      <c r="G85" s="9" t="s">
        <v>92</v>
      </c>
      <c r="H85" s="9" t="str">
        <f>VLOOKUP(E85,'[1]EPA Ethanol Capacity 2024'!$B$5:$C$235,2,FALSE)</f>
        <v>Husker Ag LLC</v>
      </c>
      <c r="I85" s="8" t="s">
        <v>470</v>
      </c>
      <c r="J85" t="s">
        <v>131</v>
      </c>
      <c r="K85" s="7">
        <v>68769</v>
      </c>
      <c r="L85" s="7" t="s">
        <v>694</v>
      </c>
      <c r="M85" s="7">
        <v>2</v>
      </c>
      <c r="N85" s="20">
        <v>42.350659999999998</v>
      </c>
      <c r="O85" s="11">
        <v>-97.707999999999998</v>
      </c>
      <c r="P85" s="12">
        <v>2003</v>
      </c>
      <c r="Q85" s="12" t="s">
        <v>388</v>
      </c>
      <c r="R85" s="12">
        <f t="shared" si="12"/>
        <v>2</v>
      </c>
      <c r="S85" s="12" t="s">
        <v>389</v>
      </c>
      <c r="AB85" s="13" t="s">
        <v>390</v>
      </c>
      <c r="AC85" s="13" t="s">
        <v>391</v>
      </c>
      <c r="AD85" s="13" t="s">
        <v>378</v>
      </c>
      <c r="AE85" s="8" t="str">
        <f t="shared" si="13"/>
        <v>High</v>
      </c>
      <c r="AF85" s="14">
        <v>208.5</v>
      </c>
      <c r="AG85" s="14">
        <v>170</v>
      </c>
      <c r="AH85" s="14" t="s">
        <v>695</v>
      </c>
      <c r="AI85" s="14"/>
      <c r="AJ85" s="15">
        <f>VLOOKUP(E85,'[1]Ethanol Plant Listing 2025'!$B$3:$E$220,4,FALSE)</f>
        <v>109</v>
      </c>
      <c r="AK85" s="14">
        <f>+AJ85*[1]Yield!$K$4</f>
        <v>103.55</v>
      </c>
      <c r="AL85" s="14">
        <f>AK85/VLOOKUP(Q85,[1]Yield!$E$5:$F$14,2,FALSE)</f>
        <v>35.101694915254235</v>
      </c>
      <c r="AM85" s="14"/>
      <c r="AN85" s="14"/>
      <c r="AO85" s="16">
        <f t="shared" si="14"/>
        <v>230000</v>
      </c>
      <c r="AP85" s="16" t="s">
        <v>393</v>
      </c>
      <c r="AQ85" s="17" t="str">
        <f t="shared" si="21"/>
        <v>ICM</v>
      </c>
      <c r="AR85" s="18">
        <f>VLOOKUP(AQ85,[1]Yield!$A$5:$B$10,2,FALSE)</f>
        <v>0.9</v>
      </c>
      <c r="AS85" s="14">
        <f t="shared" si="15"/>
        <v>31.591525423728811</v>
      </c>
      <c r="AT85" s="8" t="s">
        <v>437</v>
      </c>
      <c r="AU85" s="8"/>
      <c r="AV85" s="8"/>
      <c r="AW85" s="13"/>
      <c r="AX85" s="8" t="str">
        <f>IFERROR(VLOOKUP(E85,[1]Sheet3!$C$2:$E$68,2,FALSE),"None")</f>
        <v>None</v>
      </c>
      <c r="AY85" s="8">
        <f>IFERROR(VLOOKUP(AX85,[1]Sheet3!$H$3:$I$5,2,FALSE),0)</f>
        <v>0</v>
      </c>
      <c r="AZ85" s="14">
        <f t="shared" si="16"/>
        <v>109</v>
      </c>
      <c r="BA85" s="14">
        <f t="shared" si="17"/>
        <v>179.196</v>
      </c>
      <c r="BB85" s="27"/>
      <c r="BC85" s="7"/>
      <c r="BD85" s="19" t="s">
        <v>696</v>
      </c>
      <c r="BE85" s="7" t="s">
        <v>481</v>
      </c>
      <c r="BF85" s="7" t="s">
        <v>414</v>
      </c>
      <c r="BJ85" s="7" t="s">
        <v>400</v>
      </c>
      <c r="BK85" s="7">
        <f t="shared" si="18"/>
        <v>25</v>
      </c>
    </row>
    <row r="86" spans="1:64" ht="15.6" customHeight="1" x14ac:dyDescent="0.3">
      <c r="A86" s="7">
        <v>85</v>
      </c>
      <c r="B86" s="8"/>
      <c r="C86" s="8"/>
      <c r="D86" s="8">
        <v>3205</v>
      </c>
      <c r="E86" s="8">
        <v>3634</v>
      </c>
      <c r="F86" s="8" t="str">
        <f t="shared" si="20"/>
        <v>Active</v>
      </c>
      <c r="G86" s="9" t="s">
        <v>388</v>
      </c>
      <c r="H86" s="9" t="str">
        <f>VLOOKUP(E86,'[1]EPA Ethanol Capacity 2024'!$B$5:$C$235,2,FALSE)</f>
        <v>ICM Biofuels LLC</v>
      </c>
      <c r="I86" s="8" t="s">
        <v>697</v>
      </c>
      <c r="J86" t="s">
        <v>698</v>
      </c>
      <c r="K86" s="7">
        <v>67030</v>
      </c>
      <c r="L86" s="7" t="s">
        <v>699</v>
      </c>
      <c r="M86" s="7">
        <v>2</v>
      </c>
      <c r="N86" s="20">
        <v>39.740250000000003</v>
      </c>
      <c r="O86" s="11">
        <v>-94.846800000000002</v>
      </c>
      <c r="P86" s="12" t="s">
        <v>700</v>
      </c>
      <c r="Q86" s="12" t="s">
        <v>388</v>
      </c>
      <c r="R86" s="12">
        <f t="shared" si="12"/>
        <v>1</v>
      </c>
      <c r="S86" s="12"/>
      <c r="AB86" s="13" t="s">
        <v>390</v>
      </c>
      <c r="AC86" s="13" t="s">
        <v>391</v>
      </c>
      <c r="AD86" s="13" t="s">
        <v>378</v>
      </c>
      <c r="AE86" s="8" t="str">
        <f t="shared" si="13"/>
        <v>High</v>
      </c>
      <c r="AF86" s="14">
        <f>106.4*1.0249</f>
        <v>109.04935999999999</v>
      </c>
      <c r="AG86" s="14">
        <v>76</v>
      </c>
      <c r="AH86" s="14" t="s">
        <v>515</v>
      </c>
      <c r="AI86" s="14">
        <v>73356</v>
      </c>
      <c r="AJ86" s="15">
        <f>VLOOKUP(E86,'[1]Ethanol Plant Listing 2025'!$B$3:$E$220,4,FALSE)</f>
        <v>50</v>
      </c>
      <c r="AK86" s="14">
        <f>+AJ86*[1]Yield!$K$4</f>
        <v>47.5</v>
      </c>
      <c r="AL86" s="14">
        <f>AK86/VLOOKUP(Q86,[1]Yield!$E$5:$F$14,2,FALSE)</f>
        <v>16.101694915254235</v>
      </c>
      <c r="AM86" s="14"/>
      <c r="AN86" s="14"/>
      <c r="AO86" s="16">
        <f t="shared" si="14"/>
        <v>105000</v>
      </c>
      <c r="AP86" s="16" t="s">
        <v>393</v>
      </c>
      <c r="AQ86" s="17" t="str">
        <f t="shared" si="21"/>
        <v>ICM</v>
      </c>
      <c r="AR86" s="18">
        <f>VLOOKUP(AQ86,[1]Yield!$A$5:$B$10,2,FALSE)</f>
        <v>0.9</v>
      </c>
      <c r="AS86" s="14">
        <f t="shared" si="15"/>
        <v>14.491525423728811</v>
      </c>
      <c r="AT86" s="8" t="s">
        <v>411</v>
      </c>
      <c r="AX86" s="8" t="str">
        <f>IFERROR(VLOOKUP(E86,[1]Sheet3!$C$2:$E$68,2,FALSE),"None")</f>
        <v>None</v>
      </c>
      <c r="AY86" s="8">
        <f>IFERROR(VLOOKUP(AX86,[1]Sheet3!$H$3:$I$5,2,FALSE),0)</f>
        <v>0</v>
      </c>
      <c r="AZ86" s="14">
        <f t="shared" si="16"/>
        <v>50</v>
      </c>
      <c r="BA86" s="14">
        <f t="shared" si="17"/>
        <v>82.2</v>
      </c>
      <c r="BB86" s="27"/>
      <c r="BC86" s="7"/>
      <c r="BD86" s="19" t="s">
        <v>701</v>
      </c>
      <c r="BE86" s="7" t="s">
        <v>481</v>
      </c>
      <c r="BF86" s="7" t="s">
        <v>414</v>
      </c>
      <c r="BJ86" s="7" t="s">
        <v>400</v>
      </c>
      <c r="BK86" s="7">
        <f t="shared" si="18"/>
        <v>25</v>
      </c>
    </row>
    <row r="87" spans="1:64" ht="15.6" customHeight="1" x14ac:dyDescent="0.3">
      <c r="A87" s="7">
        <v>86</v>
      </c>
      <c r="B87" s="8"/>
      <c r="C87" s="8"/>
      <c r="D87" s="8">
        <v>3206</v>
      </c>
      <c r="E87" s="8">
        <v>3635</v>
      </c>
      <c r="F87" s="8" t="str">
        <f t="shared" si="20"/>
        <v>Active</v>
      </c>
      <c r="G87" s="9" t="s">
        <v>507</v>
      </c>
      <c r="H87" s="9" t="str">
        <f>VLOOKUP(E87,'[1]EPA Ethanol Capacity 2024'!$B$5:$C$235,2,FALSE)</f>
        <v>Iroquois Bio-Energy Co LLC</v>
      </c>
      <c r="I87" s="8" t="s">
        <v>533</v>
      </c>
      <c r="J87" t="s">
        <v>702</v>
      </c>
      <c r="K87" s="7">
        <v>47978</v>
      </c>
      <c r="L87" s="7" t="s">
        <v>703</v>
      </c>
      <c r="M87" s="7">
        <v>2</v>
      </c>
      <c r="N87" s="20">
        <v>40.933056000000001</v>
      </c>
      <c r="O87" s="11">
        <v>-87.067222000000001</v>
      </c>
      <c r="P87" s="12">
        <v>2006</v>
      </c>
      <c r="Q87" s="12" t="s">
        <v>388</v>
      </c>
      <c r="R87" s="12">
        <f t="shared" si="12"/>
        <v>3</v>
      </c>
      <c r="S87" s="12" t="s">
        <v>389</v>
      </c>
      <c r="AB87" s="13" t="s">
        <v>390</v>
      </c>
      <c r="AC87" s="13" t="s">
        <v>391</v>
      </c>
      <c r="AD87" s="13" t="s">
        <v>378</v>
      </c>
      <c r="AE87" s="8" t="str">
        <f t="shared" si="13"/>
        <v>High</v>
      </c>
      <c r="AF87" s="14"/>
      <c r="AG87" s="14"/>
      <c r="AH87" s="14"/>
      <c r="AI87" s="14"/>
      <c r="AJ87" s="15">
        <f>VLOOKUP(E87,'[1]Ethanol Plant Listing 2025'!$B$3:$E$220,4,FALSE)</f>
        <v>65</v>
      </c>
      <c r="AK87" s="14">
        <f>+AJ87*[1]Yield!$K$4</f>
        <v>61.75</v>
      </c>
      <c r="AL87" s="14">
        <f>AK87/VLOOKUP(Q87,[1]Yield!$E$5:$F$14,2,FALSE)</f>
        <v>20.932203389830509</v>
      </c>
      <c r="AM87" s="14"/>
      <c r="AN87" s="14"/>
      <c r="AO87" s="16">
        <f t="shared" si="14"/>
        <v>137000</v>
      </c>
      <c r="AP87" s="16" t="s">
        <v>393</v>
      </c>
      <c r="AQ87" s="17" t="str">
        <f t="shared" si="21"/>
        <v>ICM</v>
      </c>
      <c r="AR87" s="18">
        <f>VLOOKUP(AQ87,[1]Yield!$A$5:$B$10,2,FALSE)</f>
        <v>0.9</v>
      </c>
      <c r="AS87" s="14">
        <f t="shared" si="15"/>
        <v>18.838983050847457</v>
      </c>
      <c r="AT87" s="8" t="s">
        <v>394</v>
      </c>
      <c r="AU87" s="7" t="s">
        <v>450</v>
      </c>
      <c r="AX87" s="8" t="str">
        <f>IFERROR(VLOOKUP(E87,[1]Sheet3!$C$2:$E$68,2,FALSE),"None")</f>
        <v>Direct Inject</v>
      </c>
      <c r="AY87" s="8">
        <f>IFERROR(VLOOKUP(AX87,[1]Sheet3!$H$3:$I$5,2,FALSE),0)</f>
        <v>32</v>
      </c>
      <c r="AZ87" s="14">
        <f t="shared" si="16"/>
        <v>65</v>
      </c>
      <c r="BA87" s="14">
        <f t="shared" si="17"/>
        <v>106.86</v>
      </c>
      <c r="BB87" s="27"/>
      <c r="BC87" s="7"/>
      <c r="BD87" s="19" t="s">
        <v>704</v>
      </c>
      <c r="BE87" s="7" t="s">
        <v>531</v>
      </c>
      <c r="BF87" s="7" t="s">
        <v>398</v>
      </c>
      <c r="BK87" s="7">
        <f t="shared" si="18"/>
        <v>25</v>
      </c>
      <c r="BL87" s="9" t="s">
        <v>705</v>
      </c>
    </row>
    <row r="88" spans="1:64" ht="15.6" customHeight="1" x14ac:dyDescent="0.3">
      <c r="A88" s="7">
        <v>87</v>
      </c>
      <c r="B88" s="8">
        <v>4805</v>
      </c>
      <c r="C88" s="8">
        <v>70079</v>
      </c>
      <c r="D88" s="8">
        <v>3207</v>
      </c>
      <c r="E88" s="8">
        <v>3636</v>
      </c>
      <c r="F88" s="8" t="str">
        <f t="shared" si="20"/>
        <v>Active</v>
      </c>
      <c r="G88" s="9" t="s">
        <v>134</v>
      </c>
      <c r="H88" s="9" t="str">
        <f>VLOOKUP(E88,'[1]EPA Ethanol Capacity 2024'!$B$5:$C$235,2,FALSE)</f>
        <v>Kappa Ethanol LLC</v>
      </c>
      <c r="I88" s="8" t="s">
        <v>470</v>
      </c>
      <c r="J88" t="s">
        <v>135</v>
      </c>
      <c r="K88" s="7">
        <v>68959</v>
      </c>
      <c r="L88" s="7" t="s">
        <v>706</v>
      </c>
      <c r="M88" s="7">
        <v>2</v>
      </c>
      <c r="N88" s="20">
        <v>40.483429999999998</v>
      </c>
      <c r="O88" s="11">
        <v>-99.073300000000003</v>
      </c>
      <c r="P88" s="12">
        <v>2003</v>
      </c>
      <c r="Q88" s="12" t="s">
        <v>388</v>
      </c>
      <c r="R88" s="12">
        <f t="shared" si="12"/>
        <v>3</v>
      </c>
      <c r="S88" s="12"/>
      <c r="AB88" s="13" t="s">
        <v>390</v>
      </c>
      <c r="AC88" s="13" t="s">
        <v>391</v>
      </c>
      <c r="AD88" s="13" t="s">
        <v>378</v>
      </c>
      <c r="AE88" s="8" t="str">
        <f t="shared" si="13"/>
        <v>High</v>
      </c>
      <c r="AF88" s="14"/>
      <c r="AG88" s="14"/>
      <c r="AH88" s="14"/>
      <c r="AI88" s="14"/>
      <c r="AJ88" s="15">
        <f>VLOOKUP(E88,'[1]Ethanol Plant Listing 2025'!$B$3:$E$220,4,FALSE)</f>
        <v>87</v>
      </c>
      <c r="AK88" s="14">
        <f>+AJ88*[1]Yield!$K$4</f>
        <v>82.649999999999991</v>
      </c>
      <c r="AL88" s="14">
        <f>AK88/VLOOKUP(Q88,[1]Yield!$E$5:$F$14,2,FALSE)</f>
        <v>28.016949152542367</v>
      </c>
      <c r="AM88" s="14"/>
      <c r="AN88" s="14"/>
      <c r="AO88" s="16">
        <f t="shared" si="14"/>
        <v>184000</v>
      </c>
      <c r="AP88" s="16" t="s">
        <v>393</v>
      </c>
      <c r="AQ88" s="17" t="str">
        <f t="shared" si="21"/>
        <v>ICM</v>
      </c>
      <c r="AR88" s="18">
        <f>VLOOKUP(AQ88,[1]Yield!$A$5:$B$10,2,FALSE)</f>
        <v>0.9</v>
      </c>
      <c r="AS88" s="14">
        <f t="shared" si="15"/>
        <v>25.215254237288132</v>
      </c>
      <c r="AT88" s="8" t="s">
        <v>394</v>
      </c>
      <c r="AU88" s="8"/>
      <c r="AV88" s="8"/>
      <c r="AW88" s="13"/>
      <c r="AX88" s="8" t="str">
        <f>IFERROR(VLOOKUP(E88,[1]Sheet3!$C$2:$E$68,2,FALSE),"None")</f>
        <v>None</v>
      </c>
      <c r="AY88" s="8">
        <f>IFERROR(VLOOKUP(AX88,[1]Sheet3!$H$3:$I$5,2,FALSE),0)</f>
        <v>0</v>
      </c>
      <c r="AZ88" s="14">
        <f t="shared" si="16"/>
        <v>87</v>
      </c>
      <c r="BA88" s="14">
        <f t="shared" si="17"/>
        <v>143.02799999999999</v>
      </c>
      <c r="BB88" s="27"/>
      <c r="BC88" s="7"/>
      <c r="BD88" s="19" t="s">
        <v>707</v>
      </c>
      <c r="BE88" s="7" t="s">
        <v>481</v>
      </c>
      <c r="BF88" s="7" t="s">
        <v>398</v>
      </c>
      <c r="BJ88" s="7" t="s">
        <v>400</v>
      </c>
      <c r="BK88" s="7">
        <f t="shared" si="18"/>
        <v>25</v>
      </c>
    </row>
    <row r="89" spans="1:64" ht="15.6" customHeight="1" x14ac:dyDescent="0.3">
      <c r="A89" s="7">
        <v>88</v>
      </c>
      <c r="B89" s="8"/>
      <c r="C89" s="8">
        <v>70098</v>
      </c>
      <c r="D89" s="8">
        <v>3208</v>
      </c>
      <c r="E89" s="8">
        <v>3637</v>
      </c>
      <c r="F89" s="8" t="str">
        <f t="shared" si="20"/>
        <v>Active</v>
      </c>
      <c r="G89" s="9" t="s">
        <v>134</v>
      </c>
      <c r="H89" s="9" t="str">
        <f>VLOOKUP(E89,'[1]EPA Ethanol Capacity 2024'!$B$5:$C$235,2,FALSE)</f>
        <v>Kappa Ethanol Ravenna LLC</v>
      </c>
      <c r="I89" s="8" t="s">
        <v>470</v>
      </c>
      <c r="J89" t="s">
        <v>138</v>
      </c>
      <c r="K89" s="7">
        <v>68869</v>
      </c>
      <c r="L89" s="7" t="s">
        <v>708</v>
      </c>
      <c r="M89" s="7">
        <v>2</v>
      </c>
      <c r="N89" s="20">
        <v>41.023749000000002</v>
      </c>
      <c r="O89" s="11">
        <v>-98.875110000000006</v>
      </c>
      <c r="P89" s="12">
        <v>2007</v>
      </c>
      <c r="Q89" s="12" t="s">
        <v>445</v>
      </c>
      <c r="R89" s="12">
        <f t="shared" si="12"/>
        <v>3</v>
      </c>
      <c r="S89" s="12"/>
      <c r="AB89" s="13" t="s">
        <v>390</v>
      </c>
      <c r="AC89" s="13" t="s">
        <v>391</v>
      </c>
      <c r="AD89" s="13" t="s">
        <v>378</v>
      </c>
      <c r="AE89" s="8" t="str">
        <f t="shared" si="13"/>
        <v>High</v>
      </c>
      <c r="AF89" s="14">
        <f>95.46*1.0245</f>
        <v>97.79876999999999</v>
      </c>
      <c r="AG89" s="14">
        <v>60</v>
      </c>
      <c r="AH89" s="14" t="s">
        <v>515</v>
      </c>
      <c r="AI89" s="14">
        <v>75073</v>
      </c>
      <c r="AJ89" s="15">
        <f>VLOOKUP(E89,'[1]Ethanol Plant Listing 2025'!$B$3:$E$220,4,FALSE)</f>
        <v>138</v>
      </c>
      <c r="AK89" s="14">
        <f>+AJ89*[1]Yield!$K$4</f>
        <v>131.1</v>
      </c>
      <c r="AL89" s="14">
        <f>AK89/VLOOKUP(Q89,[1]Yield!$E$5:$F$14,2,FALSE)</f>
        <v>45.206896551724135</v>
      </c>
      <c r="AM89" s="14"/>
      <c r="AN89" s="14"/>
      <c r="AO89" s="16">
        <f t="shared" si="14"/>
        <v>296000</v>
      </c>
      <c r="AP89" s="16"/>
      <c r="AQ89" s="17" t="str">
        <f t="shared" si="21"/>
        <v>None</v>
      </c>
      <c r="AR89" s="18">
        <f>VLOOKUP(AQ89,[1]Yield!$A$5:$B$10,2,FALSE)</f>
        <v>0.81499999999999995</v>
      </c>
      <c r="AS89" s="14">
        <f t="shared" si="15"/>
        <v>36.843620689655168</v>
      </c>
      <c r="AT89" s="8" t="s">
        <v>394</v>
      </c>
      <c r="AU89" s="8"/>
      <c r="AV89" s="8"/>
      <c r="AW89" s="13"/>
      <c r="AX89" s="8" t="str">
        <f>IFERROR(VLOOKUP(E89,[1]Sheet3!$C$2:$E$68,2,FALSE),"None")</f>
        <v>None</v>
      </c>
      <c r="AY89" s="8">
        <f>IFERROR(VLOOKUP(AX89,[1]Sheet3!$H$3:$I$5,2,FALSE),0)</f>
        <v>0</v>
      </c>
      <c r="AZ89" s="14">
        <f t="shared" si="16"/>
        <v>138</v>
      </c>
      <c r="BA89" s="14">
        <f t="shared" si="17"/>
        <v>226.87199999999999</v>
      </c>
      <c r="BB89" s="27"/>
      <c r="BC89" s="7"/>
      <c r="BD89" s="19" t="s">
        <v>707</v>
      </c>
      <c r="BE89" s="7" t="s">
        <v>481</v>
      </c>
      <c r="BF89" s="7" t="s">
        <v>398</v>
      </c>
      <c r="BJ89" s="7" t="s">
        <v>400</v>
      </c>
      <c r="BK89" s="7">
        <f t="shared" si="18"/>
        <v>20</v>
      </c>
    </row>
    <row r="90" spans="1:64" ht="15.6" customHeight="1" x14ac:dyDescent="0.3">
      <c r="A90" s="7">
        <v>89</v>
      </c>
      <c r="B90" s="8"/>
      <c r="C90" s="8">
        <v>72943</v>
      </c>
      <c r="D90" s="8">
        <v>3152</v>
      </c>
      <c r="E90" s="8">
        <v>3638</v>
      </c>
      <c r="F90" s="8" t="str">
        <f t="shared" si="20"/>
        <v>Active</v>
      </c>
      <c r="G90" s="9" t="s">
        <v>134</v>
      </c>
      <c r="H90" s="9" t="str">
        <f>VLOOKUP(E90,'[1]EPA Ethanol Capacity 2024'!$B$5:$C$235,2,FALSE)</f>
        <v>Kappa Partners Aurora LLC</v>
      </c>
      <c r="I90" s="8" t="s">
        <v>470</v>
      </c>
      <c r="J90" t="s">
        <v>141</v>
      </c>
      <c r="K90" s="7">
        <v>68818</v>
      </c>
      <c r="L90" s="7" t="s">
        <v>709</v>
      </c>
      <c r="M90" s="7">
        <v>2</v>
      </c>
      <c r="N90" s="20">
        <v>40.868009999999998</v>
      </c>
      <c r="O90" s="11">
        <v>-98.0364</v>
      </c>
      <c r="P90" s="12">
        <v>2012</v>
      </c>
      <c r="Q90" s="12" t="s">
        <v>405</v>
      </c>
      <c r="R90" s="12">
        <f t="shared" si="12"/>
        <v>3</v>
      </c>
      <c r="S90" s="12"/>
      <c r="AA90" s="7" t="s">
        <v>349</v>
      </c>
      <c r="AB90" s="13" t="s">
        <v>390</v>
      </c>
      <c r="AC90" s="13" t="s">
        <v>391</v>
      </c>
      <c r="AD90" s="13" t="s">
        <v>378</v>
      </c>
      <c r="AE90" s="8" t="str">
        <f t="shared" si="13"/>
        <v>High</v>
      </c>
      <c r="AF90" s="14">
        <f>110.51*1.05</f>
        <v>116.03550000000001</v>
      </c>
      <c r="AG90" s="14"/>
      <c r="AH90" s="14" t="s">
        <v>515</v>
      </c>
      <c r="AI90" s="14">
        <v>87072</v>
      </c>
      <c r="AJ90" s="15">
        <f>VLOOKUP(E90,'[1]Ethanol Plant Listing 2025'!$B$3:$E$220,4,FALSE)</f>
        <v>109.5</v>
      </c>
      <c r="AK90" s="14">
        <f>+AJ90*[1]Yield!$K$4</f>
        <v>104.02499999999999</v>
      </c>
      <c r="AL90" s="14">
        <f>AK90/VLOOKUP(Q90,[1]Yield!$E$5:$F$14,2,FALSE)</f>
        <v>36.119791666666664</v>
      </c>
      <c r="AM90" s="14"/>
      <c r="AN90" s="14"/>
      <c r="AO90" s="16">
        <f t="shared" si="14"/>
        <v>237000</v>
      </c>
      <c r="AP90" s="16" t="s">
        <v>410</v>
      </c>
      <c r="AQ90" s="17" t="str">
        <f t="shared" si="21"/>
        <v>None</v>
      </c>
      <c r="AR90" s="18">
        <f>VLOOKUP(AQ90,[1]Yield!$A$5:$B$10,2,FALSE)</f>
        <v>0.81499999999999995</v>
      </c>
      <c r="AS90" s="14">
        <f t="shared" si="15"/>
        <v>29.437630208333328</v>
      </c>
      <c r="AT90" s="8" t="s">
        <v>394</v>
      </c>
      <c r="AU90" s="8"/>
      <c r="AV90" s="8" t="str">
        <f>+AX90</f>
        <v>Tall Grass</v>
      </c>
      <c r="AW90" s="13"/>
      <c r="AX90" s="8" t="str">
        <f>IFERROR(VLOOKUP(E90,[1]Sheet3!$C$2:$E$68,2,FALSE),"None")</f>
        <v>Tall Grass</v>
      </c>
      <c r="AY90" s="8">
        <f>IFERROR(VLOOKUP(AX90,[1]Sheet3!$H$3:$I$5,2,FALSE),0)</f>
        <v>30</v>
      </c>
      <c r="AZ90" s="14">
        <f t="shared" si="16"/>
        <v>109.5</v>
      </c>
      <c r="BA90" s="14">
        <f t="shared" si="17"/>
        <v>180.01799999999997</v>
      </c>
      <c r="BB90" s="27"/>
      <c r="BC90" s="7"/>
      <c r="BD90" s="19" t="s">
        <v>710</v>
      </c>
      <c r="BE90" s="7" t="s">
        <v>481</v>
      </c>
      <c r="BF90" s="7" t="s">
        <v>398</v>
      </c>
      <c r="BJ90" s="7" t="s">
        <v>400</v>
      </c>
      <c r="BK90" s="7">
        <f t="shared" si="18"/>
        <v>20</v>
      </c>
      <c r="BL90" s="9" t="s">
        <v>711</v>
      </c>
    </row>
    <row r="91" spans="1:64" ht="15.6" customHeight="1" x14ac:dyDescent="0.3">
      <c r="A91" s="7">
        <v>90</v>
      </c>
      <c r="B91" s="8">
        <v>5810</v>
      </c>
      <c r="C91" s="8">
        <v>70279</v>
      </c>
      <c r="D91" s="8">
        <v>3209</v>
      </c>
      <c r="E91" s="8">
        <v>3639</v>
      </c>
      <c r="F91" s="8" t="str">
        <f t="shared" si="20"/>
        <v>Active</v>
      </c>
      <c r="G91" s="9" t="s">
        <v>144</v>
      </c>
      <c r="H91" s="9" t="str">
        <f>VLOOKUP(E91,'[1]EPA Ethanol Capacity 2024'!$B$5:$C$235,2,FALSE)</f>
        <v>Kansas Ethanol LLC</v>
      </c>
      <c r="I91" s="8" t="s">
        <v>455</v>
      </c>
      <c r="J91" t="s">
        <v>145</v>
      </c>
      <c r="K91" s="7">
        <v>67554</v>
      </c>
      <c r="L91" s="7" t="s">
        <v>712</v>
      </c>
      <c r="M91" s="7">
        <v>2</v>
      </c>
      <c r="N91" s="20">
        <v>38.289589999999997</v>
      </c>
      <c r="O91" s="11">
        <v>-98.195220000000006</v>
      </c>
      <c r="P91" s="12">
        <v>2005</v>
      </c>
      <c r="Q91" s="12" t="s">
        <v>388</v>
      </c>
      <c r="R91" s="12">
        <f t="shared" si="12"/>
        <v>1</v>
      </c>
      <c r="S91" s="12" t="s">
        <v>389</v>
      </c>
      <c r="X91" s="7" t="s">
        <v>713</v>
      </c>
      <c r="AB91" s="13" t="s">
        <v>425</v>
      </c>
      <c r="AC91" s="13" t="s">
        <v>391</v>
      </c>
      <c r="AD91" s="13" t="s">
        <v>378</v>
      </c>
      <c r="AE91" s="8" t="str">
        <f t="shared" si="13"/>
        <v>High</v>
      </c>
      <c r="AF91" s="14">
        <v>148</v>
      </c>
      <c r="AG91" s="14">
        <v>100</v>
      </c>
      <c r="AH91" s="14" t="s">
        <v>515</v>
      </c>
      <c r="AI91" s="14">
        <v>77854</v>
      </c>
      <c r="AJ91" s="15">
        <f>VLOOKUP(E91,'[1]Ethanol Plant Listing 2025'!$B$3:$E$220,4,FALSE)</f>
        <v>80</v>
      </c>
      <c r="AK91" s="14">
        <f>+AJ91*[1]Yield!$K$4</f>
        <v>76</v>
      </c>
      <c r="AL91" s="14">
        <f>AK91/VLOOKUP(Q91,[1]Yield!$E$5:$F$14,2,FALSE)</f>
        <v>25.762711864406779</v>
      </c>
      <c r="AM91" s="14"/>
      <c r="AN91" s="14"/>
      <c r="AO91" s="16">
        <f t="shared" si="14"/>
        <v>169000</v>
      </c>
      <c r="AP91" s="16" t="s">
        <v>393</v>
      </c>
      <c r="AQ91" s="17" t="str">
        <f t="shared" si="21"/>
        <v>ICM</v>
      </c>
      <c r="AR91" s="18">
        <f>VLOOKUP(AQ91,[1]Yield!$A$5:$B$10,2,FALSE)</f>
        <v>0.9</v>
      </c>
      <c r="AS91" s="14">
        <f t="shared" si="15"/>
        <v>23.1864406779661</v>
      </c>
      <c r="AT91" s="8" t="s">
        <v>394</v>
      </c>
      <c r="AX91" s="8"/>
      <c r="AY91" s="8">
        <f>IFERROR(VLOOKUP(AX91,[1]Sheet3!$H$3:$I$5,2,FALSE),0)</f>
        <v>0</v>
      </c>
      <c r="AZ91" s="14">
        <f t="shared" si="16"/>
        <v>80</v>
      </c>
      <c r="BA91" s="14">
        <f t="shared" si="17"/>
        <v>131.51999999999998</v>
      </c>
      <c r="BB91" s="27"/>
      <c r="BC91" s="7"/>
      <c r="BD91" s="19" t="s">
        <v>714</v>
      </c>
      <c r="BE91" s="7" t="s">
        <v>428</v>
      </c>
      <c r="BF91" s="7" t="s">
        <v>414</v>
      </c>
      <c r="BK91" s="7">
        <f t="shared" si="18"/>
        <v>25</v>
      </c>
      <c r="BL91" s="9" t="s">
        <v>715</v>
      </c>
    </row>
    <row r="92" spans="1:64" ht="15.6" customHeight="1" x14ac:dyDescent="0.3">
      <c r="A92" s="7">
        <v>91</v>
      </c>
      <c r="B92" s="8"/>
      <c r="C92" s="8"/>
      <c r="D92" s="8">
        <v>3210</v>
      </c>
      <c r="E92" s="8">
        <v>3640</v>
      </c>
      <c r="F92" s="8" t="str">
        <f t="shared" si="20"/>
        <v>Active</v>
      </c>
      <c r="G92" s="9" t="s">
        <v>716</v>
      </c>
      <c r="H92" s="9" t="str">
        <f>VLOOKUP(E92,'[1]EPA Ethanol Capacity 2024'!$B$5:$C$235,2,FALSE)</f>
        <v>Lincolnland Agri-Energy LLC</v>
      </c>
      <c r="I92" s="8" t="s">
        <v>416</v>
      </c>
      <c r="J92" t="s">
        <v>717</v>
      </c>
      <c r="K92" s="7">
        <v>62451</v>
      </c>
      <c r="L92" s="7" t="s">
        <v>718</v>
      </c>
      <c r="M92" s="7">
        <v>2</v>
      </c>
      <c r="N92" s="20">
        <v>39.004292999999997</v>
      </c>
      <c r="O92" s="11">
        <v>-87.631325000000004</v>
      </c>
      <c r="P92" s="12">
        <v>2004</v>
      </c>
      <c r="Q92" s="12" t="s">
        <v>388</v>
      </c>
      <c r="R92" s="12">
        <f t="shared" si="12"/>
        <v>1</v>
      </c>
      <c r="S92" s="12"/>
      <c r="T92" s="7" t="s">
        <v>536</v>
      </c>
      <c r="U92" s="7" t="s">
        <v>343</v>
      </c>
      <c r="X92" s="7" t="s">
        <v>346</v>
      </c>
      <c r="AB92" s="13" t="s">
        <v>390</v>
      </c>
      <c r="AC92" s="13" t="s">
        <v>391</v>
      </c>
      <c r="AD92" s="13" t="s">
        <v>719</v>
      </c>
      <c r="AE92" s="8" t="str">
        <f t="shared" si="13"/>
        <v>High</v>
      </c>
      <c r="AF92" s="14"/>
      <c r="AG92" s="14"/>
      <c r="AH92" s="14"/>
      <c r="AI92" s="14"/>
      <c r="AJ92" s="15">
        <f>VLOOKUP(E92,'[1]Ethanol Plant Listing 2025'!$B$3:$E$220,4,FALSE)</f>
        <v>68</v>
      </c>
      <c r="AK92" s="14">
        <f>+AJ92*[1]Yield!$K$4</f>
        <v>64.599999999999994</v>
      </c>
      <c r="AL92" s="14">
        <f>AK92/VLOOKUP(Q92,[1]Yield!$E$5:$F$14,2,FALSE)</f>
        <v>21.898305084745761</v>
      </c>
      <c r="AM92" s="14"/>
      <c r="AN92" s="14"/>
      <c r="AO92" s="16">
        <f t="shared" si="14"/>
        <v>143000</v>
      </c>
      <c r="AP92" s="16" t="s">
        <v>393</v>
      </c>
      <c r="AQ92" s="17" t="str">
        <f t="shared" si="21"/>
        <v>ICM</v>
      </c>
      <c r="AR92" s="18">
        <f>VLOOKUP(AQ92,[1]Yield!$A$5:$B$10,2,FALSE)</f>
        <v>0.9</v>
      </c>
      <c r="AS92" s="14">
        <f t="shared" si="15"/>
        <v>19.708474576271186</v>
      </c>
      <c r="AT92" s="8" t="s">
        <v>394</v>
      </c>
      <c r="AX92" s="8" t="str">
        <f>IFERROR(VLOOKUP(E92,[1]Sheet3!$C$2:$E$68,2,FALSE),"None")</f>
        <v>None</v>
      </c>
      <c r="AY92" s="8">
        <f>IFERROR(VLOOKUP(AX92,[1]Sheet3!$H$3:$I$5,2,FALSE),0)</f>
        <v>0</v>
      </c>
      <c r="AZ92" s="14">
        <f t="shared" si="16"/>
        <v>68</v>
      </c>
      <c r="BA92" s="14">
        <f t="shared" si="17"/>
        <v>111.79199999999999</v>
      </c>
      <c r="BB92" s="27"/>
      <c r="BC92" s="7"/>
      <c r="BD92" s="19" t="s">
        <v>720</v>
      </c>
      <c r="BE92" s="7" t="s">
        <v>531</v>
      </c>
      <c r="BF92" s="7" t="s">
        <v>414</v>
      </c>
      <c r="BJ92" s="7" t="s">
        <v>400</v>
      </c>
      <c r="BK92" s="7">
        <f t="shared" si="18"/>
        <v>25</v>
      </c>
    </row>
    <row r="93" spans="1:64" ht="15.6" customHeight="1" x14ac:dyDescent="0.3">
      <c r="A93" s="7">
        <v>92</v>
      </c>
      <c r="B93" s="8">
        <v>4830</v>
      </c>
      <c r="C93" s="8">
        <v>70092</v>
      </c>
      <c r="D93" s="8">
        <v>3211</v>
      </c>
      <c r="E93" s="8">
        <v>3641</v>
      </c>
      <c r="F93" s="8" t="str">
        <f t="shared" si="20"/>
        <v>Active</v>
      </c>
      <c r="G93" s="9" t="s">
        <v>147</v>
      </c>
      <c r="H93" s="9" t="str">
        <f>VLOOKUP(E93,'[1]EPA Ethanol Capacity 2024'!$B$5:$C$235,2,FALSE)</f>
        <v>Lincolnway Energy LLC</v>
      </c>
      <c r="I93" s="8" t="s">
        <v>387</v>
      </c>
      <c r="J93" t="s">
        <v>148</v>
      </c>
      <c r="K93" s="7">
        <v>50201</v>
      </c>
      <c r="L93" s="7" t="s">
        <v>721</v>
      </c>
      <c r="M93" s="7">
        <v>2</v>
      </c>
      <c r="N93" s="20">
        <v>42.024869000000002</v>
      </c>
      <c r="O93" s="11">
        <v>-93.510114000000002</v>
      </c>
      <c r="P93" s="12">
        <v>2006</v>
      </c>
      <c r="Q93" s="12" t="s">
        <v>388</v>
      </c>
      <c r="R93" s="12">
        <f t="shared" si="12"/>
        <v>1</v>
      </c>
      <c r="S93" s="12" t="s">
        <v>389</v>
      </c>
      <c r="X93" s="7" t="s">
        <v>406</v>
      </c>
      <c r="AB93" s="13" t="s">
        <v>390</v>
      </c>
      <c r="AC93" s="13" t="s">
        <v>391</v>
      </c>
      <c r="AD93" s="13" t="s">
        <v>378</v>
      </c>
      <c r="AE93" s="8" t="str">
        <f t="shared" si="13"/>
        <v>High</v>
      </c>
      <c r="AF93" s="14"/>
      <c r="AG93" s="14"/>
      <c r="AH93" s="14"/>
      <c r="AI93" s="14"/>
      <c r="AJ93" s="15">
        <f>VLOOKUP(E93,'[1]Ethanol Plant Listing 2025'!$B$3:$E$220,4,FALSE)</f>
        <v>90</v>
      </c>
      <c r="AK93" s="14">
        <f>+AJ93*[1]Yield!$K$4</f>
        <v>85.5</v>
      </c>
      <c r="AL93" s="14">
        <f>AK93/VLOOKUP(Q93,[1]Yield!$E$5:$F$14,2,FALSE)</f>
        <v>28.983050847457626</v>
      </c>
      <c r="AM93" s="14">
        <f>500+720</f>
        <v>1220</v>
      </c>
      <c r="AN93" s="28">
        <f>+AM93/(AL93*2.85714285714286)</f>
        <v>14.732748538011682</v>
      </c>
      <c r="AO93" s="16">
        <f t="shared" si="14"/>
        <v>190000</v>
      </c>
      <c r="AP93" s="16" t="s">
        <v>722</v>
      </c>
      <c r="AQ93" s="17" t="str">
        <f t="shared" si="21"/>
        <v>ICM</v>
      </c>
      <c r="AR93" s="18">
        <f>VLOOKUP(AQ93,[1]Yield!$A$5:$B$10,2,FALSE)</f>
        <v>0.9</v>
      </c>
      <c r="AS93" s="14">
        <f t="shared" si="15"/>
        <v>26.084745762711865</v>
      </c>
      <c r="AT93" s="8" t="s">
        <v>437</v>
      </c>
      <c r="AU93" s="8"/>
      <c r="AV93" s="8" t="s">
        <v>395</v>
      </c>
      <c r="AW93" s="13"/>
      <c r="AX93" s="8" t="str">
        <f>IFERROR(VLOOKUP(E93,[1]Sheet3!$C$2:$E$68,2,FALSE),"None")</f>
        <v>Summit Carbon Solutions</v>
      </c>
      <c r="AY93" s="8">
        <f>IFERROR(VLOOKUP(AX93,[1]Sheet3!$H$3:$I$5,2,FALSE),0)</f>
        <v>31</v>
      </c>
      <c r="AZ93" s="14">
        <f t="shared" si="16"/>
        <v>90</v>
      </c>
      <c r="BA93" s="14">
        <f t="shared" si="17"/>
        <v>147.96</v>
      </c>
      <c r="BB93" s="12">
        <f>SUMIFS('[1]Corn 2023'!V:V,'[1]Corn 2023'!B:B,"=2023",'[1]Corn 2023'!L:L,"="&amp;'Corn Processors'!L93)</f>
        <v>152500</v>
      </c>
      <c r="BC93" s="7"/>
      <c r="BD93" s="19" t="s">
        <v>723</v>
      </c>
      <c r="BE93" s="7" t="s">
        <v>428</v>
      </c>
      <c r="BF93" s="7" t="s">
        <v>398</v>
      </c>
      <c r="BJ93" s="7" t="s">
        <v>400</v>
      </c>
      <c r="BK93" s="7">
        <f t="shared" si="18"/>
        <v>25</v>
      </c>
    </row>
    <row r="94" spans="1:64" ht="15.6" customHeight="1" x14ac:dyDescent="0.3">
      <c r="A94" s="7">
        <v>93</v>
      </c>
      <c r="B94" s="8">
        <v>4728</v>
      </c>
      <c r="C94" s="8">
        <v>70015</v>
      </c>
      <c r="D94" s="8">
        <v>2517</v>
      </c>
      <c r="E94" s="8">
        <v>3642</v>
      </c>
      <c r="F94" s="8" t="str">
        <f t="shared" si="20"/>
        <v>Active</v>
      </c>
      <c r="G94" s="9" t="s">
        <v>151</v>
      </c>
      <c r="H94" s="9" t="str">
        <f>VLOOKUP(E94,'[1]EPA Ethanol Capacity 2024'!$B$5:$C$235,2,FALSE)</f>
        <v>Little Sioux Corn Processors LLLP</v>
      </c>
      <c r="I94" s="8" t="s">
        <v>387</v>
      </c>
      <c r="J94" s="22" t="s">
        <v>152</v>
      </c>
      <c r="K94" s="7">
        <v>51035</v>
      </c>
      <c r="L94" s="7" t="s">
        <v>724</v>
      </c>
      <c r="M94" s="7">
        <v>2</v>
      </c>
      <c r="N94" s="20">
        <v>42.82085</v>
      </c>
      <c r="O94" s="11">
        <v>-95.760900000000007</v>
      </c>
      <c r="P94" s="12">
        <v>2003</v>
      </c>
      <c r="Q94" s="12" t="s">
        <v>388</v>
      </c>
      <c r="R94" s="12">
        <f t="shared" si="12"/>
        <v>1</v>
      </c>
      <c r="S94" s="12" t="s">
        <v>389</v>
      </c>
      <c r="T94" s="8" t="s">
        <v>486</v>
      </c>
      <c r="Z94" s="7" t="str">
        <f>+T94</f>
        <v>FQPT HI PRO</v>
      </c>
      <c r="AB94" s="13" t="s">
        <v>390</v>
      </c>
      <c r="AC94" s="13" t="s">
        <v>408</v>
      </c>
      <c r="AD94" s="13" t="s">
        <v>378</v>
      </c>
      <c r="AE94" s="8" t="str">
        <f t="shared" si="13"/>
        <v>High</v>
      </c>
      <c r="AF94" s="14">
        <v>75</v>
      </c>
      <c r="AG94" s="14">
        <v>55</v>
      </c>
      <c r="AH94" s="14" t="s">
        <v>725</v>
      </c>
      <c r="AI94" s="14"/>
      <c r="AJ94" s="15">
        <f>VLOOKUP(E94,'[1]Ethanol Plant Listing 2025'!$B$3:$E$220,4,FALSE)</f>
        <v>165</v>
      </c>
      <c r="AK94" s="14">
        <f>+AJ94*[1]Yield!$K$4</f>
        <v>156.75</v>
      </c>
      <c r="AL94" s="14">
        <f>AK94/VLOOKUP(Q94,[1]Yield!$E$5:$F$14,2,FALSE)</f>
        <v>53.135593220338983</v>
      </c>
      <c r="AM94" s="14">
        <v>1200</v>
      </c>
      <c r="AN94" s="28">
        <f>+AM94/(AL94*2.85714285714286)</f>
        <v>7.9043062200956866</v>
      </c>
      <c r="AO94" s="16">
        <f t="shared" si="14"/>
        <v>348000</v>
      </c>
      <c r="AP94" s="16" t="s">
        <v>393</v>
      </c>
      <c r="AQ94" s="17" t="str">
        <f t="shared" si="21"/>
        <v>FQPT HI PRO</v>
      </c>
      <c r="AR94" s="18">
        <f>VLOOKUP(AQ94,[1]Yield!$A$5:$B$10,2,FALSE)</f>
        <v>1.05</v>
      </c>
      <c r="AS94" s="14">
        <f t="shared" si="15"/>
        <v>55.792372881355931</v>
      </c>
      <c r="AT94" s="8" t="s">
        <v>437</v>
      </c>
      <c r="AU94" s="8"/>
      <c r="AV94" s="8" t="s">
        <v>395</v>
      </c>
      <c r="AW94" s="13"/>
      <c r="AX94" s="8" t="str">
        <f>IFERROR(VLOOKUP(E94,[1]Sheet3!$C$2:$E$68,2,FALSE),"None")</f>
        <v>Summit Carbon Solutions</v>
      </c>
      <c r="AY94" s="8">
        <f>IFERROR(VLOOKUP(AX94,[1]Sheet3!$H$3:$I$5,2,FALSE),0)</f>
        <v>31</v>
      </c>
      <c r="AZ94" s="14">
        <f t="shared" si="16"/>
        <v>165</v>
      </c>
      <c r="BA94" s="14">
        <f t="shared" si="17"/>
        <v>271.26</v>
      </c>
      <c r="BB94" s="12">
        <f>SUMIFS('[1]Corn 2023'!V:V,'[1]Corn 2023'!B:B,"=2023",'[1]Corn 2023'!L:L,"="&amp;'Corn Processors'!L94)</f>
        <v>148500</v>
      </c>
      <c r="BC94" s="7"/>
      <c r="BD94" s="19" t="s">
        <v>726</v>
      </c>
      <c r="BE94" s="7" t="s">
        <v>413</v>
      </c>
      <c r="BF94" s="7" t="s">
        <v>398</v>
      </c>
      <c r="BK94" s="7">
        <f t="shared" si="18"/>
        <v>25</v>
      </c>
      <c r="BL94" s="9" t="s">
        <v>727</v>
      </c>
    </row>
    <row r="95" spans="1:64" ht="15.6" customHeight="1" x14ac:dyDescent="0.3">
      <c r="A95" s="7">
        <v>94</v>
      </c>
      <c r="B95" s="8"/>
      <c r="C95" s="8">
        <v>70139</v>
      </c>
      <c r="D95" s="8">
        <v>3212</v>
      </c>
      <c r="E95" s="8">
        <v>3643</v>
      </c>
      <c r="F95" s="8" t="str">
        <f t="shared" si="20"/>
        <v>Active</v>
      </c>
      <c r="G95" s="9" t="s">
        <v>155</v>
      </c>
      <c r="H95" s="9" t="str">
        <f>VLOOKUP(E95,'[1]EPA Ethanol Capacity 2024'!$B$5:$C$235,2,FALSE)</f>
        <v>Louis Dreyfus Co</v>
      </c>
      <c r="I95" s="8" t="s">
        <v>387</v>
      </c>
      <c r="J95" t="s">
        <v>156</v>
      </c>
      <c r="K95" s="7">
        <v>50107</v>
      </c>
      <c r="L95" s="7" t="s">
        <v>728</v>
      </c>
      <c r="M95" s="7">
        <v>2</v>
      </c>
      <c r="N95" s="20">
        <v>42.051990000000004</v>
      </c>
      <c r="O95" s="11">
        <v>-94.242339999999999</v>
      </c>
      <c r="P95" s="12">
        <v>2007</v>
      </c>
      <c r="Q95" s="12" t="s">
        <v>388</v>
      </c>
      <c r="R95" s="12">
        <f t="shared" si="12"/>
        <v>1</v>
      </c>
      <c r="S95" s="12" t="s">
        <v>389</v>
      </c>
      <c r="AB95" s="13" t="s">
        <v>390</v>
      </c>
      <c r="AC95" s="13" t="s">
        <v>391</v>
      </c>
      <c r="AD95" s="13" t="s">
        <v>378</v>
      </c>
      <c r="AE95" s="8" t="str">
        <f t="shared" si="13"/>
        <v>High</v>
      </c>
      <c r="AF95" s="14">
        <v>185</v>
      </c>
      <c r="AG95" s="14">
        <v>120</v>
      </c>
      <c r="AH95" s="14" t="s">
        <v>729</v>
      </c>
      <c r="AI95" s="14"/>
      <c r="AJ95" s="15">
        <f>VLOOKUP(E95,'[1]Ethanol Plant Listing 2025'!$B$3:$E$220,4,FALSE)</f>
        <v>121.6</v>
      </c>
      <c r="AK95" s="14">
        <f>+AJ95*[1]Yield!$K$4</f>
        <v>115.52</v>
      </c>
      <c r="AL95" s="14">
        <f>AK95/VLOOKUP(Q95,[1]Yield!$E$5:$F$14,2,FALSE)</f>
        <v>39.159322033898299</v>
      </c>
      <c r="AM95" s="14"/>
      <c r="AN95" s="14"/>
      <c r="AO95" s="16">
        <f t="shared" si="14"/>
        <v>256000</v>
      </c>
      <c r="AP95" s="16" t="s">
        <v>393</v>
      </c>
      <c r="AQ95" s="17" t="str">
        <f t="shared" si="21"/>
        <v>ICM</v>
      </c>
      <c r="AR95" s="18">
        <f>VLOOKUP(AQ95,[1]Yield!$A$5:$B$10,2,FALSE)</f>
        <v>0.9</v>
      </c>
      <c r="AS95" s="14">
        <f t="shared" si="15"/>
        <v>35.24338983050847</v>
      </c>
      <c r="AT95" s="8" t="s">
        <v>437</v>
      </c>
      <c r="AU95" s="8"/>
      <c r="AV95" s="8" t="s">
        <v>395</v>
      </c>
      <c r="AW95" s="13"/>
      <c r="AX95" s="8" t="str">
        <f>IFERROR(VLOOKUP(E95,[1]Sheet3!$C$2:$E$68,2,FALSE),"None")</f>
        <v>Summit Carbon Solutions</v>
      </c>
      <c r="AY95" s="8">
        <f>IFERROR(VLOOKUP(AX95,[1]Sheet3!$H$3:$I$5,2,FALSE),0)</f>
        <v>31</v>
      </c>
      <c r="AZ95" s="14">
        <f t="shared" si="16"/>
        <v>121.6</v>
      </c>
      <c r="BA95" s="14">
        <f t="shared" si="17"/>
        <v>199.91039999999998</v>
      </c>
      <c r="BB95" s="12">
        <f>SUMIFS('[1]Corn 2023'!V:V,'[1]Corn 2023'!B:B,"=2023",'[1]Corn 2023'!L:L,"="&amp;'Corn Processors'!L95)</f>
        <v>163500</v>
      </c>
      <c r="BC95" s="7"/>
      <c r="BD95" s="19" t="s">
        <v>730</v>
      </c>
      <c r="BE95" s="7" t="s">
        <v>428</v>
      </c>
      <c r="BF95" s="7" t="s">
        <v>398</v>
      </c>
      <c r="BK95" s="7">
        <f t="shared" si="18"/>
        <v>25</v>
      </c>
    </row>
    <row r="96" spans="1:64" ht="15.6" customHeight="1" x14ac:dyDescent="0.3">
      <c r="A96" s="7">
        <v>95</v>
      </c>
      <c r="B96" s="8">
        <v>5750</v>
      </c>
      <c r="C96" s="8">
        <v>70269</v>
      </c>
      <c r="D96" s="8">
        <v>3215</v>
      </c>
      <c r="E96" s="8">
        <v>3645</v>
      </c>
      <c r="F96" s="8" t="str">
        <f t="shared" si="20"/>
        <v>Active</v>
      </c>
      <c r="G96" s="9" t="s">
        <v>731</v>
      </c>
      <c r="H96" s="9" t="s">
        <v>732</v>
      </c>
      <c r="I96" s="8" t="s">
        <v>402</v>
      </c>
      <c r="J96" s="23" t="s">
        <v>733</v>
      </c>
      <c r="K96" s="7">
        <v>54646</v>
      </c>
      <c r="L96" s="7" t="s">
        <v>734</v>
      </c>
      <c r="M96" s="7">
        <v>2</v>
      </c>
      <c r="N96" s="20">
        <v>43.991869999999999</v>
      </c>
      <c r="O96" s="11">
        <v>-90.072190000000006</v>
      </c>
      <c r="P96" s="12">
        <v>0</v>
      </c>
      <c r="Q96" s="12" t="s">
        <v>388</v>
      </c>
      <c r="R96" s="12">
        <f t="shared" si="12"/>
        <v>2</v>
      </c>
      <c r="S96" s="12" t="s">
        <v>389</v>
      </c>
      <c r="AB96" s="13" t="s">
        <v>390</v>
      </c>
      <c r="AC96" s="13" t="s">
        <v>391</v>
      </c>
      <c r="AD96" s="13" t="s">
        <v>378</v>
      </c>
      <c r="AE96" s="8" t="str">
        <f t="shared" si="13"/>
        <v>High</v>
      </c>
      <c r="AF96" s="14"/>
      <c r="AG96" s="14"/>
      <c r="AH96" s="14"/>
      <c r="AI96" s="14"/>
      <c r="AJ96" s="15">
        <f>VLOOKUP(E96,'[1]Ethanol Plant Listing 2025'!$B$3:$E$220,4,FALSE)</f>
        <v>106</v>
      </c>
      <c r="AK96" s="14">
        <f>+AJ96*[1]Yield!$K$4</f>
        <v>100.69999999999999</v>
      </c>
      <c r="AL96" s="14">
        <f>AK96/VLOOKUP(Q96,[1]Yield!$E$5:$F$14,2,FALSE)</f>
        <v>34.135593220338976</v>
      </c>
      <c r="AM96" s="14"/>
      <c r="AN96" s="14"/>
      <c r="AO96" s="16">
        <f t="shared" si="14"/>
        <v>224000</v>
      </c>
      <c r="AP96" s="16" t="s">
        <v>393</v>
      </c>
      <c r="AQ96" s="17" t="str">
        <f t="shared" si="21"/>
        <v>ICM</v>
      </c>
      <c r="AR96" s="18">
        <f>VLOOKUP(AQ96,[1]Yield!$A$5:$B$10,2,FALSE)</f>
        <v>0.9</v>
      </c>
      <c r="AS96" s="14">
        <f t="shared" si="15"/>
        <v>30.722033898305078</v>
      </c>
      <c r="AT96" s="8" t="s">
        <v>411</v>
      </c>
      <c r="AX96" s="8" t="str">
        <f>IFERROR(VLOOKUP(E96,[1]Sheet3!$C$2:$E$68,2,FALSE),"None")</f>
        <v>None</v>
      </c>
      <c r="AY96" s="8">
        <f>IFERROR(VLOOKUP(AX96,[1]Sheet3!$H$3:$I$5,2,FALSE),0)</f>
        <v>0</v>
      </c>
      <c r="AZ96" s="14">
        <f t="shared" si="16"/>
        <v>106</v>
      </c>
      <c r="BA96" s="14">
        <f t="shared" si="17"/>
        <v>174.26399999999998</v>
      </c>
      <c r="BB96" s="27"/>
      <c r="BC96" s="7"/>
      <c r="BD96" s="19" t="s">
        <v>735</v>
      </c>
      <c r="BE96" s="7" t="s">
        <v>413</v>
      </c>
      <c r="BF96" s="7" t="s">
        <v>398</v>
      </c>
      <c r="BI96" s="7" t="s">
        <v>399</v>
      </c>
      <c r="BK96" s="7">
        <f t="shared" si="18"/>
        <v>25</v>
      </c>
    </row>
    <row r="97" spans="1:64" ht="15.6" customHeight="1" x14ac:dyDescent="0.3">
      <c r="A97" s="7">
        <v>96</v>
      </c>
      <c r="B97" s="8"/>
      <c r="C97" s="8"/>
      <c r="D97" s="8">
        <v>3212</v>
      </c>
      <c r="E97" s="8">
        <v>3644</v>
      </c>
      <c r="F97" s="8" t="str">
        <f t="shared" si="20"/>
        <v>Active</v>
      </c>
      <c r="G97" s="9" t="s">
        <v>736</v>
      </c>
      <c r="H97" s="9" t="str">
        <f>VLOOKUP(E97,'[1]EPA Ethanol Capacity 2024'!$B$5:$C$235,2,FALSE)</f>
        <v>Marquis Energy LLC</v>
      </c>
      <c r="I97" s="8" t="s">
        <v>416</v>
      </c>
      <c r="J97" t="s">
        <v>737</v>
      </c>
      <c r="K97" s="7">
        <v>61327</v>
      </c>
      <c r="L97" s="7" t="s">
        <v>738</v>
      </c>
      <c r="M97" s="7">
        <v>2</v>
      </c>
      <c r="N97" s="20">
        <v>41.276710999999999</v>
      </c>
      <c r="O97" s="11">
        <v>-89.319503999999995</v>
      </c>
      <c r="P97" s="12">
        <v>2007</v>
      </c>
      <c r="Q97" s="12" t="s">
        <v>388</v>
      </c>
      <c r="R97" s="12">
        <f t="shared" si="12"/>
        <v>1</v>
      </c>
      <c r="S97" s="12" t="s">
        <v>389</v>
      </c>
      <c r="T97" s="7" t="s">
        <v>739</v>
      </c>
      <c r="AB97" s="13" t="s">
        <v>390</v>
      </c>
      <c r="AC97" s="13" t="s">
        <v>391</v>
      </c>
      <c r="AD97" s="13" t="s">
        <v>494</v>
      </c>
      <c r="AE97" s="8" t="str">
        <f t="shared" si="13"/>
        <v>High</v>
      </c>
      <c r="AF97" s="14"/>
      <c r="AG97" s="14"/>
      <c r="AH97" s="14"/>
      <c r="AI97" s="14"/>
      <c r="AJ97" s="15">
        <f>VLOOKUP(E97,'[1]Ethanol Plant Listing 2025'!$B$3:$E$220,4,FALSE)</f>
        <v>400</v>
      </c>
      <c r="AK97" s="14">
        <f>+AJ97*[1]Yield!$K$4</f>
        <v>380</v>
      </c>
      <c r="AL97" s="14">
        <f>AK97/VLOOKUP(Q97,[1]Yield!$E$5:$F$14,2,FALSE)</f>
        <v>128.81355932203388</v>
      </c>
      <c r="AM97" s="14"/>
      <c r="AN97" s="14"/>
      <c r="AO97" s="16">
        <f t="shared" si="14"/>
        <v>844000</v>
      </c>
      <c r="AP97" s="16" t="s">
        <v>722</v>
      </c>
      <c r="AQ97" s="17" t="str">
        <f t="shared" si="21"/>
        <v>ICM</v>
      </c>
      <c r="AR97" s="18">
        <f>VLOOKUP(AQ97,[1]Yield!$A$5:$B$10,2,FALSE)</f>
        <v>0.9</v>
      </c>
      <c r="AS97" s="14">
        <f t="shared" si="15"/>
        <v>115.93220338983049</v>
      </c>
      <c r="AT97" s="8" t="s">
        <v>437</v>
      </c>
      <c r="AU97" s="8" t="s">
        <v>450</v>
      </c>
      <c r="AV97" s="8"/>
      <c r="AW97" s="13"/>
      <c r="AX97" s="8" t="str">
        <f>IFERROR(VLOOKUP(E97,[1]Sheet3!$C$2:$E$68,2,FALSE),"None")</f>
        <v>Direct Inject</v>
      </c>
      <c r="AY97" s="8">
        <f>IFERROR(VLOOKUP(AX97,[1]Sheet3!$H$3:$I$5,2,FALSE),0)</f>
        <v>32</v>
      </c>
      <c r="AZ97" s="14">
        <f t="shared" si="16"/>
        <v>400</v>
      </c>
      <c r="BA97" s="14">
        <f t="shared" si="17"/>
        <v>657.6</v>
      </c>
      <c r="BB97" s="27"/>
      <c r="BC97" s="7"/>
      <c r="BD97" s="19" t="s">
        <v>735</v>
      </c>
      <c r="BE97" s="7" t="s">
        <v>567</v>
      </c>
      <c r="BF97" s="7" t="s">
        <v>398</v>
      </c>
      <c r="BH97" s="7" t="s">
        <v>448</v>
      </c>
      <c r="BK97" s="7">
        <f t="shared" si="18"/>
        <v>25</v>
      </c>
    </row>
    <row r="98" spans="1:64" ht="15.6" customHeight="1" x14ac:dyDescent="0.3">
      <c r="A98" s="7">
        <v>97</v>
      </c>
      <c r="B98" s="8"/>
      <c r="C98" s="8"/>
      <c r="D98" s="8">
        <v>3216</v>
      </c>
      <c r="E98" s="8">
        <v>3646</v>
      </c>
      <c r="F98" s="8" t="str">
        <f t="shared" si="20"/>
        <v>Active</v>
      </c>
      <c r="G98" s="9" t="s">
        <v>740</v>
      </c>
      <c r="H98" s="9" t="str">
        <f>VLOOKUP(E98,'[1]EPA Ethanol Capacity 2024'!$B$5:$C$235,2,FALSE)</f>
        <v>Marysville Ethanol LLC</v>
      </c>
      <c r="I98" s="8" t="s">
        <v>527</v>
      </c>
      <c r="J98" t="s">
        <v>741</v>
      </c>
      <c r="K98" s="7">
        <v>48040</v>
      </c>
      <c r="L98" s="7" t="s">
        <v>742</v>
      </c>
      <c r="M98" s="7">
        <v>2</v>
      </c>
      <c r="N98" s="20">
        <v>42.88335</v>
      </c>
      <c r="O98" s="11">
        <v>-82.491546999999997</v>
      </c>
      <c r="P98" s="12">
        <v>2007</v>
      </c>
      <c r="Q98" s="12" t="s">
        <v>388</v>
      </c>
      <c r="R98" s="12">
        <f t="shared" si="12"/>
        <v>1</v>
      </c>
      <c r="S98" s="12"/>
      <c r="AB98" s="13" t="s">
        <v>390</v>
      </c>
      <c r="AC98" s="13" t="s">
        <v>391</v>
      </c>
      <c r="AD98" s="13" t="s">
        <v>378</v>
      </c>
      <c r="AE98" s="8" t="str">
        <f t="shared" si="13"/>
        <v>High</v>
      </c>
      <c r="AF98" s="14"/>
      <c r="AG98" s="14"/>
      <c r="AH98" s="14"/>
      <c r="AI98" s="14"/>
      <c r="AJ98" s="15">
        <f>VLOOKUP(E98,'[1]Ethanol Plant Listing 2025'!$B$3:$E$220,4,FALSE)</f>
        <v>60</v>
      </c>
      <c r="AK98" s="14">
        <f>+AJ98*[1]Yield!$K$4</f>
        <v>57</v>
      </c>
      <c r="AL98" s="14">
        <f>AK98/VLOOKUP(Q98,[1]Yield!$E$5:$F$14,2,FALSE)</f>
        <v>19.322033898305083</v>
      </c>
      <c r="AM98" s="14"/>
      <c r="AN98" s="14"/>
      <c r="AO98" s="16">
        <f t="shared" si="14"/>
        <v>127000</v>
      </c>
      <c r="AP98" s="16" t="s">
        <v>393</v>
      </c>
      <c r="AQ98" s="17" t="str">
        <f t="shared" si="21"/>
        <v>ICM</v>
      </c>
      <c r="AR98" s="18">
        <f>VLOOKUP(AQ98,[1]Yield!$A$5:$B$10,2,FALSE)</f>
        <v>0.9</v>
      </c>
      <c r="AS98" s="14">
        <f t="shared" si="15"/>
        <v>17.389830508474574</v>
      </c>
      <c r="AT98" s="8" t="s">
        <v>394</v>
      </c>
      <c r="AX98" s="8" t="str">
        <f>IFERROR(VLOOKUP(E98,[1]Sheet3!$C$2:$E$68,2,FALSE),"None")</f>
        <v>None</v>
      </c>
      <c r="AY98" s="8">
        <f>IFERROR(VLOOKUP(AX98,[1]Sheet3!$H$3:$I$5,2,FALSE),0)</f>
        <v>0</v>
      </c>
      <c r="AZ98" s="14">
        <f t="shared" si="16"/>
        <v>60</v>
      </c>
      <c r="BA98" s="14">
        <f t="shared" si="17"/>
        <v>98.64</v>
      </c>
      <c r="BB98" s="27"/>
      <c r="BC98" s="7"/>
      <c r="BD98" s="29" t="s">
        <v>743</v>
      </c>
      <c r="BE98" s="7" t="s">
        <v>744</v>
      </c>
      <c r="BF98" s="7" t="s">
        <v>414</v>
      </c>
      <c r="BK98" s="7">
        <f t="shared" si="18"/>
        <v>25</v>
      </c>
    </row>
    <row r="99" spans="1:64" ht="15.6" customHeight="1" x14ac:dyDescent="0.3">
      <c r="A99" s="7">
        <v>98</v>
      </c>
      <c r="B99" s="8"/>
      <c r="C99" s="8"/>
      <c r="D99" s="8">
        <v>2524</v>
      </c>
      <c r="E99" s="8">
        <v>3647</v>
      </c>
      <c r="F99" s="8" t="str">
        <f t="shared" si="20"/>
        <v>Active</v>
      </c>
      <c r="G99" s="9" t="s">
        <v>745</v>
      </c>
      <c r="H99" s="9" t="str">
        <f>VLOOKUP(E99,'[1]EPA Ethanol Capacity 2024'!$B$5:$C$235,2,FALSE)</f>
        <v>MGP</v>
      </c>
      <c r="I99" s="8" t="s">
        <v>533</v>
      </c>
      <c r="J99" t="s">
        <v>746</v>
      </c>
      <c r="K99" s="7">
        <v>47025</v>
      </c>
      <c r="L99" s="7" t="s">
        <v>747</v>
      </c>
      <c r="M99" s="7">
        <v>2</v>
      </c>
      <c r="N99" s="20">
        <v>39.098994032847997</v>
      </c>
      <c r="O99" s="11">
        <v>-84.861088941636396</v>
      </c>
      <c r="P99" s="12">
        <v>0</v>
      </c>
      <c r="Q99" s="12" t="s">
        <v>452</v>
      </c>
      <c r="R99" s="12">
        <f t="shared" si="12"/>
        <v>1</v>
      </c>
      <c r="S99" s="12"/>
      <c r="AB99" s="13" t="s">
        <v>390</v>
      </c>
      <c r="AC99" s="13" t="s">
        <v>391</v>
      </c>
      <c r="AD99" s="13" t="s">
        <v>378</v>
      </c>
      <c r="AE99" s="8" t="str">
        <f t="shared" si="13"/>
        <v>High</v>
      </c>
      <c r="AF99" s="14"/>
      <c r="AG99" s="14"/>
      <c r="AH99" s="14"/>
      <c r="AI99" s="14"/>
      <c r="AJ99" s="15" t="e">
        <f>VLOOKUP(E99,'[1]Ethanol Plant Listing 2025'!$B$3:$E$220,4,FALSE)</f>
        <v>#N/A</v>
      </c>
      <c r="AK99" s="14" t="e">
        <f>+AJ99*[1]Yield!$K$4</f>
        <v>#N/A</v>
      </c>
      <c r="AL99" s="14" t="e">
        <f>AK99/VLOOKUP(Q99,[1]Yield!$E$5:$F$14,2,FALSE)</f>
        <v>#N/A</v>
      </c>
      <c r="AM99" s="14"/>
      <c r="AN99" s="14"/>
      <c r="AO99" s="16" t="e">
        <f t="shared" si="14"/>
        <v>#N/A</v>
      </c>
      <c r="AP99" s="16"/>
      <c r="AQ99" s="17" t="str">
        <f t="shared" si="21"/>
        <v>None</v>
      </c>
      <c r="AR99" s="18">
        <f>VLOOKUP(AQ99,[1]Yield!$A$5:$B$10,2,FALSE)</f>
        <v>0.81499999999999995</v>
      </c>
      <c r="AS99" s="14" t="e">
        <f t="shared" si="15"/>
        <v>#N/A</v>
      </c>
      <c r="AT99" s="8" t="s">
        <v>394</v>
      </c>
      <c r="AX99" s="8" t="str">
        <f>IFERROR(VLOOKUP(E99,[1]Sheet3!$C$2:$E$68,2,FALSE),"None")</f>
        <v>None</v>
      </c>
      <c r="AY99" s="8">
        <f>IFERROR(VLOOKUP(AX99,[1]Sheet3!$H$3:$I$5,2,FALSE),0)</f>
        <v>0</v>
      </c>
      <c r="AZ99" s="14" t="e">
        <f t="shared" si="16"/>
        <v>#N/A</v>
      </c>
      <c r="BA99" s="14" t="e">
        <f t="shared" si="17"/>
        <v>#N/A</v>
      </c>
      <c r="BB99" s="27"/>
      <c r="BC99" s="7"/>
      <c r="BD99" s="19" t="s">
        <v>748</v>
      </c>
      <c r="BE99" s="7" t="s">
        <v>531</v>
      </c>
      <c r="BF99" s="7" t="s">
        <v>414</v>
      </c>
      <c r="BK99" s="7">
        <f t="shared" si="18"/>
        <v>20</v>
      </c>
    </row>
    <row r="100" spans="1:64" ht="15.6" customHeight="1" x14ac:dyDescent="0.3">
      <c r="A100" s="7">
        <v>99</v>
      </c>
      <c r="B100" s="8">
        <v>5059</v>
      </c>
      <c r="C100" s="8">
        <v>70153</v>
      </c>
      <c r="D100" s="8">
        <v>3217</v>
      </c>
      <c r="E100" s="8">
        <v>3648</v>
      </c>
      <c r="F100" s="8" t="str">
        <f t="shared" si="20"/>
        <v>Active</v>
      </c>
      <c r="G100" s="9" t="s">
        <v>159</v>
      </c>
      <c r="H100" s="9" t="str">
        <f>VLOOKUP(E100,'[1]EPA Ethanol Capacity 2024'!$B$5:$C$235,2,FALSE)</f>
        <v>Mid America Agri Products LLC</v>
      </c>
      <c r="I100" s="8" t="s">
        <v>470</v>
      </c>
      <c r="J100" t="s">
        <v>160</v>
      </c>
      <c r="K100" s="7">
        <v>69150</v>
      </c>
      <c r="L100" s="7" t="s">
        <v>749</v>
      </c>
      <c r="M100" s="7">
        <v>2</v>
      </c>
      <c r="N100" s="20">
        <v>40.854010000000002</v>
      </c>
      <c r="O100" s="11">
        <v>-101.54</v>
      </c>
      <c r="P100" s="12">
        <v>2007</v>
      </c>
      <c r="Q100" s="12" t="s">
        <v>405</v>
      </c>
      <c r="R100" s="12">
        <f t="shared" si="12"/>
        <v>1</v>
      </c>
      <c r="S100" s="12"/>
      <c r="AB100" s="13" t="s">
        <v>390</v>
      </c>
      <c r="AC100" s="13" t="s">
        <v>408</v>
      </c>
      <c r="AD100" s="13" t="s">
        <v>378</v>
      </c>
      <c r="AE100" s="8" t="str">
        <f t="shared" si="13"/>
        <v>High</v>
      </c>
      <c r="AF100" s="14">
        <v>55</v>
      </c>
      <c r="AG100" s="14">
        <v>44</v>
      </c>
      <c r="AH100" s="14" t="s">
        <v>515</v>
      </c>
      <c r="AI100" s="14">
        <v>84220</v>
      </c>
      <c r="AJ100" s="15">
        <f>VLOOKUP(E100,'[1]Ethanol Plant Listing 2025'!$B$3:$E$220,4,FALSE)</f>
        <v>50</v>
      </c>
      <c r="AK100" s="14">
        <f>+AJ100*[1]Yield!$K$4</f>
        <v>47.5</v>
      </c>
      <c r="AL100" s="14">
        <f>AK100/VLOOKUP(Q100,[1]Yield!$E$5:$F$14,2,FALSE)</f>
        <v>16.493055555555557</v>
      </c>
      <c r="AM100" s="14"/>
      <c r="AN100" s="14"/>
      <c r="AO100" s="16">
        <f t="shared" si="14"/>
        <v>108000</v>
      </c>
      <c r="AP100" s="16" t="s">
        <v>410</v>
      </c>
      <c r="AQ100" s="17" t="str">
        <f t="shared" si="21"/>
        <v>None</v>
      </c>
      <c r="AR100" s="18">
        <f>VLOOKUP(AQ100,[1]Yield!$A$5:$B$10,2,FALSE)</f>
        <v>0.81499999999999995</v>
      </c>
      <c r="AS100" s="14">
        <f t="shared" si="15"/>
        <v>13.441840277777779</v>
      </c>
      <c r="AT100" s="8" t="s">
        <v>437</v>
      </c>
      <c r="AU100" s="8"/>
      <c r="AV100" s="8" t="str">
        <f>+AX100</f>
        <v>Tall Grass</v>
      </c>
      <c r="AW100" s="13"/>
      <c r="AX100" s="8" t="s">
        <v>473</v>
      </c>
      <c r="AY100" s="8">
        <f>IFERROR(VLOOKUP(AX100,[1]Sheet3!$H$3:$I$5,2,FALSE),0)</f>
        <v>30</v>
      </c>
      <c r="AZ100" s="14">
        <f t="shared" si="16"/>
        <v>50</v>
      </c>
      <c r="BA100" s="14">
        <f t="shared" si="17"/>
        <v>82.2</v>
      </c>
      <c r="BB100" s="27"/>
      <c r="BC100" s="7"/>
      <c r="BD100" s="29" t="s">
        <v>743</v>
      </c>
      <c r="BE100" s="7" t="s">
        <v>481</v>
      </c>
      <c r="BF100" s="7" t="s">
        <v>414</v>
      </c>
      <c r="BJ100" s="7" t="s">
        <v>400</v>
      </c>
      <c r="BK100" s="7">
        <f t="shared" si="18"/>
        <v>20</v>
      </c>
    </row>
    <row r="101" spans="1:64" ht="15.6" customHeight="1" x14ac:dyDescent="0.3">
      <c r="A101" s="7">
        <v>100</v>
      </c>
      <c r="B101" s="8"/>
      <c r="C101" s="8">
        <v>70081</v>
      </c>
      <c r="D101" s="8">
        <v>3218</v>
      </c>
      <c r="E101" s="8">
        <v>3649</v>
      </c>
      <c r="F101" s="8" t="str">
        <f t="shared" si="20"/>
        <v>Active</v>
      </c>
      <c r="G101" s="9" t="s">
        <v>750</v>
      </c>
      <c r="H101" s="9" t="str">
        <f>VLOOKUP(E101,'[1]EPA Ethanol Capacity 2024'!$B$5:$C$235,2,FALSE)</f>
        <v>Mid-Missouri Energy LLC</v>
      </c>
      <c r="I101" s="8" t="s">
        <v>697</v>
      </c>
      <c r="J101" t="s">
        <v>751</v>
      </c>
      <c r="K101" s="7">
        <v>65339</v>
      </c>
      <c r="L101" s="7" t="s">
        <v>752</v>
      </c>
      <c r="M101" s="7">
        <v>2</v>
      </c>
      <c r="N101" s="20">
        <v>39.194459999999999</v>
      </c>
      <c r="O101" s="11">
        <v>-93.383759999999995</v>
      </c>
      <c r="P101" s="12">
        <v>2005</v>
      </c>
      <c r="Q101" s="12" t="s">
        <v>388</v>
      </c>
      <c r="R101" s="12">
        <f t="shared" si="12"/>
        <v>1</v>
      </c>
      <c r="S101" s="12" t="s">
        <v>389</v>
      </c>
      <c r="AB101" s="13" t="s">
        <v>390</v>
      </c>
      <c r="AC101" s="13" t="s">
        <v>391</v>
      </c>
      <c r="AD101" s="13" t="s">
        <v>378</v>
      </c>
      <c r="AE101" s="8" t="str">
        <f t="shared" si="13"/>
        <v>High</v>
      </c>
      <c r="AF101" s="14"/>
      <c r="AG101" s="14"/>
      <c r="AH101" s="14"/>
      <c r="AI101" s="14"/>
      <c r="AJ101" s="15">
        <f>VLOOKUP(E101,'[1]Ethanol Plant Listing 2025'!$B$3:$E$220,4,FALSE)</f>
        <v>66</v>
      </c>
      <c r="AK101" s="14">
        <f>+AJ101*[1]Yield!$K$4</f>
        <v>62.699999999999996</v>
      </c>
      <c r="AL101" s="14">
        <f>AK101/VLOOKUP(Q101,[1]Yield!$E$5:$F$14,2,FALSE)</f>
        <v>21.254237288135592</v>
      </c>
      <c r="AM101" s="14"/>
      <c r="AN101" s="14"/>
      <c r="AO101" s="16">
        <f t="shared" si="14"/>
        <v>139000</v>
      </c>
      <c r="AP101" s="16" t="s">
        <v>393</v>
      </c>
      <c r="AQ101" s="17" t="str">
        <f t="shared" si="21"/>
        <v>ICM</v>
      </c>
      <c r="AR101" s="18">
        <f>VLOOKUP(AQ101,[1]Yield!$A$5:$B$10,2,FALSE)</f>
        <v>0.9</v>
      </c>
      <c r="AS101" s="14">
        <f t="shared" si="15"/>
        <v>19.128813559322033</v>
      </c>
      <c r="AT101" s="8" t="s">
        <v>411</v>
      </c>
      <c r="AX101" s="8" t="str">
        <f>IFERROR(VLOOKUP(E101,[1]Sheet3!$C$2:$E$68,2,FALSE),"None")</f>
        <v>None</v>
      </c>
      <c r="AY101" s="8">
        <f>IFERROR(VLOOKUP(AX101,[1]Sheet3!$H$3:$I$5,2,FALSE),0)</f>
        <v>0</v>
      </c>
      <c r="AZ101" s="14">
        <f t="shared" si="16"/>
        <v>66</v>
      </c>
      <c r="BA101" s="14">
        <f t="shared" si="17"/>
        <v>108.50399999999999</v>
      </c>
      <c r="BB101" s="27"/>
      <c r="BC101" s="7"/>
      <c r="BD101" s="19" t="s">
        <v>753</v>
      </c>
      <c r="BE101" s="7" t="s">
        <v>428</v>
      </c>
      <c r="BF101" s="7" t="s">
        <v>414</v>
      </c>
      <c r="BK101" s="7">
        <f t="shared" si="18"/>
        <v>25</v>
      </c>
    </row>
    <row r="102" spans="1:64" ht="15.6" customHeight="1" x14ac:dyDescent="0.3">
      <c r="A102" s="7">
        <v>101</v>
      </c>
      <c r="B102" s="8">
        <v>5214</v>
      </c>
      <c r="C102" s="8">
        <v>70160</v>
      </c>
      <c r="D102" s="8">
        <v>3219</v>
      </c>
      <c r="E102" s="8">
        <v>3650</v>
      </c>
      <c r="F102" s="8" t="str">
        <f t="shared" si="20"/>
        <v>Active</v>
      </c>
      <c r="G102" s="9" t="s">
        <v>754</v>
      </c>
      <c r="H102" s="9" t="str">
        <f>VLOOKUP(E102,'[1]EPA Ethanol Capacity 2024'!$B$5:$C$235,2,FALSE)</f>
        <v>Midwest Renewable Energy LLC</v>
      </c>
      <c r="I102" s="8" t="s">
        <v>470</v>
      </c>
      <c r="J102" t="s">
        <v>755</v>
      </c>
      <c r="K102" s="7">
        <v>69165</v>
      </c>
      <c r="L102" s="7" t="s">
        <v>756</v>
      </c>
      <c r="M102" s="7">
        <v>2</v>
      </c>
      <c r="N102" s="20">
        <v>41.161141000000001</v>
      </c>
      <c r="O102" s="11">
        <v>-101.092141</v>
      </c>
      <c r="P102" s="12">
        <v>1999</v>
      </c>
      <c r="Q102" s="12" t="s">
        <v>524</v>
      </c>
      <c r="R102" s="12">
        <f t="shared" si="12"/>
        <v>1</v>
      </c>
      <c r="S102" s="12"/>
      <c r="AB102" s="13" t="s">
        <v>390</v>
      </c>
      <c r="AC102" s="13" t="s">
        <v>391</v>
      </c>
      <c r="AD102" s="13" t="s">
        <v>378</v>
      </c>
      <c r="AE102" s="8" t="str">
        <f t="shared" si="13"/>
        <v>High</v>
      </c>
      <c r="AF102" s="14">
        <v>26.32</v>
      </c>
      <c r="AG102" s="14">
        <v>20</v>
      </c>
      <c r="AH102" s="14" t="s">
        <v>515</v>
      </c>
      <c r="AI102" s="14">
        <v>34651</v>
      </c>
      <c r="AJ102" s="15">
        <f>VLOOKUP(E102,'[1]Ethanol Plant Listing 2025'!$B$3:$E$220,4,FALSE)</f>
        <v>28</v>
      </c>
      <c r="AK102" s="14">
        <f>+AJ102*[1]Yield!$K$4</f>
        <v>26.599999999999998</v>
      </c>
      <c r="AL102" s="14">
        <f>AK102/VLOOKUP(Q102,[1]Yield!$E$5:$F$14,2,FALSE)</f>
        <v>9.3333333333333321</v>
      </c>
      <c r="AM102" s="14"/>
      <c r="AN102" s="14"/>
      <c r="AO102" s="16">
        <f t="shared" si="14"/>
        <v>61000</v>
      </c>
      <c r="AP102" s="16"/>
      <c r="AQ102" s="17" t="str">
        <f t="shared" si="21"/>
        <v>None</v>
      </c>
      <c r="AR102" s="18">
        <f>VLOOKUP(AQ102,[1]Yield!$A$5:$B$10,2,FALSE)</f>
        <v>0.81499999999999995</v>
      </c>
      <c r="AS102" s="14">
        <f t="shared" si="15"/>
        <v>7.6066666666666656</v>
      </c>
      <c r="AT102" s="8" t="s">
        <v>394</v>
      </c>
      <c r="AU102" s="8"/>
      <c r="AV102" s="8"/>
      <c r="AW102" s="13"/>
      <c r="AX102" s="8" t="str">
        <f>IFERROR(VLOOKUP(E102,[1]Sheet3!$C$2:$E$68,2,FALSE),"None")</f>
        <v>None</v>
      </c>
      <c r="AY102" s="8">
        <f>IFERROR(VLOOKUP(AX102,[1]Sheet3!$H$3:$I$5,2,FALSE),0)</f>
        <v>0</v>
      </c>
      <c r="AZ102" s="14">
        <f t="shared" si="16"/>
        <v>28</v>
      </c>
      <c r="BA102" s="14">
        <f t="shared" si="17"/>
        <v>46.031999999999996</v>
      </c>
      <c r="BB102" s="27"/>
      <c r="BC102" s="7"/>
      <c r="BD102" s="19" t="s">
        <v>757</v>
      </c>
      <c r="BE102" s="7" t="s">
        <v>428</v>
      </c>
      <c r="BF102" s="7" t="s">
        <v>414</v>
      </c>
      <c r="BK102" s="7">
        <f t="shared" si="18"/>
        <v>20</v>
      </c>
    </row>
    <row r="103" spans="1:64" ht="15.6" customHeight="1" x14ac:dyDescent="0.3">
      <c r="A103" s="7">
        <v>102</v>
      </c>
      <c r="B103" s="8">
        <v>3516</v>
      </c>
      <c r="C103" s="8">
        <v>70230</v>
      </c>
      <c r="D103" s="8">
        <v>3220</v>
      </c>
      <c r="E103" s="8">
        <v>3651</v>
      </c>
      <c r="F103" s="8" t="str">
        <f t="shared" si="20"/>
        <v>Active</v>
      </c>
      <c r="G103" s="9" t="s">
        <v>758</v>
      </c>
      <c r="H103" s="9" t="str">
        <f>VLOOKUP(E103,'[1]EPA Ethanol Capacity 2024'!$B$5:$C$235,2,FALSE)</f>
        <v>Nebraska Corn Processing LLC</v>
      </c>
      <c r="I103" s="8" t="s">
        <v>470</v>
      </c>
      <c r="J103" t="s">
        <v>759</v>
      </c>
      <c r="K103" s="7">
        <v>69022</v>
      </c>
      <c r="L103" s="7" t="s">
        <v>760</v>
      </c>
      <c r="M103" s="7">
        <v>2</v>
      </c>
      <c r="N103" s="20">
        <v>40.280479999999997</v>
      </c>
      <c r="O103" s="11">
        <v>-100.163</v>
      </c>
      <c r="P103" s="12">
        <v>2008</v>
      </c>
      <c r="Q103" s="12" t="s">
        <v>405</v>
      </c>
      <c r="R103" s="12">
        <f t="shared" si="12"/>
        <v>1</v>
      </c>
      <c r="S103" s="12"/>
      <c r="AB103" s="13" t="s">
        <v>390</v>
      </c>
      <c r="AC103" s="13" t="s">
        <v>426</v>
      </c>
      <c r="AD103" s="13" t="s">
        <v>378</v>
      </c>
      <c r="AE103" s="8" t="str">
        <f t="shared" si="13"/>
        <v>High</v>
      </c>
      <c r="AF103" s="14">
        <v>61.2</v>
      </c>
      <c r="AG103" s="14">
        <v>88.2</v>
      </c>
      <c r="AH103" s="14" t="s">
        <v>515</v>
      </c>
      <c r="AI103" s="14">
        <v>84221</v>
      </c>
      <c r="AJ103" s="15">
        <f>VLOOKUP(E103,'[1]Ethanol Plant Listing 2025'!$B$3:$E$220,4,FALSE)</f>
        <v>54</v>
      </c>
      <c r="AK103" s="14">
        <f>+AJ103*[1]Yield!$K$4</f>
        <v>51.3</v>
      </c>
      <c r="AL103" s="14">
        <f>AK103/VLOOKUP(Q103,[1]Yield!$E$5:$F$14,2,FALSE)</f>
        <v>17.8125</v>
      </c>
      <c r="AM103" s="14"/>
      <c r="AN103" s="14"/>
      <c r="AO103" s="16">
        <f t="shared" si="14"/>
        <v>117000</v>
      </c>
      <c r="AP103" s="16" t="s">
        <v>410</v>
      </c>
      <c r="AQ103" s="17" t="str">
        <f t="shared" si="21"/>
        <v>None</v>
      </c>
      <c r="AR103" s="18">
        <f>VLOOKUP(AQ103,[1]Yield!$A$5:$B$10,2,FALSE)</f>
        <v>0.81499999999999995</v>
      </c>
      <c r="AS103" s="14">
        <f t="shared" si="15"/>
        <v>14.517187499999999</v>
      </c>
      <c r="AT103" s="8" t="s">
        <v>394</v>
      </c>
      <c r="AU103" s="8"/>
      <c r="AV103" s="8"/>
      <c r="AW103" s="13"/>
      <c r="AX103" s="8" t="str">
        <f>IFERROR(VLOOKUP(E103,[1]Sheet3!$C$2:$E$68,2,FALSE),"None")</f>
        <v>None</v>
      </c>
      <c r="AY103" s="8">
        <f>IFERROR(VLOOKUP(AX103,[1]Sheet3!$H$3:$I$5,2,FALSE),0)</f>
        <v>0</v>
      </c>
      <c r="AZ103" s="14">
        <f t="shared" si="16"/>
        <v>54</v>
      </c>
      <c r="BA103" s="14">
        <f t="shared" si="17"/>
        <v>88.775999999999996</v>
      </c>
      <c r="BB103" s="27"/>
      <c r="BC103" s="7"/>
      <c r="BD103" s="19" t="s">
        <v>761</v>
      </c>
      <c r="BE103" s="7" t="s">
        <v>481</v>
      </c>
      <c r="BF103" s="7" t="s">
        <v>414</v>
      </c>
      <c r="BK103" s="7">
        <f t="shared" si="18"/>
        <v>20</v>
      </c>
    </row>
    <row r="104" spans="1:64" ht="15.6" customHeight="1" x14ac:dyDescent="0.3">
      <c r="A104" s="7">
        <v>103</v>
      </c>
      <c r="B104" s="8"/>
      <c r="C104" s="8">
        <v>70195</v>
      </c>
      <c r="D104" s="8">
        <v>3221</v>
      </c>
      <c r="E104" s="8">
        <v>3652</v>
      </c>
      <c r="F104" s="8" t="str">
        <f t="shared" si="20"/>
        <v>Active</v>
      </c>
      <c r="G104" s="9" t="s">
        <v>762</v>
      </c>
      <c r="H104" s="9" t="str">
        <f>VLOOKUP(E104,'[1]EPA Ethanol Capacity 2024'!$B$5:$C$235,2,FALSE)</f>
        <v>Nugen Energy LLC</v>
      </c>
      <c r="I104" s="8" t="s">
        <v>582</v>
      </c>
      <c r="J104" t="s">
        <v>244</v>
      </c>
      <c r="K104" s="7">
        <v>57043</v>
      </c>
      <c r="L104" s="7" t="s">
        <v>763</v>
      </c>
      <c r="M104" s="7">
        <v>2</v>
      </c>
      <c r="N104" s="20">
        <v>43.433852000000002</v>
      </c>
      <c r="O104" s="11">
        <v>-97.260925999999998</v>
      </c>
      <c r="P104" s="12">
        <v>2008</v>
      </c>
      <c r="Q104" s="12" t="s">
        <v>388</v>
      </c>
      <c r="R104" s="12">
        <f t="shared" si="12"/>
        <v>2</v>
      </c>
      <c r="S104" s="12" t="s">
        <v>389</v>
      </c>
      <c r="AB104" s="13" t="s">
        <v>390</v>
      </c>
      <c r="AC104" s="13" t="s">
        <v>391</v>
      </c>
      <c r="AD104" s="13" t="s">
        <v>378</v>
      </c>
      <c r="AE104" s="8" t="str">
        <f t="shared" si="13"/>
        <v>High</v>
      </c>
      <c r="AF104" s="14"/>
      <c r="AG104" s="14"/>
      <c r="AH104" s="14"/>
      <c r="AI104" s="14"/>
      <c r="AJ104" s="15">
        <f>VLOOKUP(E104,'[1]Ethanol Plant Listing 2025'!$B$3:$E$220,4,FALSE)</f>
        <v>150</v>
      </c>
      <c r="AK104" s="14">
        <f>+AJ104*[1]Yield!$K$4</f>
        <v>142.5</v>
      </c>
      <c r="AL104" s="14">
        <f>AK104/VLOOKUP(Q104,[1]Yield!$E$5:$F$14,2,FALSE)</f>
        <v>48.305084745762706</v>
      </c>
      <c r="AM104" s="14"/>
      <c r="AN104" s="14"/>
      <c r="AO104" s="16">
        <f t="shared" si="14"/>
        <v>316000</v>
      </c>
      <c r="AP104" s="16" t="s">
        <v>393</v>
      </c>
      <c r="AQ104" s="17" t="str">
        <f t="shared" si="21"/>
        <v>ICM</v>
      </c>
      <c r="AR104" s="18">
        <f>VLOOKUP(AQ104,[1]Yield!$A$5:$B$10,2,FALSE)</f>
        <v>0.9</v>
      </c>
      <c r="AS104" s="14">
        <f t="shared" si="15"/>
        <v>43.474576271186436</v>
      </c>
      <c r="AT104" s="8" t="s">
        <v>394</v>
      </c>
      <c r="AU104" s="8"/>
      <c r="AV104" s="8" t="s">
        <v>395</v>
      </c>
      <c r="AW104" s="13"/>
      <c r="AX104" s="8" t="str">
        <f>IFERROR(VLOOKUP(E104,[1]Sheet3!$C$2:$E$68,2,FALSE),"None")</f>
        <v>Summit Carbon Solutions</v>
      </c>
      <c r="AY104" s="8">
        <f>IFERROR(VLOOKUP(AX104,[1]Sheet3!$H$3:$I$5,2,FALSE),0)</f>
        <v>31</v>
      </c>
      <c r="AZ104" s="14">
        <f t="shared" si="16"/>
        <v>150</v>
      </c>
      <c r="BA104" s="14">
        <f t="shared" si="17"/>
        <v>246.6</v>
      </c>
      <c r="BB104" s="27"/>
      <c r="BC104" s="7" t="s">
        <v>437</v>
      </c>
      <c r="BD104" s="19" t="s">
        <v>764</v>
      </c>
      <c r="BE104" s="7" t="s">
        <v>481</v>
      </c>
      <c r="BF104" s="7" t="s">
        <v>398</v>
      </c>
      <c r="BK104" s="7">
        <f t="shared" si="18"/>
        <v>25</v>
      </c>
    </row>
    <row r="105" spans="1:64" ht="15.6" customHeight="1" x14ac:dyDescent="0.3">
      <c r="A105" s="7">
        <v>104</v>
      </c>
      <c r="B105" s="8"/>
      <c r="C105" s="8"/>
      <c r="D105" s="8">
        <v>3222</v>
      </c>
      <c r="E105" s="8">
        <v>3653</v>
      </c>
      <c r="F105" s="8" t="str">
        <f t="shared" si="20"/>
        <v>Active</v>
      </c>
      <c r="G105" s="9" t="s">
        <v>762</v>
      </c>
      <c r="H105" s="9" t="str">
        <f>VLOOKUP(E105,'[1]EPA Ethanol Capacity 2024'!$B$5:$C$235,2,FALSE)</f>
        <v>One Earth Energy LLC</v>
      </c>
      <c r="I105" s="8" t="s">
        <v>416</v>
      </c>
      <c r="J105" t="s">
        <v>765</v>
      </c>
      <c r="K105" s="7">
        <v>60936</v>
      </c>
      <c r="L105" s="7" t="s">
        <v>766</v>
      </c>
      <c r="M105" s="7">
        <v>2</v>
      </c>
      <c r="N105" s="20">
        <v>40.471085000000002</v>
      </c>
      <c r="O105" s="11">
        <v>-88.395740000000004</v>
      </c>
      <c r="P105" s="12">
        <v>2007</v>
      </c>
      <c r="Q105" s="12" t="s">
        <v>388</v>
      </c>
      <c r="R105" s="12">
        <f t="shared" si="12"/>
        <v>2</v>
      </c>
      <c r="S105" s="12" t="s">
        <v>389</v>
      </c>
      <c r="AB105" s="13" t="s">
        <v>390</v>
      </c>
      <c r="AC105" s="13" t="s">
        <v>391</v>
      </c>
      <c r="AD105" s="13" t="s">
        <v>767</v>
      </c>
      <c r="AE105" s="8" t="str">
        <f t="shared" si="13"/>
        <v>High</v>
      </c>
      <c r="AF105" s="14"/>
      <c r="AG105" s="14"/>
      <c r="AH105" s="14"/>
      <c r="AI105" s="14"/>
      <c r="AJ105" s="15">
        <f>VLOOKUP(E105,'[1]Ethanol Plant Listing 2025'!$B$3:$E$220,4,FALSE)</f>
        <v>150</v>
      </c>
      <c r="AK105" s="14">
        <f>+AJ105*[1]Yield!$K$4</f>
        <v>142.5</v>
      </c>
      <c r="AL105" s="14">
        <f>AK105/VLOOKUP(Q105,[1]Yield!$E$5:$F$14,2,FALSE)</f>
        <v>48.305084745762706</v>
      </c>
      <c r="AM105" s="14"/>
      <c r="AN105" s="14"/>
      <c r="AO105" s="16">
        <f t="shared" si="14"/>
        <v>316000</v>
      </c>
      <c r="AP105" s="16" t="s">
        <v>393</v>
      </c>
      <c r="AQ105" s="17" t="str">
        <f t="shared" si="21"/>
        <v>ICM</v>
      </c>
      <c r="AR105" s="18">
        <f>VLOOKUP(AQ105,[1]Yield!$A$5:$B$10,2,FALSE)</f>
        <v>0.9</v>
      </c>
      <c r="AS105" s="14">
        <f t="shared" si="15"/>
        <v>43.474576271186436</v>
      </c>
      <c r="AT105" s="14" t="s">
        <v>437</v>
      </c>
      <c r="AU105" s="8" t="s">
        <v>450</v>
      </c>
      <c r="AV105" s="8"/>
      <c r="AW105" s="13"/>
      <c r="AX105" s="8" t="str">
        <f>IFERROR(VLOOKUP(E105,[1]Sheet3!$C$2:$E$68,2,FALSE),"None")</f>
        <v>None</v>
      </c>
      <c r="AY105" s="8">
        <f>IFERROR(VLOOKUP(AX105,[1]Sheet3!$H$3:$I$5,2,FALSE),0)</f>
        <v>0</v>
      </c>
      <c r="AZ105" s="14">
        <f t="shared" si="16"/>
        <v>150</v>
      </c>
      <c r="BA105" s="14">
        <f t="shared" si="17"/>
        <v>246.6</v>
      </c>
      <c r="BB105" s="27"/>
      <c r="BC105" s="7" t="s">
        <v>437</v>
      </c>
      <c r="BD105" s="19" t="s">
        <v>764</v>
      </c>
      <c r="BE105" s="7" t="s">
        <v>478</v>
      </c>
      <c r="BF105" s="7" t="s">
        <v>398</v>
      </c>
      <c r="BK105" s="7">
        <f t="shared" si="18"/>
        <v>25</v>
      </c>
    </row>
    <row r="106" spans="1:64" ht="15.6" customHeight="1" x14ac:dyDescent="0.3">
      <c r="A106" s="7">
        <v>105</v>
      </c>
      <c r="B106" s="8"/>
      <c r="C106" s="8">
        <v>70122</v>
      </c>
      <c r="D106" s="8">
        <v>2543</v>
      </c>
      <c r="E106" s="8">
        <v>3654</v>
      </c>
      <c r="F106" s="8" t="str">
        <f t="shared" si="20"/>
        <v>Active</v>
      </c>
      <c r="G106" s="9" t="s">
        <v>768</v>
      </c>
      <c r="H106" s="9" t="str">
        <f>VLOOKUP(E106,'[1]EPA Ethanol Capacity 2024'!$B$5:$C$235,2,FALSE)</f>
        <v>Parallel Products</v>
      </c>
      <c r="I106" s="8" t="s">
        <v>422</v>
      </c>
      <c r="J106" t="s">
        <v>769</v>
      </c>
      <c r="K106" s="7">
        <v>91739</v>
      </c>
      <c r="L106" s="7" t="s">
        <v>770</v>
      </c>
      <c r="M106" s="7">
        <v>5</v>
      </c>
      <c r="N106" s="20">
        <v>34.0988304189557</v>
      </c>
      <c r="O106" s="11">
        <v>-117.537506213792</v>
      </c>
      <c r="P106" s="12">
        <v>0</v>
      </c>
      <c r="Q106" s="12" t="s">
        <v>771</v>
      </c>
      <c r="R106" s="12">
        <f t="shared" si="12"/>
        <v>2</v>
      </c>
      <c r="S106" s="12"/>
      <c r="AB106" s="13" t="s">
        <v>772</v>
      </c>
      <c r="AC106" s="13" t="s">
        <v>426</v>
      </c>
      <c r="AD106" s="13" t="s">
        <v>378</v>
      </c>
      <c r="AE106" s="8" t="str">
        <f t="shared" si="13"/>
        <v>High</v>
      </c>
      <c r="AF106" s="14"/>
      <c r="AG106" s="14"/>
      <c r="AH106" s="14"/>
      <c r="AI106" s="14"/>
      <c r="AJ106" s="15">
        <f>VLOOKUP(E106,'[1]Ethanol Plant Listing 2025'!$B$3:$E$220,4,FALSE)</f>
        <v>3</v>
      </c>
      <c r="AK106" s="14">
        <f>+AJ106*[1]Yield!$K$4</f>
        <v>2.8499999999999996</v>
      </c>
      <c r="AL106" s="14">
        <f>IFERROR(AK106/VLOOKUP(Q106,[1]Yield!$E$5:$F$15,2,FALSE),0)</f>
        <v>0</v>
      </c>
      <c r="AM106" s="14"/>
      <c r="AN106" s="14"/>
      <c r="AO106" s="16">
        <f t="shared" si="14"/>
        <v>0</v>
      </c>
      <c r="AP106" s="16"/>
      <c r="AQ106" s="17" t="str">
        <f t="shared" ref="AQ106:AQ107" si="22">IF(G106="POET Biorefining",G106,IF(T106="FQPT HI Pro",T106,IF(Z106="ICM FOT",Z106,IF(Q106="ICM",Q106,IF(Q106="ADM",Q106,IF(Q106="Waste Stream",Q106,IF(Q106="Wheat","Wheat","None")))))))</f>
        <v>Waste Stream</v>
      </c>
      <c r="AR106" s="18">
        <f>VLOOKUP(AQ106,[1]Yield!$A$5:$B$15,2,FALSE)</f>
        <v>0</v>
      </c>
      <c r="AS106" s="14">
        <f t="shared" si="15"/>
        <v>0</v>
      </c>
      <c r="AT106" s="14" t="s">
        <v>411</v>
      </c>
      <c r="AX106" s="8" t="str">
        <f>IFERROR(VLOOKUP(E106,[1]Sheet3!$C$2:$E$68,2,FALSE),"None")</f>
        <v>None</v>
      </c>
      <c r="AY106" s="8">
        <f>IFERROR(VLOOKUP(AX106,[1]Sheet3!$H$3:$I$5,2,FALSE),0)</f>
        <v>0</v>
      </c>
      <c r="AZ106" s="14">
        <f t="shared" si="16"/>
        <v>3</v>
      </c>
      <c r="BA106" s="14">
        <f t="shared" si="17"/>
        <v>4.9319999999999995</v>
      </c>
      <c r="BB106" s="27"/>
      <c r="BC106" s="7"/>
      <c r="BD106" s="29" t="s">
        <v>743</v>
      </c>
      <c r="BE106" s="26" t="s">
        <v>593</v>
      </c>
      <c r="BF106" s="7" t="s">
        <v>414</v>
      </c>
      <c r="BG106" s="7" t="s">
        <v>398</v>
      </c>
      <c r="BJ106" s="7" t="s">
        <v>400</v>
      </c>
      <c r="BK106" s="7">
        <f t="shared" si="18"/>
        <v>15</v>
      </c>
    </row>
    <row r="107" spans="1:64" ht="15.6" customHeight="1" x14ac:dyDescent="0.3">
      <c r="A107" s="7">
        <v>106</v>
      </c>
      <c r="B107" s="8"/>
      <c r="C107" s="8"/>
      <c r="D107" s="8">
        <v>2544</v>
      </c>
      <c r="E107" s="8">
        <v>3655</v>
      </c>
      <c r="F107" s="8" t="str">
        <f t="shared" si="20"/>
        <v>Active</v>
      </c>
      <c r="G107" s="9" t="s">
        <v>768</v>
      </c>
      <c r="H107" s="9" t="str">
        <f>VLOOKUP(E107,'[1]EPA Ethanol Capacity 2024'!$B$5:$C$235,2,FALSE)</f>
        <v>Parallel Products Inc</v>
      </c>
      <c r="I107" s="8" t="s">
        <v>573</v>
      </c>
      <c r="J107" t="s">
        <v>773</v>
      </c>
      <c r="K107" s="7">
        <v>40210</v>
      </c>
      <c r="L107" s="7" t="s">
        <v>774</v>
      </c>
      <c r="M107" s="7">
        <v>2</v>
      </c>
      <c r="N107" s="20">
        <v>38.217552388266498</v>
      </c>
      <c r="O107" s="11">
        <v>-85.785963022169895</v>
      </c>
      <c r="P107" s="12">
        <v>0</v>
      </c>
      <c r="Q107" s="12" t="s">
        <v>771</v>
      </c>
      <c r="R107" s="12">
        <f t="shared" si="12"/>
        <v>2</v>
      </c>
      <c r="S107" s="12"/>
      <c r="AB107" s="13" t="s">
        <v>772</v>
      </c>
      <c r="AC107" s="13" t="s">
        <v>426</v>
      </c>
      <c r="AD107" s="13" t="s">
        <v>378</v>
      </c>
      <c r="AE107" s="8" t="str">
        <f t="shared" si="13"/>
        <v>High</v>
      </c>
      <c r="AF107" s="14"/>
      <c r="AG107" s="14"/>
      <c r="AH107" s="14"/>
      <c r="AI107" s="14"/>
      <c r="AJ107" s="15">
        <f>VLOOKUP(E107,'[1]Ethanol Plant Listing 2025'!$B$3:$E$220,4,FALSE)</f>
        <v>5.5</v>
      </c>
      <c r="AK107" s="14">
        <f>+AJ107*[1]Yield!$K$4</f>
        <v>5.2249999999999996</v>
      </c>
      <c r="AL107" s="14">
        <f>IFERROR(AK107/VLOOKUP(Q107,[1]Yield!$E$5:$F$15,2,FALSE),0)</f>
        <v>0</v>
      </c>
      <c r="AM107" s="14"/>
      <c r="AN107" s="14"/>
      <c r="AO107" s="16">
        <f t="shared" si="14"/>
        <v>0</v>
      </c>
      <c r="AP107" s="16"/>
      <c r="AQ107" s="17" t="str">
        <f t="shared" si="22"/>
        <v>Waste Stream</v>
      </c>
      <c r="AR107" s="18">
        <f>VLOOKUP(AQ107,[1]Yield!$A$5:$B$15,2,FALSE)</f>
        <v>0</v>
      </c>
      <c r="AS107" s="14">
        <f t="shared" si="15"/>
        <v>0</v>
      </c>
      <c r="AT107" s="14" t="s">
        <v>411</v>
      </c>
      <c r="AX107" s="8" t="str">
        <f>IFERROR(VLOOKUP(E107,[1]Sheet3!$C$2:$E$68,2,FALSE),"None")</f>
        <v>None</v>
      </c>
      <c r="AY107" s="8">
        <f>IFERROR(VLOOKUP(AX107,[1]Sheet3!$H$3:$I$5,2,FALSE),0)</f>
        <v>0</v>
      </c>
      <c r="AZ107" s="14">
        <f t="shared" si="16"/>
        <v>5.5</v>
      </c>
      <c r="BA107" s="14">
        <f t="shared" si="17"/>
        <v>9.0419999999999998</v>
      </c>
      <c r="BB107" s="27"/>
      <c r="BC107" s="7"/>
      <c r="BD107" s="29" t="s">
        <v>743</v>
      </c>
      <c r="BE107" s="26" t="s">
        <v>593</v>
      </c>
      <c r="BF107" s="7" t="s">
        <v>414</v>
      </c>
      <c r="BG107" s="7" t="s">
        <v>398</v>
      </c>
      <c r="BJ107" s="7" t="s">
        <v>400</v>
      </c>
      <c r="BK107" s="7">
        <f t="shared" si="18"/>
        <v>20</v>
      </c>
    </row>
    <row r="108" spans="1:64" ht="15.6" customHeight="1" x14ac:dyDescent="0.3">
      <c r="A108" s="7">
        <v>107</v>
      </c>
      <c r="B108" s="8"/>
      <c r="C108" s="8"/>
      <c r="D108" s="8">
        <v>3223</v>
      </c>
      <c r="E108" s="8">
        <v>3656</v>
      </c>
      <c r="F108" s="8" t="str">
        <f t="shared" si="20"/>
        <v>Active</v>
      </c>
      <c r="G108" s="9" t="s">
        <v>775</v>
      </c>
      <c r="H108" s="9" t="str">
        <f>VLOOKUP(E108,'[1]EPA Ethanol Capacity 2024'!$B$5:$C$235,2,FALSE)</f>
        <v>Innergex Renewable Energy Inc.</v>
      </c>
      <c r="I108" s="8" t="s">
        <v>422</v>
      </c>
      <c r="J108" t="s">
        <v>776</v>
      </c>
      <c r="K108" s="7">
        <v>95206</v>
      </c>
      <c r="L108" s="7" t="s">
        <v>777</v>
      </c>
      <c r="M108" s="7">
        <v>5</v>
      </c>
      <c r="N108" s="20">
        <v>37.941299999999998</v>
      </c>
      <c r="O108" s="11">
        <v>-121.3385</v>
      </c>
      <c r="P108" s="12">
        <v>2008</v>
      </c>
      <c r="Q108" s="12" t="s">
        <v>405</v>
      </c>
      <c r="R108" s="12">
        <f t="shared" si="12"/>
        <v>1</v>
      </c>
      <c r="S108" s="12"/>
      <c r="X108" s="7" t="s">
        <v>346</v>
      </c>
      <c r="AB108" s="13" t="s">
        <v>425</v>
      </c>
      <c r="AC108" s="13" t="s">
        <v>778</v>
      </c>
      <c r="AD108" s="13" t="s">
        <v>378</v>
      </c>
      <c r="AE108" s="8" t="str">
        <f t="shared" si="13"/>
        <v>High</v>
      </c>
      <c r="AF108" s="14"/>
      <c r="AG108" s="14"/>
      <c r="AH108" s="14"/>
      <c r="AI108" s="14"/>
      <c r="AJ108" s="15">
        <f>VLOOKUP(E108,'[1]Ethanol Plant Listing 2025'!$B$3:$E$220,4,FALSE)</f>
        <v>60</v>
      </c>
      <c r="AK108" s="14">
        <f>+AJ108*[1]Yield!$K$4</f>
        <v>57</v>
      </c>
      <c r="AL108" s="14">
        <f>AK108/VLOOKUP(Q108,[1]Yield!$E$5:$F$14,2,FALSE)</f>
        <v>19.791666666666668</v>
      </c>
      <c r="AM108" s="14"/>
      <c r="AN108" s="14"/>
      <c r="AO108" s="16">
        <f t="shared" si="14"/>
        <v>130000</v>
      </c>
      <c r="AP108" s="16" t="s">
        <v>410</v>
      </c>
      <c r="AQ108" s="17" t="str">
        <f t="shared" ref="AQ108:AQ147" si="23">IF(G108="POET Biorefining",G108,IF(T108="FQPT HI Pro",T108,IF(Z108="ICM FOT",Z108,IF(Q108="ICM",Q108,IF(Q108="ADM",Q108,"None")))))</f>
        <v>None</v>
      </c>
      <c r="AR108" s="18">
        <f>VLOOKUP(AQ108,[1]Yield!$A$5:$B$10,2,FALSE)</f>
        <v>0.81499999999999995</v>
      </c>
      <c r="AS108" s="14">
        <f t="shared" si="15"/>
        <v>16.130208333333332</v>
      </c>
      <c r="AT108" s="8" t="s">
        <v>394</v>
      </c>
      <c r="AX108" s="8" t="str">
        <f>IFERROR(VLOOKUP(E108,[1]Sheet3!$C$2:$E$68,2,FALSE),"None")</f>
        <v>None</v>
      </c>
      <c r="AY108" s="8">
        <f>IFERROR(VLOOKUP(AX108,[1]Sheet3!$H$3:$I$5,2,FALSE),0)</f>
        <v>0</v>
      </c>
      <c r="AZ108" s="14">
        <f t="shared" si="16"/>
        <v>60</v>
      </c>
      <c r="BA108" s="14">
        <f t="shared" si="17"/>
        <v>98.64</v>
      </c>
      <c r="BB108" s="27"/>
      <c r="BC108" s="7"/>
      <c r="BD108" s="29" t="s">
        <v>743</v>
      </c>
      <c r="BE108" s="7" t="s">
        <v>481</v>
      </c>
      <c r="BF108" s="7" t="s">
        <v>398</v>
      </c>
      <c r="BK108" s="7">
        <f t="shared" si="18"/>
        <v>15</v>
      </c>
      <c r="BL108" s="9" t="s">
        <v>779</v>
      </c>
    </row>
    <row r="109" spans="1:64" ht="15.6" customHeight="1" x14ac:dyDescent="0.3">
      <c r="A109" s="7">
        <v>108</v>
      </c>
      <c r="B109" s="8"/>
      <c r="C109" s="8"/>
      <c r="D109" s="8">
        <v>3224</v>
      </c>
      <c r="E109" s="8">
        <v>3657</v>
      </c>
      <c r="F109" s="8" t="str">
        <f t="shared" si="20"/>
        <v>Active</v>
      </c>
      <c r="G109" s="9" t="s">
        <v>780</v>
      </c>
      <c r="H109" s="9" t="str">
        <f>VLOOKUP(E109,'[1]EPA Ethanol Capacity 2024'!$B$5:$C$235,2,FALSE)</f>
        <v>Pennsylvania Grain Processing LLC</v>
      </c>
      <c r="I109" s="8" t="s">
        <v>781</v>
      </c>
      <c r="J109" t="s">
        <v>782</v>
      </c>
      <c r="K109" s="7">
        <v>16830</v>
      </c>
      <c r="L109" s="7" t="s">
        <v>782</v>
      </c>
      <c r="M109" s="7">
        <v>1</v>
      </c>
      <c r="N109" s="20">
        <v>41.030819999999999</v>
      </c>
      <c r="O109" s="11">
        <v>-78.4298</v>
      </c>
      <c r="P109" s="12">
        <v>2010</v>
      </c>
      <c r="Q109" s="12" t="s">
        <v>388</v>
      </c>
      <c r="R109" s="12">
        <f t="shared" si="12"/>
        <v>1</v>
      </c>
      <c r="S109" s="12"/>
      <c r="AB109" s="13" t="s">
        <v>390</v>
      </c>
      <c r="AC109" s="13" t="s">
        <v>391</v>
      </c>
      <c r="AD109" s="13" t="s">
        <v>378</v>
      </c>
      <c r="AE109" s="8" t="str">
        <f t="shared" si="13"/>
        <v>High</v>
      </c>
      <c r="AF109" s="14"/>
      <c r="AG109" s="14"/>
      <c r="AH109" s="14"/>
      <c r="AI109" s="14"/>
      <c r="AJ109" s="15">
        <f>VLOOKUP(E109,'[1]Ethanol Plant Listing 2025'!$B$3:$E$220,4,FALSE)</f>
        <v>128</v>
      </c>
      <c r="AK109" s="14">
        <f>+AJ109*[1]Yield!$K$4</f>
        <v>121.6</v>
      </c>
      <c r="AL109" s="14">
        <f>AK109/VLOOKUP(Q109,[1]Yield!$E$5:$F$14,2,FALSE)</f>
        <v>41.220338983050844</v>
      </c>
      <c r="AM109" s="14"/>
      <c r="AN109" s="14"/>
      <c r="AO109" s="16">
        <f t="shared" si="14"/>
        <v>270000</v>
      </c>
      <c r="AP109" s="16" t="s">
        <v>393</v>
      </c>
      <c r="AQ109" s="17" t="str">
        <f t="shared" si="23"/>
        <v>ICM</v>
      </c>
      <c r="AR109" s="18">
        <f>VLOOKUP(AQ109,[1]Yield!$A$5:$B$10,2,FALSE)</f>
        <v>0.9</v>
      </c>
      <c r="AS109" s="14">
        <f t="shared" si="15"/>
        <v>37.09830508474576</v>
      </c>
      <c r="AT109" s="8" t="s">
        <v>394</v>
      </c>
      <c r="AX109" s="8" t="str">
        <f>IFERROR(VLOOKUP(E109,[1]Sheet3!$C$2:$E$68,2,FALSE),"None")</f>
        <v>None</v>
      </c>
      <c r="AY109" s="8">
        <f>IFERROR(VLOOKUP(AX109,[1]Sheet3!$H$3:$I$5,2,FALSE),0)</f>
        <v>0</v>
      </c>
      <c r="AZ109" s="14">
        <f t="shared" si="16"/>
        <v>128</v>
      </c>
      <c r="BA109" s="14">
        <f t="shared" si="17"/>
        <v>210.43199999999999</v>
      </c>
      <c r="BB109" s="27"/>
      <c r="BC109" s="7"/>
      <c r="BD109" s="19" t="s">
        <v>783</v>
      </c>
      <c r="BE109" s="7" t="s">
        <v>784</v>
      </c>
      <c r="BF109" s="7" t="s">
        <v>398</v>
      </c>
      <c r="BK109" s="7">
        <f t="shared" si="18"/>
        <v>20</v>
      </c>
    </row>
    <row r="110" spans="1:64" ht="15.6" customHeight="1" x14ac:dyDescent="0.3">
      <c r="A110" s="7">
        <v>109</v>
      </c>
      <c r="B110" s="8"/>
      <c r="C110" s="8"/>
      <c r="D110" s="8">
        <v>3225</v>
      </c>
      <c r="E110" s="8">
        <v>3658</v>
      </c>
      <c r="F110" s="8" t="str">
        <f t="shared" si="20"/>
        <v>Active</v>
      </c>
      <c r="G110" s="9" t="s">
        <v>785</v>
      </c>
      <c r="H110" s="9" t="str">
        <f>VLOOKUP(E110,'[1]EPA Ethanol Capacity 2024'!$B$5:$C$235,2,FALSE)</f>
        <v>Pinal</v>
      </c>
      <c r="I110" s="8" t="s">
        <v>786</v>
      </c>
      <c r="J110" t="s">
        <v>787</v>
      </c>
      <c r="K110" s="7">
        <v>85138</v>
      </c>
      <c r="L110" s="7" t="s">
        <v>788</v>
      </c>
      <c r="M110" s="7">
        <v>5</v>
      </c>
      <c r="N110" s="20">
        <v>33.015520000000002</v>
      </c>
      <c r="O110" s="11">
        <v>-111.98260000000001</v>
      </c>
      <c r="P110" s="12">
        <v>2007</v>
      </c>
      <c r="Q110" s="12" t="s">
        <v>405</v>
      </c>
      <c r="R110" s="12">
        <f t="shared" si="12"/>
        <v>1</v>
      </c>
      <c r="S110" s="12"/>
      <c r="U110" s="7" t="s">
        <v>343</v>
      </c>
      <c r="AB110" s="13" t="s">
        <v>390</v>
      </c>
      <c r="AC110" s="13" t="s">
        <v>391</v>
      </c>
      <c r="AD110" s="13" t="s">
        <v>378</v>
      </c>
      <c r="AE110" s="8" t="str">
        <f t="shared" si="13"/>
        <v>High</v>
      </c>
      <c r="AF110" s="14"/>
      <c r="AG110" s="14"/>
      <c r="AH110" s="14"/>
      <c r="AI110" s="14"/>
      <c r="AJ110" s="15" t="e">
        <f>VLOOKUP(E110,'[1]Ethanol Plant Listing 2025'!$B$3:$E$220,4,FALSE)</f>
        <v>#N/A</v>
      </c>
      <c r="AK110" s="14" t="e">
        <f>+AJ110*[1]Yield!$K$4</f>
        <v>#N/A</v>
      </c>
      <c r="AL110" s="14" t="e">
        <f>AK110/VLOOKUP(Q110,[1]Yield!$E$5:$F$14,2,FALSE)</f>
        <v>#N/A</v>
      </c>
      <c r="AM110" s="14"/>
      <c r="AN110" s="14"/>
      <c r="AO110" s="16" t="e">
        <f t="shared" si="14"/>
        <v>#N/A</v>
      </c>
      <c r="AP110" s="16" t="s">
        <v>410</v>
      </c>
      <c r="AQ110" s="17" t="str">
        <f t="shared" si="23"/>
        <v>None</v>
      </c>
      <c r="AR110" s="18">
        <f>VLOOKUP(AQ110,[1]Yield!$A$5:$B$10,2,FALSE)</f>
        <v>0.81499999999999995</v>
      </c>
      <c r="AS110" s="14" t="e">
        <f t="shared" si="15"/>
        <v>#N/A</v>
      </c>
      <c r="AT110" s="14" t="s">
        <v>411</v>
      </c>
      <c r="AX110" s="8" t="str">
        <f>IFERROR(VLOOKUP(E110,[1]Sheet3!$C$2:$E$68,2,FALSE),"None")</f>
        <v>None</v>
      </c>
      <c r="AY110" s="8">
        <f>IFERROR(VLOOKUP(AX110,[1]Sheet3!$H$3:$I$5,2,FALSE),0)</f>
        <v>0</v>
      </c>
      <c r="AZ110" s="14" t="e">
        <f t="shared" si="16"/>
        <v>#N/A</v>
      </c>
      <c r="BA110" s="14" t="e">
        <f t="shared" si="17"/>
        <v>#N/A</v>
      </c>
      <c r="BB110" s="27"/>
      <c r="BC110" s="7"/>
      <c r="BD110" s="19" t="s">
        <v>789</v>
      </c>
      <c r="BE110" s="7" t="s">
        <v>428</v>
      </c>
      <c r="BF110" s="7" t="s">
        <v>414</v>
      </c>
      <c r="BG110" s="7" t="s">
        <v>398</v>
      </c>
      <c r="BK110" s="7">
        <f t="shared" si="18"/>
        <v>15</v>
      </c>
    </row>
    <row r="111" spans="1:64" ht="15.6" customHeight="1" x14ac:dyDescent="0.3">
      <c r="A111" s="7">
        <v>110</v>
      </c>
      <c r="B111" s="8"/>
      <c r="C111" s="8"/>
      <c r="D111" s="8">
        <v>2548</v>
      </c>
      <c r="E111" s="8">
        <v>3659</v>
      </c>
      <c r="F111" s="8" t="str">
        <f t="shared" si="20"/>
        <v>Active</v>
      </c>
      <c r="G111" s="9" t="s">
        <v>790</v>
      </c>
      <c r="H111" s="9" t="str">
        <f>VLOOKUP(E111,'[1]EPA Ethanol Capacity 2024'!$B$5:$C$235,2,FALSE)</f>
        <v>Pine Lake Corn Processors</v>
      </c>
      <c r="I111" s="8" t="s">
        <v>387</v>
      </c>
      <c r="J111" t="s">
        <v>791</v>
      </c>
      <c r="K111" s="7">
        <v>50672</v>
      </c>
      <c r="L111" s="7" t="s">
        <v>792</v>
      </c>
      <c r="M111" s="7">
        <v>2</v>
      </c>
      <c r="N111" s="20">
        <v>42.457777999999998</v>
      </c>
      <c r="O111" s="11">
        <v>-93.055833000000007</v>
      </c>
      <c r="P111" s="12">
        <v>2002</v>
      </c>
      <c r="Q111" s="12" t="s">
        <v>405</v>
      </c>
      <c r="R111" s="12">
        <f t="shared" si="12"/>
        <v>1</v>
      </c>
      <c r="S111" s="12" t="s">
        <v>389</v>
      </c>
      <c r="X111" s="7" t="s">
        <v>406</v>
      </c>
      <c r="Z111" s="7" t="s">
        <v>793</v>
      </c>
      <c r="AB111" s="13" t="s">
        <v>390</v>
      </c>
      <c r="AC111" s="13" t="s">
        <v>391</v>
      </c>
      <c r="AD111" s="13" t="s">
        <v>378</v>
      </c>
      <c r="AE111" s="8" t="str">
        <f t="shared" si="13"/>
        <v>High</v>
      </c>
      <c r="AF111" s="14">
        <v>88</v>
      </c>
      <c r="AG111" s="14">
        <v>68.25</v>
      </c>
      <c r="AH111" s="14" t="s">
        <v>794</v>
      </c>
      <c r="AI111" s="14"/>
      <c r="AJ111" s="15">
        <f>VLOOKUP(E111,'[1]Ethanol Plant Listing 2025'!$B$3:$E$220,4,FALSE)</f>
        <v>87.12</v>
      </c>
      <c r="AK111" s="14">
        <f>+AJ111*[1]Yield!$K$4</f>
        <v>82.763999999999996</v>
      </c>
      <c r="AL111" s="14">
        <f>AK111/VLOOKUP(Q111,[1]Yield!$E$5:$F$14,2,FALSE)</f>
        <v>28.737500000000001</v>
      </c>
      <c r="AM111" s="14"/>
      <c r="AN111" s="14"/>
      <c r="AO111" s="16">
        <f t="shared" si="14"/>
        <v>188000</v>
      </c>
      <c r="AP111" s="16" t="s">
        <v>410</v>
      </c>
      <c r="AQ111" s="17" t="str">
        <f t="shared" si="23"/>
        <v>ICM FOT</v>
      </c>
      <c r="AR111" s="18">
        <f>VLOOKUP(AQ111,[1]Yield!$A$5:$B$10,2,FALSE)</f>
        <v>1.1000000000000001</v>
      </c>
      <c r="AS111" s="14">
        <f t="shared" si="15"/>
        <v>31.611250000000002</v>
      </c>
      <c r="AT111" s="14" t="s">
        <v>437</v>
      </c>
      <c r="AU111" s="8"/>
      <c r="AV111" s="8"/>
      <c r="AW111" s="13"/>
      <c r="AX111" s="8" t="str">
        <f>IFERROR(VLOOKUP(E111,[1]Sheet3!$C$2:$E$68,2,FALSE),"None")</f>
        <v>None</v>
      </c>
      <c r="AY111" s="8">
        <f>IFERROR(VLOOKUP(AX111,[1]Sheet3!$H$3:$I$5,2,FALSE),0)</f>
        <v>0</v>
      </c>
      <c r="AZ111" s="14">
        <f t="shared" si="16"/>
        <v>87.12</v>
      </c>
      <c r="BA111" s="14">
        <f t="shared" si="17"/>
        <v>143.22528</v>
      </c>
      <c r="BB111" s="12">
        <f>SUMIFS('[1]Corn 2023'!V:V,'[1]Corn 2023'!B:B,"=2023",'[1]Corn 2023'!L:L,"="&amp;'Corn Processors'!L111)</f>
        <v>180500</v>
      </c>
      <c r="BC111" s="7"/>
      <c r="BD111" s="29" t="s">
        <v>743</v>
      </c>
      <c r="BE111" s="7" t="s">
        <v>413</v>
      </c>
      <c r="BF111" s="7" t="s">
        <v>414</v>
      </c>
      <c r="BK111" s="7">
        <f t="shared" si="18"/>
        <v>20</v>
      </c>
    </row>
    <row r="112" spans="1:64" ht="15.6" customHeight="1" x14ac:dyDescent="0.3">
      <c r="A112" s="7">
        <v>111</v>
      </c>
      <c r="B112" s="8">
        <v>5474</v>
      </c>
      <c r="C112" s="8">
        <v>70183</v>
      </c>
      <c r="D112" s="8">
        <v>3226</v>
      </c>
      <c r="E112" s="8">
        <v>3660</v>
      </c>
      <c r="F112" s="8" t="str">
        <f t="shared" si="20"/>
        <v>Active</v>
      </c>
      <c r="G112" s="9" t="s">
        <v>795</v>
      </c>
      <c r="H112" s="9" t="str">
        <f>VLOOKUP(E112,'[1]EPA Ethanol Capacity 2024'!$B$5:$C$235,2,FALSE)</f>
        <v>Plymouth Energy LLC</v>
      </c>
      <c r="I112" s="8" t="s">
        <v>387</v>
      </c>
      <c r="J112" t="s">
        <v>796</v>
      </c>
      <c r="K112" s="7">
        <v>51038</v>
      </c>
      <c r="L112" s="7" t="s">
        <v>797</v>
      </c>
      <c r="M112" s="7">
        <v>2</v>
      </c>
      <c r="N112" s="20">
        <v>42.732855000000001</v>
      </c>
      <c r="O112" s="11">
        <v>-96.252701999999999</v>
      </c>
      <c r="P112" s="12">
        <v>2008</v>
      </c>
      <c r="Q112" s="12" t="s">
        <v>405</v>
      </c>
      <c r="R112" s="12">
        <f t="shared" si="12"/>
        <v>2</v>
      </c>
      <c r="S112" s="12"/>
      <c r="AA112" s="7" t="s">
        <v>798</v>
      </c>
      <c r="AB112" s="13" t="s">
        <v>390</v>
      </c>
      <c r="AC112" s="13" t="s">
        <v>391</v>
      </c>
      <c r="AD112" s="13" t="s">
        <v>378</v>
      </c>
      <c r="AE112" s="8" t="str">
        <f t="shared" si="13"/>
        <v>High</v>
      </c>
      <c r="AF112" s="14">
        <v>63</v>
      </c>
      <c r="AG112" s="14">
        <v>63</v>
      </c>
      <c r="AH112" s="14" t="s">
        <v>799</v>
      </c>
      <c r="AI112" s="14"/>
      <c r="AJ112" s="15">
        <f>VLOOKUP(E112,'[1]Ethanol Plant Listing 2025'!$B$3:$E$220,4,FALSE)</f>
        <v>70</v>
      </c>
      <c r="AK112" s="14">
        <f>+AJ112*[1]Yield!$K$4</f>
        <v>66.5</v>
      </c>
      <c r="AL112" s="14">
        <f>AK112/VLOOKUP(Q112,[1]Yield!$E$5:$F$14,2,FALSE)</f>
        <v>23.090277777777779</v>
      </c>
      <c r="AM112" s="14"/>
      <c r="AN112" s="14"/>
      <c r="AO112" s="16">
        <f t="shared" si="14"/>
        <v>151000</v>
      </c>
      <c r="AP112" s="16" t="s">
        <v>410</v>
      </c>
      <c r="AQ112" s="17" t="str">
        <f t="shared" si="23"/>
        <v>None</v>
      </c>
      <c r="AR112" s="18">
        <f>VLOOKUP(AQ112,[1]Yield!$A$5:$B$10,2,FALSE)</f>
        <v>0.81499999999999995</v>
      </c>
      <c r="AS112" s="14">
        <f t="shared" si="15"/>
        <v>18.818576388888889</v>
      </c>
      <c r="AT112" s="14" t="s">
        <v>437</v>
      </c>
      <c r="AU112" s="8"/>
      <c r="AV112" s="8" t="s">
        <v>395</v>
      </c>
      <c r="AW112" s="13"/>
      <c r="AX112" s="8" t="str">
        <f>IFERROR(VLOOKUP(E112,[1]Sheet3!$C$2:$E$68,2,FALSE),"None")</f>
        <v>Summit Carbon Solutions</v>
      </c>
      <c r="AY112" s="8">
        <f>IFERROR(VLOOKUP(AX112,[1]Sheet3!$H$3:$I$5,2,FALSE),0)</f>
        <v>31</v>
      </c>
      <c r="AZ112" s="14">
        <f t="shared" si="16"/>
        <v>70</v>
      </c>
      <c r="BA112" s="14">
        <f t="shared" si="17"/>
        <v>115.08</v>
      </c>
      <c r="BB112" s="12">
        <f>SUMIFS('[1]Corn 2023'!V:V,'[1]Corn 2023'!B:B,"=2023",'[1]Corn 2023'!L:L,"="&amp;'Corn Processors'!L112)</f>
        <v>234000</v>
      </c>
      <c r="BC112" s="7"/>
      <c r="BD112" s="19" t="s">
        <v>800</v>
      </c>
      <c r="BE112" s="7" t="s">
        <v>481</v>
      </c>
      <c r="BF112" s="7" t="s">
        <v>398</v>
      </c>
      <c r="BK112" s="7">
        <f t="shared" si="18"/>
        <v>20</v>
      </c>
      <c r="BL112" s="9" t="s">
        <v>801</v>
      </c>
    </row>
    <row r="113" spans="1:64" ht="15.6" customHeight="1" x14ac:dyDescent="0.3">
      <c r="A113" s="7">
        <v>126</v>
      </c>
      <c r="B113" s="8">
        <v>4779</v>
      </c>
      <c r="C113" s="8">
        <v>70020</v>
      </c>
      <c r="D113" s="8">
        <v>3240</v>
      </c>
      <c r="E113" s="8">
        <v>3674</v>
      </c>
      <c r="F113" s="8" t="str">
        <f t="shared" si="20"/>
        <v>Active</v>
      </c>
      <c r="G113" s="9" t="s">
        <v>163</v>
      </c>
      <c r="H113" s="9" t="str">
        <f>VLOOKUP(E113,'[1]EPA Ethanol Capacity 2024'!$B$5:$C$235,2,FALSE)</f>
        <v>Poet Biorefining--Glenville LLC</v>
      </c>
      <c r="I113" s="8" t="s">
        <v>429</v>
      </c>
      <c r="J113" t="s">
        <v>208</v>
      </c>
      <c r="K113" s="7">
        <v>56007</v>
      </c>
      <c r="L113" s="7" t="s">
        <v>802</v>
      </c>
      <c r="M113" s="7">
        <v>2</v>
      </c>
      <c r="N113" s="20">
        <v>43.576273999999998</v>
      </c>
      <c r="O113" s="11">
        <v>-93.301772999999997</v>
      </c>
      <c r="P113" s="12">
        <v>1999</v>
      </c>
      <c r="Q113" s="12" t="s">
        <v>803</v>
      </c>
      <c r="R113" s="12">
        <f t="shared" si="12"/>
        <v>34</v>
      </c>
      <c r="S113" s="12"/>
      <c r="AB113" s="13" t="s">
        <v>390</v>
      </c>
      <c r="AC113" s="13" t="s">
        <v>391</v>
      </c>
      <c r="AD113" s="13" t="s">
        <v>378</v>
      </c>
      <c r="AE113" s="8" t="str">
        <f t="shared" si="13"/>
        <v>High</v>
      </c>
      <c r="AF113" s="14"/>
      <c r="AG113" s="14"/>
      <c r="AH113" s="14"/>
      <c r="AI113" s="14"/>
      <c r="AJ113" s="15">
        <f>VLOOKUP(E113,'[1]Ethanol Plant Listing 2025'!$B$3:$E$220,4,FALSE)</f>
        <v>48</v>
      </c>
      <c r="AK113" s="14">
        <f>+AJ113*[1]Yield!$K$4</f>
        <v>45.599999999999994</v>
      </c>
      <c r="AL113" s="14">
        <f>AK113/VLOOKUP(Q113,[1]Yield!$E$5:$F$14,2,FALSE)</f>
        <v>15.30201342281879</v>
      </c>
      <c r="AM113" s="14"/>
      <c r="AN113" s="14"/>
      <c r="AO113" s="16">
        <f t="shared" si="14"/>
        <v>100000</v>
      </c>
      <c r="AP113" s="16" t="s">
        <v>410</v>
      </c>
      <c r="AQ113" s="17" t="str">
        <f t="shared" si="23"/>
        <v>POET Biorefining</v>
      </c>
      <c r="AR113" s="18">
        <f>VLOOKUP(AQ113,[1]Yield!$A$5:$B$10,2,FALSE)</f>
        <v>1</v>
      </c>
      <c r="AS113" s="14">
        <f t="shared" si="15"/>
        <v>15.30201342281879</v>
      </c>
      <c r="AT113" s="8" t="s">
        <v>394</v>
      </c>
      <c r="AU113" s="8"/>
      <c r="AV113" s="8"/>
      <c r="AW113" s="13"/>
      <c r="AX113" s="8" t="str">
        <f>IFERROR(VLOOKUP(E113,[1]Sheet3!$C$2:$E$68,2,FALSE),"None")</f>
        <v>None</v>
      </c>
      <c r="AY113" s="8">
        <f>IFERROR(VLOOKUP(AX113,[1]Sheet3!$H$3:$I$5,2,FALSE),0)</f>
        <v>0</v>
      </c>
      <c r="AZ113" s="14">
        <f t="shared" si="16"/>
        <v>48</v>
      </c>
      <c r="BA113" s="14">
        <f t="shared" si="17"/>
        <v>78.911999999999992</v>
      </c>
      <c r="BB113" s="27"/>
      <c r="BC113" s="7"/>
      <c r="BD113" s="19" t="s">
        <v>804</v>
      </c>
      <c r="BE113" s="7" t="s">
        <v>428</v>
      </c>
      <c r="BF113" s="7" t="s">
        <v>414</v>
      </c>
      <c r="BK113" s="7">
        <f t="shared" si="18"/>
        <v>20</v>
      </c>
    </row>
    <row r="114" spans="1:64" ht="15.6" customHeight="1" x14ac:dyDescent="0.3">
      <c r="A114" s="7">
        <v>112</v>
      </c>
      <c r="B114" s="8">
        <v>5819</v>
      </c>
      <c r="C114" s="8">
        <v>70298</v>
      </c>
      <c r="D114" s="8">
        <v>3227</v>
      </c>
      <c r="E114" s="8">
        <v>3661</v>
      </c>
      <c r="F114" s="8" t="str">
        <f t="shared" si="20"/>
        <v>Active</v>
      </c>
      <c r="G114" s="9" t="s">
        <v>163</v>
      </c>
      <c r="H114" s="9" t="str">
        <f>VLOOKUP(E114,'[1]EPA Ethanol Capacity 2024'!$B$5:$C$235,2,FALSE)</f>
        <v>Poet Biorefining-Alexandria LLC</v>
      </c>
      <c r="I114" s="8" t="s">
        <v>533</v>
      </c>
      <c r="J114" t="s">
        <v>165</v>
      </c>
      <c r="K114" s="7">
        <v>46001</v>
      </c>
      <c r="L114" s="7" t="s">
        <v>569</v>
      </c>
      <c r="M114" s="7">
        <v>2</v>
      </c>
      <c r="N114" s="20">
        <v>40.296550000000003</v>
      </c>
      <c r="O114" s="11">
        <v>-85.652810000000002</v>
      </c>
      <c r="P114" s="12">
        <v>2008</v>
      </c>
      <c r="Q114" s="12" t="s">
        <v>803</v>
      </c>
      <c r="R114" s="12">
        <f t="shared" si="12"/>
        <v>34</v>
      </c>
      <c r="S114" s="12" t="s">
        <v>389</v>
      </c>
      <c r="U114" s="7" t="s">
        <v>343</v>
      </c>
      <c r="AB114" s="13" t="s">
        <v>390</v>
      </c>
      <c r="AC114" s="13" t="s">
        <v>391</v>
      </c>
      <c r="AD114" s="13" t="s">
        <v>378</v>
      </c>
      <c r="AE114" s="8" t="str">
        <f t="shared" si="13"/>
        <v>High</v>
      </c>
      <c r="AF114" s="14"/>
      <c r="AG114" s="14"/>
      <c r="AH114" s="14"/>
      <c r="AI114" s="14"/>
      <c r="AJ114" s="15">
        <f>VLOOKUP(E114,'[1]Ethanol Plant Listing 2025'!$B$3:$E$220,4,FALSE)</f>
        <v>90</v>
      </c>
      <c r="AK114" s="14">
        <f>+AJ114*[1]Yield!$K$4</f>
        <v>85.5</v>
      </c>
      <c r="AL114" s="14">
        <f>AK114/VLOOKUP(Q114,[1]Yield!$E$5:$F$14,2,FALSE)</f>
        <v>28.691275167785236</v>
      </c>
      <c r="AM114" s="14"/>
      <c r="AN114" s="14"/>
      <c r="AO114" s="16">
        <f t="shared" si="14"/>
        <v>188000</v>
      </c>
      <c r="AP114" s="16" t="s">
        <v>410</v>
      </c>
      <c r="AQ114" s="17" t="str">
        <f t="shared" si="23"/>
        <v>POET Biorefining</v>
      </c>
      <c r="AR114" s="18">
        <f>VLOOKUP(AQ114,[1]Yield!$A$5:$B$10,2,FALSE)</f>
        <v>1</v>
      </c>
      <c r="AS114" s="14">
        <f t="shared" si="15"/>
        <v>28.691275167785236</v>
      </c>
      <c r="AT114" s="8" t="s">
        <v>394</v>
      </c>
      <c r="AX114" s="8" t="str">
        <f>IFERROR(VLOOKUP(E114,[1]Sheet3!$C$2:$E$68,2,FALSE),"None")</f>
        <v>None</v>
      </c>
      <c r="AY114" s="8">
        <f>IFERROR(VLOOKUP(AX114,[1]Sheet3!$H$3:$I$5,2,FALSE),0)</f>
        <v>0</v>
      </c>
      <c r="AZ114" s="14">
        <f t="shared" si="16"/>
        <v>90</v>
      </c>
      <c r="BA114" s="14">
        <f t="shared" si="17"/>
        <v>147.96</v>
      </c>
      <c r="BB114" s="27"/>
      <c r="BC114" s="7"/>
      <c r="BD114" s="19" t="s">
        <v>804</v>
      </c>
      <c r="BE114" s="7" t="s">
        <v>567</v>
      </c>
      <c r="BF114" s="7" t="s">
        <v>398</v>
      </c>
      <c r="BK114" s="7">
        <f t="shared" si="18"/>
        <v>20</v>
      </c>
    </row>
    <row r="115" spans="1:64" ht="15.6" customHeight="1" x14ac:dyDescent="0.3">
      <c r="A115" s="7">
        <v>113</v>
      </c>
      <c r="B115" s="8"/>
      <c r="C115" s="8">
        <v>71682</v>
      </c>
      <c r="D115" s="8">
        <v>3228</v>
      </c>
      <c r="E115" s="8">
        <v>3662</v>
      </c>
      <c r="F115" s="8" t="str">
        <f t="shared" si="20"/>
        <v>Active</v>
      </c>
      <c r="G115" s="9" t="s">
        <v>163</v>
      </c>
      <c r="H115" s="9" t="str">
        <f>VLOOKUP(E115,'[1]EPA Ethanol Capacity 2024'!$B$5:$C$235,2,FALSE)</f>
        <v>Poet Biorefinning-Arthur LLC</v>
      </c>
      <c r="I115" s="8" t="s">
        <v>387</v>
      </c>
      <c r="J115" t="s">
        <v>169</v>
      </c>
      <c r="K115" s="7">
        <v>51431</v>
      </c>
      <c r="L115" s="7" t="s">
        <v>805</v>
      </c>
      <c r="M115" s="7">
        <v>2</v>
      </c>
      <c r="N115" s="20">
        <v>42.331111</v>
      </c>
      <c r="O115" s="11">
        <v>-95.346666999999997</v>
      </c>
      <c r="P115" s="12">
        <v>2008</v>
      </c>
      <c r="Q115" s="12" t="s">
        <v>388</v>
      </c>
      <c r="R115" s="12">
        <f t="shared" si="12"/>
        <v>34</v>
      </c>
      <c r="S115" s="12"/>
      <c r="AB115" s="13" t="s">
        <v>390</v>
      </c>
      <c r="AC115" s="13" t="s">
        <v>391</v>
      </c>
      <c r="AD115" s="13" t="s">
        <v>378</v>
      </c>
      <c r="AE115" s="8" t="str">
        <f t="shared" si="13"/>
        <v>High</v>
      </c>
      <c r="AF115" s="14">
        <v>135</v>
      </c>
      <c r="AG115" s="14">
        <v>120</v>
      </c>
      <c r="AH115" s="14" t="s">
        <v>806</v>
      </c>
      <c r="AI115" s="14"/>
      <c r="AJ115" s="15">
        <f>VLOOKUP(E115,'[1]Ethanol Plant Listing 2025'!$B$3:$E$220,4,FALSE)</f>
        <v>132</v>
      </c>
      <c r="AK115" s="14">
        <f>+AJ115*[1]Yield!$K$4</f>
        <v>125.39999999999999</v>
      </c>
      <c r="AL115" s="14">
        <f>AK115/VLOOKUP(Q115,[1]Yield!$E$5:$F$14,2,FALSE)</f>
        <v>42.508474576271183</v>
      </c>
      <c r="AM115" s="14"/>
      <c r="AN115" s="14"/>
      <c r="AO115" s="16">
        <f t="shared" si="14"/>
        <v>278000</v>
      </c>
      <c r="AP115" s="16" t="s">
        <v>393</v>
      </c>
      <c r="AQ115" s="17" t="str">
        <f t="shared" si="23"/>
        <v>POET Biorefining</v>
      </c>
      <c r="AR115" s="18">
        <f>VLOOKUP(AQ115,[1]Yield!$A$5:$B$10,2,FALSE)</f>
        <v>1</v>
      </c>
      <c r="AS115" s="14">
        <f t="shared" si="15"/>
        <v>42.508474576271183</v>
      </c>
      <c r="AT115" s="14" t="s">
        <v>437</v>
      </c>
      <c r="AU115" s="8"/>
      <c r="AV115" s="8"/>
      <c r="AW115" s="13"/>
      <c r="AX115" s="8" t="s">
        <v>807</v>
      </c>
      <c r="AY115" s="8">
        <f>IFERROR(VLOOKUP(AX115,[1]Sheet3!$H$3:$I$5,2,FALSE),0)</f>
        <v>0</v>
      </c>
      <c r="AZ115" s="14">
        <f t="shared" si="16"/>
        <v>132</v>
      </c>
      <c r="BA115" s="14">
        <f t="shared" si="17"/>
        <v>217.00799999999998</v>
      </c>
      <c r="BB115" s="12">
        <f>SUMIFS('[1]Corn 2023'!V:V,'[1]Corn 2023'!B:B,"=2023",'[1]Corn 2023'!L:L,"="&amp;'Corn Processors'!L114)</f>
        <v>64800</v>
      </c>
      <c r="BC115" s="7"/>
      <c r="BD115" s="19" t="s">
        <v>804</v>
      </c>
      <c r="BE115" s="7" t="s">
        <v>413</v>
      </c>
      <c r="BF115" s="7" t="s">
        <v>398</v>
      </c>
      <c r="BK115" s="7">
        <f t="shared" si="18"/>
        <v>25</v>
      </c>
      <c r="BL115" s="9" t="s">
        <v>808</v>
      </c>
    </row>
    <row r="116" spans="1:64" ht="15.6" customHeight="1" x14ac:dyDescent="0.3">
      <c r="A116" s="7">
        <v>114</v>
      </c>
      <c r="B116" s="8">
        <v>4782</v>
      </c>
      <c r="C116" s="8">
        <v>70032</v>
      </c>
      <c r="D116" s="8">
        <v>3229</v>
      </c>
      <c r="E116" s="8">
        <v>3663</v>
      </c>
      <c r="F116" s="8" t="str">
        <f t="shared" si="20"/>
        <v>Active</v>
      </c>
      <c r="G116" s="9" t="s">
        <v>163</v>
      </c>
      <c r="H116" s="9" t="str">
        <f>VLOOKUP(E116,'[1]EPA Ethanol Capacity 2024'!$B$5:$C$235,2,FALSE)</f>
        <v>Poet Biorefinning-Ashton LLC</v>
      </c>
      <c r="I116" s="8" t="s">
        <v>387</v>
      </c>
      <c r="J116" t="s">
        <v>172</v>
      </c>
      <c r="K116" s="7">
        <v>51232</v>
      </c>
      <c r="L116" s="7" t="s">
        <v>809</v>
      </c>
      <c r="M116" s="7">
        <v>2</v>
      </c>
      <c r="N116" s="20">
        <v>43.276940000000003</v>
      </c>
      <c r="O116" s="11">
        <v>-95.808329999999998</v>
      </c>
      <c r="P116" s="12">
        <v>2004</v>
      </c>
      <c r="Q116" s="12" t="s">
        <v>803</v>
      </c>
      <c r="R116" s="12">
        <f t="shared" si="12"/>
        <v>34</v>
      </c>
      <c r="S116" s="12"/>
      <c r="U116" s="7" t="s">
        <v>343</v>
      </c>
      <c r="AB116" s="13" t="s">
        <v>390</v>
      </c>
      <c r="AC116" s="13" t="s">
        <v>391</v>
      </c>
      <c r="AD116" s="13" t="s">
        <v>378</v>
      </c>
      <c r="AE116" s="8" t="str">
        <f t="shared" si="13"/>
        <v>High</v>
      </c>
      <c r="AF116" s="14">
        <v>68.25</v>
      </c>
      <c r="AG116" s="14">
        <v>65</v>
      </c>
      <c r="AH116" s="14" t="s">
        <v>810</v>
      </c>
      <c r="AI116" s="14"/>
      <c r="AJ116" s="15">
        <f>VLOOKUP(E116,'[1]Ethanol Plant Listing 2025'!$B$3:$E$220,4,FALSE)</f>
        <v>68</v>
      </c>
      <c r="AK116" s="14">
        <f>+AJ116*[1]Yield!$K$4</f>
        <v>64.599999999999994</v>
      </c>
      <c r="AL116" s="14">
        <f>AK116/VLOOKUP(Q116,[1]Yield!$E$5:$F$14,2,FALSE)</f>
        <v>21.677852348993287</v>
      </c>
      <c r="AM116" s="14"/>
      <c r="AN116" s="14"/>
      <c r="AO116" s="16">
        <f t="shared" si="14"/>
        <v>142000</v>
      </c>
      <c r="AP116" s="16" t="s">
        <v>410</v>
      </c>
      <c r="AQ116" s="17" t="str">
        <f t="shared" si="23"/>
        <v>POET Biorefining</v>
      </c>
      <c r="AR116" s="18">
        <f>VLOOKUP(AQ116,[1]Yield!$A$5:$B$10,2,FALSE)</f>
        <v>1</v>
      </c>
      <c r="AS116" s="14">
        <f t="shared" si="15"/>
        <v>21.677852348993287</v>
      </c>
      <c r="AT116" s="8" t="s">
        <v>437</v>
      </c>
      <c r="AU116" s="8"/>
      <c r="AV116" s="8"/>
      <c r="AW116" s="13"/>
      <c r="AX116" s="8" t="s">
        <v>807</v>
      </c>
      <c r="AY116" s="8">
        <f>IFERROR(VLOOKUP(AX116,[1]Sheet3!$H$3:$I$5,2,FALSE),0)</f>
        <v>0</v>
      </c>
      <c r="AZ116" s="14">
        <f t="shared" si="16"/>
        <v>68</v>
      </c>
      <c r="BA116" s="14">
        <f t="shared" si="17"/>
        <v>111.79199999999999</v>
      </c>
      <c r="BB116" s="12">
        <f>SUMIFS('[1]Corn 2023'!V:V,'[1]Corn 2023'!B:B,"=2023",'[1]Corn 2023'!L:L,"="&amp;'Corn Processors'!L115)</f>
        <v>126500</v>
      </c>
      <c r="BC116" s="7"/>
      <c r="BD116" s="19" t="s">
        <v>804</v>
      </c>
      <c r="BE116" s="7" t="s">
        <v>428</v>
      </c>
      <c r="BF116" s="7" t="s">
        <v>398</v>
      </c>
      <c r="BK116" s="7">
        <f t="shared" si="18"/>
        <v>20</v>
      </c>
    </row>
    <row r="117" spans="1:64" ht="15.6" customHeight="1" x14ac:dyDescent="0.3">
      <c r="A117" s="7">
        <v>115</v>
      </c>
      <c r="B117" s="8">
        <v>4736</v>
      </c>
      <c r="C117" s="8">
        <v>70025</v>
      </c>
      <c r="D117" s="8">
        <v>3230</v>
      </c>
      <c r="E117" s="8">
        <v>3664</v>
      </c>
      <c r="F117" s="8" t="str">
        <f t="shared" si="20"/>
        <v>Active</v>
      </c>
      <c r="G117" s="9" t="s">
        <v>163</v>
      </c>
      <c r="H117" s="9" t="str">
        <f>VLOOKUP(E117,'[1]EPA Ethanol Capacity 2024'!$B$5:$C$235,2,FALSE)</f>
        <v>Poet Biorefining- Big Stone LLC</v>
      </c>
      <c r="I117" s="8" t="s">
        <v>582</v>
      </c>
      <c r="J117" t="s">
        <v>175</v>
      </c>
      <c r="K117" s="7">
        <v>57216</v>
      </c>
      <c r="L117" s="7" t="s">
        <v>565</v>
      </c>
      <c r="M117" s="7">
        <v>2</v>
      </c>
      <c r="N117" s="20">
        <v>45.301333</v>
      </c>
      <c r="O117" s="11">
        <v>-96.511360999999994</v>
      </c>
      <c r="P117" s="12">
        <v>2002</v>
      </c>
      <c r="Q117" s="12" t="s">
        <v>803</v>
      </c>
      <c r="R117" s="12">
        <f t="shared" si="12"/>
        <v>34</v>
      </c>
      <c r="S117" s="12"/>
      <c r="U117" s="7" t="s">
        <v>343</v>
      </c>
      <c r="AB117" s="13" t="s">
        <v>390</v>
      </c>
      <c r="AC117" s="13" t="s">
        <v>391</v>
      </c>
      <c r="AD117" s="13" t="s">
        <v>378</v>
      </c>
      <c r="AE117" s="8" t="str">
        <f t="shared" si="13"/>
        <v>High</v>
      </c>
      <c r="AF117" s="14"/>
      <c r="AG117" s="14"/>
      <c r="AH117" s="14"/>
      <c r="AI117" s="14"/>
      <c r="AJ117" s="15">
        <f>VLOOKUP(E117,'[1]Ethanol Plant Listing 2025'!$B$3:$E$220,4,FALSE)</f>
        <v>105</v>
      </c>
      <c r="AK117" s="14">
        <f>+AJ117*[1]Yield!$K$4</f>
        <v>99.75</v>
      </c>
      <c r="AL117" s="14">
        <f>AK117/VLOOKUP(Q117,[1]Yield!$E$5:$F$14,2,FALSE)</f>
        <v>33.473154362416111</v>
      </c>
      <c r="AM117" s="14"/>
      <c r="AN117" s="14"/>
      <c r="AO117" s="16">
        <f t="shared" si="14"/>
        <v>219000</v>
      </c>
      <c r="AP117" s="16" t="s">
        <v>410</v>
      </c>
      <c r="AQ117" s="17" t="str">
        <f t="shared" si="23"/>
        <v>POET Biorefining</v>
      </c>
      <c r="AR117" s="18">
        <f>VLOOKUP(AQ117,[1]Yield!$A$5:$B$10,2,FALSE)</f>
        <v>1</v>
      </c>
      <c r="AS117" s="14">
        <f t="shared" si="15"/>
        <v>33.473154362416111</v>
      </c>
      <c r="AT117" s="8" t="s">
        <v>437</v>
      </c>
      <c r="AU117" s="8"/>
      <c r="AV117" s="8"/>
      <c r="AW117" s="13"/>
      <c r="AX117" s="8" t="s">
        <v>807</v>
      </c>
      <c r="AY117" s="8">
        <f>IFERROR(VLOOKUP(AX117,[1]Sheet3!$H$3:$I$5,2,FALSE),0)</f>
        <v>0</v>
      </c>
      <c r="AZ117" s="14">
        <f t="shared" si="16"/>
        <v>105</v>
      </c>
      <c r="BA117" s="14">
        <f t="shared" si="17"/>
        <v>172.62</v>
      </c>
      <c r="BB117" s="27"/>
      <c r="BC117" s="7"/>
      <c r="BD117" s="19" t="s">
        <v>804</v>
      </c>
      <c r="BE117" s="7" t="s">
        <v>481</v>
      </c>
      <c r="BF117" s="7" t="s">
        <v>398</v>
      </c>
      <c r="BK117" s="7">
        <f t="shared" si="18"/>
        <v>20</v>
      </c>
    </row>
    <row r="118" spans="1:64" ht="15.6" customHeight="1" x14ac:dyDescent="0.3">
      <c r="A118" s="7">
        <v>116</v>
      </c>
      <c r="B118" s="8"/>
      <c r="C118" s="8">
        <v>70026</v>
      </c>
      <c r="D118" s="8">
        <v>3231</v>
      </c>
      <c r="E118" s="8">
        <v>3665</v>
      </c>
      <c r="F118" s="8" t="str">
        <f t="shared" si="20"/>
        <v>Active</v>
      </c>
      <c r="G118" s="9" t="s">
        <v>163</v>
      </c>
      <c r="H118" s="9" t="str">
        <f>VLOOKUP(E118,'[1]EPA Ethanol Capacity 2024'!$B$5:$C$235,2,FALSE)</f>
        <v>Poet Biorefining-Bingham Lake LLC</v>
      </c>
      <c r="I118" s="8" t="s">
        <v>429</v>
      </c>
      <c r="J118" t="s">
        <v>178</v>
      </c>
      <c r="K118" s="7">
        <v>56118</v>
      </c>
      <c r="L118" s="7" t="s">
        <v>811</v>
      </c>
      <c r="M118" s="7">
        <v>2</v>
      </c>
      <c r="N118" s="20">
        <v>43.897083000000002</v>
      </c>
      <c r="O118" s="11">
        <v>-95.045277999999996</v>
      </c>
      <c r="P118" s="12">
        <v>1997</v>
      </c>
      <c r="Q118" s="12" t="s">
        <v>803</v>
      </c>
      <c r="R118" s="12">
        <f t="shared" si="12"/>
        <v>34</v>
      </c>
      <c r="S118" s="12"/>
      <c r="AB118" s="13" t="s">
        <v>390</v>
      </c>
      <c r="AC118" s="13" t="s">
        <v>391</v>
      </c>
      <c r="AD118" s="13" t="s">
        <v>378</v>
      </c>
      <c r="AE118" s="8" t="str">
        <f t="shared" si="13"/>
        <v>High</v>
      </c>
      <c r="AF118" s="14"/>
      <c r="AG118" s="14"/>
      <c r="AH118" s="14"/>
      <c r="AI118" s="14"/>
      <c r="AJ118" s="15">
        <f>VLOOKUP(E118,'[1]Ethanol Plant Listing 2025'!$B$3:$E$220,4,FALSE)</f>
        <v>35</v>
      </c>
      <c r="AK118" s="14">
        <f>+AJ118*[1]Yield!$K$4</f>
        <v>33.25</v>
      </c>
      <c r="AL118" s="14">
        <f>AK118/VLOOKUP(Q118,[1]Yield!$E$5:$F$14,2,FALSE)</f>
        <v>11.157718120805368</v>
      </c>
      <c r="AM118" s="14"/>
      <c r="AN118" s="14"/>
      <c r="AO118" s="16">
        <f t="shared" si="14"/>
        <v>73000</v>
      </c>
      <c r="AP118" s="16" t="s">
        <v>410</v>
      </c>
      <c r="AQ118" s="17" t="str">
        <f t="shared" si="23"/>
        <v>POET Biorefining</v>
      </c>
      <c r="AR118" s="18">
        <f>VLOOKUP(AQ118,[1]Yield!$A$5:$B$10,2,FALSE)</f>
        <v>1</v>
      </c>
      <c r="AS118" s="14">
        <f t="shared" si="15"/>
        <v>11.157718120805368</v>
      </c>
      <c r="AT118" s="8" t="s">
        <v>394</v>
      </c>
      <c r="AU118" s="8"/>
      <c r="AV118" s="8"/>
      <c r="AW118" s="13"/>
      <c r="AX118" s="8" t="str">
        <f>IFERROR(VLOOKUP(E118,[1]Sheet3!$C$2:$E$68,2,FALSE),"None")</f>
        <v>None</v>
      </c>
      <c r="AY118" s="8">
        <f>IFERROR(VLOOKUP(AX118,[1]Sheet3!$H$3:$I$5,2,FALSE),0)</f>
        <v>0</v>
      </c>
      <c r="AZ118" s="14">
        <f t="shared" si="16"/>
        <v>35</v>
      </c>
      <c r="BA118" s="14">
        <f t="shared" si="17"/>
        <v>57.54</v>
      </c>
      <c r="BB118" s="27"/>
      <c r="BC118" s="7"/>
      <c r="BD118" s="19" t="s">
        <v>804</v>
      </c>
      <c r="BE118" s="7" t="s">
        <v>428</v>
      </c>
      <c r="BF118" s="7" t="s">
        <v>414</v>
      </c>
      <c r="BK118" s="7">
        <f t="shared" si="18"/>
        <v>20</v>
      </c>
    </row>
    <row r="119" spans="1:64" ht="15.6" customHeight="1" x14ac:dyDescent="0.3">
      <c r="A119" s="7">
        <v>117</v>
      </c>
      <c r="B119" s="8">
        <v>4781</v>
      </c>
      <c r="C119" s="8">
        <v>70028</v>
      </c>
      <c r="D119" s="8">
        <v>3232</v>
      </c>
      <c r="E119" s="8">
        <v>3666</v>
      </c>
      <c r="F119" s="8" t="str">
        <f t="shared" si="20"/>
        <v>Active</v>
      </c>
      <c r="G119" s="9" t="s">
        <v>163</v>
      </c>
      <c r="H119" s="9" t="str">
        <f>VLOOKUP(E119,'[1]EPA Ethanol Capacity 2024'!$B$5:$C$235,2,FALSE)</f>
        <v>Poet Biorefinning-Caro</v>
      </c>
      <c r="I119" s="8" t="s">
        <v>527</v>
      </c>
      <c r="J119" t="s">
        <v>183</v>
      </c>
      <c r="K119" s="7">
        <v>48723</v>
      </c>
      <c r="L119" s="7" t="s">
        <v>812</v>
      </c>
      <c r="M119" s="7">
        <v>2</v>
      </c>
      <c r="N119" s="20">
        <v>43.472883000000003</v>
      </c>
      <c r="O119" s="11">
        <v>-83.410497000000007</v>
      </c>
      <c r="P119" s="12">
        <v>0</v>
      </c>
      <c r="Q119" s="12" t="s">
        <v>803</v>
      </c>
      <c r="R119" s="12">
        <f t="shared" si="12"/>
        <v>34</v>
      </c>
      <c r="S119" s="12" t="s">
        <v>389</v>
      </c>
      <c r="U119" s="7" t="s">
        <v>343</v>
      </c>
      <c r="AB119" s="13" t="s">
        <v>390</v>
      </c>
      <c r="AC119" s="13" t="s">
        <v>391</v>
      </c>
      <c r="AD119" s="13" t="s">
        <v>378</v>
      </c>
      <c r="AE119" s="8" t="str">
        <f t="shared" si="13"/>
        <v>High</v>
      </c>
      <c r="AF119" s="14"/>
      <c r="AG119" s="14"/>
      <c r="AH119" s="14"/>
      <c r="AI119" s="14"/>
      <c r="AJ119" s="15">
        <f>VLOOKUP(E119,'[1]Ethanol Plant Listing 2025'!$B$3:$E$220,4,FALSE)</f>
        <v>80</v>
      </c>
      <c r="AK119" s="14">
        <f>+AJ119*[1]Yield!$K$4</f>
        <v>76</v>
      </c>
      <c r="AL119" s="14">
        <f>AK119/VLOOKUP(Q119,[1]Yield!$E$5:$F$14,2,FALSE)</f>
        <v>25.503355704697988</v>
      </c>
      <c r="AM119" s="14"/>
      <c r="AN119" s="14"/>
      <c r="AO119" s="16">
        <f t="shared" si="14"/>
        <v>167000</v>
      </c>
      <c r="AP119" s="16" t="s">
        <v>410</v>
      </c>
      <c r="AQ119" s="17" t="str">
        <f t="shared" si="23"/>
        <v>POET Biorefining</v>
      </c>
      <c r="AR119" s="18">
        <f>VLOOKUP(AQ119,[1]Yield!$A$5:$B$10,2,FALSE)</f>
        <v>1</v>
      </c>
      <c r="AS119" s="14">
        <f t="shared" si="15"/>
        <v>25.503355704697988</v>
      </c>
      <c r="AT119" s="8" t="s">
        <v>394</v>
      </c>
      <c r="AX119" s="8" t="str">
        <f>IFERROR(VLOOKUP(E119,[1]Sheet3!$C$2:$E$68,2,FALSE),"None")</f>
        <v>None</v>
      </c>
      <c r="AY119" s="8">
        <f>IFERROR(VLOOKUP(AX119,[1]Sheet3!$H$3:$I$5,2,FALSE),0)</f>
        <v>0</v>
      </c>
      <c r="AZ119" s="14">
        <f t="shared" si="16"/>
        <v>80</v>
      </c>
      <c r="BA119" s="14">
        <f t="shared" si="17"/>
        <v>131.51999999999998</v>
      </c>
      <c r="BB119" s="27"/>
      <c r="BC119" s="7"/>
      <c r="BD119" s="19" t="s">
        <v>804</v>
      </c>
      <c r="BE119" s="7" t="s">
        <v>413</v>
      </c>
      <c r="BF119" s="7" t="s">
        <v>414</v>
      </c>
      <c r="BK119" s="7">
        <f t="shared" si="18"/>
        <v>20</v>
      </c>
    </row>
    <row r="120" spans="1:64" ht="15.6" customHeight="1" x14ac:dyDescent="0.3">
      <c r="A120" s="7">
        <v>118</v>
      </c>
      <c r="B120" s="8">
        <v>4727</v>
      </c>
      <c r="C120" s="8">
        <v>70012</v>
      </c>
      <c r="D120" s="8">
        <v>3233</v>
      </c>
      <c r="E120" s="7">
        <v>3667</v>
      </c>
      <c r="F120" s="8" t="str">
        <f t="shared" si="20"/>
        <v>Active</v>
      </c>
      <c r="G120" s="9" t="s">
        <v>163</v>
      </c>
      <c r="H120" s="9" t="str">
        <f>VLOOKUP(E120,'[1]EPA Ethanol Capacity 2024'!$B$5:$C$235,2,FALSE)</f>
        <v>Poet Biorefining- Chancellor LLC</v>
      </c>
      <c r="I120" s="8" t="s">
        <v>582</v>
      </c>
      <c r="J120" t="s">
        <v>186</v>
      </c>
      <c r="K120" s="7">
        <v>57015</v>
      </c>
      <c r="L120" s="7" t="s">
        <v>763</v>
      </c>
      <c r="M120" s="7">
        <v>2</v>
      </c>
      <c r="N120" s="20">
        <v>43.370230999999997</v>
      </c>
      <c r="O120" s="11">
        <v>-96.958068999999995</v>
      </c>
      <c r="P120" s="12">
        <v>2003</v>
      </c>
      <c r="Q120" s="12" t="s">
        <v>803</v>
      </c>
      <c r="R120" s="12">
        <f t="shared" si="12"/>
        <v>34</v>
      </c>
      <c r="S120" s="12"/>
      <c r="U120" s="7" t="s">
        <v>343</v>
      </c>
      <c r="AB120" s="13" t="s">
        <v>390</v>
      </c>
      <c r="AC120" s="13" t="s">
        <v>391</v>
      </c>
      <c r="AD120" s="13" t="s">
        <v>378</v>
      </c>
      <c r="AE120" s="8" t="str">
        <f t="shared" si="13"/>
        <v>High</v>
      </c>
      <c r="AF120" s="14"/>
      <c r="AG120" s="14"/>
      <c r="AH120" s="14"/>
      <c r="AI120" s="14"/>
      <c r="AJ120" s="15">
        <f>VLOOKUP(E120,'[1]Ethanol Plant Listing 2025'!$B$3:$E$220,4,FALSE)</f>
        <v>125</v>
      </c>
      <c r="AK120" s="14">
        <f>+AJ120*[1]Yield!$K$4</f>
        <v>118.75</v>
      </c>
      <c r="AL120" s="14">
        <f>AK120/VLOOKUP(Q120,[1]Yield!$E$5:$F$14,2,FALSE)</f>
        <v>39.848993288590606</v>
      </c>
      <c r="AM120" s="14"/>
      <c r="AN120" s="14"/>
      <c r="AO120" s="16">
        <f t="shared" si="14"/>
        <v>261000</v>
      </c>
      <c r="AP120" s="16" t="s">
        <v>410</v>
      </c>
      <c r="AQ120" s="17" t="str">
        <f t="shared" si="23"/>
        <v>POET Biorefining</v>
      </c>
      <c r="AR120" s="18">
        <f>VLOOKUP(AQ120,[1]Yield!$A$5:$B$10,2,FALSE)</f>
        <v>1</v>
      </c>
      <c r="AS120" s="14">
        <f t="shared" si="15"/>
        <v>39.848993288590606</v>
      </c>
      <c r="AT120" s="8" t="s">
        <v>437</v>
      </c>
      <c r="AU120" s="8"/>
      <c r="AV120" s="8"/>
      <c r="AW120" s="13"/>
      <c r="AX120" s="8" t="s">
        <v>807</v>
      </c>
      <c r="AY120" s="8">
        <f>IFERROR(VLOOKUP(AX120,[1]Sheet3!$H$3:$I$5,2,FALSE),0)</f>
        <v>0</v>
      </c>
      <c r="AZ120" s="14">
        <f t="shared" si="16"/>
        <v>125</v>
      </c>
      <c r="BA120" s="14">
        <f t="shared" si="17"/>
        <v>205.5</v>
      </c>
      <c r="BB120" s="27"/>
      <c r="BC120" s="7"/>
      <c r="BD120" s="19" t="s">
        <v>804</v>
      </c>
      <c r="BE120" s="7" t="s">
        <v>481</v>
      </c>
      <c r="BF120" s="7" t="s">
        <v>398</v>
      </c>
      <c r="BK120" s="7">
        <f t="shared" si="18"/>
        <v>20</v>
      </c>
    </row>
    <row r="121" spans="1:64" ht="15.6" customHeight="1" x14ac:dyDescent="0.3">
      <c r="A121" s="7">
        <v>119</v>
      </c>
      <c r="B121" s="8"/>
      <c r="C121" s="8">
        <v>70485</v>
      </c>
      <c r="D121" s="8">
        <v>3234</v>
      </c>
      <c r="E121" s="8">
        <v>3668</v>
      </c>
      <c r="F121" s="8" t="str">
        <f t="shared" si="20"/>
        <v>Active</v>
      </c>
      <c r="G121" s="9" t="s">
        <v>163</v>
      </c>
      <c r="H121" s="9" t="str">
        <f>VLOOKUP(E121,'[1]EPA Ethanol Capacity 2024'!$B$5:$C$235,2,FALSE)</f>
        <v>Poet Biorefining-Cloverdale</v>
      </c>
      <c r="I121" s="8" t="s">
        <v>533</v>
      </c>
      <c r="J121" t="s">
        <v>189</v>
      </c>
      <c r="K121" s="7">
        <v>46120</v>
      </c>
      <c r="L121" s="7" t="s">
        <v>738</v>
      </c>
      <c r="M121" s="7">
        <v>2</v>
      </c>
      <c r="N121" s="20">
        <v>39.546725000000002</v>
      </c>
      <c r="O121" s="11">
        <v>-86.814389000000006</v>
      </c>
      <c r="P121" s="12">
        <v>2011</v>
      </c>
      <c r="Q121" s="12" t="s">
        <v>803</v>
      </c>
      <c r="R121" s="12">
        <f t="shared" si="12"/>
        <v>34</v>
      </c>
      <c r="S121" s="12"/>
      <c r="AB121" s="13" t="s">
        <v>390</v>
      </c>
      <c r="AC121" s="13" t="s">
        <v>391</v>
      </c>
      <c r="AD121" s="13" t="s">
        <v>378</v>
      </c>
      <c r="AE121" s="8" t="str">
        <f t="shared" si="13"/>
        <v>High</v>
      </c>
      <c r="AF121" s="14"/>
      <c r="AG121" s="14"/>
      <c r="AH121" s="14"/>
      <c r="AI121" s="14"/>
      <c r="AJ121" s="15">
        <f>VLOOKUP(E121,'[1]Ethanol Plant Listing 2025'!$B$3:$E$220,4,FALSE)</f>
        <v>94</v>
      </c>
      <c r="AK121" s="14">
        <f>+AJ121*[1]Yield!$K$4</f>
        <v>89.3</v>
      </c>
      <c r="AL121" s="14">
        <f>AK121/VLOOKUP(Q121,[1]Yield!$E$5:$F$14,2,FALSE)</f>
        <v>29.966442953020135</v>
      </c>
      <c r="AM121" s="14"/>
      <c r="AN121" s="14"/>
      <c r="AO121" s="16">
        <f t="shared" si="14"/>
        <v>196000</v>
      </c>
      <c r="AP121" s="16" t="s">
        <v>410</v>
      </c>
      <c r="AQ121" s="17" t="str">
        <f t="shared" si="23"/>
        <v>POET Biorefining</v>
      </c>
      <c r="AR121" s="18">
        <f>VLOOKUP(AQ121,[1]Yield!$A$5:$B$10,2,FALSE)</f>
        <v>1</v>
      </c>
      <c r="AS121" s="14">
        <f t="shared" si="15"/>
        <v>29.966442953020135</v>
      </c>
      <c r="AT121" s="8" t="s">
        <v>394</v>
      </c>
      <c r="AX121" s="8" t="str">
        <f>IFERROR(VLOOKUP(E121,[1]Sheet3!$C$2:$E$68,2,FALSE),"None")</f>
        <v>None</v>
      </c>
      <c r="AY121" s="8">
        <f>IFERROR(VLOOKUP(AX121,[1]Sheet3!$H$3:$I$5,2,FALSE),0)</f>
        <v>0</v>
      </c>
      <c r="AZ121" s="14">
        <f t="shared" si="16"/>
        <v>94</v>
      </c>
      <c r="BA121" s="14">
        <f t="shared" si="17"/>
        <v>154.536</v>
      </c>
      <c r="BB121" s="27"/>
      <c r="BC121" s="7"/>
      <c r="BD121" s="19" t="s">
        <v>804</v>
      </c>
      <c r="BE121" s="7" t="s">
        <v>531</v>
      </c>
      <c r="BF121" s="7" t="s">
        <v>398</v>
      </c>
      <c r="BK121" s="7">
        <f t="shared" si="18"/>
        <v>20</v>
      </c>
    </row>
    <row r="122" spans="1:64" ht="15.6" customHeight="1" x14ac:dyDescent="0.3">
      <c r="A122" s="7">
        <v>120</v>
      </c>
      <c r="B122" s="8">
        <v>4786</v>
      </c>
      <c r="C122" s="8">
        <v>70031</v>
      </c>
      <c r="D122" s="8">
        <v>3235</v>
      </c>
      <c r="E122" s="8">
        <v>3669</v>
      </c>
      <c r="F122" s="8" t="str">
        <f t="shared" si="20"/>
        <v>Active</v>
      </c>
      <c r="G122" s="9" t="s">
        <v>163</v>
      </c>
      <c r="H122" s="9" t="str">
        <f>VLOOKUP(E122,'[1]EPA Ethanol Capacity 2024'!$B$5:$C$235,2,FALSE)</f>
        <v>Poet Biorefinning-Coon Rapids</v>
      </c>
      <c r="I122" s="8" t="s">
        <v>387</v>
      </c>
      <c r="J122" t="s">
        <v>192</v>
      </c>
      <c r="K122" s="7">
        <v>50058</v>
      </c>
      <c r="L122" s="7" t="s">
        <v>813</v>
      </c>
      <c r="M122" s="7">
        <v>2</v>
      </c>
      <c r="N122" s="20">
        <v>41.862564999999996</v>
      </c>
      <c r="O122" s="11">
        <v>-94.632821000000007</v>
      </c>
      <c r="P122" s="12">
        <v>2002</v>
      </c>
      <c r="Q122" s="12" t="s">
        <v>803</v>
      </c>
      <c r="R122" s="12">
        <f t="shared" si="12"/>
        <v>34</v>
      </c>
      <c r="S122" s="12"/>
      <c r="AB122" s="13" t="s">
        <v>390</v>
      </c>
      <c r="AC122" s="13" t="s">
        <v>391</v>
      </c>
      <c r="AD122" s="13" t="s">
        <v>378</v>
      </c>
      <c r="AE122" s="8" t="str">
        <f t="shared" si="13"/>
        <v>High</v>
      </c>
      <c r="AF122" s="14">
        <v>81.77</v>
      </c>
      <c r="AG122" s="14">
        <v>65</v>
      </c>
      <c r="AH122" s="14" t="s">
        <v>814</v>
      </c>
      <c r="AI122" s="14"/>
      <c r="AJ122" s="15">
        <f>VLOOKUP(E122,'[1]Ethanol Plant Listing 2025'!$B$3:$E$220,4,FALSE)</f>
        <v>65</v>
      </c>
      <c r="AK122" s="14">
        <f>+AJ122*[1]Yield!$K$4</f>
        <v>61.75</v>
      </c>
      <c r="AL122" s="14">
        <f>AK122/VLOOKUP(Q122,[1]Yield!$E$5:$F$14,2,FALSE)</f>
        <v>20.721476510067113</v>
      </c>
      <c r="AM122" s="14"/>
      <c r="AN122" s="14"/>
      <c r="AO122" s="16">
        <f t="shared" si="14"/>
        <v>136000</v>
      </c>
      <c r="AP122" s="16" t="s">
        <v>410</v>
      </c>
      <c r="AQ122" s="17" t="str">
        <f t="shared" si="23"/>
        <v>POET Biorefining</v>
      </c>
      <c r="AR122" s="18">
        <f>VLOOKUP(AQ122,[1]Yield!$A$5:$B$10,2,FALSE)</f>
        <v>1</v>
      </c>
      <c r="AS122" s="14">
        <f t="shared" si="15"/>
        <v>20.721476510067113</v>
      </c>
      <c r="AT122" s="8" t="s">
        <v>437</v>
      </c>
      <c r="AU122" s="8"/>
      <c r="AV122" s="8"/>
      <c r="AW122" s="13"/>
      <c r="AX122" s="8" t="s">
        <v>807</v>
      </c>
      <c r="AY122" s="8">
        <f>IFERROR(VLOOKUP(AX122,[1]Sheet3!$H$3:$I$5,2,FALSE),0)</f>
        <v>0</v>
      </c>
      <c r="AZ122" s="14">
        <f t="shared" si="16"/>
        <v>65</v>
      </c>
      <c r="BA122" s="14">
        <f t="shared" si="17"/>
        <v>106.86</v>
      </c>
      <c r="BB122" s="12">
        <f>SUMIFS('[1]Corn 2023'!V:V,'[1]Corn 2023'!B:B,"=2023",'[1]Corn 2023'!L:L,"="&amp;'Corn Processors'!L121)</f>
        <v>0</v>
      </c>
      <c r="BC122" s="7"/>
      <c r="BD122" s="19" t="s">
        <v>804</v>
      </c>
      <c r="BE122" s="7" t="s">
        <v>481</v>
      </c>
      <c r="BF122" s="7" t="s">
        <v>414</v>
      </c>
      <c r="BI122" s="7" t="s">
        <v>399</v>
      </c>
      <c r="BK122" s="7">
        <f t="shared" si="18"/>
        <v>20</v>
      </c>
    </row>
    <row r="123" spans="1:64" ht="15.6" customHeight="1" x14ac:dyDescent="0.3">
      <c r="A123" s="7">
        <v>121</v>
      </c>
      <c r="B123" s="8">
        <v>4786</v>
      </c>
      <c r="C123" s="8">
        <v>70143</v>
      </c>
      <c r="D123" s="8">
        <v>3236</v>
      </c>
      <c r="E123" s="8">
        <v>3670</v>
      </c>
      <c r="F123" s="8" t="str">
        <f t="shared" si="20"/>
        <v>Active</v>
      </c>
      <c r="G123" s="9" t="s">
        <v>163</v>
      </c>
      <c r="H123" s="9" t="str">
        <f>VLOOKUP(E123,'[1]EPA Ethanol Capacity 2024'!$B$5:$C$235,2,FALSE)</f>
        <v>Poet Biorefinning-Corning LLC</v>
      </c>
      <c r="I123" s="8" t="s">
        <v>387</v>
      </c>
      <c r="J123" t="s">
        <v>195</v>
      </c>
      <c r="K123" s="7">
        <v>50841</v>
      </c>
      <c r="L123" s="7" t="s">
        <v>73</v>
      </c>
      <c r="M123" s="7">
        <v>2</v>
      </c>
      <c r="N123" s="20">
        <v>40.965933</v>
      </c>
      <c r="O123" s="11">
        <v>-94.795060000000007</v>
      </c>
      <c r="P123" s="12">
        <v>2007</v>
      </c>
      <c r="Q123" s="12" t="s">
        <v>803</v>
      </c>
      <c r="R123" s="12">
        <f t="shared" si="12"/>
        <v>34</v>
      </c>
      <c r="S123" s="12" t="s">
        <v>389</v>
      </c>
      <c r="U123" s="7" t="s">
        <v>343</v>
      </c>
      <c r="AB123" s="13" t="s">
        <v>390</v>
      </c>
      <c r="AC123" s="13" t="s">
        <v>391</v>
      </c>
      <c r="AD123" s="13" t="s">
        <v>378</v>
      </c>
      <c r="AE123" s="8" t="str">
        <f t="shared" si="13"/>
        <v>High</v>
      </c>
      <c r="AF123" s="14">
        <v>100</v>
      </c>
      <c r="AG123" s="14">
        <v>66</v>
      </c>
      <c r="AH123" s="14" t="s">
        <v>815</v>
      </c>
      <c r="AI123" s="14"/>
      <c r="AJ123" s="15">
        <f>VLOOKUP(E123,'[1]Ethanol Plant Listing 2025'!$B$3:$E$220,4,FALSE)</f>
        <v>90</v>
      </c>
      <c r="AK123" s="14">
        <f>+AJ123*[1]Yield!$K$4</f>
        <v>85.5</v>
      </c>
      <c r="AL123" s="14">
        <f>AK123/VLOOKUP(Q123,[1]Yield!$E$5:$F$14,2,FALSE)</f>
        <v>28.691275167785236</v>
      </c>
      <c r="AM123" s="14"/>
      <c r="AN123" s="14"/>
      <c r="AO123" s="16">
        <f t="shared" si="14"/>
        <v>188000</v>
      </c>
      <c r="AP123" s="16" t="s">
        <v>410</v>
      </c>
      <c r="AQ123" s="17" t="str">
        <f t="shared" si="23"/>
        <v>POET Biorefining</v>
      </c>
      <c r="AR123" s="18">
        <f>VLOOKUP(AQ123,[1]Yield!$A$5:$B$10,2,FALSE)</f>
        <v>1</v>
      </c>
      <c r="AS123" s="14">
        <f t="shared" si="15"/>
        <v>28.691275167785236</v>
      </c>
      <c r="AT123" s="8" t="s">
        <v>437</v>
      </c>
      <c r="AU123" s="8"/>
      <c r="AV123" s="8"/>
      <c r="AW123" s="13"/>
      <c r="AX123" s="8" t="s">
        <v>807</v>
      </c>
      <c r="AY123" s="8">
        <f>IFERROR(VLOOKUP(AX123,[1]Sheet3!$H$3:$I$5,2,FALSE),0)</f>
        <v>0</v>
      </c>
      <c r="AZ123" s="14">
        <f t="shared" si="16"/>
        <v>90</v>
      </c>
      <c r="BA123" s="14">
        <f t="shared" si="17"/>
        <v>147.96</v>
      </c>
      <c r="BB123" s="12">
        <f>SUMIFS('[1]Corn 2023'!V:V,'[1]Corn 2023'!B:B,"=2023",'[1]Corn 2023'!L:L,"="&amp;'Corn Processors'!L122)</f>
        <v>173500</v>
      </c>
      <c r="BC123" s="7"/>
      <c r="BD123" s="19" t="s">
        <v>804</v>
      </c>
      <c r="BE123" s="7" t="s">
        <v>481</v>
      </c>
      <c r="BF123" s="7" t="s">
        <v>414</v>
      </c>
      <c r="BK123" s="7">
        <f t="shared" si="18"/>
        <v>20</v>
      </c>
    </row>
    <row r="124" spans="1:64" ht="15.6" customHeight="1" x14ac:dyDescent="0.3">
      <c r="A124" s="7">
        <v>122</v>
      </c>
      <c r="B124" s="8">
        <v>4792</v>
      </c>
      <c r="C124" s="8">
        <v>70021</v>
      </c>
      <c r="D124" s="8">
        <v>9999</v>
      </c>
      <c r="E124" s="8">
        <v>3754</v>
      </c>
      <c r="F124" s="8" t="str">
        <f t="shared" si="20"/>
        <v>Active</v>
      </c>
      <c r="G124" s="9" t="s">
        <v>163</v>
      </c>
      <c r="H124" s="9" t="str">
        <f>VLOOKUP(E124,'[1]EPA Ethanol Capacity 2024'!$B$5:$C$235,2,FALSE)</f>
        <v>Poet Biorefinning-Emmetsburg LLC</v>
      </c>
      <c r="I124" s="8" t="s">
        <v>387</v>
      </c>
      <c r="J124" t="s">
        <v>320</v>
      </c>
      <c r="K124" s="7">
        <v>50536</v>
      </c>
      <c r="L124" s="7" t="s">
        <v>816</v>
      </c>
      <c r="M124" s="7">
        <v>2</v>
      </c>
      <c r="N124" s="20">
        <v>43.089624999999998</v>
      </c>
      <c r="O124" s="11">
        <v>-94.646631999999997</v>
      </c>
      <c r="P124" s="12">
        <v>2002</v>
      </c>
      <c r="Q124" s="12" t="s">
        <v>803</v>
      </c>
      <c r="R124" s="12">
        <f t="shared" si="12"/>
        <v>34</v>
      </c>
      <c r="S124" s="12" t="s">
        <v>389</v>
      </c>
      <c r="AB124" s="13" t="s">
        <v>390</v>
      </c>
      <c r="AC124" s="13" t="s">
        <v>391</v>
      </c>
      <c r="AD124" s="13" t="s">
        <v>378</v>
      </c>
      <c r="AE124" s="8" t="str">
        <f t="shared" si="13"/>
        <v>High</v>
      </c>
      <c r="AF124" s="14">
        <v>110</v>
      </c>
      <c r="AG124" s="14">
        <v>63</v>
      </c>
      <c r="AH124" s="14" t="s">
        <v>817</v>
      </c>
      <c r="AI124" s="14"/>
      <c r="AJ124" s="15">
        <f>VLOOKUP(E124,'[1]Ethanol Plant Listing 2025'!$B$3:$E$220,4,FALSE)</f>
        <v>68</v>
      </c>
      <c r="AK124" s="14">
        <f>+AJ124*[1]Yield!$K$4</f>
        <v>64.599999999999994</v>
      </c>
      <c r="AL124" s="14">
        <f>AK124/VLOOKUP(Q124,[1]Yield!$E$5:$F$14,2,FALSE)</f>
        <v>21.677852348993287</v>
      </c>
      <c r="AM124" s="14"/>
      <c r="AN124" s="14"/>
      <c r="AO124" s="16">
        <f t="shared" si="14"/>
        <v>142000</v>
      </c>
      <c r="AP124" s="16" t="s">
        <v>410</v>
      </c>
      <c r="AQ124" s="17" t="str">
        <f t="shared" si="23"/>
        <v>POET Biorefining</v>
      </c>
      <c r="AR124" s="18">
        <f>VLOOKUP(AQ124,[1]Yield!$A$5:$B$10,2,FALSE)</f>
        <v>1</v>
      </c>
      <c r="AS124" s="14">
        <f t="shared" si="15"/>
        <v>21.677852348993287</v>
      </c>
      <c r="AT124" s="8" t="s">
        <v>437</v>
      </c>
      <c r="AU124" s="8"/>
      <c r="AV124" s="8"/>
      <c r="AW124" s="13"/>
      <c r="AX124" s="8" t="s">
        <v>807</v>
      </c>
      <c r="AY124" s="8">
        <f>IFERROR(VLOOKUP(AX124,[1]Sheet3!$H$3:$I$5,2,FALSE),0)</f>
        <v>0</v>
      </c>
      <c r="AZ124" s="14">
        <f t="shared" si="16"/>
        <v>68</v>
      </c>
      <c r="BA124" s="14">
        <f t="shared" si="17"/>
        <v>111.79199999999999</v>
      </c>
      <c r="BB124" s="12">
        <f>SUMIFS('[1]Corn 2023'!V:V,'[1]Corn 2023'!B:B,"=2023",'[1]Corn 2023'!L:L,"="&amp;'Corn Processors'!L123)</f>
        <v>0</v>
      </c>
      <c r="BC124" s="7"/>
      <c r="BD124" s="19" t="s">
        <v>804</v>
      </c>
      <c r="BE124" s="7" t="s">
        <v>428</v>
      </c>
      <c r="BF124" s="7" t="s">
        <v>398</v>
      </c>
      <c r="BK124" s="7">
        <f t="shared" si="18"/>
        <v>20</v>
      </c>
    </row>
    <row r="125" spans="1:64" ht="15.6" customHeight="1" x14ac:dyDescent="0.3">
      <c r="A125" s="7">
        <v>123</v>
      </c>
      <c r="B125" s="8"/>
      <c r="C125" s="8">
        <v>71683</v>
      </c>
      <c r="D125" s="8">
        <v>3237</v>
      </c>
      <c r="E125" s="8">
        <v>3671</v>
      </c>
      <c r="F125" s="8" t="str">
        <f t="shared" si="20"/>
        <v>Active</v>
      </c>
      <c r="G125" s="9" t="s">
        <v>163</v>
      </c>
      <c r="H125" s="9" t="str">
        <f>VLOOKUP(E125,'[1]EPA Ethanol Capacity 2024'!$B$5:$C$235,2,FALSE)</f>
        <v>Poet Biorefinning-Fairbank</v>
      </c>
      <c r="I125" s="8" t="s">
        <v>387</v>
      </c>
      <c r="J125" t="s">
        <v>198</v>
      </c>
      <c r="K125" s="7">
        <v>50629</v>
      </c>
      <c r="L125" s="7" t="s">
        <v>818</v>
      </c>
      <c r="M125" s="7">
        <v>2</v>
      </c>
      <c r="N125" s="20">
        <v>42.639333000000001</v>
      </c>
      <c r="O125" s="11">
        <v>-92.031138999999996</v>
      </c>
      <c r="P125" s="12">
        <v>2006</v>
      </c>
      <c r="Q125" s="12" t="s">
        <v>388</v>
      </c>
      <c r="R125" s="12">
        <f t="shared" si="12"/>
        <v>34</v>
      </c>
      <c r="S125" s="12"/>
      <c r="AB125" s="13" t="s">
        <v>390</v>
      </c>
      <c r="AC125" s="13" t="s">
        <v>391</v>
      </c>
      <c r="AD125" s="13" t="s">
        <v>378</v>
      </c>
      <c r="AE125" s="8" t="str">
        <f t="shared" si="13"/>
        <v>High</v>
      </c>
      <c r="AF125" s="14">
        <v>140</v>
      </c>
      <c r="AG125" s="14">
        <v>132</v>
      </c>
      <c r="AH125" s="14" t="s">
        <v>819</v>
      </c>
      <c r="AI125" s="14"/>
      <c r="AJ125" s="15">
        <f>VLOOKUP(E125,'[1]Ethanol Plant Listing 2025'!$B$3:$E$220,4,FALSE)</f>
        <v>132</v>
      </c>
      <c r="AK125" s="14">
        <f>+AJ125*[1]Yield!$K$4</f>
        <v>125.39999999999999</v>
      </c>
      <c r="AL125" s="14">
        <f>AK125/VLOOKUP(Q125,[1]Yield!$E$5:$F$14,2,FALSE)</f>
        <v>42.508474576271183</v>
      </c>
      <c r="AM125" s="14"/>
      <c r="AN125" s="14"/>
      <c r="AO125" s="16">
        <f t="shared" si="14"/>
        <v>278000</v>
      </c>
      <c r="AP125" s="16" t="s">
        <v>393</v>
      </c>
      <c r="AQ125" s="17" t="str">
        <f t="shared" si="23"/>
        <v>POET Biorefining</v>
      </c>
      <c r="AR125" s="18">
        <f>VLOOKUP(AQ125,[1]Yield!$A$5:$B$10,2,FALSE)</f>
        <v>1</v>
      </c>
      <c r="AS125" s="14">
        <f t="shared" si="15"/>
        <v>42.508474576271183</v>
      </c>
      <c r="AT125" s="8" t="s">
        <v>437</v>
      </c>
      <c r="AU125" s="8"/>
      <c r="AV125" s="8"/>
      <c r="AW125" s="13"/>
      <c r="AX125" s="8" t="s">
        <v>807</v>
      </c>
      <c r="AY125" s="8">
        <f>IFERROR(VLOOKUP(AX125,[1]Sheet3!$H$3:$I$5,2,FALSE),0)</f>
        <v>0</v>
      </c>
      <c r="AZ125" s="14">
        <f t="shared" si="16"/>
        <v>132</v>
      </c>
      <c r="BA125" s="14">
        <f t="shared" si="17"/>
        <v>217.00799999999998</v>
      </c>
      <c r="BB125" s="12">
        <f>SUMIFS('[1]Corn 2023'!V:V,'[1]Corn 2023'!B:B,"=2023",'[1]Corn 2023'!L:L,"="&amp;'Corn Processors'!L124)</f>
        <v>160000</v>
      </c>
      <c r="BC125" s="7"/>
      <c r="BD125" s="19" t="s">
        <v>804</v>
      </c>
      <c r="BE125" s="7" t="s">
        <v>820</v>
      </c>
      <c r="BF125" s="7" t="s">
        <v>398</v>
      </c>
      <c r="BK125" s="7">
        <f t="shared" si="18"/>
        <v>25</v>
      </c>
      <c r="BL125" s="9" t="s">
        <v>808</v>
      </c>
    </row>
    <row r="126" spans="1:64" ht="15.6" customHeight="1" x14ac:dyDescent="0.3">
      <c r="A126" s="7">
        <v>124</v>
      </c>
      <c r="B126" s="8"/>
      <c r="C126" s="8">
        <v>71681</v>
      </c>
      <c r="D126" s="8">
        <v>3238</v>
      </c>
      <c r="E126" s="8">
        <v>3672</v>
      </c>
      <c r="F126" s="8" t="str">
        <f t="shared" si="20"/>
        <v>Active</v>
      </c>
      <c r="G126" s="9" t="s">
        <v>163</v>
      </c>
      <c r="H126" s="9" t="str">
        <f>VLOOKUP(E126,'[1]EPA Ethanol Capacity 2024'!$B$5:$C$235,2,FALSE)</f>
        <v>Poet Biorefining-Fairmont</v>
      </c>
      <c r="I126" s="8" t="s">
        <v>470</v>
      </c>
      <c r="J126" s="22" t="s">
        <v>201</v>
      </c>
      <c r="K126" s="7">
        <v>68354</v>
      </c>
      <c r="L126" s="7" t="s">
        <v>821</v>
      </c>
      <c r="M126" s="7">
        <v>2</v>
      </c>
      <c r="N126" s="20">
        <v>40.611249999999998</v>
      </c>
      <c r="O126" s="11">
        <v>-97.60154</v>
      </c>
      <c r="P126" s="12">
        <v>2007</v>
      </c>
      <c r="Q126" s="12" t="s">
        <v>388</v>
      </c>
      <c r="R126" s="12">
        <f t="shared" si="12"/>
        <v>34</v>
      </c>
      <c r="S126" s="12" t="s">
        <v>389</v>
      </c>
      <c r="T126" s="8" t="s">
        <v>486</v>
      </c>
      <c r="Z126" s="7" t="str">
        <f>+T126</f>
        <v>FQPT HI PRO</v>
      </c>
      <c r="AB126" s="13" t="s">
        <v>390</v>
      </c>
      <c r="AC126" s="13" t="s">
        <v>391</v>
      </c>
      <c r="AD126" s="13" t="s">
        <v>378</v>
      </c>
      <c r="AE126" s="8" t="str">
        <f t="shared" si="13"/>
        <v>High</v>
      </c>
      <c r="AF126" s="14">
        <v>132.30000000000001</v>
      </c>
      <c r="AG126" s="14">
        <v>110</v>
      </c>
      <c r="AH126" s="14" t="s">
        <v>515</v>
      </c>
      <c r="AI126" s="14">
        <v>86026</v>
      </c>
      <c r="AJ126" s="15">
        <f>VLOOKUP(E126,'[1]Ethanol Plant Listing 2025'!$B$3:$E$220,4,FALSE)</f>
        <v>128</v>
      </c>
      <c r="AK126" s="14">
        <f>+AJ126*[1]Yield!$K$4</f>
        <v>121.6</v>
      </c>
      <c r="AL126" s="14">
        <f>AK126/VLOOKUP(Q126,[1]Yield!$E$5:$F$14,2,FALSE)</f>
        <v>41.220338983050844</v>
      </c>
      <c r="AM126" s="14"/>
      <c r="AN126" s="14"/>
      <c r="AO126" s="16">
        <f t="shared" si="14"/>
        <v>270000</v>
      </c>
      <c r="AP126" s="16" t="s">
        <v>393</v>
      </c>
      <c r="AQ126" s="17" t="str">
        <f t="shared" si="23"/>
        <v>POET Biorefining</v>
      </c>
      <c r="AR126" s="18">
        <f>VLOOKUP(AQ126,[1]Yield!$A$5:$B$10,2,FALSE)</f>
        <v>1</v>
      </c>
      <c r="AS126" s="14">
        <f t="shared" si="15"/>
        <v>41.220338983050844</v>
      </c>
      <c r="AT126" s="8" t="s">
        <v>437</v>
      </c>
      <c r="AU126" s="8"/>
      <c r="AV126" s="8" t="str">
        <f>+AX126</f>
        <v>Tall Grass</v>
      </c>
      <c r="AW126" s="13"/>
      <c r="AX126" s="8" t="str">
        <f>IFERROR(VLOOKUP(E126,[1]Sheet3!$C$2:$E$68,2,FALSE),"None")</f>
        <v>Tall Grass</v>
      </c>
      <c r="AY126" s="8">
        <f>IFERROR(VLOOKUP(AX126,[1]Sheet3!$H$3:$I$5,2,FALSE),0)</f>
        <v>30</v>
      </c>
      <c r="AZ126" s="14">
        <f t="shared" si="16"/>
        <v>128</v>
      </c>
      <c r="BA126" s="14">
        <f t="shared" si="17"/>
        <v>210.43199999999999</v>
      </c>
      <c r="BB126" s="27"/>
      <c r="BC126" s="7"/>
      <c r="BD126" s="19" t="s">
        <v>804</v>
      </c>
      <c r="BE126" s="7" t="s">
        <v>481</v>
      </c>
      <c r="BF126" s="7" t="s">
        <v>398</v>
      </c>
      <c r="BK126" s="7">
        <f t="shared" si="18"/>
        <v>25</v>
      </c>
      <c r="BL126" s="9" t="s">
        <v>808</v>
      </c>
    </row>
    <row r="127" spans="1:64" ht="15.6" customHeight="1" x14ac:dyDescent="0.3">
      <c r="A127" s="7">
        <v>125</v>
      </c>
      <c r="B127" s="8">
        <v>7518</v>
      </c>
      <c r="C127" s="8">
        <v>70323</v>
      </c>
      <c r="D127" s="8">
        <v>3239</v>
      </c>
      <c r="E127" s="8">
        <v>3673</v>
      </c>
      <c r="F127" s="8" t="str">
        <f t="shared" si="20"/>
        <v>Active</v>
      </c>
      <c r="G127" s="9" t="s">
        <v>163</v>
      </c>
      <c r="H127" s="9" t="str">
        <f>VLOOKUP(E127,'[1]EPA Ethanol Capacity 2024'!$B$5:$C$235,2,FALSE)</f>
        <v>Poet Biorefining-Fostoria LLC</v>
      </c>
      <c r="I127" s="8" t="s">
        <v>678</v>
      </c>
      <c r="J127" t="s">
        <v>205</v>
      </c>
      <c r="K127" s="7">
        <v>44830</v>
      </c>
      <c r="L127" s="7" t="s">
        <v>822</v>
      </c>
      <c r="M127" s="7">
        <v>2</v>
      </c>
      <c r="N127" s="20">
        <v>41.175620000000002</v>
      </c>
      <c r="O127" s="11">
        <v>-83.380600000000001</v>
      </c>
      <c r="P127" s="12">
        <v>2008</v>
      </c>
      <c r="Q127" s="12" t="s">
        <v>803</v>
      </c>
      <c r="R127" s="12">
        <f t="shared" si="12"/>
        <v>34</v>
      </c>
      <c r="S127" s="12" t="s">
        <v>389</v>
      </c>
      <c r="U127" s="7" t="s">
        <v>343</v>
      </c>
      <c r="AB127" s="13" t="s">
        <v>390</v>
      </c>
      <c r="AC127" s="13" t="s">
        <v>391</v>
      </c>
      <c r="AD127" s="13" t="s">
        <v>378</v>
      </c>
      <c r="AE127" s="8" t="str">
        <f t="shared" si="13"/>
        <v>High</v>
      </c>
      <c r="AF127" s="14"/>
      <c r="AG127" s="14"/>
      <c r="AH127" s="14"/>
      <c r="AI127" s="14"/>
      <c r="AJ127" s="15">
        <f>VLOOKUP(E127,'[1]Ethanol Plant Listing 2025'!$B$3:$E$220,4,FALSE)</f>
        <v>90</v>
      </c>
      <c r="AK127" s="14">
        <f>+AJ127*[1]Yield!$K$4</f>
        <v>85.5</v>
      </c>
      <c r="AL127" s="14">
        <f>AK127/VLOOKUP(Q127,[1]Yield!$E$5:$F$14,2,FALSE)</f>
        <v>28.691275167785236</v>
      </c>
      <c r="AM127" s="14"/>
      <c r="AN127" s="14"/>
      <c r="AO127" s="16">
        <f t="shared" si="14"/>
        <v>188000</v>
      </c>
      <c r="AP127" s="16" t="s">
        <v>410</v>
      </c>
      <c r="AQ127" s="17" t="str">
        <f t="shared" si="23"/>
        <v>POET Biorefining</v>
      </c>
      <c r="AR127" s="18">
        <f>VLOOKUP(AQ127,[1]Yield!$A$5:$B$10,2,FALSE)</f>
        <v>1</v>
      </c>
      <c r="AS127" s="14">
        <f t="shared" si="15"/>
        <v>28.691275167785236</v>
      </c>
      <c r="AT127" s="8" t="s">
        <v>394</v>
      </c>
      <c r="AX127" s="8" t="str">
        <f>IFERROR(VLOOKUP(E127,[1]Sheet3!$C$2:$E$68,2,FALSE),"None")</f>
        <v>None</v>
      </c>
      <c r="AY127" s="8">
        <f>IFERROR(VLOOKUP(AX127,[1]Sheet3!$H$3:$I$5,2,FALSE),0)</f>
        <v>0</v>
      </c>
      <c r="AZ127" s="14">
        <f t="shared" si="16"/>
        <v>90</v>
      </c>
      <c r="BA127" s="14">
        <f t="shared" si="17"/>
        <v>147.96</v>
      </c>
      <c r="BB127" s="27"/>
      <c r="BC127" s="7"/>
      <c r="BD127" s="19" t="s">
        <v>804</v>
      </c>
      <c r="BE127" s="7" t="s">
        <v>567</v>
      </c>
      <c r="BF127" s="7" t="s">
        <v>398</v>
      </c>
      <c r="BK127" s="7">
        <f t="shared" si="18"/>
        <v>20</v>
      </c>
    </row>
    <row r="128" spans="1:64" ht="15.6" customHeight="1" x14ac:dyDescent="0.3">
      <c r="A128" s="7">
        <v>127</v>
      </c>
      <c r="B128" s="8">
        <v>4784</v>
      </c>
      <c r="C128" s="8">
        <v>70033</v>
      </c>
      <c r="D128" s="8">
        <v>3241</v>
      </c>
      <c r="E128" s="8">
        <v>3675</v>
      </c>
      <c r="F128" s="8" t="str">
        <f t="shared" si="20"/>
        <v>Active</v>
      </c>
      <c r="G128" s="9" t="s">
        <v>163</v>
      </c>
      <c r="H128" s="9" t="str">
        <f>VLOOKUP(E128,'[1]EPA Ethanol Capacity 2024'!$B$5:$C$235,2,FALSE)</f>
        <v>Poet Biorefinning-Gowrie LLC</v>
      </c>
      <c r="I128" s="8" t="s">
        <v>387</v>
      </c>
      <c r="J128" t="s">
        <v>211</v>
      </c>
      <c r="K128" s="7">
        <v>50543</v>
      </c>
      <c r="L128" s="7" t="s">
        <v>546</v>
      </c>
      <c r="M128" s="7">
        <v>2</v>
      </c>
      <c r="N128" s="20">
        <v>42.324722000000001</v>
      </c>
      <c r="O128" s="11">
        <v>-94.289721999999998</v>
      </c>
      <c r="P128" s="12">
        <v>2006</v>
      </c>
      <c r="Q128" s="12" t="s">
        <v>803</v>
      </c>
      <c r="R128" s="12">
        <f t="shared" si="12"/>
        <v>34</v>
      </c>
      <c r="S128" s="12" t="s">
        <v>389</v>
      </c>
      <c r="U128" s="7" t="s">
        <v>343</v>
      </c>
      <c r="AB128" s="13" t="s">
        <v>390</v>
      </c>
      <c r="AC128" s="13" t="s">
        <v>391</v>
      </c>
      <c r="AD128" s="13" t="s">
        <v>378</v>
      </c>
      <c r="AE128" s="8" t="str">
        <f t="shared" si="13"/>
        <v>High</v>
      </c>
      <c r="AF128" s="14">
        <v>100</v>
      </c>
      <c r="AG128" s="14">
        <v>69.8</v>
      </c>
      <c r="AH128" s="14" t="s">
        <v>823</v>
      </c>
      <c r="AI128" s="14"/>
      <c r="AJ128" s="15">
        <f>VLOOKUP(E128,'[1]Ethanol Plant Listing 2025'!$B$3:$E$220,4,FALSE)</f>
        <v>90</v>
      </c>
      <c r="AK128" s="14">
        <f>+AJ128*[1]Yield!$K$4</f>
        <v>85.5</v>
      </c>
      <c r="AL128" s="14">
        <f>AK128/VLOOKUP(Q128,[1]Yield!$E$5:$F$14,2,FALSE)</f>
        <v>28.691275167785236</v>
      </c>
      <c r="AM128" s="14"/>
      <c r="AN128" s="14"/>
      <c r="AO128" s="16">
        <f t="shared" si="14"/>
        <v>188000</v>
      </c>
      <c r="AP128" s="16" t="s">
        <v>410</v>
      </c>
      <c r="AQ128" s="17" t="str">
        <f t="shared" si="23"/>
        <v>POET Biorefining</v>
      </c>
      <c r="AR128" s="18">
        <f>VLOOKUP(AQ128,[1]Yield!$A$5:$B$10,2,FALSE)</f>
        <v>1</v>
      </c>
      <c r="AS128" s="14">
        <f t="shared" si="15"/>
        <v>28.691275167785236</v>
      </c>
      <c r="AT128" s="8" t="s">
        <v>437</v>
      </c>
      <c r="AU128" s="8"/>
      <c r="AV128" s="8"/>
      <c r="AW128" s="13"/>
      <c r="AX128" s="8" t="s">
        <v>807</v>
      </c>
      <c r="AY128" s="8">
        <f>IFERROR(VLOOKUP(AX128,[1]Sheet3!$H$3:$I$5,2,FALSE),0)</f>
        <v>0</v>
      </c>
      <c r="AZ128" s="14">
        <f t="shared" si="16"/>
        <v>90</v>
      </c>
      <c r="BA128" s="14">
        <f t="shared" si="17"/>
        <v>147.96</v>
      </c>
      <c r="BB128" s="12">
        <f>SUMIFS('[1]Corn 2023'!V:V,'[1]Corn 2023'!B:B,"=2023",'[1]Corn 2023'!L:L,"="&amp;'Corn Processors'!L128)</f>
        <v>195000</v>
      </c>
      <c r="BC128" s="7"/>
      <c r="BD128" s="19" t="s">
        <v>804</v>
      </c>
      <c r="BE128" s="7" t="s">
        <v>428</v>
      </c>
      <c r="BF128" s="7" t="s">
        <v>398</v>
      </c>
      <c r="BK128" s="7">
        <f t="shared" si="18"/>
        <v>20</v>
      </c>
    </row>
    <row r="129" spans="1:64" ht="15.6" customHeight="1" x14ac:dyDescent="0.3">
      <c r="A129" s="7">
        <v>128</v>
      </c>
      <c r="B129" s="8">
        <v>4793</v>
      </c>
      <c r="C129" s="8">
        <v>70013</v>
      </c>
      <c r="D129" s="8">
        <v>3242</v>
      </c>
      <c r="E129" s="8">
        <v>3676</v>
      </c>
      <c r="F129" s="8" t="str">
        <f t="shared" si="20"/>
        <v>Active</v>
      </c>
      <c r="G129" s="9" t="s">
        <v>163</v>
      </c>
      <c r="H129" s="9" t="str">
        <f>VLOOKUP(E129,'[1]EPA Ethanol Capacity 2024'!$B$5:$C$235,2,FALSE)</f>
        <v>Poet Biorefining- Groton LLC</v>
      </c>
      <c r="I129" s="8" t="s">
        <v>582</v>
      </c>
      <c r="J129" t="s">
        <v>215</v>
      </c>
      <c r="K129" s="7">
        <v>57445</v>
      </c>
      <c r="L129" s="7" t="s">
        <v>621</v>
      </c>
      <c r="M129" s="7">
        <v>2</v>
      </c>
      <c r="N129" s="20">
        <v>45.453963000000002</v>
      </c>
      <c r="O129" s="11">
        <v>-98.137741000000005</v>
      </c>
      <c r="P129" s="12">
        <v>2005</v>
      </c>
      <c r="Q129" s="12" t="s">
        <v>803</v>
      </c>
      <c r="R129" s="12">
        <f t="shared" si="12"/>
        <v>34</v>
      </c>
      <c r="S129" s="12" t="s">
        <v>389</v>
      </c>
      <c r="AB129" s="13" t="s">
        <v>390</v>
      </c>
      <c r="AC129" s="13" t="s">
        <v>391</v>
      </c>
      <c r="AD129" s="13" t="s">
        <v>378</v>
      </c>
      <c r="AE129" s="8" t="str">
        <f t="shared" si="13"/>
        <v>High</v>
      </c>
      <c r="AF129" s="14"/>
      <c r="AG129" s="14"/>
      <c r="AH129" s="14"/>
      <c r="AI129" s="14"/>
      <c r="AJ129" s="15">
        <f>VLOOKUP(E129,'[1]Ethanol Plant Listing 2025'!$B$3:$E$220,4,FALSE)</f>
        <v>68</v>
      </c>
      <c r="AK129" s="14">
        <f>+AJ129*[1]Yield!$K$4</f>
        <v>64.599999999999994</v>
      </c>
      <c r="AL129" s="14">
        <f>AK129/VLOOKUP(Q129,[1]Yield!$E$5:$F$14,2,FALSE)</f>
        <v>21.677852348993287</v>
      </c>
      <c r="AM129" s="14"/>
      <c r="AN129" s="14"/>
      <c r="AO129" s="16">
        <f t="shared" si="14"/>
        <v>142000</v>
      </c>
      <c r="AP129" s="16" t="s">
        <v>410</v>
      </c>
      <c r="AQ129" s="17" t="str">
        <f t="shared" si="23"/>
        <v>POET Biorefining</v>
      </c>
      <c r="AR129" s="18">
        <f>VLOOKUP(AQ129,[1]Yield!$A$5:$B$10,2,FALSE)</f>
        <v>1</v>
      </c>
      <c r="AS129" s="14">
        <f t="shared" si="15"/>
        <v>21.677852348993287</v>
      </c>
      <c r="AT129" s="8" t="s">
        <v>437</v>
      </c>
      <c r="AU129" s="8"/>
      <c r="AV129" s="8"/>
      <c r="AW129" s="13"/>
      <c r="AX129" s="8" t="s">
        <v>807</v>
      </c>
      <c r="AY129" s="8">
        <f>IFERROR(VLOOKUP(AX129,[1]Sheet3!$H$3:$I$5,2,FALSE),0)</f>
        <v>0</v>
      </c>
      <c r="AZ129" s="14">
        <f t="shared" si="16"/>
        <v>68</v>
      </c>
      <c r="BA129" s="14">
        <f t="shared" si="17"/>
        <v>111.79199999999999</v>
      </c>
      <c r="BB129" s="27"/>
      <c r="BC129" s="7"/>
      <c r="BD129" s="19" t="s">
        <v>804</v>
      </c>
      <c r="BE129" s="7" t="s">
        <v>481</v>
      </c>
      <c r="BF129" s="7" t="s">
        <v>398</v>
      </c>
      <c r="BK129" s="7">
        <f t="shared" si="18"/>
        <v>20</v>
      </c>
    </row>
    <row r="130" spans="1:64" ht="15.6" customHeight="1" x14ac:dyDescent="0.3">
      <c r="A130" s="7">
        <v>129</v>
      </c>
      <c r="B130" s="8">
        <v>4785</v>
      </c>
      <c r="C130" s="8">
        <v>70010</v>
      </c>
      <c r="D130" s="8">
        <v>3243</v>
      </c>
      <c r="E130" s="8">
        <v>3677</v>
      </c>
      <c r="F130" s="8" t="str">
        <f t="shared" si="20"/>
        <v>Active</v>
      </c>
      <c r="G130" s="9" t="s">
        <v>163</v>
      </c>
      <c r="H130" s="9" t="str">
        <f>VLOOKUP(E130,'[1]EPA Ethanol Capacity 2024'!$B$5:$C$235,2,FALSE)</f>
        <v>Poet Biorefinning-Hanlontown LLC</v>
      </c>
      <c r="I130" s="8" t="s">
        <v>387</v>
      </c>
      <c r="J130" t="s">
        <v>218</v>
      </c>
      <c r="K130" s="7">
        <v>50444</v>
      </c>
      <c r="L130" s="7" t="s">
        <v>824</v>
      </c>
      <c r="M130" s="7">
        <v>2</v>
      </c>
      <c r="N130" s="20">
        <v>43.29083</v>
      </c>
      <c r="O130" s="11">
        <v>-93.390270000000001</v>
      </c>
      <c r="P130" s="12">
        <v>2004</v>
      </c>
      <c r="Q130" s="12" t="s">
        <v>803</v>
      </c>
      <c r="R130" s="12">
        <f t="shared" ref="R130:R193" si="24">COUNTIF(G:G,"="&amp;G130)</f>
        <v>34</v>
      </c>
      <c r="S130" s="12" t="s">
        <v>389</v>
      </c>
      <c r="U130" s="7" t="s">
        <v>343</v>
      </c>
      <c r="AB130" s="13" t="s">
        <v>390</v>
      </c>
      <c r="AC130" s="13" t="s">
        <v>391</v>
      </c>
      <c r="AD130" s="13" t="s">
        <v>378</v>
      </c>
      <c r="AE130" s="8" t="str">
        <f t="shared" ref="AE130:AE193" si="25">IF(BK130=1,"Low","High")</f>
        <v>High</v>
      </c>
      <c r="AF130" s="14">
        <v>109</v>
      </c>
      <c r="AG130" s="14">
        <v>63</v>
      </c>
      <c r="AH130" s="14" t="s">
        <v>825</v>
      </c>
      <c r="AI130" s="14"/>
      <c r="AJ130" s="15">
        <f>VLOOKUP(E130,'[1]Ethanol Plant Listing 2025'!$B$3:$E$220,4,FALSE)</f>
        <v>80</v>
      </c>
      <c r="AK130" s="14">
        <f>+AJ130*[1]Yield!$K$4</f>
        <v>76</v>
      </c>
      <c r="AL130" s="14">
        <f>AK130/VLOOKUP(Q130,[1]Yield!$E$5:$F$14,2,FALSE)</f>
        <v>25.503355704697988</v>
      </c>
      <c r="AM130" s="14"/>
      <c r="AN130" s="14"/>
      <c r="AO130" s="16">
        <f t="shared" ref="AO130:AO193" si="26">ROUND((+AL130*13.1*1000000)/2000,-3)</f>
        <v>167000</v>
      </c>
      <c r="AP130" s="16" t="s">
        <v>410</v>
      </c>
      <c r="AQ130" s="17" t="str">
        <f t="shared" si="23"/>
        <v>POET Biorefining</v>
      </c>
      <c r="AR130" s="18">
        <f>VLOOKUP(AQ130,[1]Yield!$A$5:$B$10,2,FALSE)</f>
        <v>1</v>
      </c>
      <c r="AS130" s="14">
        <f t="shared" ref="AS130:AS193" si="27">(AL130)*AR130</f>
        <v>25.503355704697988</v>
      </c>
      <c r="AT130" s="8" t="s">
        <v>437</v>
      </c>
      <c r="AU130" s="8"/>
      <c r="AV130" s="8"/>
      <c r="AW130" s="13"/>
      <c r="AX130" s="8" t="s">
        <v>807</v>
      </c>
      <c r="AY130" s="8">
        <f>IFERROR(VLOOKUP(AX130,[1]Sheet3!$H$3:$I$5,2,FALSE),0)</f>
        <v>0</v>
      </c>
      <c r="AZ130" s="14">
        <f t="shared" ref="AZ130:AZ193" si="28">AJ130</f>
        <v>80</v>
      </c>
      <c r="BA130" s="14">
        <f t="shared" ref="BA130:BA193" si="29">+AJ130*6.85*0.48/2</f>
        <v>131.51999999999998</v>
      </c>
      <c r="BB130" s="12">
        <f>SUMIFS('[1]Corn 2023'!V:V,'[1]Corn 2023'!B:B,"=2023",'[1]Corn 2023'!L:L,"="&amp;'Corn Processors'!L130)</f>
        <v>111500</v>
      </c>
      <c r="BC130" s="7"/>
      <c r="BD130" s="19" t="s">
        <v>804</v>
      </c>
      <c r="BE130" s="7" t="s">
        <v>428</v>
      </c>
      <c r="BF130" s="7" t="s">
        <v>398</v>
      </c>
      <c r="BI130" s="7" t="s">
        <v>399</v>
      </c>
      <c r="BK130" s="7">
        <f t="shared" ref="BK130:BK193" si="30">IF(M130=2,10,5)+IF(Q130="ICM",10,5)+IF(X130="Y",10,5)</f>
        <v>20</v>
      </c>
    </row>
    <row r="131" spans="1:64" ht="15.6" customHeight="1" x14ac:dyDescent="0.3">
      <c r="A131" s="7">
        <v>130</v>
      </c>
      <c r="B131" s="8">
        <v>4797</v>
      </c>
      <c r="C131" s="8">
        <v>70022</v>
      </c>
      <c r="D131" s="8">
        <v>3244</v>
      </c>
      <c r="E131" s="8">
        <v>3678</v>
      </c>
      <c r="F131" s="8" t="str">
        <f t="shared" si="20"/>
        <v>Active</v>
      </c>
      <c r="G131" s="9" t="s">
        <v>163</v>
      </c>
      <c r="H131" s="9" t="str">
        <f>VLOOKUP(E131,'[1]EPA Ethanol Capacity 2024'!$B$5:$C$235,2,FALSE)</f>
        <v>Poet Biorefining- Hudson</v>
      </c>
      <c r="I131" s="8" t="s">
        <v>582</v>
      </c>
      <c r="J131" t="s">
        <v>221</v>
      </c>
      <c r="K131" s="7">
        <v>57034</v>
      </c>
      <c r="L131" s="7" t="s">
        <v>756</v>
      </c>
      <c r="M131" s="7">
        <v>2</v>
      </c>
      <c r="N131" s="20">
        <v>43.096842000000002</v>
      </c>
      <c r="O131" s="11">
        <v>-96.477478000000005</v>
      </c>
      <c r="P131" s="12">
        <v>2004</v>
      </c>
      <c r="Q131" s="12" t="s">
        <v>803</v>
      </c>
      <c r="R131" s="12">
        <f t="shared" si="24"/>
        <v>34</v>
      </c>
      <c r="S131" s="12" t="s">
        <v>389</v>
      </c>
      <c r="U131" s="7" t="s">
        <v>343</v>
      </c>
      <c r="AB131" s="13" t="s">
        <v>390</v>
      </c>
      <c r="AC131" s="13" t="s">
        <v>391</v>
      </c>
      <c r="AD131" s="13" t="s">
        <v>378</v>
      </c>
      <c r="AE131" s="8" t="str">
        <f t="shared" si="25"/>
        <v>High</v>
      </c>
      <c r="AF131" s="14"/>
      <c r="AG131" s="14"/>
      <c r="AH131" s="14"/>
      <c r="AI131" s="14"/>
      <c r="AJ131" s="15">
        <f>VLOOKUP(E131,'[1]Ethanol Plant Listing 2025'!$B$3:$E$220,4,FALSE)</f>
        <v>80</v>
      </c>
      <c r="AK131" s="14">
        <f>+AJ131*[1]Yield!$K$4</f>
        <v>76</v>
      </c>
      <c r="AL131" s="14">
        <f>AK131/VLOOKUP(Q131,[1]Yield!$E$5:$F$14,2,FALSE)</f>
        <v>25.503355704697988</v>
      </c>
      <c r="AM131" s="14"/>
      <c r="AN131" s="14"/>
      <c r="AO131" s="16">
        <f t="shared" si="26"/>
        <v>167000</v>
      </c>
      <c r="AP131" s="16" t="s">
        <v>410</v>
      </c>
      <c r="AQ131" s="17" t="str">
        <f t="shared" si="23"/>
        <v>POET Biorefining</v>
      </c>
      <c r="AR131" s="18">
        <f>VLOOKUP(AQ131,[1]Yield!$A$5:$B$10,2,FALSE)</f>
        <v>1</v>
      </c>
      <c r="AS131" s="14">
        <f t="shared" si="27"/>
        <v>25.503355704697988</v>
      </c>
      <c r="AT131" s="8" t="s">
        <v>437</v>
      </c>
      <c r="AU131" s="8"/>
      <c r="AV131" s="8"/>
      <c r="AW131" s="13"/>
      <c r="AX131" s="8" t="s">
        <v>807</v>
      </c>
      <c r="AY131" s="8">
        <f>IFERROR(VLOOKUP(AX131,[1]Sheet3!$H$3:$I$5,2,FALSE),0)</f>
        <v>0</v>
      </c>
      <c r="AZ131" s="14">
        <f t="shared" si="28"/>
        <v>80</v>
      </c>
      <c r="BA131" s="14">
        <f t="shared" si="29"/>
        <v>131.51999999999998</v>
      </c>
      <c r="BB131" s="27"/>
      <c r="BC131" s="7"/>
      <c r="BD131" s="19" t="s">
        <v>804</v>
      </c>
      <c r="BE131" s="7" t="s">
        <v>481</v>
      </c>
      <c r="BF131" s="7" t="s">
        <v>398</v>
      </c>
      <c r="BK131" s="7">
        <f t="shared" si="30"/>
        <v>20</v>
      </c>
    </row>
    <row r="132" spans="1:64" ht="15.6" customHeight="1" x14ac:dyDescent="0.3">
      <c r="A132" s="7">
        <v>131</v>
      </c>
      <c r="B132" s="8"/>
      <c r="C132" s="8">
        <v>71684</v>
      </c>
      <c r="D132" s="8">
        <v>3245</v>
      </c>
      <c r="E132" s="8">
        <v>3679</v>
      </c>
      <c r="F132" s="8" t="str">
        <f t="shared" si="20"/>
        <v>Active</v>
      </c>
      <c r="G132" s="9" t="s">
        <v>163</v>
      </c>
      <c r="H132" s="9" t="str">
        <f>VLOOKUP(E132,'[1]EPA Ethanol Capacity 2024'!$B$5:$C$235,2,FALSE)</f>
        <v>Poet Biorefinning-Iowa Falls LLC</v>
      </c>
      <c r="I132" s="8" t="s">
        <v>387</v>
      </c>
      <c r="J132" t="s">
        <v>224</v>
      </c>
      <c r="K132" s="7">
        <v>50126</v>
      </c>
      <c r="L132" s="7" t="s">
        <v>792</v>
      </c>
      <c r="M132" s="7">
        <v>2</v>
      </c>
      <c r="N132" s="20">
        <v>42.507192000000003</v>
      </c>
      <c r="O132" s="11">
        <v>-93.280410000000003</v>
      </c>
      <c r="P132" s="12">
        <v>2004</v>
      </c>
      <c r="Q132" s="12" t="s">
        <v>388</v>
      </c>
      <c r="R132" s="12">
        <f t="shared" si="24"/>
        <v>34</v>
      </c>
      <c r="S132" s="12" t="s">
        <v>389</v>
      </c>
      <c r="AB132" s="13" t="s">
        <v>390</v>
      </c>
      <c r="AC132" s="13" t="s">
        <v>391</v>
      </c>
      <c r="AD132" s="13" t="s">
        <v>378</v>
      </c>
      <c r="AE132" s="8" t="str">
        <f t="shared" si="25"/>
        <v>High</v>
      </c>
      <c r="AF132" s="14">
        <v>125</v>
      </c>
      <c r="AG132" s="14">
        <v>105</v>
      </c>
      <c r="AH132" s="14" t="s">
        <v>826</v>
      </c>
      <c r="AI132" s="14"/>
      <c r="AJ132" s="15">
        <f>VLOOKUP(E132,'[1]Ethanol Plant Listing 2025'!$B$3:$E$220,4,FALSE)</f>
        <v>112</v>
      </c>
      <c r="AK132" s="14">
        <f>+AJ132*[1]Yield!$K$4</f>
        <v>106.39999999999999</v>
      </c>
      <c r="AL132" s="14">
        <f>AK132/VLOOKUP(Q132,[1]Yield!$E$5:$F$14,2,FALSE)</f>
        <v>36.067796610169488</v>
      </c>
      <c r="AM132" s="14"/>
      <c r="AN132" s="14"/>
      <c r="AO132" s="16">
        <f t="shared" si="26"/>
        <v>236000</v>
      </c>
      <c r="AP132" s="16" t="s">
        <v>393</v>
      </c>
      <c r="AQ132" s="17" t="str">
        <f t="shared" si="23"/>
        <v>POET Biorefining</v>
      </c>
      <c r="AR132" s="18">
        <f>VLOOKUP(AQ132,[1]Yield!$A$5:$B$10,2,FALSE)</f>
        <v>1</v>
      </c>
      <c r="AS132" s="14">
        <f t="shared" si="27"/>
        <v>36.067796610169488</v>
      </c>
      <c r="AT132" s="8" t="s">
        <v>437</v>
      </c>
      <c r="AU132" s="8"/>
      <c r="AV132" s="8"/>
      <c r="AW132" s="13"/>
      <c r="AX132" s="8" t="s">
        <v>807</v>
      </c>
      <c r="AY132" s="8">
        <f>IFERROR(VLOOKUP(AX132,[1]Sheet3!$H$3:$I$5,2,FALSE),0)</f>
        <v>0</v>
      </c>
      <c r="AZ132" s="14">
        <f t="shared" si="28"/>
        <v>112</v>
      </c>
      <c r="BA132" s="14">
        <f t="shared" si="29"/>
        <v>184.12799999999999</v>
      </c>
      <c r="BB132" s="12">
        <f>SUMIFS('[1]Corn 2023'!V:V,'[1]Corn 2023'!B:B,"=2023",'[1]Corn 2023'!L:L,"="&amp;'Corn Processors'!L132)</f>
        <v>180500</v>
      </c>
      <c r="BC132" s="7"/>
      <c r="BD132" s="19" t="s">
        <v>804</v>
      </c>
      <c r="BE132" s="7" t="s">
        <v>428</v>
      </c>
      <c r="BF132" s="7" t="s">
        <v>398</v>
      </c>
      <c r="BK132" s="7">
        <f t="shared" si="30"/>
        <v>25</v>
      </c>
      <c r="BL132" s="9" t="s">
        <v>808</v>
      </c>
    </row>
    <row r="133" spans="1:64" ht="15.6" customHeight="1" x14ac:dyDescent="0.3">
      <c r="A133" s="7">
        <v>184</v>
      </c>
      <c r="B133" s="8"/>
      <c r="C133" s="8"/>
      <c r="D133" s="8">
        <v>3294</v>
      </c>
      <c r="E133" s="8">
        <v>3734</v>
      </c>
      <c r="F133" s="8" t="str">
        <f t="shared" ref="F133:F194" si="31">IF(A133&lt;300,"Active","Retired")</f>
        <v>Active</v>
      </c>
      <c r="G133" s="9" t="s">
        <v>827</v>
      </c>
      <c r="H133" s="9" t="str">
        <f>VLOOKUP(E133,'[1]EPA Ethanol Capacity 2024'!$B$5:$C$235,2,FALSE)</f>
        <v>Verbio</v>
      </c>
      <c r="I133" s="8" t="s">
        <v>387</v>
      </c>
      <c r="J133" t="s">
        <v>148</v>
      </c>
      <c r="K133" s="7">
        <v>50201</v>
      </c>
      <c r="L133" s="7" t="s">
        <v>721</v>
      </c>
      <c r="M133" s="7">
        <v>2</v>
      </c>
      <c r="N133" s="20">
        <v>42.024244000000003</v>
      </c>
      <c r="O133" s="11">
        <v>-93.518659</v>
      </c>
      <c r="P133" s="12">
        <v>2024</v>
      </c>
      <c r="Q133" s="12" t="s">
        <v>827</v>
      </c>
      <c r="R133" s="12">
        <f t="shared" si="24"/>
        <v>2</v>
      </c>
      <c r="S133" s="12"/>
      <c r="AB133" s="13" t="s">
        <v>390</v>
      </c>
      <c r="AC133" s="13" t="s">
        <v>408</v>
      </c>
      <c r="AD133" s="13" t="s">
        <v>378</v>
      </c>
      <c r="AE133" s="8" t="str">
        <f t="shared" si="25"/>
        <v>High</v>
      </c>
      <c r="AF133" s="14"/>
      <c r="AG133" s="14"/>
      <c r="AH133" s="14"/>
      <c r="AI133" s="14"/>
      <c r="AJ133" s="15">
        <f>VLOOKUP(E133,'[1]Ethanol Plant Listing 2025'!$B$3:$E$220,4,FALSE)</f>
        <v>60</v>
      </c>
      <c r="AK133" s="14">
        <f>+AJ133*[1]Yield!$K$4</f>
        <v>57</v>
      </c>
      <c r="AL133" s="14">
        <f>AK133/VLOOKUP(Q133,[1]Yield!$E$5:$F$14,2,FALSE)</f>
        <v>19.655172413793103</v>
      </c>
      <c r="AM133" s="14"/>
      <c r="AN133" s="14"/>
      <c r="AO133" s="16">
        <f t="shared" si="26"/>
        <v>129000</v>
      </c>
      <c r="AP133" s="16"/>
      <c r="AQ133" s="17" t="str">
        <f t="shared" si="23"/>
        <v>None</v>
      </c>
      <c r="AR133" s="18">
        <f>VLOOKUP(AQ133,[1]Yield!$A$5:$B$10,2,FALSE)</f>
        <v>0.81499999999999995</v>
      </c>
      <c r="AS133" s="14">
        <f t="shared" si="27"/>
        <v>16.018965517241377</v>
      </c>
      <c r="AT133" s="8" t="s">
        <v>394</v>
      </c>
      <c r="AU133" s="8"/>
      <c r="AV133" s="8"/>
      <c r="AW133" s="13"/>
      <c r="AX133" s="8" t="str">
        <f>IFERROR(VLOOKUP(E133,[1]Sheet3!$C$2:$E$68,2,FALSE),"None")</f>
        <v>None</v>
      </c>
      <c r="AY133" s="8">
        <f>IFERROR(VLOOKUP(AX133,[1]Sheet3!$H$3:$I$5,2,FALSE),0)</f>
        <v>0</v>
      </c>
      <c r="AZ133" s="14">
        <f t="shared" si="28"/>
        <v>60</v>
      </c>
      <c r="BA133" s="14">
        <f t="shared" si="29"/>
        <v>98.64</v>
      </c>
      <c r="BB133" s="12">
        <f>SUMIFS('[1]Corn 2023'!V:V,'[1]Corn 2023'!B:B,"=2023",'[1]Corn 2023'!L:L,"="&amp;'Corn Processors'!L185)</f>
        <v>160500</v>
      </c>
      <c r="BC133" s="7"/>
      <c r="BD133" s="19" t="s">
        <v>828</v>
      </c>
      <c r="BE133" s="7" t="s">
        <v>428</v>
      </c>
      <c r="BF133" s="7" t="s">
        <v>398</v>
      </c>
      <c r="BK133" s="7">
        <f t="shared" si="30"/>
        <v>20</v>
      </c>
    </row>
    <row r="134" spans="1:64" ht="15.6" customHeight="1" x14ac:dyDescent="0.3">
      <c r="A134" s="7">
        <v>132</v>
      </c>
      <c r="B134" s="8">
        <v>4786</v>
      </c>
      <c r="C134" s="8">
        <v>70014</v>
      </c>
      <c r="D134" s="8">
        <v>3246</v>
      </c>
      <c r="E134" s="8">
        <v>3680</v>
      </c>
      <c r="F134" s="8" t="str">
        <f t="shared" si="31"/>
        <v>Active</v>
      </c>
      <c r="G134" s="9" t="s">
        <v>163</v>
      </c>
      <c r="H134" s="9" t="str">
        <f>VLOOKUP(E134,'[1]EPA Ethanol Capacity 2024'!$B$5:$C$235,2,FALSE)</f>
        <v>Poet Biorefinning-Jewell LLC</v>
      </c>
      <c r="I134" s="8" t="s">
        <v>387</v>
      </c>
      <c r="J134" t="s">
        <v>227</v>
      </c>
      <c r="K134" s="7">
        <v>50130</v>
      </c>
      <c r="L134" s="7" t="s">
        <v>709</v>
      </c>
      <c r="M134" s="7">
        <v>2</v>
      </c>
      <c r="N134" s="20">
        <v>42.328899999999997</v>
      </c>
      <c r="O134" s="11">
        <v>-93.662599999999998</v>
      </c>
      <c r="P134" s="12">
        <v>2006</v>
      </c>
      <c r="Q134" s="12" t="s">
        <v>803</v>
      </c>
      <c r="R134" s="12">
        <f t="shared" si="24"/>
        <v>34</v>
      </c>
      <c r="S134" s="12" t="s">
        <v>389</v>
      </c>
      <c r="U134" s="7" t="s">
        <v>343</v>
      </c>
      <c r="AB134" s="13" t="s">
        <v>390</v>
      </c>
      <c r="AC134" s="13" t="s">
        <v>391</v>
      </c>
      <c r="AD134" s="13" t="s">
        <v>378</v>
      </c>
      <c r="AE134" s="8" t="str">
        <f t="shared" si="25"/>
        <v>High</v>
      </c>
      <c r="AF134" s="14">
        <v>100</v>
      </c>
      <c r="AG134" s="14">
        <v>69.5</v>
      </c>
      <c r="AH134" s="14" t="s">
        <v>829</v>
      </c>
      <c r="AI134" s="14"/>
      <c r="AJ134" s="15">
        <f>VLOOKUP(E134,'[1]Ethanol Plant Listing 2025'!$B$3:$E$220,4,FALSE)</f>
        <v>90</v>
      </c>
      <c r="AK134" s="14">
        <f>+AJ134*[1]Yield!$K$4</f>
        <v>85.5</v>
      </c>
      <c r="AL134" s="14">
        <f>AK134/VLOOKUP(Q134,[1]Yield!$E$5:$F$14,2,FALSE)</f>
        <v>28.691275167785236</v>
      </c>
      <c r="AM134" s="14"/>
      <c r="AN134" s="14"/>
      <c r="AO134" s="16">
        <f t="shared" si="26"/>
        <v>188000</v>
      </c>
      <c r="AP134" s="16" t="s">
        <v>410</v>
      </c>
      <c r="AQ134" s="17" t="str">
        <f t="shared" si="23"/>
        <v>POET Biorefining</v>
      </c>
      <c r="AR134" s="18">
        <f>VLOOKUP(AQ134,[1]Yield!$A$5:$B$10,2,FALSE)</f>
        <v>1</v>
      </c>
      <c r="AS134" s="14">
        <f t="shared" si="27"/>
        <v>28.691275167785236</v>
      </c>
      <c r="AT134" s="8" t="s">
        <v>437</v>
      </c>
      <c r="AU134" s="8"/>
      <c r="AV134" s="8"/>
      <c r="AW134" s="13"/>
      <c r="AX134" s="8" t="s">
        <v>807</v>
      </c>
      <c r="AY134" s="8">
        <f>IFERROR(VLOOKUP(AX134,[1]Sheet3!$H$3:$I$5,2,FALSE),0)</f>
        <v>0</v>
      </c>
      <c r="AZ134" s="14">
        <f t="shared" si="28"/>
        <v>90</v>
      </c>
      <c r="BA134" s="14">
        <f t="shared" si="29"/>
        <v>147.96</v>
      </c>
      <c r="BB134" s="12">
        <f>SUMIFS('[1]Corn 2023'!V:V,'[1]Corn 2023'!B:B,"=2023",'[1]Corn 2023'!L:L,"="&amp;'Corn Processors'!L133)</f>
        <v>152500</v>
      </c>
      <c r="BC134" s="7"/>
      <c r="BD134" s="19" t="s">
        <v>804</v>
      </c>
      <c r="BE134" s="7" t="s">
        <v>428</v>
      </c>
      <c r="BF134" s="7" t="s">
        <v>398</v>
      </c>
      <c r="BI134" s="7" t="s">
        <v>399</v>
      </c>
      <c r="BK134" s="7">
        <f t="shared" si="30"/>
        <v>20</v>
      </c>
    </row>
    <row r="135" spans="1:64" ht="15.6" customHeight="1" x14ac:dyDescent="0.3">
      <c r="A135" s="7">
        <v>133</v>
      </c>
      <c r="B135" s="8">
        <v>4787</v>
      </c>
      <c r="C135" s="8">
        <v>70023</v>
      </c>
      <c r="D135" s="8">
        <v>3247</v>
      </c>
      <c r="E135" s="8">
        <v>3681</v>
      </c>
      <c r="F135" s="8" t="str">
        <f t="shared" si="31"/>
        <v>Active</v>
      </c>
      <c r="G135" s="9" t="s">
        <v>163</v>
      </c>
      <c r="H135" s="9" t="str">
        <f>VLOOKUP(E135,'[1]EPA Ethanol Capacity 2024'!$B$5:$C$235,2,FALSE)</f>
        <v>Poet Biorefining-Laddonia LLC</v>
      </c>
      <c r="I135" s="8" t="s">
        <v>697</v>
      </c>
      <c r="J135" t="s">
        <v>231</v>
      </c>
      <c r="K135" s="7">
        <v>63352</v>
      </c>
      <c r="L135" s="7" t="s">
        <v>830</v>
      </c>
      <c r="M135" s="7">
        <v>2</v>
      </c>
      <c r="N135" s="20">
        <v>39.249899999999997</v>
      </c>
      <c r="O135" s="11">
        <v>-91.640500000000003</v>
      </c>
      <c r="P135" s="12">
        <v>2006</v>
      </c>
      <c r="Q135" s="12" t="s">
        <v>803</v>
      </c>
      <c r="R135" s="12">
        <f t="shared" si="24"/>
        <v>34</v>
      </c>
      <c r="S135" s="12" t="s">
        <v>389</v>
      </c>
      <c r="U135" s="7" t="s">
        <v>343</v>
      </c>
      <c r="AB135" s="13" t="s">
        <v>390</v>
      </c>
      <c r="AC135" s="13" t="s">
        <v>391</v>
      </c>
      <c r="AD135" s="13" t="s">
        <v>378</v>
      </c>
      <c r="AE135" s="8" t="str">
        <f t="shared" si="25"/>
        <v>High</v>
      </c>
      <c r="AF135" s="14"/>
      <c r="AG135" s="14"/>
      <c r="AH135" s="14"/>
      <c r="AI135" s="14"/>
      <c r="AJ135" s="15">
        <f>VLOOKUP(E135,'[1]Ethanol Plant Listing 2025'!$B$3:$E$220,4,FALSE)</f>
        <v>80</v>
      </c>
      <c r="AK135" s="14">
        <f>+AJ135*[1]Yield!$K$4</f>
        <v>76</v>
      </c>
      <c r="AL135" s="14">
        <f>AK135/VLOOKUP(Q135,[1]Yield!$E$5:$F$14,2,FALSE)</f>
        <v>25.503355704697988</v>
      </c>
      <c r="AM135" s="14"/>
      <c r="AN135" s="14"/>
      <c r="AO135" s="16">
        <f t="shared" si="26"/>
        <v>167000</v>
      </c>
      <c r="AP135" s="16" t="s">
        <v>410</v>
      </c>
      <c r="AQ135" s="17" t="str">
        <f t="shared" si="23"/>
        <v>POET Biorefining</v>
      </c>
      <c r="AR135" s="18">
        <f>VLOOKUP(AQ135,[1]Yield!$A$5:$B$10,2,FALSE)</f>
        <v>1</v>
      </c>
      <c r="AS135" s="14">
        <f t="shared" si="27"/>
        <v>25.503355704697988</v>
      </c>
      <c r="AT135" s="8" t="s">
        <v>411</v>
      </c>
      <c r="AX135" s="8" t="str">
        <f>IFERROR(VLOOKUP(E135,[1]Sheet3!$C$2:$E$68,2,FALSE),"None")</f>
        <v>None</v>
      </c>
      <c r="AY135" s="8">
        <f>IFERROR(VLOOKUP(AX135,[1]Sheet3!$H$3:$I$5,2,FALSE),0)</f>
        <v>0</v>
      </c>
      <c r="AZ135" s="14">
        <f t="shared" si="28"/>
        <v>80</v>
      </c>
      <c r="BA135" s="14">
        <f t="shared" si="29"/>
        <v>131.51999999999998</v>
      </c>
      <c r="BB135" s="27"/>
      <c r="BC135" s="7"/>
      <c r="BD135" s="19" t="s">
        <v>804</v>
      </c>
      <c r="BE135" s="7" t="s">
        <v>831</v>
      </c>
      <c r="BF135" s="7" t="s">
        <v>398</v>
      </c>
      <c r="BK135" s="7">
        <f t="shared" si="30"/>
        <v>20</v>
      </c>
    </row>
    <row r="136" spans="1:64" ht="15.6" customHeight="1" x14ac:dyDescent="0.3">
      <c r="A136" s="7">
        <v>134</v>
      </c>
      <c r="B136" s="8">
        <v>4797</v>
      </c>
      <c r="C136" s="8">
        <v>70072</v>
      </c>
      <c r="D136" s="8">
        <v>3248</v>
      </c>
      <c r="E136" s="8">
        <v>3682</v>
      </c>
      <c r="F136" s="8" t="str">
        <f t="shared" si="31"/>
        <v>Active</v>
      </c>
      <c r="G136" s="9" t="s">
        <v>163</v>
      </c>
      <c r="H136" s="9" t="str">
        <f>VLOOKUP(E136,'[1]EPA Ethanol Capacity 2024'!$B$5:$C$235,2,FALSE)</f>
        <v>Poet Biorefining--Lake Crystal LLC</v>
      </c>
      <c r="I136" s="8" t="s">
        <v>429</v>
      </c>
      <c r="J136" t="s">
        <v>235</v>
      </c>
      <c r="K136" s="7">
        <v>56055</v>
      </c>
      <c r="L136" s="7" t="s">
        <v>832</v>
      </c>
      <c r="M136" s="7">
        <v>2</v>
      </c>
      <c r="N136" s="20">
        <v>44.130220000000001</v>
      </c>
      <c r="O136" s="11">
        <v>-94.274362999999994</v>
      </c>
      <c r="P136" s="12">
        <v>2005</v>
      </c>
      <c r="Q136" s="12" t="s">
        <v>803</v>
      </c>
      <c r="R136" s="12">
        <f t="shared" si="24"/>
        <v>34</v>
      </c>
      <c r="S136" s="12" t="s">
        <v>389</v>
      </c>
      <c r="U136" s="7" t="s">
        <v>343</v>
      </c>
      <c r="AB136" s="13" t="s">
        <v>390</v>
      </c>
      <c r="AC136" s="13" t="s">
        <v>391</v>
      </c>
      <c r="AD136" s="13" t="s">
        <v>378</v>
      </c>
      <c r="AE136" s="8" t="str">
        <f t="shared" si="25"/>
        <v>High</v>
      </c>
      <c r="AF136" s="14"/>
      <c r="AG136" s="14"/>
      <c r="AH136" s="14"/>
      <c r="AI136" s="14"/>
      <c r="AJ136" s="15">
        <f>VLOOKUP(E136,'[1]Ethanol Plant Listing 2025'!$B$3:$E$220,4,FALSE)</f>
        <v>68</v>
      </c>
      <c r="AK136" s="14">
        <f>+AJ136*[1]Yield!$K$4</f>
        <v>64.599999999999994</v>
      </c>
      <c r="AL136" s="14">
        <f>AK136/VLOOKUP(Q136,[1]Yield!$E$5:$F$14,2,FALSE)</f>
        <v>21.677852348993287</v>
      </c>
      <c r="AM136" s="14"/>
      <c r="AN136" s="14"/>
      <c r="AO136" s="16">
        <f t="shared" si="26"/>
        <v>142000</v>
      </c>
      <c r="AP136" s="16" t="s">
        <v>410</v>
      </c>
      <c r="AQ136" s="17" t="str">
        <f t="shared" si="23"/>
        <v>POET Biorefining</v>
      </c>
      <c r="AR136" s="18">
        <f>VLOOKUP(AQ136,[1]Yield!$A$5:$B$10,2,FALSE)</f>
        <v>1</v>
      </c>
      <c r="AS136" s="14">
        <f t="shared" si="27"/>
        <v>21.677852348993287</v>
      </c>
      <c r="AT136" s="8" t="s">
        <v>394</v>
      </c>
      <c r="AU136" s="8"/>
      <c r="AV136" s="8"/>
      <c r="AW136" s="13"/>
      <c r="AX136" s="8" t="str">
        <f>IFERROR(VLOOKUP(E136,[1]Sheet3!$C$2:$E$68,2,FALSE),"None")</f>
        <v>None</v>
      </c>
      <c r="AY136" s="8">
        <f>IFERROR(VLOOKUP(AX136,[1]Sheet3!$H$3:$I$5,2,FALSE),0)</f>
        <v>0</v>
      </c>
      <c r="AZ136" s="14">
        <f t="shared" si="28"/>
        <v>68</v>
      </c>
      <c r="BA136" s="14">
        <f t="shared" si="29"/>
        <v>111.79199999999999</v>
      </c>
      <c r="BB136" s="27"/>
      <c r="BC136" s="7"/>
      <c r="BD136" s="19" t="s">
        <v>804</v>
      </c>
      <c r="BE136" s="7" t="s">
        <v>428</v>
      </c>
      <c r="BF136" s="7" t="s">
        <v>398</v>
      </c>
      <c r="BK136" s="7">
        <f t="shared" si="30"/>
        <v>20</v>
      </c>
    </row>
    <row r="137" spans="1:64" ht="15.6" customHeight="1" x14ac:dyDescent="0.3">
      <c r="A137" s="7">
        <v>135</v>
      </c>
      <c r="B137" s="8">
        <v>5728</v>
      </c>
      <c r="C137" s="8">
        <v>70265</v>
      </c>
      <c r="D137" s="8">
        <v>3249</v>
      </c>
      <c r="E137" s="8">
        <v>3683</v>
      </c>
      <c r="F137" s="8" t="str">
        <f t="shared" si="31"/>
        <v>Active</v>
      </c>
      <c r="G137" s="9" t="s">
        <v>163</v>
      </c>
      <c r="H137" s="9" t="str">
        <f>VLOOKUP(E137,'[1]EPA Ethanol Capacity 2024'!$B$5:$C$235,2,FALSE)</f>
        <v>Poet Biorefining-Leipsic LLC</v>
      </c>
      <c r="I137" s="8" t="s">
        <v>678</v>
      </c>
      <c r="J137" t="s">
        <v>238</v>
      </c>
      <c r="K137" s="7">
        <v>45856</v>
      </c>
      <c r="L137" s="7" t="s">
        <v>738</v>
      </c>
      <c r="M137" s="7">
        <v>2</v>
      </c>
      <c r="N137" s="20">
        <v>41.119593999999999</v>
      </c>
      <c r="O137" s="11">
        <v>-83.971018000000001</v>
      </c>
      <c r="P137" s="12">
        <v>2007</v>
      </c>
      <c r="Q137" s="12" t="s">
        <v>803</v>
      </c>
      <c r="R137" s="12">
        <f t="shared" si="24"/>
        <v>34</v>
      </c>
      <c r="S137" s="12" t="s">
        <v>389</v>
      </c>
      <c r="U137" s="7" t="s">
        <v>343</v>
      </c>
      <c r="AB137" s="13" t="s">
        <v>390</v>
      </c>
      <c r="AC137" s="13" t="s">
        <v>391</v>
      </c>
      <c r="AD137" s="13" t="s">
        <v>378</v>
      </c>
      <c r="AE137" s="8" t="str">
        <f t="shared" si="25"/>
        <v>High</v>
      </c>
      <c r="AF137" s="14"/>
      <c r="AG137" s="14"/>
      <c r="AH137" s="14"/>
      <c r="AI137" s="14"/>
      <c r="AJ137" s="15">
        <f>VLOOKUP(E137,'[1]Ethanol Plant Listing 2025'!$B$3:$E$220,4,FALSE)</f>
        <v>90</v>
      </c>
      <c r="AK137" s="14">
        <f>+AJ137*[1]Yield!$K$4</f>
        <v>85.5</v>
      </c>
      <c r="AL137" s="14">
        <f>AK137/VLOOKUP(Q137,[1]Yield!$E$5:$F$14,2,FALSE)</f>
        <v>28.691275167785236</v>
      </c>
      <c r="AM137" s="14"/>
      <c r="AN137" s="14"/>
      <c r="AO137" s="16">
        <f t="shared" si="26"/>
        <v>188000</v>
      </c>
      <c r="AP137" s="16" t="s">
        <v>410</v>
      </c>
      <c r="AQ137" s="17" t="str">
        <f t="shared" si="23"/>
        <v>POET Biorefining</v>
      </c>
      <c r="AR137" s="18">
        <f>VLOOKUP(AQ137,[1]Yield!$A$5:$B$10,2,FALSE)</f>
        <v>1</v>
      </c>
      <c r="AS137" s="14">
        <f t="shared" si="27"/>
        <v>28.691275167785236</v>
      </c>
      <c r="AT137" s="8" t="s">
        <v>394</v>
      </c>
      <c r="AX137" s="8" t="str">
        <f>IFERROR(VLOOKUP(E137,[1]Sheet3!$C$2:$E$68,2,FALSE),"None")</f>
        <v>None</v>
      </c>
      <c r="AY137" s="8">
        <f>IFERROR(VLOOKUP(AX137,[1]Sheet3!$H$3:$I$5,2,FALSE),0)</f>
        <v>0</v>
      </c>
      <c r="AZ137" s="14">
        <f t="shared" si="28"/>
        <v>90</v>
      </c>
      <c r="BA137" s="14">
        <f t="shared" si="29"/>
        <v>147.96</v>
      </c>
      <c r="BB137" s="27"/>
      <c r="BC137" s="7"/>
      <c r="BD137" s="19" t="s">
        <v>804</v>
      </c>
      <c r="BE137" s="7" t="s">
        <v>833</v>
      </c>
      <c r="BF137" s="7" t="s">
        <v>398</v>
      </c>
      <c r="BK137" s="7">
        <f t="shared" si="30"/>
        <v>20</v>
      </c>
    </row>
    <row r="138" spans="1:64" ht="15.6" customHeight="1" x14ac:dyDescent="0.3">
      <c r="A138" s="7">
        <v>136</v>
      </c>
      <c r="B138" s="8"/>
      <c r="C138" s="8">
        <v>70017</v>
      </c>
      <c r="D138" s="8">
        <v>3250</v>
      </c>
      <c r="E138" s="8">
        <v>3684</v>
      </c>
      <c r="F138" s="8" t="str">
        <f t="shared" si="31"/>
        <v>Active</v>
      </c>
      <c r="G138" s="9" t="s">
        <v>163</v>
      </c>
      <c r="H138" s="9" t="str">
        <f>VLOOKUP(E138,'[1]EPA Ethanol Capacity 2024'!$B$5:$C$235,2,FALSE)</f>
        <v>Poet Biorefining-Macon LLC</v>
      </c>
      <c r="I138" s="8" t="s">
        <v>697</v>
      </c>
      <c r="J138" t="s">
        <v>241</v>
      </c>
      <c r="K138" s="7">
        <v>63552</v>
      </c>
      <c r="L138" s="7" t="s">
        <v>241</v>
      </c>
      <c r="M138" s="7">
        <v>2</v>
      </c>
      <c r="N138" s="20">
        <v>39.748100000000001</v>
      </c>
      <c r="O138" s="11">
        <v>-92.385099999999994</v>
      </c>
      <c r="P138" s="12">
        <v>2000</v>
      </c>
      <c r="Q138" s="12" t="s">
        <v>803</v>
      </c>
      <c r="R138" s="12">
        <f t="shared" si="24"/>
        <v>34</v>
      </c>
      <c r="S138" s="12"/>
      <c r="U138" s="7" t="s">
        <v>343</v>
      </c>
      <c r="AB138" s="13" t="s">
        <v>390</v>
      </c>
      <c r="AC138" s="13" t="s">
        <v>391</v>
      </c>
      <c r="AD138" s="13" t="s">
        <v>378</v>
      </c>
      <c r="AE138" s="8" t="str">
        <f t="shared" si="25"/>
        <v>High</v>
      </c>
      <c r="AF138" s="14"/>
      <c r="AG138" s="14"/>
      <c r="AH138" s="14"/>
      <c r="AI138" s="14"/>
      <c r="AJ138" s="15">
        <f>VLOOKUP(E138,'[1]Ethanol Plant Listing 2025'!$B$3:$E$220,4,FALSE)</f>
        <v>55</v>
      </c>
      <c r="AK138" s="14">
        <f>+AJ138*[1]Yield!$K$4</f>
        <v>52.25</v>
      </c>
      <c r="AL138" s="14">
        <f>AK138/VLOOKUP(Q138,[1]Yield!$E$5:$F$14,2,FALSE)</f>
        <v>17.533557046979865</v>
      </c>
      <c r="AM138" s="14"/>
      <c r="AN138" s="14"/>
      <c r="AO138" s="16">
        <f t="shared" si="26"/>
        <v>115000</v>
      </c>
      <c r="AP138" s="16" t="s">
        <v>410</v>
      </c>
      <c r="AQ138" s="17" t="str">
        <f t="shared" si="23"/>
        <v>POET Biorefining</v>
      </c>
      <c r="AR138" s="18">
        <f>VLOOKUP(AQ138,[1]Yield!$A$5:$B$10,2,FALSE)</f>
        <v>1</v>
      </c>
      <c r="AS138" s="14">
        <f t="shared" si="27"/>
        <v>17.533557046979865</v>
      </c>
      <c r="AT138" s="8" t="s">
        <v>411</v>
      </c>
      <c r="AX138" s="8" t="str">
        <f>IFERROR(VLOOKUP(E138,[1]Sheet3!$C$2:$E$68,2,FALSE),"None")</f>
        <v>None</v>
      </c>
      <c r="AY138" s="8">
        <f>IFERROR(VLOOKUP(AX138,[1]Sheet3!$H$3:$I$5,2,FALSE),0)</f>
        <v>0</v>
      </c>
      <c r="AZ138" s="14">
        <f t="shared" si="28"/>
        <v>55</v>
      </c>
      <c r="BA138" s="14">
        <f t="shared" si="29"/>
        <v>90.42</v>
      </c>
      <c r="BB138" s="27"/>
      <c r="BC138" s="7"/>
      <c r="BD138" s="19" t="s">
        <v>804</v>
      </c>
      <c r="BE138" s="7" t="s">
        <v>481</v>
      </c>
      <c r="BF138" s="7" t="s">
        <v>414</v>
      </c>
      <c r="BK138" s="7">
        <f t="shared" si="30"/>
        <v>20</v>
      </c>
    </row>
    <row r="139" spans="1:64" ht="15.6" customHeight="1" x14ac:dyDescent="0.3">
      <c r="A139" s="7">
        <v>137</v>
      </c>
      <c r="B139" s="8"/>
      <c r="C139" s="8">
        <v>70327</v>
      </c>
      <c r="D139" s="8">
        <v>3251</v>
      </c>
      <c r="E139" s="8">
        <v>3685</v>
      </c>
      <c r="F139" s="8" t="str">
        <f t="shared" si="31"/>
        <v>Active</v>
      </c>
      <c r="G139" s="9" t="s">
        <v>163</v>
      </c>
      <c r="H139" s="9" t="str">
        <f>VLOOKUP(E139,'[1]EPA Ethanol Capacity 2024'!$B$5:$C$235,2,FALSE)</f>
        <v>Poet Biorefining-Marion</v>
      </c>
      <c r="I139" s="8" t="s">
        <v>678</v>
      </c>
      <c r="J139" t="s">
        <v>244</v>
      </c>
      <c r="K139" s="7">
        <v>43302</v>
      </c>
      <c r="L139" s="7" t="s">
        <v>244</v>
      </c>
      <c r="M139" s="7">
        <v>2</v>
      </c>
      <c r="N139" s="20">
        <v>40.618549999999999</v>
      </c>
      <c r="O139" s="11">
        <v>-83.159540000000007</v>
      </c>
      <c r="P139" s="12">
        <v>2008</v>
      </c>
      <c r="Q139" s="12" t="s">
        <v>803</v>
      </c>
      <c r="R139" s="12">
        <f t="shared" si="24"/>
        <v>34</v>
      </c>
      <c r="S139" s="12" t="s">
        <v>389</v>
      </c>
      <c r="U139" s="7" t="s">
        <v>343</v>
      </c>
      <c r="AB139" s="13" t="s">
        <v>390</v>
      </c>
      <c r="AC139" s="13" t="s">
        <v>391</v>
      </c>
      <c r="AD139" s="13" t="s">
        <v>378</v>
      </c>
      <c r="AE139" s="8" t="str">
        <f t="shared" si="25"/>
        <v>High</v>
      </c>
      <c r="AF139" s="14"/>
      <c r="AG139" s="14"/>
      <c r="AH139" s="14"/>
      <c r="AI139" s="14"/>
      <c r="AJ139" s="15">
        <f>VLOOKUP(E139,'[1]Ethanol Plant Listing 2025'!$B$3:$E$220,4,FALSE)</f>
        <v>162</v>
      </c>
      <c r="AK139" s="14">
        <f>+AJ139*[1]Yield!$K$4</f>
        <v>153.9</v>
      </c>
      <c r="AL139" s="14">
        <f>AK139/VLOOKUP(Q139,[1]Yield!$E$5:$F$14,2,FALSE)</f>
        <v>51.644295302013425</v>
      </c>
      <c r="AM139" s="14"/>
      <c r="AN139" s="14"/>
      <c r="AO139" s="16">
        <f t="shared" si="26"/>
        <v>338000</v>
      </c>
      <c r="AP139" s="16" t="s">
        <v>410</v>
      </c>
      <c r="AQ139" s="17" t="str">
        <f t="shared" si="23"/>
        <v>POET Biorefining</v>
      </c>
      <c r="AR139" s="18">
        <f>VLOOKUP(AQ139,[1]Yield!$A$5:$B$10,2,FALSE)</f>
        <v>1</v>
      </c>
      <c r="AS139" s="14">
        <f t="shared" si="27"/>
        <v>51.644295302013425</v>
      </c>
      <c r="AT139" s="8" t="s">
        <v>394</v>
      </c>
      <c r="AX139" s="8" t="str">
        <f>IFERROR(VLOOKUP(E139,[1]Sheet3!$C$2:$E$68,2,FALSE),"None")</f>
        <v>None</v>
      </c>
      <c r="AY139" s="8">
        <f>IFERROR(VLOOKUP(AX139,[1]Sheet3!$H$3:$I$5,2,FALSE),0)</f>
        <v>0</v>
      </c>
      <c r="AZ139" s="14">
        <f t="shared" si="28"/>
        <v>162</v>
      </c>
      <c r="BA139" s="14">
        <f t="shared" si="29"/>
        <v>266.32799999999997</v>
      </c>
      <c r="BB139" s="27"/>
      <c r="BC139" s="7"/>
      <c r="BD139" s="19" t="s">
        <v>804</v>
      </c>
      <c r="BE139" s="7" t="s">
        <v>531</v>
      </c>
      <c r="BF139" s="7" t="s">
        <v>398</v>
      </c>
      <c r="BK139" s="7">
        <f t="shared" si="30"/>
        <v>20</v>
      </c>
      <c r="BL139" s="30" t="s">
        <v>834</v>
      </c>
    </row>
    <row r="140" spans="1:64" ht="15.6" customHeight="1" x14ac:dyDescent="0.3">
      <c r="A140" s="7">
        <v>138</v>
      </c>
      <c r="B140" s="8"/>
      <c r="C140" s="8">
        <v>71685</v>
      </c>
      <c r="D140" s="8">
        <v>3252</v>
      </c>
      <c r="E140" s="8">
        <v>3686</v>
      </c>
      <c r="F140" s="8" t="str">
        <f t="shared" si="31"/>
        <v>Active</v>
      </c>
      <c r="G140" s="9" t="s">
        <v>163</v>
      </c>
      <c r="H140" s="9" t="str">
        <f>VLOOKUP(E140,'[1]EPA Ethanol Capacity 2024'!$B$5:$C$235,2,FALSE)</f>
        <v>Poet Biorefinning-Menlo</v>
      </c>
      <c r="I140" s="8" t="s">
        <v>387</v>
      </c>
      <c r="J140" t="s">
        <v>247</v>
      </c>
      <c r="K140" s="7">
        <v>50164</v>
      </c>
      <c r="L140" s="7" t="s">
        <v>835</v>
      </c>
      <c r="M140" s="7">
        <v>2</v>
      </c>
      <c r="N140" s="20">
        <v>41.523600000000002</v>
      </c>
      <c r="O140" s="11">
        <v>-94.381900000000002</v>
      </c>
      <c r="P140" s="12">
        <v>2008</v>
      </c>
      <c r="Q140" s="12" t="s">
        <v>388</v>
      </c>
      <c r="R140" s="12">
        <f t="shared" si="24"/>
        <v>34</v>
      </c>
      <c r="S140" s="12"/>
      <c r="AB140" s="13" t="s">
        <v>390</v>
      </c>
      <c r="AC140" s="13" t="s">
        <v>391</v>
      </c>
      <c r="AD140" s="13" t="s">
        <v>378</v>
      </c>
      <c r="AE140" s="8" t="str">
        <f t="shared" si="25"/>
        <v>High</v>
      </c>
      <c r="AF140" s="14">
        <v>140</v>
      </c>
      <c r="AG140" s="14">
        <v>132</v>
      </c>
      <c r="AH140" s="14" t="s">
        <v>836</v>
      </c>
      <c r="AI140" s="14"/>
      <c r="AJ140" s="15">
        <f>VLOOKUP(E140,'[1]Ethanol Plant Listing 2025'!$B$3:$E$220,4,FALSE)</f>
        <v>132</v>
      </c>
      <c r="AK140" s="14">
        <f>+AJ140*[1]Yield!$K$4</f>
        <v>125.39999999999999</v>
      </c>
      <c r="AL140" s="14">
        <f>AK140/VLOOKUP(Q140,[1]Yield!$E$5:$F$14,2,FALSE)</f>
        <v>42.508474576271183</v>
      </c>
      <c r="AM140" s="14"/>
      <c r="AN140" s="14"/>
      <c r="AO140" s="16">
        <f t="shared" si="26"/>
        <v>278000</v>
      </c>
      <c r="AP140" s="16" t="s">
        <v>393</v>
      </c>
      <c r="AQ140" s="17" t="str">
        <f t="shared" si="23"/>
        <v>POET Biorefining</v>
      </c>
      <c r="AR140" s="18">
        <f>VLOOKUP(AQ140,[1]Yield!$A$5:$B$10,2,FALSE)</f>
        <v>1</v>
      </c>
      <c r="AS140" s="14">
        <f t="shared" si="27"/>
        <v>42.508474576271183</v>
      </c>
      <c r="AT140" s="8" t="s">
        <v>437</v>
      </c>
      <c r="AU140" s="8"/>
      <c r="AV140" s="8"/>
      <c r="AW140" s="13"/>
      <c r="AX140" s="8" t="s">
        <v>807</v>
      </c>
      <c r="AY140" s="8">
        <f>IFERROR(VLOOKUP(AX140,[1]Sheet3!$H$3:$I$5,2,FALSE),0)</f>
        <v>0</v>
      </c>
      <c r="AZ140" s="14">
        <f t="shared" si="28"/>
        <v>132</v>
      </c>
      <c r="BA140" s="14">
        <f t="shared" si="29"/>
        <v>217.00799999999998</v>
      </c>
      <c r="BB140" s="12">
        <f>SUMIFS('[1]Corn 2023'!V:V,'[1]Corn 2023'!B:B,"=2023",'[1]Corn 2023'!L:L,"="&amp;'Corn Processors'!L139)</f>
        <v>75300</v>
      </c>
      <c r="BC140" s="7"/>
      <c r="BD140" s="19" t="s">
        <v>804</v>
      </c>
      <c r="BE140" s="7" t="s">
        <v>560</v>
      </c>
      <c r="BF140" s="7" t="s">
        <v>398</v>
      </c>
      <c r="BK140" s="7">
        <f t="shared" si="30"/>
        <v>25</v>
      </c>
      <c r="BL140" s="9" t="s">
        <v>808</v>
      </c>
    </row>
    <row r="141" spans="1:64" ht="15.6" customHeight="1" x14ac:dyDescent="0.3">
      <c r="A141" s="7">
        <v>139</v>
      </c>
      <c r="B141" s="8">
        <v>4789</v>
      </c>
      <c r="C141" s="8">
        <v>70016</v>
      </c>
      <c r="D141" s="8">
        <v>3253</v>
      </c>
      <c r="E141" s="8">
        <v>3687</v>
      </c>
      <c r="F141" s="8" t="str">
        <f t="shared" si="31"/>
        <v>Active</v>
      </c>
      <c r="G141" s="9" t="s">
        <v>163</v>
      </c>
      <c r="H141" s="9" t="str">
        <f>VLOOKUP(E141,'[1]EPA Ethanol Capacity 2024'!$B$5:$C$235,2,FALSE)</f>
        <v>Poet Biorefining- Mitchell LLC</v>
      </c>
      <c r="I141" s="8" t="s">
        <v>582</v>
      </c>
      <c r="J141" t="s">
        <v>250</v>
      </c>
      <c r="K141" s="7">
        <v>57301</v>
      </c>
      <c r="L141" s="7" t="s">
        <v>837</v>
      </c>
      <c r="M141" s="7">
        <v>2</v>
      </c>
      <c r="N141" s="20">
        <v>43.803420000000003</v>
      </c>
      <c r="O141" s="11">
        <v>-98.104910000000004</v>
      </c>
      <c r="P141" s="12">
        <v>2006</v>
      </c>
      <c r="Q141" s="12" t="s">
        <v>803</v>
      </c>
      <c r="R141" s="12">
        <f t="shared" si="24"/>
        <v>34</v>
      </c>
      <c r="S141" s="12"/>
      <c r="AB141" s="13" t="s">
        <v>390</v>
      </c>
      <c r="AC141" s="13" t="s">
        <v>391</v>
      </c>
      <c r="AD141" s="13" t="s">
        <v>378</v>
      </c>
      <c r="AE141" s="8" t="str">
        <f t="shared" si="25"/>
        <v>High</v>
      </c>
      <c r="AF141" s="14"/>
      <c r="AG141" s="14"/>
      <c r="AH141" s="14"/>
      <c r="AI141" s="14"/>
      <c r="AJ141" s="15">
        <f>VLOOKUP(E141,'[1]Ethanol Plant Listing 2025'!$B$3:$E$220,4,FALSE)</f>
        <v>86</v>
      </c>
      <c r="AK141" s="14">
        <f>+AJ141*[1]Yield!$K$4</f>
        <v>81.7</v>
      </c>
      <c r="AL141" s="14">
        <f>AK141/VLOOKUP(Q141,[1]Yield!$E$5:$F$14,2,FALSE)</f>
        <v>27.416107382550337</v>
      </c>
      <c r="AM141" s="14"/>
      <c r="AN141" s="14"/>
      <c r="AO141" s="16">
        <f t="shared" si="26"/>
        <v>180000</v>
      </c>
      <c r="AP141" s="16" t="s">
        <v>410</v>
      </c>
      <c r="AQ141" s="17" t="str">
        <f t="shared" si="23"/>
        <v>POET Biorefining</v>
      </c>
      <c r="AR141" s="18">
        <f>VLOOKUP(AQ141,[1]Yield!$A$5:$B$10,2,FALSE)</f>
        <v>1</v>
      </c>
      <c r="AS141" s="14">
        <f t="shared" si="27"/>
        <v>27.416107382550337</v>
      </c>
      <c r="AT141" s="8" t="s">
        <v>437</v>
      </c>
      <c r="AU141" s="8"/>
      <c r="AV141" s="8"/>
      <c r="AW141" s="13"/>
      <c r="AX141" s="8" t="s">
        <v>807</v>
      </c>
      <c r="AY141" s="8">
        <f>IFERROR(VLOOKUP(AX141,[1]Sheet3!$H$3:$I$5,2,FALSE),0)</f>
        <v>0</v>
      </c>
      <c r="AZ141" s="14">
        <f t="shared" si="28"/>
        <v>86</v>
      </c>
      <c r="BA141" s="14">
        <f t="shared" si="29"/>
        <v>141.38399999999999</v>
      </c>
      <c r="BB141" s="27"/>
      <c r="BC141" s="7"/>
      <c r="BD141" s="19" t="s">
        <v>804</v>
      </c>
      <c r="BE141" s="7" t="s">
        <v>481</v>
      </c>
      <c r="BF141" s="7" t="s">
        <v>398</v>
      </c>
      <c r="BK141" s="7">
        <f t="shared" si="30"/>
        <v>20</v>
      </c>
    </row>
    <row r="142" spans="1:64" ht="15.6" customHeight="1" x14ac:dyDescent="0.3">
      <c r="A142" s="7">
        <v>140</v>
      </c>
      <c r="B142" s="8">
        <v>7513</v>
      </c>
      <c r="C142" s="8">
        <v>70322</v>
      </c>
      <c r="D142" s="8">
        <v>3254</v>
      </c>
      <c r="E142" s="8">
        <v>3688</v>
      </c>
      <c r="F142" s="8" t="str">
        <f t="shared" si="31"/>
        <v>Active</v>
      </c>
      <c r="G142" s="9" t="s">
        <v>163</v>
      </c>
      <c r="H142" s="9" t="str">
        <f>VLOOKUP(E142,'[1]EPA Ethanol Capacity 2024'!$B$5:$C$235,2,FALSE)</f>
        <v>Poet Biorefining-North Manchester</v>
      </c>
      <c r="I142" s="8" t="s">
        <v>533</v>
      </c>
      <c r="J142" t="s">
        <v>253</v>
      </c>
      <c r="K142" s="7">
        <v>46962</v>
      </c>
      <c r="L142" s="7" t="s">
        <v>838</v>
      </c>
      <c r="M142" s="7">
        <v>2</v>
      </c>
      <c r="N142" s="20">
        <v>40.946100000000001</v>
      </c>
      <c r="O142" s="11">
        <v>-85.7834</v>
      </c>
      <c r="P142" s="12">
        <v>2008</v>
      </c>
      <c r="Q142" s="12" t="s">
        <v>803</v>
      </c>
      <c r="R142" s="12">
        <f t="shared" si="24"/>
        <v>34</v>
      </c>
      <c r="S142" s="12" t="s">
        <v>389</v>
      </c>
      <c r="U142" s="7" t="s">
        <v>343</v>
      </c>
      <c r="AB142" s="13" t="s">
        <v>390</v>
      </c>
      <c r="AC142" s="13" t="s">
        <v>391</v>
      </c>
      <c r="AD142" s="13" t="s">
        <v>378</v>
      </c>
      <c r="AE142" s="8" t="str">
        <f t="shared" si="25"/>
        <v>High</v>
      </c>
      <c r="AF142" s="14"/>
      <c r="AG142" s="14"/>
      <c r="AH142" s="14"/>
      <c r="AI142" s="14"/>
      <c r="AJ142" s="15">
        <f>VLOOKUP(E142,'[1]Ethanol Plant Listing 2025'!$B$3:$E$220,4,FALSE)</f>
        <v>88</v>
      </c>
      <c r="AK142" s="14">
        <f>+AJ142*[1]Yield!$K$4</f>
        <v>83.6</v>
      </c>
      <c r="AL142" s="14">
        <f>AK142/VLOOKUP(Q142,[1]Yield!$E$5:$F$14,2,FALSE)</f>
        <v>28.053691275167782</v>
      </c>
      <c r="AM142" s="14"/>
      <c r="AN142" s="14"/>
      <c r="AO142" s="16">
        <f t="shared" si="26"/>
        <v>184000</v>
      </c>
      <c r="AP142" s="16" t="s">
        <v>410</v>
      </c>
      <c r="AQ142" s="17" t="str">
        <f t="shared" si="23"/>
        <v>POET Biorefining</v>
      </c>
      <c r="AR142" s="18">
        <f>VLOOKUP(AQ142,[1]Yield!$A$5:$B$10,2,FALSE)</f>
        <v>1</v>
      </c>
      <c r="AS142" s="14">
        <f t="shared" si="27"/>
        <v>28.053691275167782</v>
      </c>
      <c r="AT142" s="8" t="s">
        <v>394</v>
      </c>
      <c r="AX142" s="8" t="str">
        <f>IFERROR(VLOOKUP(E142,[1]Sheet3!$C$2:$E$68,2,FALSE),"None")</f>
        <v>None</v>
      </c>
      <c r="AY142" s="8">
        <f>IFERROR(VLOOKUP(AX142,[1]Sheet3!$H$3:$I$5,2,FALSE),0)</f>
        <v>0</v>
      </c>
      <c r="AZ142" s="14">
        <f t="shared" si="28"/>
        <v>88</v>
      </c>
      <c r="BA142" s="14">
        <f t="shared" si="29"/>
        <v>144.672</v>
      </c>
      <c r="BB142" s="27"/>
      <c r="BC142" s="7"/>
      <c r="BD142" s="19" t="s">
        <v>804</v>
      </c>
      <c r="BE142" s="7" t="s">
        <v>567</v>
      </c>
      <c r="BF142" s="7" t="s">
        <v>398</v>
      </c>
      <c r="BK142" s="7">
        <f t="shared" si="30"/>
        <v>20</v>
      </c>
    </row>
    <row r="143" spans="1:64" ht="15.6" customHeight="1" x14ac:dyDescent="0.3">
      <c r="A143" s="7">
        <v>141</v>
      </c>
      <c r="B143" s="8">
        <v>4064</v>
      </c>
      <c r="C143" s="8">
        <v>70108</v>
      </c>
      <c r="D143" s="8">
        <v>3255</v>
      </c>
      <c r="E143" s="8">
        <v>3689</v>
      </c>
      <c r="F143" s="8" t="str">
        <f t="shared" si="31"/>
        <v>Active</v>
      </c>
      <c r="G143" s="9" t="s">
        <v>163</v>
      </c>
      <c r="H143" s="9" t="str">
        <f>VLOOKUP(E143,'[1]EPA Ethanol Capacity 2024'!$B$5:$C$235,2,FALSE)</f>
        <v>Poet Biorefining-Portland LLC</v>
      </c>
      <c r="I143" s="8" t="s">
        <v>533</v>
      </c>
      <c r="J143" t="s">
        <v>256</v>
      </c>
      <c r="K143" s="7">
        <v>47371</v>
      </c>
      <c r="L143" s="7" t="s">
        <v>839</v>
      </c>
      <c r="M143" s="7">
        <v>2</v>
      </c>
      <c r="N143" s="20">
        <v>40.413930000000001</v>
      </c>
      <c r="O143" s="11">
        <v>-85.019260000000003</v>
      </c>
      <c r="P143" s="12">
        <v>2007</v>
      </c>
      <c r="Q143" s="12" t="s">
        <v>803</v>
      </c>
      <c r="R143" s="12">
        <f t="shared" si="24"/>
        <v>34</v>
      </c>
      <c r="S143" s="12" t="s">
        <v>389</v>
      </c>
      <c r="U143" s="7" t="s">
        <v>343</v>
      </c>
      <c r="AB143" s="13" t="s">
        <v>390</v>
      </c>
      <c r="AC143" s="13" t="s">
        <v>391</v>
      </c>
      <c r="AD143" s="13" t="s">
        <v>378</v>
      </c>
      <c r="AE143" s="8" t="str">
        <f t="shared" si="25"/>
        <v>High</v>
      </c>
      <c r="AF143" s="14"/>
      <c r="AG143" s="14"/>
      <c r="AH143" s="14"/>
      <c r="AI143" s="14"/>
      <c r="AJ143" s="15">
        <f>VLOOKUP(E143,'[1]Ethanol Plant Listing 2025'!$B$3:$E$220,4,FALSE)</f>
        <v>90</v>
      </c>
      <c r="AK143" s="14">
        <f>+AJ143*[1]Yield!$K$4</f>
        <v>85.5</v>
      </c>
      <c r="AL143" s="14">
        <f>AK143/VLOOKUP(Q143,[1]Yield!$E$5:$F$14,2,FALSE)</f>
        <v>28.691275167785236</v>
      </c>
      <c r="AM143" s="14"/>
      <c r="AN143" s="14"/>
      <c r="AO143" s="16">
        <f t="shared" si="26"/>
        <v>188000</v>
      </c>
      <c r="AP143" s="16" t="s">
        <v>410</v>
      </c>
      <c r="AQ143" s="17" t="str">
        <f t="shared" si="23"/>
        <v>POET Biorefining</v>
      </c>
      <c r="AR143" s="18">
        <f>VLOOKUP(AQ143,[1]Yield!$A$5:$B$10,2,FALSE)</f>
        <v>1</v>
      </c>
      <c r="AS143" s="14">
        <f t="shared" si="27"/>
        <v>28.691275167785236</v>
      </c>
      <c r="AT143" s="8" t="s">
        <v>394</v>
      </c>
      <c r="AX143" s="8" t="str">
        <f>IFERROR(VLOOKUP(E143,[1]Sheet3!$C$2:$E$68,2,FALSE),"None")</f>
        <v>None</v>
      </c>
      <c r="AY143" s="8">
        <f>IFERROR(VLOOKUP(AX143,[1]Sheet3!$H$3:$I$5,2,FALSE),0)</f>
        <v>0</v>
      </c>
      <c r="AZ143" s="14">
        <f t="shared" si="28"/>
        <v>90</v>
      </c>
      <c r="BA143" s="14">
        <f t="shared" si="29"/>
        <v>147.96</v>
      </c>
      <c r="BB143" s="27"/>
      <c r="BC143" s="7"/>
      <c r="BD143" s="19" t="s">
        <v>804</v>
      </c>
      <c r="BE143" s="7" t="s">
        <v>567</v>
      </c>
      <c r="BF143" s="7" t="s">
        <v>398</v>
      </c>
      <c r="BK143" s="7">
        <f t="shared" si="30"/>
        <v>20</v>
      </c>
    </row>
    <row r="144" spans="1:64" ht="15.6" customHeight="1" x14ac:dyDescent="0.3">
      <c r="A144" s="7">
        <v>142</v>
      </c>
      <c r="B144" s="8">
        <v>4790</v>
      </c>
      <c r="C144" s="8">
        <v>70056</v>
      </c>
      <c r="D144" s="8">
        <v>3256</v>
      </c>
      <c r="E144" s="8">
        <v>3690</v>
      </c>
      <c r="F144" s="8" t="str">
        <f t="shared" si="31"/>
        <v>Active</v>
      </c>
      <c r="G144" s="9" t="s">
        <v>163</v>
      </c>
      <c r="H144" s="9" t="str">
        <f>VLOOKUP(E144,'[1]EPA Ethanol Capacity 2024'!$B$5:$C$235,2,FALSE)</f>
        <v>Poet Biorefining--Preston LLC</v>
      </c>
      <c r="I144" s="8" t="s">
        <v>429</v>
      </c>
      <c r="J144" t="s">
        <v>259</v>
      </c>
      <c r="K144" s="7">
        <v>55965</v>
      </c>
      <c r="L144" s="7" t="s">
        <v>821</v>
      </c>
      <c r="M144" s="7">
        <v>2</v>
      </c>
      <c r="N144" s="20">
        <v>43.686100000000003</v>
      </c>
      <c r="O144" s="11">
        <v>-92.091700000000003</v>
      </c>
      <c r="P144" s="12">
        <v>1998</v>
      </c>
      <c r="Q144" s="12" t="s">
        <v>388</v>
      </c>
      <c r="R144" s="12">
        <f t="shared" si="24"/>
        <v>34</v>
      </c>
      <c r="S144" s="12" t="s">
        <v>389</v>
      </c>
      <c r="AB144" s="13" t="s">
        <v>390</v>
      </c>
      <c r="AC144" s="13" t="s">
        <v>426</v>
      </c>
      <c r="AD144" s="13" t="s">
        <v>378</v>
      </c>
      <c r="AE144" s="8" t="str">
        <f t="shared" si="25"/>
        <v>High</v>
      </c>
      <c r="AF144" s="14"/>
      <c r="AG144" s="14"/>
      <c r="AH144" s="14"/>
      <c r="AI144" s="14"/>
      <c r="AJ144" s="15">
        <f>VLOOKUP(E144,'[1]Ethanol Plant Listing 2025'!$B$3:$E$220,4,FALSE)</f>
        <v>55</v>
      </c>
      <c r="AK144" s="14">
        <f>+AJ144*[1]Yield!$K$4</f>
        <v>52.25</v>
      </c>
      <c r="AL144" s="14">
        <f>AK144/VLOOKUP(Q144,[1]Yield!$E$5:$F$14,2,FALSE)</f>
        <v>17.711864406779661</v>
      </c>
      <c r="AM144" s="14"/>
      <c r="AN144" s="14"/>
      <c r="AO144" s="16">
        <f t="shared" si="26"/>
        <v>116000</v>
      </c>
      <c r="AP144" s="16" t="s">
        <v>393</v>
      </c>
      <c r="AQ144" s="17" t="str">
        <f t="shared" si="23"/>
        <v>POET Biorefining</v>
      </c>
      <c r="AR144" s="18">
        <f>VLOOKUP(AQ144,[1]Yield!$A$5:$B$10,2,FALSE)</f>
        <v>1</v>
      </c>
      <c r="AS144" s="14">
        <f t="shared" si="27"/>
        <v>17.711864406779661</v>
      </c>
      <c r="AT144" s="8" t="s">
        <v>411</v>
      </c>
      <c r="AX144" s="8" t="str">
        <f>IFERROR(VLOOKUP(E144,[1]Sheet3!$C$2:$E$68,2,FALSE),"None")</f>
        <v>None</v>
      </c>
      <c r="AY144" s="8">
        <f>IFERROR(VLOOKUP(AX144,[1]Sheet3!$H$3:$I$5,2,FALSE),0)</f>
        <v>0</v>
      </c>
      <c r="AZ144" s="14">
        <f t="shared" si="28"/>
        <v>55</v>
      </c>
      <c r="BA144" s="14">
        <f t="shared" si="29"/>
        <v>90.42</v>
      </c>
      <c r="BB144" s="27"/>
      <c r="BC144" s="7"/>
      <c r="BD144" s="19" t="s">
        <v>804</v>
      </c>
      <c r="BE144" s="26" t="s">
        <v>593</v>
      </c>
      <c r="BF144" s="7" t="s">
        <v>414</v>
      </c>
      <c r="BG144" s="7" t="s">
        <v>398</v>
      </c>
      <c r="BK144" s="7">
        <f t="shared" si="30"/>
        <v>25</v>
      </c>
    </row>
    <row r="145" spans="1:64" ht="15.6" customHeight="1" x14ac:dyDescent="0.3">
      <c r="A145" s="7">
        <v>145</v>
      </c>
      <c r="B145" s="8"/>
      <c r="C145" s="8"/>
      <c r="D145" s="8">
        <v>2576</v>
      </c>
      <c r="E145" s="8">
        <v>3693</v>
      </c>
      <c r="F145" s="8" t="str">
        <f t="shared" si="31"/>
        <v>Active</v>
      </c>
      <c r="G145" s="9" t="s">
        <v>163</v>
      </c>
      <c r="H145" s="9" t="str">
        <f>VLOOKUP(E145,'[1]Ethanol Plant Listing 2025'!$B$5:$C$235,2,FALSE)</f>
        <v>Poet Research Center</v>
      </c>
      <c r="I145" s="8" t="s">
        <v>582</v>
      </c>
      <c r="J145" t="s">
        <v>840</v>
      </c>
      <c r="K145" s="7">
        <v>57059</v>
      </c>
      <c r="L145" s="7" t="s">
        <v>841</v>
      </c>
      <c r="M145" s="7">
        <v>2</v>
      </c>
      <c r="N145" s="20">
        <v>43.146799999999999</v>
      </c>
      <c r="O145" s="11">
        <v>-97.726399999999998</v>
      </c>
      <c r="P145" s="12">
        <v>1988</v>
      </c>
      <c r="Q145" s="12" t="s">
        <v>803</v>
      </c>
      <c r="R145" s="12">
        <f t="shared" si="24"/>
        <v>34</v>
      </c>
      <c r="S145" s="12"/>
      <c r="AB145" s="13" t="s">
        <v>390</v>
      </c>
      <c r="AC145" s="13" t="s">
        <v>408</v>
      </c>
      <c r="AD145" s="13" t="s">
        <v>378</v>
      </c>
      <c r="AE145" s="8" t="str">
        <f t="shared" si="25"/>
        <v>High</v>
      </c>
      <c r="AF145" s="14"/>
      <c r="AG145" s="14"/>
      <c r="AH145" s="14"/>
      <c r="AI145" s="14"/>
      <c r="AJ145" s="15">
        <f>VLOOKUP(E145,'[1]Ethanol Plant Listing 2025'!$B$3:$E$220,4,FALSE)</f>
        <v>12</v>
      </c>
      <c r="AK145" s="14">
        <f>+AJ145*[1]Yield!$K$4</f>
        <v>11.399999999999999</v>
      </c>
      <c r="AL145" s="14">
        <f>AK145/VLOOKUP(Q145,[1]Yield!$E$5:$F$14,2,FALSE)</f>
        <v>3.8255033557046976</v>
      </c>
      <c r="AM145" s="14"/>
      <c r="AN145" s="14"/>
      <c r="AO145" s="16">
        <f t="shared" si="26"/>
        <v>25000</v>
      </c>
      <c r="AP145" s="16" t="s">
        <v>410</v>
      </c>
      <c r="AQ145" s="17" t="str">
        <f t="shared" si="23"/>
        <v>POET Biorefining</v>
      </c>
      <c r="AR145" s="18">
        <f>VLOOKUP(AQ145,[1]Yield!$A$5:$B$10,2,FALSE)</f>
        <v>1</v>
      </c>
      <c r="AS145" s="14">
        <f t="shared" si="27"/>
        <v>3.8255033557046976</v>
      </c>
      <c r="AT145" s="8" t="s">
        <v>411</v>
      </c>
      <c r="AX145" s="8" t="s">
        <v>807</v>
      </c>
      <c r="AY145" s="8">
        <f>IFERROR(VLOOKUP(AX145,[1]Sheet3!$H$3:$I$5,2,FALSE),0)</f>
        <v>0</v>
      </c>
      <c r="AZ145" s="14">
        <f t="shared" si="28"/>
        <v>12</v>
      </c>
      <c r="BA145" s="14">
        <f t="shared" si="29"/>
        <v>19.727999999999998</v>
      </c>
      <c r="BB145" s="27"/>
      <c r="BC145" s="7"/>
      <c r="BD145" s="19" t="s">
        <v>804</v>
      </c>
      <c r="BE145" s="7" t="s">
        <v>481</v>
      </c>
      <c r="BF145" s="7" t="s">
        <v>414</v>
      </c>
      <c r="BG145" s="7" t="s">
        <v>398</v>
      </c>
      <c r="BK145" s="7">
        <f t="shared" si="30"/>
        <v>20</v>
      </c>
    </row>
    <row r="146" spans="1:64" ht="15.6" customHeight="1" x14ac:dyDescent="0.3">
      <c r="A146" s="7">
        <v>143</v>
      </c>
      <c r="B146" s="8">
        <v>8841</v>
      </c>
      <c r="C146" s="8">
        <v>20621</v>
      </c>
      <c r="D146" s="8">
        <v>3257</v>
      </c>
      <c r="E146" s="8">
        <v>3691</v>
      </c>
      <c r="F146" s="8" t="str">
        <f t="shared" si="31"/>
        <v>Active</v>
      </c>
      <c r="G146" s="9" t="s">
        <v>163</v>
      </c>
      <c r="H146" s="9" t="str">
        <f>VLOOKUP(E146,'[1]Ethanol Plant Listing 2025'!$B$5:$C$235,2,FALSE)</f>
        <v>Poet Biorefining-Portland LLC</v>
      </c>
      <c r="I146" s="8" t="s">
        <v>533</v>
      </c>
      <c r="J146" t="s">
        <v>261</v>
      </c>
      <c r="K146" s="7">
        <v>46176</v>
      </c>
      <c r="L146" s="7" t="s">
        <v>842</v>
      </c>
      <c r="M146" s="7">
        <v>2</v>
      </c>
      <c r="N146" s="20">
        <v>39.566040000000001</v>
      </c>
      <c r="O146" s="11">
        <v>-85.822050000000004</v>
      </c>
      <c r="P146" s="12">
        <v>2020</v>
      </c>
      <c r="Q146" s="12" t="s">
        <v>803</v>
      </c>
      <c r="R146" s="12">
        <f t="shared" si="24"/>
        <v>34</v>
      </c>
      <c r="S146" s="12" t="s">
        <v>389</v>
      </c>
      <c r="AB146" s="13" t="s">
        <v>390</v>
      </c>
      <c r="AC146" s="13" t="s">
        <v>391</v>
      </c>
      <c r="AD146" s="13" t="s">
        <v>378</v>
      </c>
      <c r="AE146" s="8" t="str">
        <f t="shared" si="25"/>
        <v>High</v>
      </c>
      <c r="AF146" s="14"/>
      <c r="AG146" s="14"/>
      <c r="AH146" s="14"/>
      <c r="AI146" s="14"/>
      <c r="AJ146" s="15">
        <f>VLOOKUP(E146,'[1]Ethanol Plant Listing 2025'!$B$3:$E$220,4,FALSE)</f>
        <v>90</v>
      </c>
      <c r="AK146" s="14">
        <f>+AJ146*[1]Yield!$K$4</f>
        <v>85.5</v>
      </c>
      <c r="AL146" s="14">
        <f>AK146/VLOOKUP(Q146,[1]Yield!$E$5:$F$14,2,FALSE)</f>
        <v>28.691275167785236</v>
      </c>
      <c r="AM146" s="14"/>
      <c r="AN146" s="14"/>
      <c r="AO146" s="16">
        <f t="shared" si="26"/>
        <v>188000</v>
      </c>
      <c r="AP146" s="16" t="s">
        <v>410</v>
      </c>
      <c r="AQ146" s="17" t="str">
        <f t="shared" si="23"/>
        <v>POET Biorefining</v>
      </c>
      <c r="AR146" s="18">
        <f>VLOOKUP(AQ146,[1]Yield!$A$5:$B$10,2,FALSE)</f>
        <v>1</v>
      </c>
      <c r="AS146" s="14">
        <f t="shared" si="27"/>
        <v>28.691275167785236</v>
      </c>
      <c r="AT146" s="8" t="s">
        <v>394</v>
      </c>
      <c r="AX146" s="8" t="str">
        <f>IFERROR(VLOOKUP(E146,[1]Sheet3!$C$2:$E$68,2,FALSE),"None")</f>
        <v>None</v>
      </c>
      <c r="AY146" s="8">
        <f>IFERROR(VLOOKUP(AX146,[1]Sheet3!$H$3:$I$5,2,FALSE),0)</f>
        <v>0</v>
      </c>
      <c r="AZ146" s="14">
        <f t="shared" si="28"/>
        <v>90</v>
      </c>
      <c r="BA146" s="14">
        <f t="shared" si="29"/>
        <v>147.96</v>
      </c>
      <c r="BB146" s="27"/>
      <c r="BC146" s="7"/>
      <c r="BD146" s="19" t="s">
        <v>804</v>
      </c>
      <c r="BE146" s="7" t="s">
        <v>531</v>
      </c>
      <c r="BF146" s="7" t="s">
        <v>398</v>
      </c>
      <c r="BK146" s="7">
        <f t="shared" si="30"/>
        <v>20</v>
      </c>
    </row>
    <row r="147" spans="1:64" ht="15.6" customHeight="1" x14ac:dyDescent="0.3">
      <c r="A147" s="7">
        <v>146</v>
      </c>
      <c r="B147" s="8">
        <v>6127</v>
      </c>
      <c r="C147" s="8">
        <v>70158</v>
      </c>
      <c r="D147" s="8">
        <v>3260</v>
      </c>
      <c r="E147" s="8">
        <v>3694</v>
      </c>
      <c r="F147" s="8" t="str">
        <f t="shared" si="31"/>
        <v>Active</v>
      </c>
      <c r="G147" s="9" t="s">
        <v>267</v>
      </c>
      <c r="H147" s="9" t="str">
        <f>VLOOKUP(E147,'[1]Ethanol Plant Listing 2025'!$B$5:$C$235,2,FALSE)</f>
        <v>Pratt Energy LLC</v>
      </c>
      <c r="I147" s="8" t="s">
        <v>455</v>
      </c>
      <c r="J147" t="s">
        <v>268</v>
      </c>
      <c r="K147" s="7">
        <v>67124</v>
      </c>
      <c r="L147" s="7" t="s">
        <v>268</v>
      </c>
      <c r="M147" s="7">
        <v>2</v>
      </c>
      <c r="N147" s="20">
        <v>37.689619999999998</v>
      </c>
      <c r="O147" s="11">
        <v>-98.707040000000006</v>
      </c>
      <c r="P147" s="12">
        <v>2007</v>
      </c>
      <c r="Q147" s="12" t="s">
        <v>524</v>
      </c>
      <c r="R147" s="12">
        <f t="shared" si="24"/>
        <v>1</v>
      </c>
      <c r="S147" s="12"/>
      <c r="U147" s="7" t="s">
        <v>343</v>
      </c>
      <c r="AB147" s="13" t="s">
        <v>425</v>
      </c>
      <c r="AC147" s="13" t="s">
        <v>391</v>
      </c>
      <c r="AD147" s="13" t="s">
        <v>378</v>
      </c>
      <c r="AE147" s="8" t="str">
        <f t="shared" si="25"/>
        <v>High</v>
      </c>
      <c r="AF147" s="14"/>
      <c r="AG147" s="14"/>
      <c r="AH147" s="14"/>
      <c r="AI147" s="14"/>
      <c r="AJ147" s="15">
        <f>VLOOKUP(E147,'[1]Ethanol Plant Listing 2025'!$B$3:$E$220,4,FALSE)</f>
        <v>55</v>
      </c>
      <c r="AK147" s="14">
        <f>+AJ147*[1]Yield!$K$4</f>
        <v>52.25</v>
      </c>
      <c r="AL147" s="14">
        <f>AK147/VLOOKUP(Q147,[1]Yield!$E$5:$F$14,2,FALSE)</f>
        <v>18.333333333333332</v>
      </c>
      <c r="AM147" s="14"/>
      <c r="AN147" s="14"/>
      <c r="AO147" s="16">
        <f t="shared" si="26"/>
        <v>120000</v>
      </c>
      <c r="AP147" s="16"/>
      <c r="AQ147" s="17" t="str">
        <f t="shared" si="23"/>
        <v>None</v>
      </c>
      <c r="AR147" s="18">
        <f>VLOOKUP(AQ147,[1]Yield!$A$5:$B$10,2,FALSE)</f>
        <v>0.81499999999999995</v>
      </c>
      <c r="AS147" s="14">
        <f t="shared" si="27"/>
        <v>14.941666666666665</v>
      </c>
      <c r="AT147" s="8" t="s">
        <v>394</v>
      </c>
      <c r="AU147" s="7" t="s">
        <v>450</v>
      </c>
      <c r="AX147" s="8" t="str">
        <f>IFERROR(VLOOKUP(E147,[1]Sheet3!$C$2:$E$68,2,FALSE),"None")</f>
        <v>Direct Inject</v>
      </c>
      <c r="AY147" s="8">
        <f>IFERROR(VLOOKUP(AX147,[1]Sheet3!$H$3:$I$5,2,FALSE),0)</f>
        <v>32</v>
      </c>
      <c r="AZ147" s="14">
        <f t="shared" si="28"/>
        <v>55</v>
      </c>
      <c r="BA147" s="14">
        <f t="shared" si="29"/>
        <v>90.42</v>
      </c>
      <c r="BB147" s="27"/>
      <c r="BC147" s="7"/>
      <c r="BD147" s="19" t="s">
        <v>843</v>
      </c>
      <c r="BE147" s="7" t="s">
        <v>428</v>
      </c>
      <c r="BF147" s="7" t="s">
        <v>398</v>
      </c>
      <c r="BK147" s="7">
        <f t="shared" si="30"/>
        <v>20</v>
      </c>
    </row>
    <row r="148" spans="1:64" ht="15.6" customHeight="1" x14ac:dyDescent="0.3">
      <c r="A148" s="7">
        <v>147</v>
      </c>
      <c r="B148" s="8">
        <v>7241</v>
      </c>
      <c r="C148" s="8">
        <v>70302</v>
      </c>
      <c r="D148" s="8">
        <v>2946</v>
      </c>
      <c r="E148" s="8">
        <v>3695</v>
      </c>
      <c r="F148" s="8" t="str">
        <f t="shared" si="31"/>
        <v>Active</v>
      </c>
      <c r="G148" s="9" t="s">
        <v>844</v>
      </c>
      <c r="H148" s="9" t="str">
        <f>VLOOKUP(E148,'[1]Ethanol Plant Listing 2025'!$B$5:$C$235,2,FALSE)</f>
        <v>Purefield Ingredients LLC</v>
      </c>
      <c r="I148" s="8" t="s">
        <v>455</v>
      </c>
      <c r="J148" t="s">
        <v>845</v>
      </c>
      <c r="K148" s="7">
        <v>67665</v>
      </c>
      <c r="L148" s="7" t="s">
        <v>845</v>
      </c>
      <c r="M148" s="7">
        <v>2</v>
      </c>
      <c r="N148" s="20">
        <v>38.90005</v>
      </c>
      <c r="O148" s="11">
        <v>-98.84066</v>
      </c>
      <c r="P148" s="12">
        <v>2001</v>
      </c>
      <c r="Q148" s="12" t="s">
        <v>458</v>
      </c>
      <c r="R148" s="12">
        <f t="shared" si="24"/>
        <v>1</v>
      </c>
      <c r="S148" s="12"/>
      <c r="AB148" s="13" t="s">
        <v>459</v>
      </c>
      <c r="AC148" s="13" t="s">
        <v>426</v>
      </c>
      <c r="AD148" s="13" t="s">
        <v>378</v>
      </c>
      <c r="AE148" s="8" t="str">
        <f t="shared" si="25"/>
        <v>High</v>
      </c>
      <c r="AF148" s="14"/>
      <c r="AG148" s="14"/>
      <c r="AH148" s="14"/>
      <c r="AI148" s="14"/>
      <c r="AJ148" s="15">
        <f>VLOOKUP(E148,'[1]Ethanol Plant Listing 2025'!$B$3:$E$220,4,FALSE)</f>
        <v>55</v>
      </c>
      <c r="AK148" s="14">
        <f>+AJ148*[1]Yield!$K$4</f>
        <v>52.25</v>
      </c>
      <c r="AL148" s="14">
        <f>AK148/VLOOKUP(Q148,[1]Yield!$E$5:$F$14,2,FALSE)</f>
        <v>19.351851851851851</v>
      </c>
      <c r="AM148" s="14"/>
      <c r="AN148" s="14"/>
      <c r="AO148" s="16">
        <f t="shared" si="26"/>
        <v>127000</v>
      </c>
      <c r="AP148" s="16"/>
      <c r="AQ148" s="17" t="str">
        <f>IF(G148="POET Biorefining",G148,IF(T148="FQPT HI Pro",T148,IF(Z148="ICM FOT",Z148,IF(Q148="ICM",Q148,IF(Q148="ADM",Q148,IF(Q148="Waste Stream",Q148,IF(Q148="Wheat","Wheat","None")))))))</f>
        <v>Wheat</v>
      </c>
      <c r="AR148" s="18">
        <f>VLOOKUP(AQ148,[1]Yield!$A$5:$B$15,2,FALSE)</f>
        <v>0.2</v>
      </c>
      <c r="AS148" s="14">
        <f t="shared" si="27"/>
        <v>3.8703703703703702</v>
      </c>
      <c r="AT148" s="8" t="s">
        <v>394</v>
      </c>
      <c r="AU148" s="7" t="s">
        <v>450</v>
      </c>
      <c r="AX148" s="8" t="str">
        <f>IFERROR(VLOOKUP(E148,[1]Sheet3!$C$2:$E$68,2,FALSE),"None")</f>
        <v>Direct Inject</v>
      </c>
      <c r="AY148" s="8">
        <f>IFERROR(VLOOKUP(AX148,[1]Sheet3!$H$3:$I$5,2,FALSE),0)</f>
        <v>32</v>
      </c>
      <c r="AZ148" s="14">
        <f t="shared" si="28"/>
        <v>55</v>
      </c>
      <c r="BA148" s="14">
        <f t="shared" si="29"/>
        <v>90.42</v>
      </c>
      <c r="BB148" s="27"/>
      <c r="BC148" s="7"/>
      <c r="BD148" s="19" t="s">
        <v>846</v>
      </c>
      <c r="BE148" s="7" t="s">
        <v>428</v>
      </c>
      <c r="BF148" s="7" t="s">
        <v>414</v>
      </c>
      <c r="BK148" s="7">
        <f t="shared" si="30"/>
        <v>20</v>
      </c>
    </row>
    <row r="149" spans="1:64" ht="15.6" customHeight="1" x14ac:dyDescent="0.3">
      <c r="A149" s="7">
        <v>148</v>
      </c>
      <c r="B149" s="8"/>
      <c r="C149" s="8"/>
      <c r="D149" s="8">
        <v>2581</v>
      </c>
      <c r="E149" s="8">
        <v>3696</v>
      </c>
      <c r="F149" s="8" t="str">
        <f t="shared" si="31"/>
        <v>Active</v>
      </c>
      <c r="G149" s="9" t="s">
        <v>847</v>
      </c>
      <c r="H149" s="9" t="str">
        <f>VLOOKUP(E149,'[1]Ethanol Plant Listing 2025'!$B$5:$C$235,2,FALSE)</f>
        <v>Quad County Corn Processors Coop</v>
      </c>
      <c r="I149" s="8" t="s">
        <v>387</v>
      </c>
      <c r="J149" t="s">
        <v>492</v>
      </c>
      <c r="K149" s="7">
        <v>51020</v>
      </c>
      <c r="L149" s="7" t="s">
        <v>805</v>
      </c>
      <c r="M149" s="7">
        <v>2</v>
      </c>
      <c r="N149" s="20">
        <v>42.476840000000003</v>
      </c>
      <c r="O149" s="11">
        <v>-95.41516</v>
      </c>
      <c r="P149" s="12">
        <v>2002</v>
      </c>
      <c r="Q149" s="12" t="s">
        <v>405</v>
      </c>
      <c r="R149" s="12">
        <f t="shared" si="24"/>
        <v>1</v>
      </c>
      <c r="S149" s="12" t="s">
        <v>389</v>
      </c>
      <c r="AB149" s="13" t="s">
        <v>390</v>
      </c>
      <c r="AC149" s="13" t="s">
        <v>408</v>
      </c>
      <c r="AD149" s="13" t="s">
        <v>378</v>
      </c>
      <c r="AE149" s="8" t="str">
        <f t="shared" si="25"/>
        <v>High</v>
      </c>
      <c r="AF149" s="14">
        <v>38.950000000000003</v>
      </c>
      <c r="AG149" s="14">
        <v>31.58</v>
      </c>
      <c r="AH149" s="14" t="s">
        <v>848</v>
      </c>
      <c r="AI149" s="14"/>
      <c r="AJ149" s="15">
        <f>VLOOKUP(E149,'[1]Ethanol Plant Listing 2025'!$B$3:$E$220,4,FALSE)</f>
        <v>38</v>
      </c>
      <c r="AK149" s="14">
        <f>+AJ149*[1]Yield!$K$4</f>
        <v>36.1</v>
      </c>
      <c r="AL149" s="14">
        <f>AK149/VLOOKUP(Q149,[1]Yield!$E$5:$F$14,2,FALSE)</f>
        <v>12.534722222222223</v>
      </c>
      <c r="AM149" s="14"/>
      <c r="AN149" s="14"/>
      <c r="AO149" s="16">
        <f t="shared" si="26"/>
        <v>82000</v>
      </c>
      <c r="AP149" s="16" t="s">
        <v>410</v>
      </c>
      <c r="AQ149" s="17" t="str">
        <f t="shared" ref="AQ149:AQ194" si="32">IF(G149="POET Biorefining",G149,IF(T149="FQPT HI Pro",T149,IF(Z149="ICM FOT",Z149,IF(Q149="ICM",Q149,IF(Q149="ADM",Q149,"None")))))</f>
        <v>None</v>
      </c>
      <c r="AR149" s="18">
        <f>VLOOKUP(AQ149,[1]Yield!$A$5:$B$10,2,FALSE)</f>
        <v>0.81499999999999995</v>
      </c>
      <c r="AS149" s="14">
        <f t="shared" si="27"/>
        <v>10.215798611111111</v>
      </c>
      <c r="AT149" s="8" t="s">
        <v>437</v>
      </c>
      <c r="AU149" s="8"/>
      <c r="AV149" s="8" t="s">
        <v>395</v>
      </c>
      <c r="AW149" s="13"/>
      <c r="AX149" s="8" t="str">
        <f>IFERROR(VLOOKUP(E149,[1]Sheet3!$C$2:$E$68,2,FALSE),"None")</f>
        <v>Summit Carbon Solutions</v>
      </c>
      <c r="AY149" s="8">
        <f>IFERROR(VLOOKUP(AX149,[1]Sheet3!$H$3:$I$5,2,FALSE),0)</f>
        <v>31</v>
      </c>
      <c r="AZ149" s="14">
        <f t="shared" si="28"/>
        <v>38</v>
      </c>
      <c r="BA149" s="14">
        <f t="shared" si="29"/>
        <v>62.472000000000001</v>
      </c>
      <c r="BB149" s="12">
        <f>SUMIFS('[1]Corn 2023'!V:V,'[1]Corn 2023'!B:B,"=2023",'[1]Corn 2023'!L:L,"="&amp;'Corn Processors'!L149)</f>
        <v>126500</v>
      </c>
      <c r="BC149" s="7"/>
      <c r="BD149" s="19" t="s">
        <v>849</v>
      </c>
      <c r="BE149" s="26" t="s">
        <v>807</v>
      </c>
      <c r="BF149" s="7" t="s">
        <v>414</v>
      </c>
      <c r="BG149" s="7" t="s">
        <v>398</v>
      </c>
      <c r="BI149" s="7" t="s">
        <v>399</v>
      </c>
      <c r="BK149" s="7">
        <f t="shared" si="30"/>
        <v>20</v>
      </c>
    </row>
    <row r="150" spans="1:64" ht="15.6" customHeight="1" x14ac:dyDescent="0.3">
      <c r="A150" s="7">
        <v>149</v>
      </c>
      <c r="B150" s="8"/>
      <c r="C150" s="8"/>
      <c r="D150" s="8">
        <v>3262</v>
      </c>
      <c r="E150" s="8">
        <v>3698</v>
      </c>
      <c r="F150" s="8" t="str">
        <f t="shared" si="31"/>
        <v>Active</v>
      </c>
      <c r="G150" s="9" t="s">
        <v>850</v>
      </c>
      <c r="H150" s="9" t="str">
        <f>VLOOKUP(E150,'[1]Ethanol Plant Listing 2025'!$B$5:$C$235,2,FALSE)</f>
        <v>Red River Energy LLC</v>
      </c>
      <c r="I150" s="8" t="s">
        <v>582</v>
      </c>
      <c r="J150" t="s">
        <v>851</v>
      </c>
      <c r="K150" s="7">
        <v>57260</v>
      </c>
      <c r="L150" s="7" t="s">
        <v>852</v>
      </c>
      <c r="M150" s="7">
        <v>2</v>
      </c>
      <c r="N150" s="20">
        <v>45.872608</v>
      </c>
      <c r="O150" s="11">
        <v>-96.725109000000003</v>
      </c>
      <c r="P150" s="12">
        <v>2005</v>
      </c>
      <c r="Q150" s="12" t="s">
        <v>388</v>
      </c>
      <c r="R150" s="12">
        <f t="shared" si="24"/>
        <v>2</v>
      </c>
      <c r="S150" s="12"/>
      <c r="AB150" s="13" t="s">
        <v>390</v>
      </c>
      <c r="AC150" s="13" t="s">
        <v>391</v>
      </c>
      <c r="AD150" s="13" t="s">
        <v>378</v>
      </c>
      <c r="AE150" s="8" t="str">
        <f t="shared" si="25"/>
        <v>High</v>
      </c>
      <c r="AF150" s="14"/>
      <c r="AG150" s="14"/>
      <c r="AH150" s="14"/>
      <c r="AI150" s="14"/>
      <c r="AJ150" s="15">
        <f>VLOOKUP(E150,'[1]Ethanol Plant Listing 2025'!$B$3:$E$220,4,FALSE)</f>
        <v>36</v>
      </c>
      <c r="AK150" s="14">
        <f>+AJ150*[1]Yield!$K$4</f>
        <v>34.199999999999996</v>
      </c>
      <c r="AL150" s="14">
        <f>AK150/VLOOKUP(Q150,[1]Yield!$E$5:$F$14,2,FALSE)</f>
        <v>11.593220338983048</v>
      </c>
      <c r="AM150" s="14"/>
      <c r="AN150" s="14"/>
      <c r="AO150" s="16">
        <f t="shared" si="26"/>
        <v>76000</v>
      </c>
      <c r="AP150" s="16" t="s">
        <v>393</v>
      </c>
      <c r="AQ150" s="17" t="str">
        <f t="shared" si="32"/>
        <v>ICM</v>
      </c>
      <c r="AR150" s="18">
        <f>VLOOKUP(AQ150,[1]Yield!$A$5:$B$10,2,FALSE)</f>
        <v>0.9</v>
      </c>
      <c r="AS150" s="14">
        <f t="shared" si="27"/>
        <v>10.433898305084744</v>
      </c>
      <c r="AT150" s="8" t="s">
        <v>437</v>
      </c>
      <c r="AU150" s="8"/>
      <c r="AV150" s="8"/>
      <c r="AW150" s="13"/>
      <c r="AX150" s="8" t="str">
        <f>IFERROR(VLOOKUP(E150,[1]Sheet3!$C$2:$E$68,2,FALSE),"None")</f>
        <v>None</v>
      </c>
      <c r="AY150" s="8">
        <f>IFERROR(VLOOKUP(AX150,[1]Sheet3!$H$3:$I$5,2,FALSE),0)</f>
        <v>0</v>
      </c>
      <c r="AZ150" s="14">
        <f t="shared" si="28"/>
        <v>36</v>
      </c>
      <c r="BA150" s="14">
        <f t="shared" si="29"/>
        <v>59.183999999999997</v>
      </c>
      <c r="BB150" s="27"/>
      <c r="BC150" s="7"/>
      <c r="BD150" s="19" t="s">
        <v>853</v>
      </c>
      <c r="BE150" s="7" t="s">
        <v>432</v>
      </c>
      <c r="BF150" s="7" t="s">
        <v>414</v>
      </c>
      <c r="BK150" s="7">
        <f t="shared" si="30"/>
        <v>25</v>
      </c>
    </row>
    <row r="151" spans="1:64" ht="15.6" customHeight="1" x14ac:dyDescent="0.3">
      <c r="A151" s="7">
        <v>150</v>
      </c>
      <c r="B151" s="8"/>
      <c r="C151" s="8"/>
      <c r="D151" s="8">
        <v>3263</v>
      </c>
      <c r="E151" s="8">
        <v>3699</v>
      </c>
      <c r="F151" s="8" t="str">
        <f t="shared" si="31"/>
        <v>Active</v>
      </c>
      <c r="G151" s="9" t="s">
        <v>854</v>
      </c>
      <c r="H151" s="9" t="str">
        <f>VLOOKUP(E151,'[1]Ethanol Plant Listing 2025'!$B$5:$C$235,2,FALSE)</f>
        <v>Red Trail Energy LLC</v>
      </c>
      <c r="I151" s="8" t="s">
        <v>508</v>
      </c>
      <c r="J151" t="s">
        <v>855</v>
      </c>
      <c r="K151" s="7">
        <v>58652</v>
      </c>
      <c r="L151" s="7" t="s">
        <v>856</v>
      </c>
      <c r="M151" s="7">
        <v>2</v>
      </c>
      <c r="N151" s="20">
        <v>46.878641999999999</v>
      </c>
      <c r="O151" s="11">
        <v>-102.296038</v>
      </c>
      <c r="P151" s="12">
        <v>2006</v>
      </c>
      <c r="Q151" s="12" t="s">
        <v>388</v>
      </c>
      <c r="R151" s="12">
        <f t="shared" si="24"/>
        <v>1</v>
      </c>
      <c r="S151" s="12" t="s">
        <v>389</v>
      </c>
      <c r="AB151" s="13" t="s">
        <v>390</v>
      </c>
      <c r="AC151" s="13" t="s">
        <v>391</v>
      </c>
      <c r="AD151" s="13" t="s">
        <v>378</v>
      </c>
      <c r="AE151" s="8" t="str">
        <f t="shared" si="25"/>
        <v>High</v>
      </c>
      <c r="AF151" s="14"/>
      <c r="AG151" s="14"/>
      <c r="AH151" s="14"/>
      <c r="AI151" s="14"/>
      <c r="AJ151" s="15">
        <f>VLOOKUP(E151,'[1]Ethanol Plant Listing 2025'!$B$3:$E$220,4,FALSE)</f>
        <v>70</v>
      </c>
      <c r="AK151" s="14">
        <f>+AJ151*[1]Yield!$K$4</f>
        <v>66.5</v>
      </c>
      <c r="AL151" s="14">
        <f>AK151/VLOOKUP(Q151,[1]Yield!$E$5:$F$14,2,FALSE)</f>
        <v>22.542372881355931</v>
      </c>
      <c r="AM151" s="14"/>
      <c r="AN151" s="14"/>
      <c r="AO151" s="16">
        <f t="shared" si="26"/>
        <v>148000</v>
      </c>
      <c r="AP151" s="16" t="s">
        <v>393</v>
      </c>
      <c r="AQ151" s="17" t="str">
        <f t="shared" si="32"/>
        <v>ICM</v>
      </c>
      <c r="AR151" s="18">
        <f>VLOOKUP(AQ151,[1]Yield!$A$5:$B$10,2,FALSE)</f>
        <v>0.9</v>
      </c>
      <c r="AS151" s="14">
        <f t="shared" si="27"/>
        <v>20.288135593220339</v>
      </c>
      <c r="AT151" s="8" t="s">
        <v>394</v>
      </c>
      <c r="AU151" s="8" t="s">
        <v>450</v>
      </c>
      <c r="AV151" s="8"/>
      <c r="AW151" s="13"/>
      <c r="AX151" s="8" t="str">
        <f>IFERROR(VLOOKUP(E151,[1]Sheet3!$C$2:$E$68,2,FALSE),"None")</f>
        <v>Direct Inject</v>
      </c>
      <c r="AY151" s="8">
        <f>IFERROR(VLOOKUP(AX151,[1]Sheet3!$H$3:$I$5,2,FALSE),0)</f>
        <v>32</v>
      </c>
      <c r="AZ151" s="14">
        <f t="shared" si="28"/>
        <v>70</v>
      </c>
      <c r="BA151" s="14">
        <f t="shared" si="29"/>
        <v>115.08</v>
      </c>
      <c r="BB151" s="27"/>
      <c r="BC151" s="7" t="s">
        <v>437</v>
      </c>
      <c r="BD151" s="19" t="s">
        <v>857</v>
      </c>
      <c r="BE151" s="7" t="s">
        <v>481</v>
      </c>
      <c r="BF151" s="7" t="s">
        <v>398</v>
      </c>
      <c r="BK151" s="7">
        <f t="shared" si="30"/>
        <v>25</v>
      </c>
    </row>
    <row r="152" spans="1:64" ht="15.6" customHeight="1" x14ac:dyDescent="0.3">
      <c r="A152" s="7">
        <v>151</v>
      </c>
      <c r="B152" s="8">
        <v>7061</v>
      </c>
      <c r="C152" s="8">
        <v>70111</v>
      </c>
      <c r="D152" s="8">
        <v>3264</v>
      </c>
      <c r="E152" s="8">
        <v>3700</v>
      </c>
      <c r="F152" s="8" t="str">
        <f t="shared" si="31"/>
        <v>Active</v>
      </c>
      <c r="G152" s="9" t="s">
        <v>271</v>
      </c>
      <c r="H152" s="9" t="str">
        <f>VLOOKUP(E152,'[1]Ethanol Plant Listing 2025'!$B$5:$C$235,2,FALSE)</f>
        <v>Redfield Energy LLC</v>
      </c>
      <c r="I152" s="8" t="s">
        <v>582</v>
      </c>
      <c r="J152" t="s">
        <v>272</v>
      </c>
      <c r="K152" s="7">
        <v>57469</v>
      </c>
      <c r="L152" s="7" t="s">
        <v>858</v>
      </c>
      <c r="M152" s="7">
        <v>2</v>
      </c>
      <c r="N152" s="20">
        <v>44.911670000000001</v>
      </c>
      <c r="O152" s="11">
        <v>-98.501450000000006</v>
      </c>
      <c r="P152" s="12">
        <v>2007</v>
      </c>
      <c r="Q152" s="12" t="s">
        <v>388</v>
      </c>
      <c r="R152" s="12">
        <f t="shared" si="24"/>
        <v>1</v>
      </c>
      <c r="S152" s="12" t="s">
        <v>389</v>
      </c>
      <c r="T152" s="7" t="s">
        <v>536</v>
      </c>
      <c r="X152" s="7" t="s">
        <v>859</v>
      </c>
      <c r="AB152" s="13" t="s">
        <v>390</v>
      </c>
      <c r="AC152" s="13" t="s">
        <v>391</v>
      </c>
      <c r="AD152" s="13" t="s">
        <v>378</v>
      </c>
      <c r="AE152" s="8" t="str">
        <f t="shared" si="25"/>
        <v>High</v>
      </c>
      <c r="AF152" s="14"/>
      <c r="AG152" s="14"/>
      <c r="AH152" s="14"/>
      <c r="AI152" s="14"/>
      <c r="AJ152" s="15">
        <f>VLOOKUP(E152,'[1]Ethanol Plant Listing 2025'!$B$3:$E$220,4,FALSE)</f>
        <v>65</v>
      </c>
      <c r="AK152" s="14">
        <f>+AJ152*[1]Yield!$K$4</f>
        <v>61.75</v>
      </c>
      <c r="AL152" s="14">
        <f>AK152/VLOOKUP(Q152,[1]Yield!$E$5:$F$14,2,FALSE)</f>
        <v>20.932203389830509</v>
      </c>
      <c r="AM152" s="14"/>
      <c r="AN152" s="14"/>
      <c r="AO152" s="16">
        <f t="shared" si="26"/>
        <v>137000</v>
      </c>
      <c r="AP152" s="16" t="s">
        <v>393</v>
      </c>
      <c r="AQ152" s="17" t="str">
        <f t="shared" si="32"/>
        <v>ICM</v>
      </c>
      <c r="AR152" s="18">
        <f>VLOOKUP(AQ152,[1]Yield!$A$5:$B$10,2,FALSE)</f>
        <v>0.9</v>
      </c>
      <c r="AS152" s="14">
        <f t="shared" si="27"/>
        <v>18.838983050847457</v>
      </c>
      <c r="AT152" s="8" t="s">
        <v>437</v>
      </c>
      <c r="AU152" s="8"/>
      <c r="AV152" s="8" t="s">
        <v>395</v>
      </c>
      <c r="AW152" s="13"/>
      <c r="AX152" s="8" t="str">
        <f>IFERROR(VLOOKUP(E152,[1]Sheet3!$C$2:$E$68,2,FALSE),"None")</f>
        <v>Summit Carbon Solutions</v>
      </c>
      <c r="AY152" s="8">
        <f>IFERROR(VLOOKUP(AX152,[1]Sheet3!$H$3:$I$5,2,FALSE),0)</f>
        <v>31</v>
      </c>
      <c r="AZ152" s="14">
        <f t="shared" si="28"/>
        <v>65</v>
      </c>
      <c r="BA152" s="14">
        <f t="shared" si="29"/>
        <v>106.86</v>
      </c>
      <c r="BB152" s="27"/>
      <c r="BC152" s="7"/>
      <c r="BD152" s="19" t="s">
        <v>860</v>
      </c>
      <c r="BE152" s="7" t="s">
        <v>481</v>
      </c>
      <c r="BF152" s="7" t="s">
        <v>398</v>
      </c>
      <c r="BJ152" s="7" t="s">
        <v>400</v>
      </c>
      <c r="BK152" s="7">
        <f t="shared" si="30"/>
        <v>25</v>
      </c>
    </row>
    <row r="153" spans="1:64" ht="15.6" customHeight="1" x14ac:dyDescent="0.3">
      <c r="A153" s="7">
        <v>152</v>
      </c>
      <c r="B153" s="8"/>
      <c r="C153" s="8"/>
      <c r="D153" s="8">
        <v>2586</v>
      </c>
      <c r="E153" s="8">
        <v>3701</v>
      </c>
      <c r="F153" s="8" t="str">
        <f t="shared" si="31"/>
        <v>Active</v>
      </c>
      <c r="G153" s="9" t="s">
        <v>861</v>
      </c>
      <c r="H153" s="9" t="str">
        <f>VLOOKUP(E153,'[1]Ethanol Plant Listing 2025'!$B$5:$C$235,2,FALSE)</f>
        <v>Reeve Agri Energy Inc</v>
      </c>
      <c r="I153" s="8" t="s">
        <v>455</v>
      </c>
      <c r="J153" t="s">
        <v>54</v>
      </c>
      <c r="K153" s="7">
        <v>33923</v>
      </c>
      <c r="L153" s="7" t="e">
        <v>#N/A</v>
      </c>
      <c r="M153" s="7">
        <v>2</v>
      </c>
      <c r="N153" s="20">
        <v>37.881417999999996</v>
      </c>
      <c r="O153" s="11">
        <v>-100.885662</v>
      </c>
      <c r="P153" s="12">
        <v>1982</v>
      </c>
      <c r="Q153" s="12" t="s">
        <v>663</v>
      </c>
      <c r="R153" s="12">
        <f t="shared" si="24"/>
        <v>1</v>
      </c>
      <c r="S153" s="12"/>
      <c r="AB153" s="13" t="s">
        <v>862</v>
      </c>
      <c r="AC153" s="13" t="s">
        <v>391</v>
      </c>
      <c r="AD153" s="13" t="s">
        <v>378</v>
      </c>
      <c r="AE153" s="8" t="str">
        <f t="shared" si="25"/>
        <v>High</v>
      </c>
      <c r="AF153" s="14"/>
      <c r="AG153" s="14"/>
      <c r="AH153" s="14"/>
      <c r="AI153" s="14"/>
      <c r="AJ153" s="15">
        <f>VLOOKUP(E153,'[1]Ethanol Plant Listing 2025'!$B$3:$E$220,4,FALSE)</f>
        <v>20</v>
      </c>
      <c r="AK153" s="14">
        <f>+AJ153*[1]Yield!$K$4</f>
        <v>19</v>
      </c>
      <c r="AL153" s="14">
        <f>AK153/VLOOKUP(Q153,[1]Yield!$E$5:$F$14,2,FALSE)</f>
        <v>6.6202090592334493</v>
      </c>
      <c r="AM153" s="14"/>
      <c r="AN153" s="14"/>
      <c r="AO153" s="16">
        <f t="shared" si="26"/>
        <v>43000</v>
      </c>
      <c r="AP153" s="16"/>
      <c r="AQ153" s="17" t="str">
        <f t="shared" si="32"/>
        <v>None</v>
      </c>
      <c r="AR153" s="18">
        <f>VLOOKUP(AQ153,[1]Yield!$A$5:$B$10,2,FALSE)</f>
        <v>0.81499999999999995</v>
      </c>
      <c r="AS153" s="14">
        <f t="shared" si="27"/>
        <v>5.3954703832752609</v>
      </c>
      <c r="AT153" s="8" t="s">
        <v>394</v>
      </c>
      <c r="AX153" s="8" t="str">
        <f>IFERROR(VLOOKUP(E153,[1]Sheet3!$C$2:$E$68,2,FALSE),"None")</f>
        <v>None</v>
      </c>
      <c r="AY153" s="8">
        <f>IFERROR(VLOOKUP(AX153,[1]Sheet3!$H$3:$I$5,2,FALSE),0)</f>
        <v>0</v>
      </c>
      <c r="AZ153" s="14">
        <f t="shared" si="28"/>
        <v>20</v>
      </c>
      <c r="BA153" s="14">
        <f t="shared" si="29"/>
        <v>32.879999999999995</v>
      </c>
      <c r="BB153" s="27"/>
      <c r="BC153" s="7"/>
      <c r="BD153" s="19" t="s">
        <v>863</v>
      </c>
      <c r="BE153" s="26" t="s">
        <v>807</v>
      </c>
      <c r="BF153" s="7" t="s">
        <v>414</v>
      </c>
      <c r="BG153" s="7" t="s">
        <v>398</v>
      </c>
      <c r="BK153" s="7">
        <f t="shared" si="30"/>
        <v>20</v>
      </c>
    </row>
    <row r="154" spans="1:64" ht="15.6" customHeight="1" x14ac:dyDescent="0.3">
      <c r="A154" s="7">
        <v>153</v>
      </c>
      <c r="B154" s="8">
        <v>6274</v>
      </c>
      <c r="C154" s="8">
        <v>70361</v>
      </c>
      <c r="D154" s="8">
        <v>2987</v>
      </c>
      <c r="E154" s="8">
        <v>3702</v>
      </c>
      <c r="F154" s="8" t="str">
        <f t="shared" si="31"/>
        <v>Active</v>
      </c>
      <c r="G154" s="9" t="s">
        <v>864</v>
      </c>
      <c r="H154" s="9" t="str">
        <f>VLOOKUP(E154,'[1]Ethanol Plant Listing 2025'!$B$5:$C$235,2,FALSE)</f>
        <v>Ringneck Energy &amp; Feed LLC</v>
      </c>
      <c r="I154" s="8" t="s">
        <v>582</v>
      </c>
      <c r="J154" t="s">
        <v>865</v>
      </c>
      <c r="K154" s="7">
        <v>57564</v>
      </c>
      <c r="L154" s="7" t="s">
        <v>866</v>
      </c>
      <c r="M154" s="7">
        <v>2</v>
      </c>
      <c r="N154" s="20">
        <v>44.693339999999999</v>
      </c>
      <c r="O154" s="11">
        <v>-100.062568</v>
      </c>
      <c r="P154" s="12">
        <v>2019</v>
      </c>
      <c r="Q154" s="12" t="s">
        <v>388</v>
      </c>
      <c r="R154" s="12">
        <f t="shared" si="24"/>
        <v>1</v>
      </c>
      <c r="S154" s="12" t="s">
        <v>389</v>
      </c>
      <c r="AB154" s="13" t="s">
        <v>425</v>
      </c>
      <c r="AC154" s="13" t="s">
        <v>391</v>
      </c>
      <c r="AD154" s="13" t="s">
        <v>378</v>
      </c>
      <c r="AE154" s="8" t="str">
        <f t="shared" si="25"/>
        <v>High</v>
      </c>
      <c r="AF154" s="14"/>
      <c r="AG154" s="14"/>
      <c r="AH154" s="14"/>
      <c r="AI154" s="14"/>
      <c r="AJ154" s="15">
        <f>VLOOKUP(E154,'[1]Ethanol Plant Listing 2025'!$B$3:$E$220,4,FALSE)</f>
        <v>100</v>
      </c>
      <c r="AK154" s="14">
        <f>+AJ154*[1]Yield!$K$4</f>
        <v>95</v>
      </c>
      <c r="AL154" s="14">
        <f>AK154/VLOOKUP(Q154,[1]Yield!$E$5:$F$14,2,FALSE)</f>
        <v>32.20338983050847</v>
      </c>
      <c r="AM154" s="14"/>
      <c r="AN154" s="14"/>
      <c r="AO154" s="16">
        <f t="shared" si="26"/>
        <v>211000</v>
      </c>
      <c r="AP154" s="16" t="s">
        <v>393</v>
      </c>
      <c r="AQ154" s="17" t="str">
        <f t="shared" si="32"/>
        <v>ICM</v>
      </c>
      <c r="AR154" s="18">
        <f>VLOOKUP(AQ154,[1]Yield!$A$5:$B$10,2,FALSE)</f>
        <v>0.9</v>
      </c>
      <c r="AS154" s="14">
        <f t="shared" si="27"/>
        <v>28.983050847457623</v>
      </c>
      <c r="AT154" s="8" t="s">
        <v>437</v>
      </c>
      <c r="AU154" s="8"/>
      <c r="AV154" s="8" t="s">
        <v>395</v>
      </c>
      <c r="AW154" s="13"/>
      <c r="AX154" s="8" t="str">
        <f>IFERROR(VLOOKUP(E154,[1]Sheet3!$C$2:$E$68,2,FALSE),"None")</f>
        <v>Summit Carbon Solutions</v>
      </c>
      <c r="AY154" s="8">
        <f>IFERROR(VLOOKUP(AX154,[1]Sheet3!$H$3:$I$5,2,FALSE),0)</f>
        <v>31</v>
      </c>
      <c r="AZ154" s="14">
        <f t="shared" si="28"/>
        <v>100</v>
      </c>
      <c r="BA154" s="14">
        <f t="shared" si="29"/>
        <v>164.4</v>
      </c>
      <c r="BB154" s="27"/>
      <c r="BC154" s="7"/>
      <c r="BD154" s="19" t="s">
        <v>867</v>
      </c>
      <c r="BE154" s="7" t="s">
        <v>868</v>
      </c>
      <c r="BF154" s="7" t="s">
        <v>398</v>
      </c>
      <c r="BJ154" s="7" t="s">
        <v>400</v>
      </c>
      <c r="BK154" s="7">
        <f t="shared" si="30"/>
        <v>25</v>
      </c>
    </row>
    <row r="155" spans="1:64" ht="15.6" customHeight="1" x14ac:dyDescent="0.3">
      <c r="A155" s="7">
        <v>154</v>
      </c>
      <c r="B155" s="8"/>
      <c r="C155" s="8"/>
      <c r="D155" s="8">
        <v>3315</v>
      </c>
      <c r="E155" s="8">
        <v>3703</v>
      </c>
      <c r="F155" s="8" t="str">
        <f t="shared" si="31"/>
        <v>Active</v>
      </c>
      <c r="G155" s="9" t="s">
        <v>869</v>
      </c>
      <c r="H155" s="9" t="str">
        <f>VLOOKUP(E155,'[1]Ethanol Plant Listing 2025'!$B$5:$C$235,2,FALSE)</f>
        <v>Seaboard</v>
      </c>
      <c r="I155" s="8" t="s">
        <v>422</v>
      </c>
      <c r="J155" t="s">
        <v>870</v>
      </c>
      <c r="K155" s="7">
        <v>93638</v>
      </c>
      <c r="L155" s="7" t="s">
        <v>870</v>
      </c>
      <c r="M155" s="7">
        <v>5</v>
      </c>
      <c r="N155" s="20">
        <v>36.922085000000003</v>
      </c>
      <c r="O155" s="11">
        <v>-119.97489299999999</v>
      </c>
      <c r="P155" s="12">
        <v>2006</v>
      </c>
      <c r="Q155" s="12" t="s">
        <v>405</v>
      </c>
      <c r="R155" s="12">
        <f t="shared" si="24"/>
        <v>1</v>
      </c>
      <c r="S155" s="12"/>
      <c r="AB155" s="13" t="s">
        <v>425</v>
      </c>
      <c r="AC155" s="13" t="s">
        <v>391</v>
      </c>
      <c r="AD155" s="13" t="s">
        <v>378</v>
      </c>
      <c r="AE155" s="8" t="str">
        <f t="shared" si="25"/>
        <v>High</v>
      </c>
      <c r="AF155" s="14"/>
      <c r="AG155" s="14"/>
      <c r="AH155" s="14"/>
      <c r="AI155" s="14"/>
      <c r="AJ155" s="15">
        <f>VLOOKUP(E155,'[1]Ethanol Plant Listing 2025'!$B$3:$E$220,4,FALSE)</f>
        <v>40</v>
      </c>
      <c r="AK155" s="14">
        <f>+AJ155*[1]Yield!$K$4</f>
        <v>38</v>
      </c>
      <c r="AL155" s="14">
        <f>AK155/VLOOKUP(Q155,[1]Yield!$E$5:$F$14,2,FALSE)</f>
        <v>13.194444444444445</v>
      </c>
      <c r="AM155" s="14"/>
      <c r="AN155" s="14"/>
      <c r="AO155" s="16">
        <f t="shared" si="26"/>
        <v>86000</v>
      </c>
      <c r="AP155" s="16" t="s">
        <v>410</v>
      </c>
      <c r="AQ155" s="17" t="str">
        <f t="shared" si="32"/>
        <v>None</v>
      </c>
      <c r="AR155" s="18">
        <f>VLOOKUP(AQ155,[1]Yield!$A$5:$B$10,2,FALSE)</f>
        <v>0.81499999999999995</v>
      </c>
      <c r="AS155" s="14">
        <f t="shared" si="27"/>
        <v>10.753472222222221</v>
      </c>
      <c r="AT155" s="8" t="s">
        <v>394</v>
      </c>
      <c r="AX155" s="8" t="str">
        <f>IFERROR(VLOOKUP(E155,[1]Sheet3!$C$2:$E$68,2,FALSE),"None")</f>
        <v>None</v>
      </c>
      <c r="AY155" s="8">
        <f>IFERROR(VLOOKUP(AX155,[1]Sheet3!$H$3:$I$5,2,FALSE),0)</f>
        <v>0</v>
      </c>
      <c r="AZ155" s="14">
        <f t="shared" si="28"/>
        <v>40</v>
      </c>
      <c r="BA155" s="14">
        <f t="shared" si="29"/>
        <v>65.759999999999991</v>
      </c>
      <c r="BB155" s="27"/>
      <c r="BC155" s="7"/>
      <c r="BD155" s="19" t="s">
        <v>871</v>
      </c>
      <c r="BE155" s="7" t="s">
        <v>481</v>
      </c>
      <c r="BF155" s="7" t="s">
        <v>414</v>
      </c>
      <c r="BK155" s="7">
        <f t="shared" si="30"/>
        <v>15</v>
      </c>
      <c r="BL155" s="9" t="s">
        <v>872</v>
      </c>
    </row>
    <row r="156" spans="1:64" ht="15.6" customHeight="1" x14ac:dyDescent="0.3">
      <c r="A156" s="7">
        <v>155</v>
      </c>
      <c r="B156" s="8"/>
      <c r="C156" s="8"/>
      <c r="D156" s="8">
        <v>3265</v>
      </c>
      <c r="E156" s="8">
        <v>3704</v>
      </c>
      <c r="F156" s="8" t="str">
        <f t="shared" si="31"/>
        <v>Active</v>
      </c>
      <c r="G156" s="9" t="s">
        <v>873</v>
      </c>
      <c r="H156" s="9" t="str">
        <f>VLOOKUP(E156,'[1]Ethanol Plant Listing 2025'!$B$5:$C$235,2,FALSE)</f>
        <v>Show Me Ethanol</v>
      </c>
      <c r="I156" s="8" t="s">
        <v>697</v>
      </c>
      <c r="J156" t="s">
        <v>874</v>
      </c>
      <c r="K156" s="7">
        <v>64633</v>
      </c>
      <c r="L156" s="7" t="s">
        <v>813</v>
      </c>
      <c r="M156" s="7">
        <v>2</v>
      </c>
      <c r="N156" s="20">
        <v>39.364417000000003</v>
      </c>
      <c r="O156" s="11">
        <v>-93.449360999999996</v>
      </c>
      <c r="P156" s="12">
        <v>2008</v>
      </c>
      <c r="Q156" s="12" t="s">
        <v>388</v>
      </c>
      <c r="R156" s="12">
        <f t="shared" si="24"/>
        <v>1</v>
      </c>
      <c r="S156" s="12" t="s">
        <v>389</v>
      </c>
      <c r="AB156" s="13" t="s">
        <v>390</v>
      </c>
      <c r="AC156" s="13" t="s">
        <v>391</v>
      </c>
      <c r="AD156" s="13" t="s">
        <v>378</v>
      </c>
      <c r="AE156" s="8" t="str">
        <f t="shared" si="25"/>
        <v>High</v>
      </c>
      <c r="AF156" s="14"/>
      <c r="AG156" s="14"/>
      <c r="AH156" s="14"/>
      <c r="AI156" s="14"/>
      <c r="AJ156" s="15">
        <f>VLOOKUP(E156,'[1]Ethanol Plant Listing 2025'!$B$3:$E$220,4,FALSE)</f>
        <v>65.5</v>
      </c>
      <c r="AK156" s="14">
        <f>+AJ156*[1]Yield!$K$4</f>
        <v>62.224999999999994</v>
      </c>
      <c r="AL156" s="14">
        <f>AK156/VLOOKUP(Q156,[1]Yield!$E$5:$F$14,2,FALSE)</f>
        <v>21.093220338983048</v>
      </c>
      <c r="AM156" s="14"/>
      <c r="AN156" s="14"/>
      <c r="AO156" s="16">
        <f t="shared" si="26"/>
        <v>138000</v>
      </c>
      <c r="AP156" s="16" t="s">
        <v>393</v>
      </c>
      <c r="AQ156" s="17" t="str">
        <f t="shared" si="32"/>
        <v>ICM</v>
      </c>
      <c r="AR156" s="18">
        <f>VLOOKUP(AQ156,[1]Yield!$A$5:$B$10,2,FALSE)</f>
        <v>0.9</v>
      </c>
      <c r="AS156" s="14">
        <f t="shared" si="27"/>
        <v>18.983898305084743</v>
      </c>
      <c r="AT156" s="8" t="s">
        <v>411</v>
      </c>
      <c r="AX156" s="8" t="str">
        <f>IFERROR(VLOOKUP(E156,[1]Sheet3!$C$2:$E$68,2,FALSE),"None")</f>
        <v>None</v>
      </c>
      <c r="AY156" s="8">
        <f>IFERROR(VLOOKUP(AX156,[1]Sheet3!$H$3:$I$5,2,FALSE),0)</f>
        <v>0</v>
      </c>
      <c r="AZ156" s="14">
        <f t="shared" si="28"/>
        <v>65.5</v>
      </c>
      <c r="BA156" s="14">
        <f t="shared" si="29"/>
        <v>107.68199999999999</v>
      </c>
      <c r="BB156" s="27"/>
      <c r="BC156" s="7"/>
      <c r="BD156" s="19" t="s">
        <v>875</v>
      </c>
      <c r="BE156" s="7" t="s">
        <v>481</v>
      </c>
      <c r="BF156" s="7" t="s">
        <v>398</v>
      </c>
      <c r="BK156" s="7">
        <f t="shared" si="30"/>
        <v>25</v>
      </c>
    </row>
    <row r="157" spans="1:64" ht="15.6" customHeight="1" x14ac:dyDescent="0.3">
      <c r="A157" s="7">
        <v>156</v>
      </c>
      <c r="B157" s="8">
        <v>4060</v>
      </c>
      <c r="C157" s="8">
        <v>70112</v>
      </c>
      <c r="D157" s="8">
        <v>2988</v>
      </c>
      <c r="E157" s="8">
        <v>3705</v>
      </c>
      <c r="F157" s="8" t="str">
        <f t="shared" si="31"/>
        <v>Active</v>
      </c>
      <c r="G157" s="9" t="s">
        <v>275</v>
      </c>
      <c r="H157" s="9" t="str">
        <f>VLOOKUP(E157,'[1]Ethanol Plant Listing 2025'!$B$5:$C$235,2,FALSE)</f>
        <v>Siouxland Energy Cooperative</v>
      </c>
      <c r="I157" s="8" t="s">
        <v>387</v>
      </c>
      <c r="J157" t="s">
        <v>275</v>
      </c>
      <c r="K157" s="7">
        <v>51250</v>
      </c>
      <c r="L157" s="7" t="s">
        <v>876</v>
      </c>
      <c r="M157" s="7">
        <v>2</v>
      </c>
      <c r="N157" s="20">
        <v>43.08446</v>
      </c>
      <c r="O157" s="11">
        <v>-96.230379999999997</v>
      </c>
      <c r="P157" s="12">
        <v>2000</v>
      </c>
      <c r="Q157" s="12" t="s">
        <v>405</v>
      </c>
      <c r="R157" s="12">
        <f t="shared" si="24"/>
        <v>1</v>
      </c>
      <c r="S157" s="12"/>
      <c r="AB157" s="13" t="s">
        <v>390</v>
      </c>
      <c r="AC157" s="13" t="s">
        <v>391</v>
      </c>
      <c r="AD157" s="13" t="s">
        <v>378</v>
      </c>
      <c r="AE157" s="8" t="str">
        <f t="shared" si="25"/>
        <v>High</v>
      </c>
      <c r="AF157" s="14">
        <v>90</v>
      </c>
      <c r="AG157" s="14">
        <v>65</v>
      </c>
      <c r="AH157" s="14" t="s">
        <v>877</v>
      </c>
      <c r="AI157" s="14"/>
      <c r="AJ157" s="15">
        <f>VLOOKUP(E157,'[1]Ethanol Plant Listing 2025'!$B$3:$E$220,4,FALSE)</f>
        <v>65</v>
      </c>
      <c r="AK157" s="14">
        <f>+AJ157*[1]Yield!$K$4</f>
        <v>61.75</v>
      </c>
      <c r="AL157" s="14">
        <f>AK157/VLOOKUP(Q157,[1]Yield!$E$5:$F$14,2,FALSE)</f>
        <v>21.440972222222221</v>
      </c>
      <c r="AM157" s="14"/>
      <c r="AN157" s="14"/>
      <c r="AO157" s="16">
        <f t="shared" si="26"/>
        <v>140000</v>
      </c>
      <c r="AP157" s="16" t="s">
        <v>410</v>
      </c>
      <c r="AQ157" s="17" t="str">
        <f t="shared" si="32"/>
        <v>None</v>
      </c>
      <c r="AR157" s="18">
        <f>VLOOKUP(AQ157,[1]Yield!$A$5:$B$10,2,FALSE)</f>
        <v>0.81499999999999995</v>
      </c>
      <c r="AS157" s="14">
        <f t="shared" si="27"/>
        <v>17.474392361111111</v>
      </c>
      <c r="AT157" s="8" t="s">
        <v>437</v>
      </c>
      <c r="AU157" s="8"/>
      <c r="AV157" s="8"/>
      <c r="AW157" s="13"/>
      <c r="AX157" s="8" t="str">
        <f>IFERROR(VLOOKUP(E157,[1]Sheet3!$C$2:$E$68,2,FALSE),"None")</f>
        <v>None</v>
      </c>
      <c r="AY157" s="8">
        <f>IFERROR(VLOOKUP(AX157,[1]Sheet3!$H$3:$I$5,2,FALSE),0)</f>
        <v>0</v>
      </c>
      <c r="AZ157" s="14">
        <f t="shared" si="28"/>
        <v>65</v>
      </c>
      <c r="BA157" s="14">
        <f t="shared" si="29"/>
        <v>106.86</v>
      </c>
      <c r="BB157" s="12">
        <f>SUMIFS('[1]Corn 2023'!V:V,'[1]Corn 2023'!B:B,"=2023",'[1]Corn 2023'!L:L,"="&amp;'Corn Processors'!L157)</f>
        <v>245500</v>
      </c>
      <c r="BC157" s="7"/>
      <c r="BD157" s="19" t="s">
        <v>878</v>
      </c>
      <c r="BE157" s="26" t="s">
        <v>481</v>
      </c>
      <c r="BF157" s="7" t="s">
        <v>414</v>
      </c>
      <c r="BG157" s="7" t="s">
        <v>398</v>
      </c>
      <c r="BK157" s="7">
        <f t="shared" si="30"/>
        <v>20</v>
      </c>
    </row>
    <row r="158" spans="1:64" ht="15.6" customHeight="1" x14ac:dyDescent="0.3">
      <c r="A158" s="7">
        <v>157</v>
      </c>
      <c r="B158" s="8">
        <v>5026</v>
      </c>
      <c r="C158" s="8">
        <v>70134</v>
      </c>
      <c r="D158" s="8">
        <v>3266</v>
      </c>
      <c r="E158" s="8">
        <v>3706</v>
      </c>
      <c r="F158" s="8" t="str">
        <f t="shared" si="31"/>
        <v>Active</v>
      </c>
      <c r="G158" s="9" t="s">
        <v>278</v>
      </c>
      <c r="H158" s="9" t="str">
        <f>VLOOKUP(E158,'[1]EPA Ethanol Capacity 2024'!$B$5:$C$235,2,FALSE)</f>
        <v>Siouxland Ethnaol LLC</v>
      </c>
      <c r="I158" s="8" t="s">
        <v>470</v>
      </c>
      <c r="J158" t="s">
        <v>279</v>
      </c>
      <c r="K158" s="7">
        <v>68743</v>
      </c>
      <c r="L158" s="7" t="s">
        <v>879</v>
      </c>
      <c r="M158" s="7">
        <v>2</v>
      </c>
      <c r="N158" s="20">
        <v>42.45196</v>
      </c>
      <c r="O158" s="11">
        <v>-96.591843999999995</v>
      </c>
      <c r="P158" s="12">
        <v>2007</v>
      </c>
      <c r="Q158" s="12" t="s">
        <v>388</v>
      </c>
      <c r="R158" s="12">
        <f t="shared" si="24"/>
        <v>1</v>
      </c>
      <c r="S158" s="12" t="s">
        <v>389</v>
      </c>
      <c r="U158" s="7" t="s">
        <v>343</v>
      </c>
      <c r="Y158" s="7" t="s">
        <v>603</v>
      </c>
      <c r="AB158" s="13" t="s">
        <v>390</v>
      </c>
      <c r="AC158" s="13" t="s">
        <v>391</v>
      </c>
      <c r="AD158" s="13" t="s">
        <v>378</v>
      </c>
      <c r="AE158" s="8" t="str">
        <f t="shared" si="25"/>
        <v>High</v>
      </c>
      <c r="AF158" s="14">
        <f>91.556*1.0225</f>
        <v>93.616009999999989</v>
      </c>
      <c r="AG158" s="14">
        <v>55</v>
      </c>
      <c r="AH158" s="14" t="s">
        <v>515</v>
      </c>
      <c r="AI158" s="14">
        <v>85434</v>
      </c>
      <c r="AJ158" s="15">
        <f>VLOOKUP(E158,'[1]Ethanol Plant Listing 2025'!$B$3:$E$220,4,FALSE)</f>
        <v>100</v>
      </c>
      <c r="AK158" s="14">
        <f>+AJ158*[1]Yield!$K$4</f>
        <v>95</v>
      </c>
      <c r="AL158" s="14">
        <f>AK158/VLOOKUP(Q158,[1]Yield!$E$5:$F$14,2,FALSE)</f>
        <v>32.20338983050847</v>
      </c>
      <c r="AM158" s="14"/>
      <c r="AN158" s="14"/>
      <c r="AO158" s="16">
        <f t="shared" si="26"/>
        <v>211000</v>
      </c>
      <c r="AP158" s="16" t="s">
        <v>393</v>
      </c>
      <c r="AQ158" s="17" t="str">
        <f t="shared" si="32"/>
        <v>ICM</v>
      </c>
      <c r="AR158" s="18">
        <f>VLOOKUP(AQ158,[1]Yield!$A$5:$B$10,2,FALSE)</f>
        <v>0.9</v>
      </c>
      <c r="AS158" s="14">
        <f t="shared" si="27"/>
        <v>28.983050847457623</v>
      </c>
      <c r="AT158" s="8" t="s">
        <v>437</v>
      </c>
      <c r="AU158" s="8"/>
      <c r="AV158" s="8" t="s">
        <v>395</v>
      </c>
      <c r="AW158" s="13"/>
      <c r="AX158" s="8" t="str">
        <f>IFERROR(VLOOKUP(E158,[1]Sheet3!$C$2:$E$68,2,FALSE),"None")</f>
        <v>Summit Carbon Solutions</v>
      </c>
      <c r="AY158" s="8">
        <f>IFERROR(VLOOKUP(AX158,[1]Sheet3!$H$3:$I$5,2,FALSE),0)</f>
        <v>31</v>
      </c>
      <c r="AZ158" s="14">
        <f t="shared" si="28"/>
        <v>100</v>
      </c>
      <c r="BA158" s="14">
        <f t="shared" si="29"/>
        <v>164.4</v>
      </c>
      <c r="BB158" s="27"/>
      <c r="BC158" s="7"/>
      <c r="BD158" s="19" t="s">
        <v>880</v>
      </c>
      <c r="BE158" s="7" t="s">
        <v>481</v>
      </c>
      <c r="BF158" s="7" t="s">
        <v>398</v>
      </c>
      <c r="BI158" s="7" t="s">
        <v>399</v>
      </c>
      <c r="BK158" s="7">
        <f t="shared" si="30"/>
        <v>25</v>
      </c>
    </row>
    <row r="159" spans="1:64" ht="15.6" customHeight="1" x14ac:dyDescent="0.3">
      <c r="A159" s="7">
        <v>158</v>
      </c>
      <c r="B159" s="8"/>
      <c r="C159" s="8"/>
      <c r="D159" s="8">
        <v>3267</v>
      </c>
      <c r="E159" s="8">
        <v>3707</v>
      </c>
      <c r="F159" s="8" t="str">
        <f t="shared" si="31"/>
        <v>Active</v>
      </c>
      <c r="G159" s="9" t="s">
        <v>827</v>
      </c>
      <c r="H159" s="9" t="str">
        <f>VLOOKUP(E159,'[1]EPA Ethanol Capacity 2024'!$B$5:$C$235,2,FALSE)</f>
        <v>Southbend Ethanol LLC</v>
      </c>
      <c r="I159" s="8" t="s">
        <v>533</v>
      </c>
      <c r="J159" t="s">
        <v>881</v>
      </c>
      <c r="K159" s="7">
        <v>46613</v>
      </c>
      <c r="L159" s="7" t="s">
        <v>882</v>
      </c>
      <c r="M159" s="7">
        <v>2</v>
      </c>
      <c r="N159" s="20">
        <v>41.655200000000001</v>
      </c>
      <c r="O159" s="11">
        <v>-86.296199999999999</v>
      </c>
      <c r="P159" s="12">
        <v>2015</v>
      </c>
      <c r="Q159" s="12" t="s">
        <v>388</v>
      </c>
      <c r="R159" s="12">
        <f t="shared" si="24"/>
        <v>2</v>
      </c>
      <c r="S159" s="12"/>
      <c r="AB159" s="13" t="s">
        <v>390</v>
      </c>
      <c r="AC159" s="13" t="s">
        <v>391</v>
      </c>
      <c r="AD159" s="13" t="s">
        <v>378</v>
      </c>
      <c r="AE159" s="8" t="str">
        <f t="shared" si="25"/>
        <v>High</v>
      </c>
      <c r="AF159" s="14"/>
      <c r="AG159" s="14"/>
      <c r="AH159" s="14"/>
      <c r="AI159" s="14"/>
      <c r="AJ159" s="15">
        <f>VLOOKUP(E159,'[1]Ethanol Plant Listing 2025'!$B$3:$E$220,4,FALSE)</f>
        <v>100</v>
      </c>
      <c r="AK159" s="14">
        <f>+AJ159*[1]Yield!$K$4</f>
        <v>95</v>
      </c>
      <c r="AL159" s="14">
        <f>AK159/VLOOKUP(Q159,[1]Yield!$E$5:$F$14,2,FALSE)</f>
        <v>32.20338983050847</v>
      </c>
      <c r="AM159" s="14"/>
      <c r="AN159" s="14"/>
      <c r="AO159" s="16">
        <f t="shared" si="26"/>
        <v>211000</v>
      </c>
      <c r="AP159" s="16" t="s">
        <v>393</v>
      </c>
      <c r="AQ159" s="17" t="str">
        <f t="shared" si="32"/>
        <v>ICM</v>
      </c>
      <c r="AR159" s="18">
        <f>VLOOKUP(AQ159,[1]Yield!$A$5:$B$10,2,FALSE)</f>
        <v>0.9</v>
      </c>
      <c r="AS159" s="14">
        <f t="shared" si="27"/>
        <v>28.983050847457623</v>
      </c>
      <c r="AT159" s="8" t="s">
        <v>394</v>
      </c>
      <c r="AX159" s="8" t="str">
        <f>IFERROR(VLOOKUP(E159,[1]Sheet3!$C$2:$E$68,2,FALSE),"None")</f>
        <v>None</v>
      </c>
      <c r="AY159" s="8">
        <f>IFERROR(VLOOKUP(AX159,[1]Sheet3!$H$3:$I$5,2,FALSE),0)</f>
        <v>0</v>
      </c>
      <c r="AZ159" s="14">
        <f t="shared" si="28"/>
        <v>100</v>
      </c>
      <c r="BA159" s="14">
        <f t="shared" si="29"/>
        <v>164.4</v>
      </c>
      <c r="BB159" s="27"/>
      <c r="BC159" s="7"/>
      <c r="BD159" s="19" t="s">
        <v>883</v>
      </c>
      <c r="BE159" s="7" t="s">
        <v>413</v>
      </c>
      <c r="BF159" s="7" t="s">
        <v>414</v>
      </c>
      <c r="BK159" s="7">
        <f t="shared" si="30"/>
        <v>25</v>
      </c>
      <c r="BL159" s="9" t="s">
        <v>884</v>
      </c>
    </row>
    <row r="160" spans="1:64" ht="15.6" customHeight="1" x14ac:dyDescent="0.3">
      <c r="A160" s="7">
        <v>159</v>
      </c>
      <c r="B160" s="8">
        <v>5935</v>
      </c>
      <c r="C160" s="8">
        <v>70326</v>
      </c>
      <c r="D160" s="8">
        <v>2955</v>
      </c>
      <c r="E160" s="8">
        <v>3708</v>
      </c>
      <c r="F160" s="8" t="str">
        <f t="shared" si="31"/>
        <v>Active</v>
      </c>
      <c r="G160" s="9" t="s">
        <v>282</v>
      </c>
      <c r="H160" s="9" t="str">
        <f>VLOOKUP(E160,'[1]EPA Ethanol Capacity 2024'!$B$5:$C$235,2,FALSE)</f>
        <v>Sothwest Iowa Renewable</v>
      </c>
      <c r="I160" s="8" t="s">
        <v>387</v>
      </c>
      <c r="J160" t="s">
        <v>283</v>
      </c>
      <c r="K160" s="7">
        <v>51503</v>
      </c>
      <c r="L160" s="7" t="s">
        <v>885</v>
      </c>
      <c r="M160" s="7">
        <v>2</v>
      </c>
      <c r="N160" s="20">
        <v>41.167470000000002</v>
      </c>
      <c r="O160" s="11">
        <v>-95.824029999999993</v>
      </c>
      <c r="P160" s="12">
        <v>2009</v>
      </c>
      <c r="Q160" s="12" t="s">
        <v>388</v>
      </c>
      <c r="R160" s="12">
        <f t="shared" si="24"/>
        <v>1</v>
      </c>
      <c r="S160" s="12" t="s">
        <v>389</v>
      </c>
      <c r="X160" s="7" t="s">
        <v>406</v>
      </c>
      <c r="Y160" s="7" t="s">
        <v>603</v>
      </c>
      <c r="AB160" s="13" t="s">
        <v>390</v>
      </c>
      <c r="AC160" s="13" t="s">
        <v>391</v>
      </c>
      <c r="AD160" s="13" t="s">
        <v>378</v>
      </c>
      <c r="AE160" s="8" t="str">
        <f t="shared" si="25"/>
        <v>High</v>
      </c>
      <c r="AF160" s="14">
        <v>140</v>
      </c>
      <c r="AG160" s="14">
        <v>125</v>
      </c>
      <c r="AH160" s="14" t="s">
        <v>886</v>
      </c>
      <c r="AI160" s="14"/>
      <c r="AJ160" s="15">
        <f>VLOOKUP(E160,'[1]Ethanol Plant Listing 2025'!$B$3:$E$220,4,FALSE)</f>
        <v>147</v>
      </c>
      <c r="AK160" s="14">
        <f>+AJ160*[1]Yield!$K$4</f>
        <v>139.65</v>
      </c>
      <c r="AL160" s="14">
        <f>AK160/VLOOKUP(Q160,[1]Yield!$E$5:$F$14,2,FALSE)</f>
        <v>47.338983050847453</v>
      </c>
      <c r="AM160" s="14"/>
      <c r="AN160" s="14"/>
      <c r="AO160" s="16">
        <f t="shared" si="26"/>
        <v>310000</v>
      </c>
      <c r="AP160" s="16" t="s">
        <v>393</v>
      </c>
      <c r="AQ160" s="17" t="str">
        <f t="shared" si="32"/>
        <v>ICM</v>
      </c>
      <c r="AR160" s="18">
        <f>VLOOKUP(AQ160,[1]Yield!$A$5:$B$10,2,FALSE)</f>
        <v>0.9</v>
      </c>
      <c r="AS160" s="14">
        <f t="shared" si="27"/>
        <v>42.60508474576271</v>
      </c>
      <c r="AT160" s="8" t="s">
        <v>394</v>
      </c>
      <c r="AU160" s="8"/>
      <c r="AV160" s="8" t="str">
        <f>+AX160</f>
        <v>Tall Grass</v>
      </c>
      <c r="AW160" s="13"/>
      <c r="AX160" s="8" t="s">
        <v>473</v>
      </c>
      <c r="AY160" s="8">
        <f>IFERROR(VLOOKUP(AX160,[1]Sheet3!$H$3:$I$5,2,FALSE),0)</f>
        <v>30</v>
      </c>
      <c r="AZ160" s="14">
        <f t="shared" si="28"/>
        <v>147</v>
      </c>
      <c r="BA160" s="14">
        <f t="shared" si="29"/>
        <v>241.66799999999998</v>
      </c>
      <c r="BB160" s="12">
        <f>SUMIFS('[1]Corn 2023'!V:V,'[1]Corn 2023'!B:B,"=2023",'[1]Corn 2023'!L:L,"="&amp;'Corn Processors'!L160)</f>
        <v>240500</v>
      </c>
      <c r="BC160" s="7" t="s">
        <v>437</v>
      </c>
      <c r="BD160" s="19" t="s">
        <v>887</v>
      </c>
      <c r="BE160" s="7" t="s">
        <v>888</v>
      </c>
      <c r="BF160" s="7" t="s">
        <v>398</v>
      </c>
      <c r="BJ160" s="7" t="s">
        <v>400</v>
      </c>
      <c r="BK160" s="7">
        <f t="shared" si="30"/>
        <v>25</v>
      </c>
    </row>
    <row r="161" spans="1:64" ht="15.6" customHeight="1" x14ac:dyDescent="0.3">
      <c r="A161" s="7">
        <v>160</v>
      </c>
      <c r="B161" s="8">
        <v>4766</v>
      </c>
      <c r="C161" s="8">
        <v>70660</v>
      </c>
      <c r="D161" s="8">
        <v>3268</v>
      </c>
      <c r="E161" s="8">
        <v>3709</v>
      </c>
      <c r="F161" s="8" t="str">
        <f t="shared" si="31"/>
        <v>Active</v>
      </c>
      <c r="G161" s="9" t="s">
        <v>889</v>
      </c>
      <c r="H161" s="9" t="str">
        <f>VLOOKUP(E161,'[1]EPA Ethanol Capacity 2024'!$B$5:$C$235,2,FALSE)</f>
        <v>Sterling Ethanol LLC</v>
      </c>
      <c r="I161" s="8" t="s">
        <v>616</v>
      </c>
      <c r="J161" t="s">
        <v>890</v>
      </c>
      <c r="K161" s="7">
        <v>80751</v>
      </c>
      <c r="L161" s="7" t="s">
        <v>891</v>
      </c>
      <c r="M161" s="7">
        <v>4</v>
      </c>
      <c r="N161" s="20">
        <v>40.625500000000002</v>
      </c>
      <c r="O161" s="11">
        <v>-103.2067</v>
      </c>
      <c r="P161" s="12">
        <v>2005</v>
      </c>
      <c r="Q161" s="12" t="s">
        <v>388</v>
      </c>
      <c r="R161" s="12">
        <f t="shared" si="24"/>
        <v>1</v>
      </c>
      <c r="S161" s="12"/>
      <c r="U161" s="7" t="s">
        <v>343</v>
      </c>
      <c r="AB161" s="13" t="s">
        <v>390</v>
      </c>
      <c r="AC161" s="13" t="s">
        <v>391</v>
      </c>
      <c r="AD161" s="13" t="s">
        <v>378</v>
      </c>
      <c r="AE161" s="8" t="str">
        <f t="shared" si="25"/>
        <v>High</v>
      </c>
      <c r="AF161" s="14"/>
      <c r="AG161" s="14"/>
      <c r="AH161" s="14"/>
      <c r="AI161" s="14"/>
      <c r="AJ161" s="15">
        <f>VLOOKUP(E161,'[1]Ethanol Plant Listing 2025'!$B$3:$E$220,4,FALSE)</f>
        <v>60</v>
      </c>
      <c r="AK161" s="14">
        <f>+AJ161*[1]Yield!$K$4</f>
        <v>57</v>
      </c>
      <c r="AL161" s="14">
        <f>AK161/VLOOKUP(Q161,[1]Yield!$E$5:$F$14,2,FALSE)</f>
        <v>19.322033898305083</v>
      </c>
      <c r="AM161" s="14"/>
      <c r="AN161" s="14"/>
      <c r="AO161" s="16">
        <f t="shared" si="26"/>
        <v>127000</v>
      </c>
      <c r="AP161" s="16" t="s">
        <v>393</v>
      </c>
      <c r="AQ161" s="17" t="str">
        <f t="shared" si="32"/>
        <v>ICM</v>
      </c>
      <c r="AR161" s="18">
        <f>VLOOKUP(AQ161,[1]Yield!$A$5:$B$10,2,FALSE)</f>
        <v>0.9</v>
      </c>
      <c r="AS161" s="14">
        <f t="shared" si="27"/>
        <v>17.389830508474574</v>
      </c>
      <c r="AT161" s="8" t="s">
        <v>394</v>
      </c>
      <c r="AX161" s="8" t="str">
        <f>IFERROR(VLOOKUP(E161,[1]Sheet3!$C$2:$E$68,2,FALSE),"None")</f>
        <v>None</v>
      </c>
      <c r="AY161" s="8">
        <f>IFERROR(VLOOKUP(AX161,[1]Sheet3!$H$3:$I$5,2,FALSE),0)</f>
        <v>0</v>
      </c>
      <c r="AZ161" s="14">
        <f t="shared" si="28"/>
        <v>60</v>
      </c>
      <c r="BA161" s="14">
        <f t="shared" si="29"/>
        <v>98.64</v>
      </c>
      <c r="BB161" s="27"/>
      <c r="BC161" s="7"/>
      <c r="BD161" s="19" t="s">
        <v>892</v>
      </c>
      <c r="BE161" s="7" t="s">
        <v>474</v>
      </c>
      <c r="BF161" s="7" t="s">
        <v>414</v>
      </c>
      <c r="BK161" s="7">
        <f t="shared" si="30"/>
        <v>20</v>
      </c>
    </row>
    <row r="162" spans="1:64" ht="15.6" customHeight="1" x14ac:dyDescent="0.3">
      <c r="A162" s="7">
        <v>161</v>
      </c>
      <c r="B162" s="8"/>
      <c r="C162" s="8"/>
      <c r="D162" s="8">
        <v>3269</v>
      </c>
      <c r="E162" s="8">
        <v>3710</v>
      </c>
      <c r="F162" s="8" t="str">
        <f t="shared" si="31"/>
        <v>Active</v>
      </c>
      <c r="G162" s="9" t="s">
        <v>893</v>
      </c>
      <c r="H162" s="9" t="str">
        <f>VLOOKUP(E162,'[1]EPA Ethanol Capacity 2024'!$B$5:$C$235,2,FALSE)</f>
        <v>Tate &amp; Lyle</v>
      </c>
      <c r="I162" s="8" t="s">
        <v>651</v>
      </c>
      <c r="J162" t="s">
        <v>894</v>
      </c>
      <c r="K162" s="7">
        <v>37774</v>
      </c>
      <c r="L162" s="7" t="s">
        <v>894</v>
      </c>
      <c r="M162" s="7">
        <v>2</v>
      </c>
      <c r="N162" s="20">
        <v>35.734756270295499</v>
      </c>
      <c r="O162" s="11">
        <v>-84.319961866768693</v>
      </c>
      <c r="P162" s="12">
        <v>0</v>
      </c>
      <c r="Q162" s="12" t="s">
        <v>452</v>
      </c>
      <c r="R162" s="12">
        <f t="shared" si="24"/>
        <v>1</v>
      </c>
      <c r="S162" s="12"/>
      <c r="U162" s="7" t="s">
        <v>343</v>
      </c>
      <c r="AB162" s="13" t="s">
        <v>390</v>
      </c>
      <c r="AC162" s="13" t="s">
        <v>391</v>
      </c>
      <c r="AD162" s="13" t="s">
        <v>378</v>
      </c>
      <c r="AE162" s="8" t="str">
        <f t="shared" si="25"/>
        <v>High</v>
      </c>
      <c r="AF162" s="14"/>
      <c r="AG162" s="14"/>
      <c r="AH162" s="14"/>
      <c r="AI162" s="14"/>
      <c r="AJ162" s="15">
        <f>VLOOKUP(E162,'[1]Ethanol Plant Listing 2025'!$B$3:$E$220,4,FALSE)</f>
        <v>110</v>
      </c>
      <c r="AK162" s="14">
        <f>+AJ162*[1]Yield!$K$4</f>
        <v>104.5</v>
      </c>
      <c r="AL162" s="14">
        <f>AK162/VLOOKUP(Q162,[1]Yield!$E$5:$F$14,2,FALSE)</f>
        <v>38</v>
      </c>
      <c r="AM162" s="14"/>
      <c r="AN162" s="14"/>
      <c r="AO162" s="16">
        <f t="shared" si="26"/>
        <v>249000</v>
      </c>
      <c r="AP162" s="16"/>
      <c r="AQ162" s="17" t="str">
        <f t="shared" si="32"/>
        <v>None</v>
      </c>
      <c r="AR162" s="18">
        <f>VLOOKUP(AQ162,[1]Yield!$A$5:$B$10,2,FALSE)</f>
        <v>0.81499999999999995</v>
      </c>
      <c r="AS162" s="14">
        <f t="shared" si="27"/>
        <v>30.97</v>
      </c>
      <c r="AT162" s="8" t="s">
        <v>394</v>
      </c>
      <c r="AX162" s="8" t="str">
        <f>IFERROR(VLOOKUP(E162,[1]Sheet3!$C$2:$E$68,2,FALSE),"None")</f>
        <v>None</v>
      </c>
      <c r="AY162" s="8">
        <f>IFERROR(VLOOKUP(AX162,[1]Sheet3!$H$3:$I$5,2,FALSE),0)</f>
        <v>0</v>
      </c>
      <c r="AZ162" s="14">
        <f t="shared" si="28"/>
        <v>110</v>
      </c>
      <c r="BA162" s="14">
        <f t="shared" si="29"/>
        <v>180.84</v>
      </c>
      <c r="BB162" s="27"/>
      <c r="BC162" s="7"/>
      <c r="BD162" s="19" t="s">
        <v>895</v>
      </c>
      <c r="BE162" s="7" t="s">
        <v>567</v>
      </c>
      <c r="BF162" s="7" t="s">
        <v>398</v>
      </c>
      <c r="BK162" s="7">
        <f t="shared" si="30"/>
        <v>20</v>
      </c>
    </row>
    <row r="163" spans="1:64" ht="15.6" customHeight="1" x14ac:dyDescent="0.3">
      <c r="A163" s="7">
        <v>162</v>
      </c>
      <c r="B163" s="8"/>
      <c r="C163" s="8"/>
      <c r="D163" s="8">
        <v>3270</v>
      </c>
      <c r="E163" s="8">
        <v>3711</v>
      </c>
      <c r="F163" s="8" t="str">
        <f t="shared" si="31"/>
        <v>Active</v>
      </c>
      <c r="G163" s="9" t="s">
        <v>896</v>
      </c>
      <c r="H163" s="9" t="str">
        <f>VLOOKUP(E163,'[1]EPA Ethanol Capacity 2024'!$B$5:$C$235,2,FALSE)</f>
        <v>Tharaldson Ethanol</v>
      </c>
      <c r="I163" s="8" t="s">
        <v>508</v>
      </c>
      <c r="J163" s="22" t="s">
        <v>897</v>
      </c>
      <c r="K163" s="7">
        <v>58012</v>
      </c>
      <c r="L163" s="7" t="s">
        <v>609</v>
      </c>
      <c r="M163" s="7">
        <v>2</v>
      </c>
      <c r="N163" s="20">
        <v>46.90361</v>
      </c>
      <c r="O163" s="11">
        <v>-97.263490000000004</v>
      </c>
      <c r="P163" s="12">
        <v>2007</v>
      </c>
      <c r="Q163" s="12" t="s">
        <v>445</v>
      </c>
      <c r="R163" s="12">
        <f t="shared" si="24"/>
        <v>1</v>
      </c>
      <c r="S163" s="12" t="s">
        <v>389</v>
      </c>
      <c r="T163" s="7" t="s">
        <v>486</v>
      </c>
      <c r="Z163" s="7" t="str">
        <f>+T163</f>
        <v>FQPT HI PRO</v>
      </c>
      <c r="AB163" s="13" t="s">
        <v>390</v>
      </c>
      <c r="AC163" s="13" t="s">
        <v>391</v>
      </c>
      <c r="AD163" s="13" t="s">
        <v>378</v>
      </c>
      <c r="AE163" s="8" t="str">
        <f t="shared" si="25"/>
        <v>High</v>
      </c>
      <c r="AF163" s="14"/>
      <c r="AG163" s="14"/>
      <c r="AH163" s="14"/>
      <c r="AI163" s="14"/>
      <c r="AJ163" s="15">
        <f>VLOOKUP(E163,'[1]Ethanol Plant Listing 2025'!$B$3:$E$220,4,FALSE)</f>
        <v>165</v>
      </c>
      <c r="AK163" s="14">
        <f>+AJ163*[1]Yield!$K$4</f>
        <v>156.75</v>
      </c>
      <c r="AL163" s="14">
        <f>AK163/VLOOKUP(Q163,[1]Yield!$E$5:$F$14,2,FALSE)</f>
        <v>54.051724137931039</v>
      </c>
      <c r="AM163" s="14"/>
      <c r="AN163" s="14"/>
      <c r="AO163" s="16">
        <f t="shared" si="26"/>
        <v>354000</v>
      </c>
      <c r="AP163" s="16"/>
      <c r="AQ163" s="17" t="str">
        <f t="shared" si="32"/>
        <v>FQPT HI PRO</v>
      </c>
      <c r="AR163" s="18">
        <f>VLOOKUP(AQ163,[1]Yield!$A$5:$B$10,2,FALSE)</f>
        <v>1.05</v>
      </c>
      <c r="AS163" s="14">
        <f t="shared" si="27"/>
        <v>56.754310344827594</v>
      </c>
      <c r="AT163" s="8" t="s">
        <v>437</v>
      </c>
      <c r="AU163" s="8"/>
      <c r="AV163" s="8" t="s">
        <v>395</v>
      </c>
      <c r="AW163" s="13"/>
      <c r="AX163" s="8" t="str">
        <f>IFERROR(VLOOKUP(E163,[1]Sheet3!$C$2:$E$68,2,FALSE),"None")</f>
        <v>Summit Carbon Solutions</v>
      </c>
      <c r="AY163" s="8">
        <f>IFERROR(VLOOKUP(AX163,[1]Sheet3!$H$3:$I$5,2,FALSE),0)</f>
        <v>31</v>
      </c>
      <c r="AZ163" s="14">
        <f t="shared" si="28"/>
        <v>165</v>
      </c>
      <c r="BA163" s="14">
        <f t="shared" si="29"/>
        <v>271.26</v>
      </c>
      <c r="BB163" s="27"/>
      <c r="BC163" s="7"/>
      <c r="BD163" s="19" t="s">
        <v>898</v>
      </c>
      <c r="BE163" s="7" t="s">
        <v>481</v>
      </c>
      <c r="BF163" s="7" t="s">
        <v>398</v>
      </c>
      <c r="BK163" s="7">
        <f t="shared" si="30"/>
        <v>20</v>
      </c>
    </row>
    <row r="164" spans="1:64" ht="15.6" customHeight="1" x14ac:dyDescent="0.3">
      <c r="A164" s="7">
        <v>163</v>
      </c>
      <c r="B164" s="8"/>
      <c r="C164" s="8"/>
      <c r="D164" s="8">
        <v>3271</v>
      </c>
      <c r="E164" s="8">
        <v>3712</v>
      </c>
      <c r="F164" s="8" t="str">
        <f t="shared" si="31"/>
        <v>Active</v>
      </c>
      <c r="G164" s="9" t="s">
        <v>286</v>
      </c>
      <c r="H164" s="9" t="str">
        <f>VLOOKUP(E164,'[1]EPA Ethanol Capacity 2024'!$B$5:$C$235,2,FALSE)</f>
        <v>The Andersons Marathon Holdings LLC</v>
      </c>
      <c r="I164" s="8" t="s">
        <v>527</v>
      </c>
      <c r="J164" t="s">
        <v>300</v>
      </c>
      <c r="K164" s="7">
        <v>49224</v>
      </c>
      <c r="L164" s="7" t="s">
        <v>899</v>
      </c>
      <c r="M164" s="7">
        <v>2</v>
      </c>
      <c r="N164" s="20">
        <v>42.259645999999996</v>
      </c>
      <c r="O164" s="11">
        <v>-84.789726000000002</v>
      </c>
      <c r="P164" s="12">
        <v>2006</v>
      </c>
      <c r="Q164" s="12" t="s">
        <v>388</v>
      </c>
      <c r="R164" s="12">
        <f t="shared" si="24"/>
        <v>4</v>
      </c>
      <c r="S164" s="12" t="s">
        <v>389</v>
      </c>
      <c r="U164" s="7" t="s">
        <v>343</v>
      </c>
      <c r="AB164" s="13" t="s">
        <v>390</v>
      </c>
      <c r="AC164" s="13" t="s">
        <v>391</v>
      </c>
      <c r="AD164" s="13" t="s">
        <v>378</v>
      </c>
      <c r="AE164" s="8" t="str">
        <f t="shared" si="25"/>
        <v>High</v>
      </c>
      <c r="AF164" s="14"/>
      <c r="AG164" s="14"/>
      <c r="AH164" s="14"/>
      <c r="AI164" s="14"/>
      <c r="AJ164" s="15">
        <f>VLOOKUP(E164,'[1]Ethanol Plant Listing 2025'!$B$3:$E$220,4,FALSE)</f>
        <v>147</v>
      </c>
      <c r="AK164" s="14">
        <f>+AJ164*[1]Yield!$K$4</f>
        <v>139.65</v>
      </c>
      <c r="AL164" s="14">
        <f>AK164/VLOOKUP(Q164,[1]Yield!$E$5:$F$14,2,FALSE)</f>
        <v>47.338983050847453</v>
      </c>
      <c r="AM164" s="14"/>
      <c r="AN164" s="14"/>
      <c r="AO164" s="16">
        <f t="shared" si="26"/>
        <v>310000</v>
      </c>
      <c r="AP164" s="16" t="s">
        <v>393</v>
      </c>
      <c r="AQ164" s="17" t="str">
        <f t="shared" si="32"/>
        <v>ICM</v>
      </c>
      <c r="AR164" s="18">
        <f>VLOOKUP(AQ164,[1]Yield!$A$5:$B$10,2,FALSE)</f>
        <v>0.9</v>
      </c>
      <c r="AS164" s="14">
        <f t="shared" si="27"/>
        <v>42.60508474576271</v>
      </c>
      <c r="AT164" s="8" t="s">
        <v>394</v>
      </c>
      <c r="AX164" s="8" t="str">
        <f>IFERROR(VLOOKUP(E164,[1]Sheet3!$C$2:$E$68,2,FALSE),"None")</f>
        <v>None</v>
      </c>
      <c r="AY164" s="8">
        <f>IFERROR(VLOOKUP(AX164,[1]Sheet3!$H$3:$I$5,2,FALSE),0)</f>
        <v>0</v>
      </c>
      <c r="AZ164" s="14">
        <f t="shared" si="28"/>
        <v>147</v>
      </c>
      <c r="BA164" s="14">
        <f t="shared" si="29"/>
        <v>241.66799999999998</v>
      </c>
      <c r="BB164" s="27"/>
      <c r="BC164" s="7" t="s">
        <v>437</v>
      </c>
      <c r="BD164" s="19" t="s">
        <v>900</v>
      </c>
      <c r="BE164" s="7" t="s">
        <v>567</v>
      </c>
      <c r="BF164" s="7" t="s">
        <v>414</v>
      </c>
      <c r="BJ164" s="7" t="s">
        <v>400</v>
      </c>
      <c r="BK164" s="7">
        <f t="shared" si="30"/>
        <v>25</v>
      </c>
    </row>
    <row r="165" spans="1:64" ht="15.6" customHeight="1" x14ac:dyDescent="0.3">
      <c r="A165" s="7">
        <v>164</v>
      </c>
      <c r="B165" s="8"/>
      <c r="C165" s="8"/>
      <c r="D165" s="8">
        <v>3272</v>
      </c>
      <c r="E165" s="8">
        <v>3713</v>
      </c>
      <c r="F165" s="8" t="str">
        <f t="shared" si="31"/>
        <v>Active</v>
      </c>
      <c r="G165" s="9" t="s">
        <v>286</v>
      </c>
      <c r="H165" s="9" t="str">
        <f>VLOOKUP(E165,'[1]EPA Ethanol Capacity 2024'!$B$5:$C$235,2,FALSE)</f>
        <v>The Andersons Marathon Holdings LLC</v>
      </c>
      <c r="I165" s="8" t="s">
        <v>533</v>
      </c>
      <c r="J165" t="s">
        <v>901</v>
      </c>
      <c r="K165" s="7">
        <v>46947</v>
      </c>
      <c r="L165" s="7" t="s">
        <v>609</v>
      </c>
      <c r="M165" s="7">
        <v>2</v>
      </c>
      <c r="N165" s="20">
        <v>40.719022000000002</v>
      </c>
      <c r="O165" s="11">
        <v>-86.435981999999996</v>
      </c>
      <c r="P165" s="12">
        <v>2007</v>
      </c>
      <c r="Q165" s="12" t="s">
        <v>388</v>
      </c>
      <c r="R165" s="12">
        <f t="shared" si="24"/>
        <v>4</v>
      </c>
      <c r="S165" s="12" t="s">
        <v>389</v>
      </c>
      <c r="AB165" s="13" t="s">
        <v>390</v>
      </c>
      <c r="AC165" s="13" t="s">
        <v>391</v>
      </c>
      <c r="AD165" s="13" t="s">
        <v>378</v>
      </c>
      <c r="AE165" s="8" t="str">
        <f t="shared" si="25"/>
        <v>High</v>
      </c>
      <c r="AF165" s="14"/>
      <c r="AG165" s="14"/>
      <c r="AH165" s="14"/>
      <c r="AI165" s="14"/>
      <c r="AJ165" s="15">
        <f>VLOOKUP(E165,'[1]Ethanol Plant Listing 2025'!$B$3:$E$220,4,FALSE)</f>
        <v>140</v>
      </c>
      <c r="AK165" s="14">
        <f>+AJ165*[1]Yield!$K$4</f>
        <v>133</v>
      </c>
      <c r="AL165" s="14">
        <f>AK165/VLOOKUP(Q165,[1]Yield!$E$5:$F$14,2,FALSE)</f>
        <v>45.084745762711862</v>
      </c>
      <c r="AM165" s="14"/>
      <c r="AN165" s="14"/>
      <c r="AO165" s="16">
        <f t="shared" si="26"/>
        <v>295000</v>
      </c>
      <c r="AP165" s="16" t="s">
        <v>393</v>
      </c>
      <c r="AQ165" s="17" t="str">
        <f t="shared" si="32"/>
        <v>ICM</v>
      </c>
      <c r="AR165" s="18">
        <f>VLOOKUP(AQ165,[1]Yield!$A$5:$B$10,2,FALSE)</f>
        <v>0.9</v>
      </c>
      <c r="AS165" s="14">
        <f t="shared" si="27"/>
        <v>40.576271186440678</v>
      </c>
      <c r="AT165" s="8" t="s">
        <v>394</v>
      </c>
      <c r="AX165" s="8" t="str">
        <f>IFERROR(VLOOKUP(E165,[1]Sheet3!$C$2:$E$68,2,FALSE),"None")</f>
        <v>None</v>
      </c>
      <c r="AY165" s="8">
        <f>IFERROR(VLOOKUP(AX165,[1]Sheet3!$H$3:$I$5,2,FALSE),0)</f>
        <v>0</v>
      </c>
      <c r="AZ165" s="14">
        <f t="shared" si="28"/>
        <v>140</v>
      </c>
      <c r="BA165" s="14">
        <f t="shared" si="29"/>
        <v>230.16</v>
      </c>
      <c r="BB165" s="27"/>
      <c r="BC165" s="7" t="s">
        <v>437</v>
      </c>
      <c r="BD165" s="19" t="s">
        <v>900</v>
      </c>
      <c r="BE165" s="7" t="s">
        <v>567</v>
      </c>
      <c r="BF165" s="7" t="s">
        <v>398</v>
      </c>
      <c r="BJ165" s="7" t="s">
        <v>400</v>
      </c>
      <c r="BK165" s="7">
        <f t="shared" si="30"/>
        <v>25</v>
      </c>
    </row>
    <row r="166" spans="1:64" ht="15.6" customHeight="1" x14ac:dyDescent="0.3">
      <c r="A166" s="7">
        <v>165</v>
      </c>
      <c r="B166" s="8"/>
      <c r="C166" s="8">
        <v>70884</v>
      </c>
      <c r="D166" s="8">
        <v>3273</v>
      </c>
      <c r="E166" s="8">
        <v>3714</v>
      </c>
      <c r="F166" s="8" t="str">
        <f t="shared" si="31"/>
        <v>Active</v>
      </c>
      <c r="G166" s="9" t="s">
        <v>286</v>
      </c>
      <c r="H166" s="9" t="str">
        <f>VLOOKUP(E166,'[1]EPA Ethanol Capacity 2024'!$B$5:$C$235,2,FALSE)</f>
        <v>The Andersons Marathon Holdings LLC</v>
      </c>
      <c r="I166" s="8" t="s">
        <v>387</v>
      </c>
      <c r="J166" t="s">
        <v>287</v>
      </c>
      <c r="K166" s="7">
        <v>51442</v>
      </c>
      <c r="L166" s="7" t="s">
        <v>718</v>
      </c>
      <c r="M166" s="7">
        <v>2</v>
      </c>
      <c r="N166" s="20">
        <v>41.994166999999997</v>
      </c>
      <c r="O166" s="11">
        <v>-95.39</v>
      </c>
      <c r="P166" s="12">
        <v>2005</v>
      </c>
      <c r="Q166" s="12" t="s">
        <v>388</v>
      </c>
      <c r="R166" s="12">
        <f t="shared" si="24"/>
        <v>4</v>
      </c>
      <c r="S166" s="12" t="s">
        <v>389</v>
      </c>
      <c r="X166" s="7" t="s">
        <v>406</v>
      </c>
      <c r="AB166" s="13" t="s">
        <v>390</v>
      </c>
      <c r="AC166" s="13" t="s">
        <v>391</v>
      </c>
      <c r="AD166" s="13" t="s">
        <v>378</v>
      </c>
      <c r="AE166" s="8" t="str">
        <f t="shared" si="25"/>
        <v>High</v>
      </c>
      <c r="AF166" s="14">
        <v>80</v>
      </c>
      <c r="AG166" s="14">
        <v>65</v>
      </c>
      <c r="AH166" s="14" t="s">
        <v>902</v>
      </c>
      <c r="AI166" s="14"/>
      <c r="AJ166" s="15">
        <f>VLOOKUP(E166,'[1]Ethanol Plant Listing 2025'!$B$3:$E$220,4,FALSE)</f>
        <v>62</v>
      </c>
      <c r="AK166" s="14">
        <f>+AJ166*[1]Yield!$K$4</f>
        <v>58.9</v>
      </c>
      <c r="AL166" s="14">
        <f>AK166/VLOOKUP(Q166,[1]Yield!$E$5:$F$14,2,FALSE)</f>
        <v>19.966101694915253</v>
      </c>
      <c r="AM166" s="14"/>
      <c r="AN166" s="14"/>
      <c r="AO166" s="16">
        <f t="shared" si="26"/>
        <v>131000</v>
      </c>
      <c r="AP166" s="16" t="s">
        <v>393</v>
      </c>
      <c r="AQ166" s="17" t="str">
        <f t="shared" si="32"/>
        <v>ICM</v>
      </c>
      <c r="AR166" s="18">
        <f>VLOOKUP(AQ166,[1]Yield!$A$5:$B$10,2,FALSE)</f>
        <v>0.9</v>
      </c>
      <c r="AS166" s="14">
        <f t="shared" si="27"/>
        <v>17.969491525423727</v>
      </c>
      <c r="AT166" s="8" t="s">
        <v>394</v>
      </c>
      <c r="AU166" s="8"/>
      <c r="AV166" s="8"/>
      <c r="AW166" s="13"/>
      <c r="AX166" s="8" t="str">
        <f>IFERROR(VLOOKUP(E166,[1]Sheet3!$C$2:$E$68,2,FALSE),"None")</f>
        <v>None</v>
      </c>
      <c r="AY166" s="8">
        <f>IFERROR(VLOOKUP(AX166,[1]Sheet3!$H$3:$I$5,2,FALSE),0)</f>
        <v>0</v>
      </c>
      <c r="AZ166" s="14">
        <f t="shared" si="28"/>
        <v>62</v>
      </c>
      <c r="BA166" s="14">
        <f t="shared" si="29"/>
        <v>101.928</v>
      </c>
      <c r="BB166" s="12">
        <f>SUMIFS('[1]Corn 2023'!V:V,'[1]Corn 2023'!B:B,"=2023",'[1]Corn 2023'!L:L,"="&amp;'Corn Processors'!L166)</f>
        <v>197500</v>
      </c>
      <c r="BC166" s="7" t="s">
        <v>437</v>
      </c>
      <c r="BD166" s="19" t="s">
        <v>900</v>
      </c>
      <c r="BE166" s="7" t="s">
        <v>548</v>
      </c>
      <c r="BF166" s="7" t="s">
        <v>398</v>
      </c>
      <c r="BI166" s="7" t="s">
        <v>399</v>
      </c>
      <c r="BJ166" s="7" t="s">
        <v>400</v>
      </c>
      <c r="BK166" s="7">
        <f t="shared" si="30"/>
        <v>25</v>
      </c>
    </row>
    <row r="167" spans="1:64" ht="15.6" customHeight="1" x14ac:dyDescent="0.3">
      <c r="A167" s="7">
        <v>166</v>
      </c>
      <c r="B167" s="8"/>
      <c r="C167" s="8"/>
      <c r="D167" s="8">
        <v>3274</v>
      </c>
      <c r="E167" s="8">
        <v>3715</v>
      </c>
      <c r="F167" s="8" t="str">
        <f t="shared" si="31"/>
        <v>Active</v>
      </c>
      <c r="G167" s="9" t="s">
        <v>286</v>
      </c>
      <c r="H167" s="9" t="str">
        <f>VLOOKUP(E167,'[1]EPA Ethanol Capacity 2024'!$B$5:$C$235,2,FALSE)</f>
        <v>The Andersons Marathon Holdings LLC</v>
      </c>
      <c r="I167" s="8" t="s">
        <v>678</v>
      </c>
      <c r="J167" t="s">
        <v>903</v>
      </c>
      <c r="K167" s="7">
        <v>45331</v>
      </c>
      <c r="L167" s="7" t="s">
        <v>904</v>
      </c>
      <c r="M167" s="7">
        <v>2</v>
      </c>
      <c r="N167" s="20">
        <v>40.081111</v>
      </c>
      <c r="O167" s="11">
        <v>-84.591667000000001</v>
      </c>
      <c r="P167" s="12">
        <v>2008</v>
      </c>
      <c r="Q167" s="12" t="s">
        <v>388</v>
      </c>
      <c r="R167" s="12">
        <f t="shared" si="24"/>
        <v>4</v>
      </c>
      <c r="S167" s="12" t="s">
        <v>389</v>
      </c>
      <c r="AB167" s="13" t="s">
        <v>390</v>
      </c>
      <c r="AC167" s="13" t="s">
        <v>391</v>
      </c>
      <c r="AD167" s="13" t="s">
        <v>378</v>
      </c>
      <c r="AE167" s="8" t="str">
        <f t="shared" si="25"/>
        <v>High</v>
      </c>
      <c r="AF167" s="14"/>
      <c r="AG167" s="14"/>
      <c r="AH167" s="14"/>
      <c r="AI167" s="14"/>
      <c r="AJ167" s="15">
        <f>VLOOKUP(E167,'[1]Ethanol Plant Listing 2025'!$B$3:$E$220,4,FALSE)</f>
        <v>154</v>
      </c>
      <c r="AK167" s="14">
        <f>+AJ167*[1]Yield!$K$4</f>
        <v>146.29999999999998</v>
      </c>
      <c r="AL167" s="14">
        <f>AK167/VLOOKUP(Q167,[1]Yield!$E$5:$F$14,2,FALSE)</f>
        <v>49.593220338983045</v>
      </c>
      <c r="AM167" s="14"/>
      <c r="AN167" s="14"/>
      <c r="AO167" s="16">
        <f t="shared" si="26"/>
        <v>325000</v>
      </c>
      <c r="AP167" s="16" t="s">
        <v>393</v>
      </c>
      <c r="AQ167" s="17" t="str">
        <f t="shared" si="32"/>
        <v>ICM</v>
      </c>
      <c r="AR167" s="18">
        <f>VLOOKUP(AQ167,[1]Yield!$A$5:$B$10,2,FALSE)</f>
        <v>0.9</v>
      </c>
      <c r="AS167" s="14">
        <f t="shared" si="27"/>
        <v>44.633898305084742</v>
      </c>
      <c r="AT167" s="8" t="s">
        <v>394</v>
      </c>
      <c r="AX167" s="8" t="str">
        <f>IFERROR(VLOOKUP(E167,[1]Sheet3!$C$2:$E$68,2,FALSE),"None")</f>
        <v>None</v>
      </c>
      <c r="AY167" s="8">
        <f>IFERROR(VLOOKUP(AX167,[1]Sheet3!$H$3:$I$5,2,FALSE),0)</f>
        <v>0</v>
      </c>
      <c r="AZ167" s="14">
        <f t="shared" si="28"/>
        <v>154</v>
      </c>
      <c r="BA167" s="14">
        <f t="shared" si="29"/>
        <v>253.17599999999996</v>
      </c>
      <c r="BB167" s="27"/>
      <c r="BC167" s="7" t="s">
        <v>437</v>
      </c>
      <c r="BD167" s="19" t="s">
        <v>900</v>
      </c>
      <c r="BE167" s="7" t="s">
        <v>531</v>
      </c>
      <c r="BF167" s="7" t="s">
        <v>398</v>
      </c>
      <c r="BJ167" s="7" t="s">
        <v>400</v>
      </c>
      <c r="BK167" s="7">
        <f t="shared" si="30"/>
        <v>25</v>
      </c>
    </row>
    <row r="168" spans="1:64" ht="15.6" customHeight="1" x14ac:dyDescent="0.3">
      <c r="A168" s="7">
        <v>167</v>
      </c>
      <c r="B168" s="8"/>
      <c r="C168" s="8"/>
      <c r="D168" s="8">
        <v>3275</v>
      </c>
      <c r="E168" s="8">
        <v>3716</v>
      </c>
      <c r="F168" s="8" t="str">
        <f t="shared" si="31"/>
        <v>Active</v>
      </c>
      <c r="G168" s="9" t="s">
        <v>795</v>
      </c>
      <c r="H168" s="9" t="s">
        <v>905</v>
      </c>
      <c r="I168" s="8" t="s">
        <v>678</v>
      </c>
      <c r="J168" t="s">
        <v>906</v>
      </c>
      <c r="K168" s="7">
        <v>43812</v>
      </c>
      <c r="L168" s="7" t="s">
        <v>906</v>
      </c>
      <c r="M168" s="7">
        <v>2</v>
      </c>
      <c r="N168" s="20">
        <v>40.215400000000002</v>
      </c>
      <c r="O168" s="11">
        <v>-81.860209999999995</v>
      </c>
      <c r="P168" s="12">
        <v>2007</v>
      </c>
      <c r="Q168" s="12" t="s">
        <v>405</v>
      </c>
      <c r="R168" s="12">
        <f t="shared" si="24"/>
        <v>2</v>
      </c>
      <c r="S168" s="12"/>
      <c r="AB168" s="13" t="s">
        <v>390</v>
      </c>
      <c r="AC168" s="13" t="s">
        <v>391</v>
      </c>
      <c r="AD168" s="13" t="s">
        <v>378</v>
      </c>
      <c r="AE168" s="8" t="str">
        <f t="shared" si="25"/>
        <v>High</v>
      </c>
      <c r="AF168" s="14"/>
      <c r="AG168" s="14"/>
      <c r="AH168" s="14"/>
      <c r="AI168" s="14"/>
      <c r="AJ168" s="15">
        <f>VLOOKUP(E168,'[1]Ethanol Plant Listing 2025'!$B$3:$E$220,4,FALSE)</f>
        <v>50</v>
      </c>
      <c r="AK168" s="14">
        <f>+AJ168*[1]Yield!$K$4</f>
        <v>47.5</v>
      </c>
      <c r="AL168" s="14">
        <f>AK168/VLOOKUP(Q168,[1]Yield!$E$5:$F$14,2,FALSE)</f>
        <v>16.493055555555557</v>
      </c>
      <c r="AM168" s="14"/>
      <c r="AN168" s="14"/>
      <c r="AO168" s="16">
        <f t="shared" si="26"/>
        <v>108000</v>
      </c>
      <c r="AP168" s="16" t="s">
        <v>410</v>
      </c>
      <c r="AQ168" s="17" t="str">
        <f t="shared" si="32"/>
        <v>None</v>
      </c>
      <c r="AR168" s="18">
        <f>VLOOKUP(AQ168,[1]Yield!$A$5:$B$10,2,FALSE)</f>
        <v>0.81499999999999995</v>
      </c>
      <c r="AS168" s="14">
        <f t="shared" si="27"/>
        <v>13.441840277777779</v>
      </c>
      <c r="AT168" s="8" t="s">
        <v>394</v>
      </c>
      <c r="AX168" s="8" t="str">
        <f>IFERROR(VLOOKUP(E168,[1]Sheet3!$C$2:$E$68,2,FALSE),"None")</f>
        <v>None</v>
      </c>
      <c r="AY168" s="8">
        <f>IFERROR(VLOOKUP(AX168,[1]Sheet3!$H$3:$I$5,2,FALSE),0)</f>
        <v>0</v>
      </c>
      <c r="AZ168" s="14">
        <f t="shared" si="28"/>
        <v>50</v>
      </c>
      <c r="BA168" s="14">
        <f t="shared" si="29"/>
        <v>82.2</v>
      </c>
      <c r="BB168" s="27"/>
      <c r="BC168" s="7"/>
      <c r="BD168" s="19" t="s">
        <v>907</v>
      </c>
      <c r="BE168" s="7" t="s">
        <v>567</v>
      </c>
      <c r="BF168" s="7" t="s">
        <v>414</v>
      </c>
      <c r="BK168" s="7">
        <f t="shared" si="30"/>
        <v>20</v>
      </c>
    </row>
    <row r="169" spans="1:64" ht="15.6" customHeight="1" x14ac:dyDescent="0.3">
      <c r="A169" s="7">
        <v>168</v>
      </c>
      <c r="B169" s="8">
        <v>4754</v>
      </c>
      <c r="C169" s="8">
        <v>70053</v>
      </c>
      <c r="D169" s="8">
        <v>3276</v>
      </c>
      <c r="E169" s="8">
        <v>3717</v>
      </c>
      <c r="F169" s="8" t="str">
        <f t="shared" si="31"/>
        <v>Active</v>
      </c>
      <c r="G169" s="9" t="s">
        <v>291</v>
      </c>
      <c r="H169" s="9" t="str">
        <f>VLOOKUP(E169,'[1]EPA Ethanol Capacity 2024'!$B$5:$C$235,2,FALSE)</f>
        <v>Trenton Agri Products LLC</v>
      </c>
      <c r="I169" s="8" t="s">
        <v>470</v>
      </c>
      <c r="J169" t="s">
        <v>292</v>
      </c>
      <c r="K169" s="7">
        <v>69044</v>
      </c>
      <c r="L169" s="7" t="s">
        <v>908</v>
      </c>
      <c r="M169" s="7">
        <v>2</v>
      </c>
      <c r="N169" s="20">
        <v>40.196179999999998</v>
      </c>
      <c r="O169" s="11">
        <v>-100.98</v>
      </c>
      <c r="P169" s="12">
        <v>2004</v>
      </c>
      <c r="Q169" s="12" t="s">
        <v>388</v>
      </c>
      <c r="R169" s="12">
        <f t="shared" si="24"/>
        <v>1</v>
      </c>
      <c r="S169" s="12"/>
      <c r="AB169" s="13" t="s">
        <v>425</v>
      </c>
      <c r="AC169" s="13" t="s">
        <v>391</v>
      </c>
      <c r="AD169" s="13" t="s">
        <v>378</v>
      </c>
      <c r="AE169" s="8" t="str">
        <f t="shared" si="25"/>
        <v>High</v>
      </c>
      <c r="AF169" s="14">
        <v>55</v>
      </c>
      <c r="AG169" s="14">
        <v>45</v>
      </c>
      <c r="AH169" s="14" t="s">
        <v>515</v>
      </c>
      <c r="AI169" s="14">
        <v>78323</v>
      </c>
      <c r="AJ169" s="15">
        <f>VLOOKUP(E169,'[1]Ethanol Plant Listing 2025'!$B$3:$E$220,4,FALSE)</f>
        <v>55</v>
      </c>
      <c r="AK169" s="14">
        <f>+AJ169*[1]Yield!$K$4</f>
        <v>52.25</v>
      </c>
      <c r="AL169" s="14">
        <f>AK169/VLOOKUP(Q169,[1]Yield!$E$5:$F$14,2,FALSE)</f>
        <v>17.711864406779661</v>
      </c>
      <c r="AM169" s="14"/>
      <c r="AN169" s="14"/>
      <c r="AO169" s="16">
        <f t="shared" si="26"/>
        <v>116000</v>
      </c>
      <c r="AP169" s="16" t="s">
        <v>393</v>
      </c>
      <c r="AQ169" s="17" t="str">
        <f t="shared" si="32"/>
        <v>ICM</v>
      </c>
      <c r="AR169" s="18">
        <f>VLOOKUP(AQ169,[1]Yield!$A$5:$B$10,2,FALSE)</f>
        <v>0.9</v>
      </c>
      <c r="AS169" s="14">
        <f t="shared" si="27"/>
        <v>15.940677966101696</v>
      </c>
      <c r="AT169" s="8" t="s">
        <v>437</v>
      </c>
      <c r="AU169" s="8"/>
      <c r="AV169" s="8"/>
      <c r="AW169" s="13"/>
      <c r="AX169" s="8" t="str">
        <f>IFERROR(VLOOKUP(E169,[1]Sheet3!$C$2:$E$68,2,FALSE),"None")</f>
        <v>None</v>
      </c>
      <c r="AY169" s="8">
        <f>IFERROR(VLOOKUP(AX169,[1]Sheet3!$H$3:$I$5,2,FALSE),0)</f>
        <v>0</v>
      </c>
      <c r="AZ169" s="14">
        <f t="shared" si="28"/>
        <v>55</v>
      </c>
      <c r="BA169" s="14">
        <f t="shared" si="29"/>
        <v>90.42</v>
      </c>
      <c r="BB169" s="27"/>
      <c r="BC169" s="7"/>
      <c r="BD169" s="19" t="s">
        <v>909</v>
      </c>
      <c r="BE169" s="7" t="s">
        <v>481</v>
      </c>
      <c r="BF169" s="7" t="s">
        <v>414</v>
      </c>
      <c r="BJ169" s="7" t="s">
        <v>400</v>
      </c>
      <c r="BK169" s="7">
        <f t="shared" si="30"/>
        <v>25</v>
      </c>
    </row>
    <row r="170" spans="1:64" ht="15.6" customHeight="1" x14ac:dyDescent="0.3">
      <c r="A170" s="7">
        <v>169</v>
      </c>
      <c r="B170" s="8"/>
      <c r="C170" s="8"/>
      <c r="D170" s="8">
        <v>3278</v>
      </c>
      <c r="E170" s="8">
        <v>3719</v>
      </c>
      <c r="F170" s="8" t="str">
        <f t="shared" si="31"/>
        <v>Active</v>
      </c>
      <c r="G170" s="9" t="s">
        <v>731</v>
      </c>
      <c r="H170" s="9" t="s">
        <v>910</v>
      </c>
      <c r="I170" s="8" t="s">
        <v>402</v>
      </c>
      <c r="J170" t="s">
        <v>911</v>
      </c>
      <c r="K170" s="7">
        <v>53563</v>
      </c>
      <c r="L170" s="7" t="s">
        <v>912</v>
      </c>
      <c r="M170" s="7">
        <v>2</v>
      </c>
      <c r="N170" s="20">
        <v>42.759909999999998</v>
      </c>
      <c r="O170" s="11">
        <v>-88.917109999999994</v>
      </c>
      <c r="P170" s="12">
        <v>2006</v>
      </c>
      <c r="Q170" s="12" t="s">
        <v>405</v>
      </c>
      <c r="R170" s="12">
        <f t="shared" si="24"/>
        <v>2</v>
      </c>
      <c r="S170" s="12"/>
      <c r="X170" s="7" t="s">
        <v>406</v>
      </c>
      <c r="AB170" s="13" t="s">
        <v>390</v>
      </c>
      <c r="AC170" s="13" t="s">
        <v>391</v>
      </c>
      <c r="AD170" s="13" t="s">
        <v>378</v>
      </c>
      <c r="AE170" s="8" t="str">
        <f t="shared" si="25"/>
        <v>High</v>
      </c>
      <c r="AF170" s="14"/>
      <c r="AG170" s="14"/>
      <c r="AH170" s="14"/>
      <c r="AI170" s="14"/>
      <c r="AJ170" s="15">
        <f>VLOOKUP(E170,'[1]Ethanol Plant Listing 2025'!$B$3:$E$220,4,FALSE)</f>
        <v>61</v>
      </c>
      <c r="AK170" s="14">
        <f>+AJ170*[1]Yield!$K$4</f>
        <v>57.949999999999996</v>
      </c>
      <c r="AL170" s="14">
        <f>AK170/VLOOKUP(Q170,[1]Yield!$E$5:$F$14,2,FALSE)</f>
        <v>20.121527777777779</v>
      </c>
      <c r="AM170" s="14"/>
      <c r="AN170" s="14"/>
      <c r="AO170" s="16">
        <f t="shared" si="26"/>
        <v>132000</v>
      </c>
      <c r="AP170" s="16" t="s">
        <v>410</v>
      </c>
      <c r="AQ170" s="17" t="str">
        <f t="shared" si="32"/>
        <v>None</v>
      </c>
      <c r="AR170" s="18">
        <f>VLOOKUP(AQ170,[1]Yield!$A$5:$B$10,2,FALSE)</f>
        <v>0.81499999999999995</v>
      </c>
      <c r="AS170" s="14">
        <f t="shared" si="27"/>
        <v>16.399045138888887</v>
      </c>
      <c r="AT170" s="8" t="s">
        <v>411</v>
      </c>
      <c r="AX170" s="8" t="str">
        <f>IFERROR(VLOOKUP(E170,[1]Sheet3!$C$2:$E$68,2,FALSE),"None")</f>
        <v>None</v>
      </c>
      <c r="AY170" s="8">
        <f>IFERROR(VLOOKUP(AX170,[1]Sheet3!$H$3:$I$5,2,FALSE),0)</f>
        <v>0</v>
      </c>
      <c r="AZ170" s="14">
        <f t="shared" si="28"/>
        <v>61</v>
      </c>
      <c r="BA170" s="14">
        <f t="shared" si="29"/>
        <v>100.28399999999999</v>
      </c>
      <c r="BB170" s="27"/>
      <c r="BC170" s="7"/>
      <c r="BD170" s="19" t="s">
        <v>913</v>
      </c>
      <c r="BE170" s="7" t="s">
        <v>914</v>
      </c>
      <c r="BF170" s="7" t="s">
        <v>398</v>
      </c>
      <c r="BK170" s="7">
        <f t="shared" si="30"/>
        <v>20</v>
      </c>
    </row>
    <row r="171" spans="1:64" ht="15.6" customHeight="1" x14ac:dyDescent="0.3">
      <c r="A171" s="7">
        <v>170</v>
      </c>
      <c r="B171" s="8"/>
      <c r="C171" s="8"/>
      <c r="D171" s="8">
        <v>3279</v>
      </c>
      <c r="E171" s="8">
        <v>3720</v>
      </c>
      <c r="F171" s="8" t="str">
        <f t="shared" si="31"/>
        <v>Active</v>
      </c>
      <c r="G171" s="9" t="s">
        <v>915</v>
      </c>
      <c r="H171" s="9" t="str">
        <f>VLOOKUP(E171,'[1]EPA Ethanol Capacity 2024'!$B$5:$C$235,2,FALSE)</f>
        <v>United Wisconsin Grain Producers LLC</v>
      </c>
      <c r="I171" s="8" t="s">
        <v>402</v>
      </c>
      <c r="J171" s="22" t="s">
        <v>916</v>
      </c>
      <c r="K171" s="7">
        <v>53935</v>
      </c>
      <c r="L171" s="7" t="s">
        <v>599</v>
      </c>
      <c r="M171" s="7">
        <v>2</v>
      </c>
      <c r="N171" s="20">
        <v>43.570599999999999</v>
      </c>
      <c r="O171" s="11">
        <v>-89.061300000000003</v>
      </c>
      <c r="P171" s="12">
        <v>0</v>
      </c>
      <c r="Q171" s="12" t="s">
        <v>388</v>
      </c>
      <c r="R171" s="12">
        <f t="shared" si="24"/>
        <v>1</v>
      </c>
      <c r="S171" s="12" t="s">
        <v>389</v>
      </c>
      <c r="T171" s="8" t="s">
        <v>486</v>
      </c>
      <c r="Z171" s="7" t="str">
        <f>+T171</f>
        <v>FQPT HI PRO</v>
      </c>
      <c r="AB171" s="13" t="s">
        <v>390</v>
      </c>
      <c r="AC171" s="13" t="s">
        <v>391</v>
      </c>
      <c r="AD171" s="13" t="s">
        <v>378</v>
      </c>
      <c r="AE171" s="8" t="str">
        <f t="shared" si="25"/>
        <v>High</v>
      </c>
      <c r="AF171" s="14"/>
      <c r="AG171" s="14"/>
      <c r="AH171" s="14"/>
      <c r="AI171" s="14"/>
      <c r="AJ171" s="15">
        <f>VLOOKUP(E171,'[1]Ethanol Plant Listing 2025'!$B$3:$E$220,4,FALSE)</f>
        <v>71</v>
      </c>
      <c r="AK171" s="14">
        <f>+AJ171*[1]Yield!$K$4</f>
        <v>67.45</v>
      </c>
      <c r="AL171" s="14">
        <f>AK171/VLOOKUP(Q171,[1]Yield!$E$5:$F$14,2,FALSE)</f>
        <v>22.864406779661017</v>
      </c>
      <c r="AM171" s="14"/>
      <c r="AN171" s="14"/>
      <c r="AO171" s="16">
        <f t="shared" si="26"/>
        <v>150000</v>
      </c>
      <c r="AP171" s="16" t="s">
        <v>393</v>
      </c>
      <c r="AQ171" s="17" t="str">
        <f t="shared" si="32"/>
        <v>FQPT HI PRO</v>
      </c>
      <c r="AR171" s="18">
        <f>VLOOKUP(AQ171,[1]Yield!$A$5:$B$10,2,FALSE)</f>
        <v>1.05</v>
      </c>
      <c r="AS171" s="14">
        <f t="shared" si="27"/>
        <v>24.00762711864407</v>
      </c>
      <c r="AT171" s="8" t="s">
        <v>411</v>
      </c>
      <c r="AX171" s="8" t="str">
        <f>IFERROR(VLOOKUP(E171,[1]Sheet3!$C$2:$E$68,2,FALSE),"None")</f>
        <v>None</v>
      </c>
      <c r="AY171" s="8">
        <f>IFERROR(VLOOKUP(AX171,[1]Sheet3!$H$3:$I$5,2,FALSE),0)</f>
        <v>0</v>
      </c>
      <c r="AZ171" s="14">
        <f t="shared" si="28"/>
        <v>71</v>
      </c>
      <c r="BA171" s="14">
        <f t="shared" si="29"/>
        <v>116.72399999999999</v>
      </c>
      <c r="BB171" s="27"/>
      <c r="BC171" s="7"/>
      <c r="BD171" s="19" t="s">
        <v>917</v>
      </c>
      <c r="BE171" s="7" t="s">
        <v>428</v>
      </c>
      <c r="BF171" s="7" t="s">
        <v>398</v>
      </c>
      <c r="BI171" s="7" t="s">
        <v>399</v>
      </c>
      <c r="BK171" s="7">
        <f t="shared" si="30"/>
        <v>25</v>
      </c>
    </row>
    <row r="172" spans="1:64" ht="15.6" customHeight="1" x14ac:dyDescent="0.3">
      <c r="A172" s="7">
        <v>171</v>
      </c>
      <c r="B172" s="8">
        <v>3201</v>
      </c>
      <c r="C172" s="8">
        <v>70142</v>
      </c>
      <c r="D172" s="8">
        <v>3280</v>
      </c>
      <c r="E172" s="8">
        <v>3721</v>
      </c>
      <c r="F172" s="8" t="str">
        <f t="shared" si="31"/>
        <v>Active</v>
      </c>
      <c r="G172" s="9" t="s">
        <v>295</v>
      </c>
      <c r="H172" s="9" t="str">
        <f>VLOOKUP(E172,'[1]EPA Ethanol Capacity 2024'!$B$5:$C$235,2,FALSE)</f>
        <v>Valero Renewable Fuels LLC</v>
      </c>
      <c r="I172" s="8" t="s">
        <v>387</v>
      </c>
      <c r="J172" t="s">
        <v>296</v>
      </c>
      <c r="K172" s="7">
        <v>50510</v>
      </c>
      <c r="L172" s="7" t="s">
        <v>918</v>
      </c>
      <c r="M172" s="7">
        <v>2</v>
      </c>
      <c r="N172" s="20">
        <v>42.775351999999998</v>
      </c>
      <c r="O172" s="11">
        <v>-94.942431999999997</v>
      </c>
      <c r="P172" s="12">
        <v>2006</v>
      </c>
      <c r="Q172" s="12" t="s">
        <v>388</v>
      </c>
      <c r="R172" s="12">
        <f t="shared" si="24"/>
        <v>12</v>
      </c>
      <c r="S172" s="12" t="s">
        <v>389</v>
      </c>
      <c r="AB172" s="13" t="s">
        <v>390</v>
      </c>
      <c r="AC172" s="13" t="s">
        <v>391</v>
      </c>
      <c r="AD172" s="8" t="s">
        <v>378</v>
      </c>
      <c r="AE172" s="8" t="str">
        <f t="shared" si="25"/>
        <v>High</v>
      </c>
      <c r="AF172" s="14">
        <v>130</v>
      </c>
      <c r="AG172" s="14">
        <v>110</v>
      </c>
      <c r="AH172" s="14" t="s">
        <v>919</v>
      </c>
      <c r="AI172" s="14"/>
      <c r="AJ172" s="15">
        <f>VLOOKUP(E172,'[1]Ethanol Plant Listing 2025'!$B$3:$E$220,4,FALSE)</f>
        <v>140</v>
      </c>
      <c r="AK172" s="14">
        <f>+AJ172*[1]Yield!$K$4</f>
        <v>133</v>
      </c>
      <c r="AL172" s="14">
        <f>AK172/VLOOKUP(Q172,[1]Yield!$E$5:$F$14,2,FALSE)</f>
        <v>45.084745762711862</v>
      </c>
      <c r="AM172" s="14"/>
      <c r="AN172" s="14"/>
      <c r="AO172" s="16">
        <f t="shared" si="26"/>
        <v>295000</v>
      </c>
      <c r="AP172" s="16" t="s">
        <v>393</v>
      </c>
      <c r="AQ172" s="17" t="str">
        <f t="shared" si="32"/>
        <v>ICM</v>
      </c>
      <c r="AR172" s="18">
        <f>VLOOKUP(AQ172,[1]Yield!$A$5:$B$10,2,FALSE)</f>
        <v>0.9</v>
      </c>
      <c r="AS172" s="14">
        <f t="shared" si="27"/>
        <v>40.576271186440678</v>
      </c>
      <c r="AT172" s="8" t="s">
        <v>437</v>
      </c>
      <c r="AU172" s="8"/>
      <c r="AV172" s="8" t="s">
        <v>395</v>
      </c>
      <c r="AW172" s="13"/>
      <c r="AX172" s="8" t="str">
        <f>IFERROR(VLOOKUP(E172,[1]Sheet3!$C$2:$E$68,2,FALSE),"None")</f>
        <v>Summit Carbon Solutions</v>
      </c>
      <c r="AY172" s="8">
        <f>IFERROR(VLOOKUP(AX172,[1]Sheet3!$H$3:$I$5,2,FALSE),0)</f>
        <v>31</v>
      </c>
      <c r="AZ172" s="14">
        <f t="shared" si="28"/>
        <v>140</v>
      </c>
      <c r="BA172" s="14">
        <f t="shared" si="29"/>
        <v>230.16</v>
      </c>
      <c r="BB172" s="12">
        <f>SUMIFS('[1]Corn 2023'!V:V,'[1]Corn 2023'!B:B,"=2023",'[1]Corn 2023'!L:L,"="&amp;'Corn Processors'!L172)</f>
        <v>162000</v>
      </c>
      <c r="BC172" s="7" t="s">
        <v>437</v>
      </c>
      <c r="BD172" s="19" t="s">
        <v>828</v>
      </c>
      <c r="BE172" s="7" t="s">
        <v>428</v>
      </c>
      <c r="BF172" s="7" t="s">
        <v>398</v>
      </c>
      <c r="BK172" s="7">
        <f t="shared" si="30"/>
        <v>25</v>
      </c>
      <c r="BL172" s="30" t="s">
        <v>920</v>
      </c>
    </row>
    <row r="173" spans="1:64" ht="15.6" customHeight="1" x14ac:dyDescent="0.3">
      <c r="A173" s="7">
        <v>172</v>
      </c>
      <c r="B173" s="8">
        <v>3201</v>
      </c>
      <c r="C173" s="8">
        <v>70283</v>
      </c>
      <c r="D173" s="8">
        <v>3281</v>
      </c>
      <c r="E173" s="8">
        <v>3722</v>
      </c>
      <c r="F173" s="8" t="str">
        <f t="shared" si="31"/>
        <v>Active</v>
      </c>
      <c r="G173" s="9" t="s">
        <v>295</v>
      </c>
      <c r="H173" s="9" t="str">
        <f>VLOOKUP(E173,'[1]EPA Ethanol Capacity 2024'!$B$5:$C$235,2,FALSE)</f>
        <v>Valero Renewable Fuels</v>
      </c>
      <c r="I173" s="8" t="s">
        <v>470</v>
      </c>
      <c r="J173" t="s">
        <v>300</v>
      </c>
      <c r="K173" s="7">
        <v>68620</v>
      </c>
      <c r="L173" s="7" t="s">
        <v>921</v>
      </c>
      <c r="M173" s="7">
        <v>2</v>
      </c>
      <c r="N173" s="20">
        <v>41.677500000000002</v>
      </c>
      <c r="O173" s="11">
        <v>-97.982221999999993</v>
      </c>
      <c r="P173" s="12">
        <v>2007</v>
      </c>
      <c r="Q173" s="12" t="s">
        <v>388</v>
      </c>
      <c r="R173" s="12">
        <f t="shared" si="24"/>
        <v>12</v>
      </c>
      <c r="S173" s="12" t="s">
        <v>389</v>
      </c>
      <c r="AB173" s="13" t="s">
        <v>390</v>
      </c>
      <c r="AC173" s="13" t="s">
        <v>391</v>
      </c>
      <c r="AD173" s="8"/>
      <c r="AE173" s="8" t="str">
        <f t="shared" si="25"/>
        <v>High</v>
      </c>
      <c r="AF173" s="14">
        <f>161.4*1.0249</f>
        <v>165.41886</v>
      </c>
      <c r="AG173" s="14">
        <v>123.9</v>
      </c>
      <c r="AH173" s="14" t="s">
        <v>515</v>
      </c>
      <c r="AI173" s="14">
        <v>85814</v>
      </c>
      <c r="AJ173" s="15">
        <f>VLOOKUP(E173,'[1]Ethanol Plant Listing 2025'!$B$3:$E$220,4,FALSE)</f>
        <v>140</v>
      </c>
      <c r="AK173" s="14">
        <f>+AJ173*[1]Yield!$K$4</f>
        <v>133</v>
      </c>
      <c r="AL173" s="14">
        <f>AK173/VLOOKUP(Q173,[1]Yield!$E$5:$F$14,2,FALSE)</f>
        <v>45.084745762711862</v>
      </c>
      <c r="AM173" s="14"/>
      <c r="AN173" s="14"/>
      <c r="AO173" s="16">
        <f t="shared" si="26"/>
        <v>295000</v>
      </c>
      <c r="AP173" s="16" t="s">
        <v>393</v>
      </c>
      <c r="AQ173" s="17" t="str">
        <f t="shared" si="32"/>
        <v>ICM</v>
      </c>
      <c r="AR173" s="18">
        <f>VLOOKUP(AQ173,[1]Yield!$A$5:$B$10,2,FALSE)</f>
        <v>0.9</v>
      </c>
      <c r="AS173" s="14">
        <f t="shared" si="27"/>
        <v>40.576271186440678</v>
      </c>
      <c r="AT173" s="8" t="s">
        <v>437</v>
      </c>
      <c r="AU173" s="8"/>
      <c r="AV173" s="8" t="s">
        <v>395</v>
      </c>
      <c r="AW173" s="13"/>
      <c r="AX173" s="8" t="str">
        <f>IFERROR(VLOOKUP(E173,[1]Sheet3!$C$2:$E$68,2,FALSE),"None")</f>
        <v>Summit Carbon Solutions</v>
      </c>
      <c r="AY173" s="8">
        <f>IFERROR(VLOOKUP(AX173,[1]Sheet3!$H$3:$I$5,2,FALSE),0)</f>
        <v>31</v>
      </c>
      <c r="AZ173" s="14">
        <f t="shared" si="28"/>
        <v>140</v>
      </c>
      <c r="BA173" s="14">
        <f t="shared" si="29"/>
        <v>230.16</v>
      </c>
      <c r="BB173" s="27"/>
      <c r="BC173" s="7" t="s">
        <v>437</v>
      </c>
      <c r="BD173" s="19" t="s">
        <v>828</v>
      </c>
      <c r="BE173" s="7" t="s">
        <v>428</v>
      </c>
      <c r="BF173" s="7" t="s">
        <v>398</v>
      </c>
      <c r="BK173" s="7">
        <f t="shared" si="30"/>
        <v>25</v>
      </c>
      <c r="BL173" s="30" t="s">
        <v>922</v>
      </c>
    </row>
    <row r="174" spans="1:64" ht="15.6" customHeight="1" x14ac:dyDescent="0.3">
      <c r="A174" s="7">
        <v>173</v>
      </c>
      <c r="B174" s="8">
        <v>3201</v>
      </c>
      <c r="C174" s="8">
        <v>70041</v>
      </c>
      <c r="D174" s="8">
        <v>3282</v>
      </c>
      <c r="E174" s="8">
        <v>3723</v>
      </c>
      <c r="F174" s="8" t="str">
        <f t="shared" si="31"/>
        <v>Active</v>
      </c>
      <c r="G174" s="9" t="s">
        <v>295</v>
      </c>
      <c r="H174" s="9" t="str">
        <f>VLOOKUP(E174,'[1]EPA Ethanol Capacity 2024'!$B$5:$C$235,2,FALSE)</f>
        <v>Valero Renewable Fuels LLC</v>
      </c>
      <c r="I174" s="8" t="s">
        <v>582</v>
      </c>
      <c r="J174" t="s">
        <v>141</v>
      </c>
      <c r="K174" s="7">
        <v>57002</v>
      </c>
      <c r="L174" s="7" t="s">
        <v>923</v>
      </c>
      <c r="M174" s="7">
        <v>2</v>
      </c>
      <c r="N174" s="20">
        <v>44.297221999999998</v>
      </c>
      <c r="O174" s="11">
        <v>-96.717222000000007</v>
      </c>
      <c r="P174" s="12">
        <v>2003</v>
      </c>
      <c r="Q174" s="12" t="s">
        <v>388</v>
      </c>
      <c r="R174" s="12">
        <f t="shared" si="24"/>
        <v>12</v>
      </c>
      <c r="S174" s="12" t="s">
        <v>389</v>
      </c>
      <c r="AB174" s="13" t="s">
        <v>390</v>
      </c>
      <c r="AC174" s="13" t="s">
        <v>391</v>
      </c>
      <c r="AD174" s="8"/>
      <c r="AE174" s="8" t="str">
        <f t="shared" si="25"/>
        <v>High</v>
      </c>
      <c r="AF174" s="14"/>
      <c r="AG174" s="14"/>
      <c r="AH174" s="14"/>
      <c r="AI174" s="14"/>
      <c r="AJ174" s="15">
        <f>VLOOKUP(E174,'[1]Ethanol Plant Listing 2025'!$B$3:$E$220,4,FALSE)</f>
        <v>150</v>
      </c>
      <c r="AK174" s="14">
        <f>+AJ174*[1]Yield!$K$4</f>
        <v>142.5</v>
      </c>
      <c r="AL174" s="14">
        <f>AK174/VLOOKUP(Q174,[1]Yield!$E$5:$F$14,2,FALSE)</f>
        <v>48.305084745762706</v>
      </c>
      <c r="AM174" s="14"/>
      <c r="AN174" s="14"/>
      <c r="AO174" s="16">
        <f t="shared" si="26"/>
        <v>316000</v>
      </c>
      <c r="AP174" s="16" t="s">
        <v>393</v>
      </c>
      <c r="AQ174" s="17" t="str">
        <f t="shared" si="32"/>
        <v>ICM</v>
      </c>
      <c r="AR174" s="18">
        <f>VLOOKUP(AQ174,[1]Yield!$A$5:$B$10,2,FALSE)</f>
        <v>0.9</v>
      </c>
      <c r="AS174" s="14">
        <f t="shared" si="27"/>
        <v>43.474576271186436</v>
      </c>
      <c r="AT174" s="8" t="s">
        <v>437</v>
      </c>
      <c r="AU174" s="8"/>
      <c r="AV174" s="8" t="s">
        <v>395</v>
      </c>
      <c r="AW174" s="13"/>
      <c r="AX174" s="8" t="str">
        <f>IFERROR(VLOOKUP(E174,[1]Sheet3!$C$2:$E$68,2,FALSE),"None")</f>
        <v>Summit Carbon Solutions</v>
      </c>
      <c r="AY174" s="8">
        <f>IFERROR(VLOOKUP(AX174,[1]Sheet3!$H$3:$I$5,2,FALSE),0)</f>
        <v>31</v>
      </c>
      <c r="AZ174" s="14">
        <f t="shared" si="28"/>
        <v>150</v>
      </c>
      <c r="BA174" s="14">
        <f t="shared" si="29"/>
        <v>246.6</v>
      </c>
      <c r="BB174" s="27"/>
      <c r="BC174" s="7" t="s">
        <v>437</v>
      </c>
      <c r="BD174" s="19" t="s">
        <v>828</v>
      </c>
      <c r="BE174" s="7" t="s">
        <v>868</v>
      </c>
      <c r="BF174" s="7" t="s">
        <v>398</v>
      </c>
      <c r="BK174" s="7">
        <f t="shared" si="30"/>
        <v>25</v>
      </c>
      <c r="BL174" s="9" t="s">
        <v>924</v>
      </c>
    </row>
    <row r="175" spans="1:64" ht="15.6" customHeight="1" x14ac:dyDescent="0.3">
      <c r="A175" s="7">
        <v>174</v>
      </c>
      <c r="B175" s="8">
        <v>3201</v>
      </c>
      <c r="C175" s="8"/>
      <c r="D175" s="8">
        <v>3283</v>
      </c>
      <c r="E175" s="8">
        <v>3724</v>
      </c>
      <c r="F175" s="8" t="str">
        <f t="shared" si="31"/>
        <v>Active</v>
      </c>
      <c r="G175" s="9" t="s">
        <v>295</v>
      </c>
      <c r="H175" s="9" t="str">
        <f>VLOOKUP(E175,'[1]EPA Ethanol Capacity 2024'!$B$5:$C$235,2,FALSE)</f>
        <v>Valero Renewable Fuels LLC</v>
      </c>
      <c r="I175" s="8" t="s">
        <v>678</v>
      </c>
      <c r="J175" t="s">
        <v>925</v>
      </c>
      <c r="K175" s="7">
        <v>43106</v>
      </c>
      <c r="L175" s="7" t="s">
        <v>926</v>
      </c>
      <c r="M175" s="7">
        <v>2</v>
      </c>
      <c r="N175" s="20">
        <v>39.597501000000001</v>
      </c>
      <c r="O175" s="11">
        <v>-83.390444000000002</v>
      </c>
      <c r="P175" s="12">
        <v>2007</v>
      </c>
      <c r="Q175" s="12" t="s">
        <v>388</v>
      </c>
      <c r="R175" s="12">
        <f t="shared" si="24"/>
        <v>12</v>
      </c>
      <c r="S175" s="12" t="s">
        <v>389</v>
      </c>
      <c r="AB175" s="13" t="s">
        <v>390</v>
      </c>
      <c r="AC175" s="13" t="s">
        <v>391</v>
      </c>
      <c r="AD175" s="8"/>
      <c r="AE175" s="8" t="str">
        <f t="shared" si="25"/>
        <v>High</v>
      </c>
      <c r="AF175" s="14"/>
      <c r="AG175" s="14"/>
      <c r="AH175" s="14"/>
      <c r="AI175" s="14"/>
      <c r="AJ175" s="15">
        <f>VLOOKUP(E175,'[1]Ethanol Plant Listing 2025'!$B$3:$E$220,4,FALSE)</f>
        <v>140</v>
      </c>
      <c r="AK175" s="14">
        <f>+AJ175*[1]Yield!$K$4</f>
        <v>133</v>
      </c>
      <c r="AL175" s="14">
        <f>AK175/VLOOKUP(Q175,[1]Yield!$E$5:$F$14,2,FALSE)</f>
        <v>45.084745762711862</v>
      </c>
      <c r="AM175" s="14"/>
      <c r="AN175" s="14"/>
      <c r="AO175" s="16">
        <f t="shared" si="26"/>
        <v>295000</v>
      </c>
      <c r="AP175" s="16" t="s">
        <v>393</v>
      </c>
      <c r="AQ175" s="17" t="str">
        <f t="shared" si="32"/>
        <v>ICM</v>
      </c>
      <c r="AR175" s="18">
        <f>VLOOKUP(AQ175,[1]Yield!$A$5:$B$10,2,FALSE)</f>
        <v>0.9</v>
      </c>
      <c r="AS175" s="14">
        <f t="shared" si="27"/>
        <v>40.576271186440678</v>
      </c>
      <c r="AT175" s="8" t="s">
        <v>394</v>
      </c>
      <c r="AX175" s="8" t="str">
        <f>IFERROR(VLOOKUP(E175,[1]Sheet3!$C$2:$E$68,2,FALSE),"None")</f>
        <v>None</v>
      </c>
      <c r="AY175" s="8">
        <f>IFERROR(VLOOKUP(AX175,[1]Sheet3!$H$3:$I$5,2,FALSE),0)</f>
        <v>0</v>
      </c>
      <c r="AZ175" s="14">
        <f t="shared" si="28"/>
        <v>140</v>
      </c>
      <c r="BA175" s="14">
        <f t="shared" si="29"/>
        <v>230.16</v>
      </c>
      <c r="BB175" s="27"/>
      <c r="BC175" s="7" t="s">
        <v>437</v>
      </c>
      <c r="BD175" s="19" t="s">
        <v>828</v>
      </c>
      <c r="BE175" s="7" t="s">
        <v>927</v>
      </c>
      <c r="BF175" s="7" t="s">
        <v>398</v>
      </c>
      <c r="BK175" s="7">
        <f t="shared" si="30"/>
        <v>25</v>
      </c>
      <c r="BL175" s="9" t="s">
        <v>928</v>
      </c>
    </row>
    <row r="176" spans="1:64" ht="15.6" customHeight="1" x14ac:dyDescent="0.3">
      <c r="A176" s="7">
        <v>175</v>
      </c>
      <c r="B176" s="8">
        <v>3201</v>
      </c>
      <c r="C176" s="8"/>
      <c r="D176" s="8">
        <v>3284</v>
      </c>
      <c r="E176" s="8">
        <v>3725</v>
      </c>
      <c r="F176" s="8" t="str">
        <f t="shared" si="31"/>
        <v>Active</v>
      </c>
      <c r="G176" s="9" t="s">
        <v>295</v>
      </c>
      <c r="H176" s="9" t="str">
        <f>VLOOKUP(E176,'[1]EPA Ethanol Capacity 2024'!$B$5:$C$235,2,FALSE)</f>
        <v>Valero Renewable Fuels LLC</v>
      </c>
      <c r="I176" s="8" t="s">
        <v>533</v>
      </c>
      <c r="J176" t="s">
        <v>929</v>
      </c>
      <c r="K176" s="7">
        <v>46714</v>
      </c>
      <c r="L176" s="7" t="s">
        <v>930</v>
      </c>
      <c r="M176" s="7">
        <v>2</v>
      </c>
      <c r="N176" s="20">
        <v>40.722138999999999</v>
      </c>
      <c r="O176" s="11">
        <v>-85.193721999999994</v>
      </c>
      <c r="P176" s="12">
        <v>2008</v>
      </c>
      <c r="Q176" s="12" t="s">
        <v>388</v>
      </c>
      <c r="R176" s="12">
        <f t="shared" si="24"/>
        <v>12</v>
      </c>
      <c r="S176" s="12" t="s">
        <v>389</v>
      </c>
      <c r="AB176" s="13" t="s">
        <v>390</v>
      </c>
      <c r="AC176" s="13" t="s">
        <v>391</v>
      </c>
      <c r="AD176" s="8"/>
      <c r="AE176" s="8" t="str">
        <f t="shared" si="25"/>
        <v>High</v>
      </c>
      <c r="AF176" s="14"/>
      <c r="AG176" s="14"/>
      <c r="AH176" s="14"/>
      <c r="AI176" s="14"/>
      <c r="AJ176" s="15">
        <f>VLOOKUP(E176,'[1]Ethanol Plant Listing 2025'!$B$3:$E$220,4,FALSE)</f>
        <v>140</v>
      </c>
      <c r="AK176" s="14">
        <f>+AJ176*[1]Yield!$K$4</f>
        <v>133</v>
      </c>
      <c r="AL176" s="14">
        <f>AK176/VLOOKUP(Q176,[1]Yield!$E$5:$F$14,2,FALSE)</f>
        <v>45.084745762711862</v>
      </c>
      <c r="AM176" s="14"/>
      <c r="AN176" s="14"/>
      <c r="AO176" s="16">
        <f t="shared" si="26"/>
        <v>295000</v>
      </c>
      <c r="AP176" s="16" t="s">
        <v>393</v>
      </c>
      <c r="AQ176" s="17" t="str">
        <f t="shared" si="32"/>
        <v>ICM</v>
      </c>
      <c r="AR176" s="18">
        <f>VLOOKUP(AQ176,[1]Yield!$A$5:$B$10,2,FALSE)</f>
        <v>0.9</v>
      </c>
      <c r="AS176" s="14">
        <f t="shared" si="27"/>
        <v>40.576271186440678</v>
      </c>
      <c r="AT176" s="8" t="s">
        <v>394</v>
      </c>
      <c r="AX176" s="8" t="str">
        <f>IFERROR(VLOOKUP(E176,[1]Sheet3!$C$2:$E$68,2,FALSE),"None")</f>
        <v>None</v>
      </c>
      <c r="AY176" s="8">
        <f>IFERROR(VLOOKUP(AX176,[1]Sheet3!$H$3:$I$5,2,FALSE),0)</f>
        <v>0</v>
      </c>
      <c r="AZ176" s="14">
        <f t="shared" si="28"/>
        <v>140</v>
      </c>
      <c r="BA176" s="14">
        <f t="shared" si="29"/>
        <v>230.16</v>
      </c>
      <c r="BB176" s="27"/>
      <c r="BC176" s="7" t="s">
        <v>437</v>
      </c>
      <c r="BD176" s="19" t="s">
        <v>828</v>
      </c>
      <c r="BE176" s="7" t="s">
        <v>567</v>
      </c>
      <c r="BF176" s="7" t="s">
        <v>398</v>
      </c>
      <c r="BK176" s="7">
        <f t="shared" si="30"/>
        <v>25</v>
      </c>
      <c r="BL176" s="9" t="s">
        <v>931</v>
      </c>
    </row>
    <row r="177" spans="1:64" ht="15.6" customHeight="1" x14ac:dyDescent="0.3">
      <c r="A177" s="7">
        <v>176</v>
      </c>
      <c r="B177" s="8">
        <v>3201</v>
      </c>
      <c r="C177" s="8">
        <v>70042</v>
      </c>
      <c r="D177" s="8">
        <v>3285</v>
      </c>
      <c r="E177" s="8">
        <v>3726</v>
      </c>
      <c r="F177" s="8" t="str">
        <f t="shared" si="31"/>
        <v>Active</v>
      </c>
      <c r="G177" s="9" t="s">
        <v>295</v>
      </c>
      <c r="H177" s="9" t="str">
        <f>VLOOKUP(E177,'[1]EPA Ethanol Capacity 2024'!$B$5:$C$235,2,FALSE)</f>
        <v>Valero Renewable Fuels LLC</v>
      </c>
      <c r="I177" s="8" t="s">
        <v>387</v>
      </c>
      <c r="J177" t="s">
        <v>302</v>
      </c>
      <c r="K177" s="7">
        <v>50616</v>
      </c>
      <c r="L177" s="7" t="s">
        <v>932</v>
      </c>
      <c r="M177" s="7">
        <v>2</v>
      </c>
      <c r="N177" s="20">
        <v>43.097299999999997</v>
      </c>
      <c r="O177" s="11">
        <v>-92.7423</v>
      </c>
      <c r="P177" s="12">
        <v>2007</v>
      </c>
      <c r="Q177" s="12" t="s">
        <v>388</v>
      </c>
      <c r="R177" s="12">
        <f t="shared" si="24"/>
        <v>12</v>
      </c>
      <c r="S177" s="12" t="s">
        <v>389</v>
      </c>
      <c r="AB177" s="13" t="s">
        <v>390</v>
      </c>
      <c r="AC177" s="13" t="s">
        <v>391</v>
      </c>
      <c r="AD177" s="8"/>
      <c r="AE177" s="8" t="str">
        <f t="shared" si="25"/>
        <v>High</v>
      </c>
      <c r="AF177" s="14">
        <v>165</v>
      </c>
      <c r="AG177" s="14">
        <v>130</v>
      </c>
      <c r="AH177" s="14" t="s">
        <v>933</v>
      </c>
      <c r="AI177" s="14"/>
      <c r="AJ177" s="15">
        <f>VLOOKUP(E177,'[1]Ethanol Plant Listing 2025'!$B$3:$E$220,4,FALSE)</f>
        <v>165</v>
      </c>
      <c r="AK177" s="14">
        <f>+AJ177*[1]Yield!$K$4</f>
        <v>156.75</v>
      </c>
      <c r="AL177" s="14">
        <f>AK177/VLOOKUP(Q177,[1]Yield!$E$5:$F$14,2,FALSE)</f>
        <v>53.135593220338983</v>
      </c>
      <c r="AM177" s="14"/>
      <c r="AN177" s="14"/>
      <c r="AO177" s="16">
        <f t="shared" si="26"/>
        <v>348000</v>
      </c>
      <c r="AP177" s="16" t="s">
        <v>393</v>
      </c>
      <c r="AQ177" s="17" t="str">
        <f t="shared" si="32"/>
        <v>ICM</v>
      </c>
      <c r="AR177" s="18">
        <f>VLOOKUP(AQ177,[1]Yield!$A$5:$B$10,2,FALSE)</f>
        <v>0.9</v>
      </c>
      <c r="AS177" s="14">
        <f t="shared" si="27"/>
        <v>47.822033898305087</v>
      </c>
      <c r="AT177" s="8" t="s">
        <v>437</v>
      </c>
      <c r="AU177" s="8"/>
      <c r="AV177" s="8" t="s">
        <v>395</v>
      </c>
      <c r="AW177" s="13"/>
      <c r="AX177" s="8" t="str">
        <f>IFERROR(VLOOKUP(E177,[1]Sheet3!$C$2:$E$68,2,FALSE),"None")</f>
        <v>Summit Carbon Solutions</v>
      </c>
      <c r="AY177" s="8">
        <f>IFERROR(VLOOKUP(AX177,[1]Sheet3!$H$3:$I$5,2,FALSE),0)</f>
        <v>31</v>
      </c>
      <c r="AZ177" s="14">
        <f t="shared" si="28"/>
        <v>165</v>
      </c>
      <c r="BA177" s="14">
        <f t="shared" si="29"/>
        <v>271.26</v>
      </c>
      <c r="BB177" s="12">
        <f>SUMIFS('[1]Corn 2023'!V:V,'[1]Corn 2023'!B:B,"=2023",'[1]Corn 2023'!L:L,"="&amp;'Corn Processors'!L177)</f>
        <v>139500</v>
      </c>
      <c r="BC177" s="7" t="s">
        <v>437</v>
      </c>
      <c r="BD177" s="19" t="s">
        <v>828</v>
      </c>
      <c r="BE177" s="7" t="s">
        <v>432</v>
      </c>
      <c r="BF177" s="7" t="s">
        <v>398</v>
      </c>
      <c r="BK177" s="7">
        <f t="shared" si="30"/>
        <v>25</v>
      </c>
      <c r="BL177" s="9" t="s">
        <v>924</v>
      </c>
    </row>
    <row r="178" spans="1:64" ht="15.6" customHeight="1" x14ac:dyDescent="0.3">
      <c r="A178" s="7">
        <v>177</v>
      </c>
      <c r="B178" s="8">
        <v>3201</v>
      </c>
      <c r="C178" s="8">
        <v>70043</v>
      </c>
      <c r="D178" s="8">
        <v>3286</v>
      </c>
      <c r="E178" s="8">
        <v>3727</v>
      </c>
      <c r="F178" s="8" t="str">
        <f t="shared" si="31"/>
        <v>Active</v>
      </c>
      <c r="G178" s="9" t="s">
        <v>295</v>
      </c>
      <c r="H178" s="9" t="str">
        <f>VLOOKUP(E178,'[1]EPA Ethanol Capacity 2024'!$B$5:$C$235,2,FALSE)</f>
        <v>Valero Renewable Fuels LLC</v>
      </c>
      <c r="I178" s="8" t="s">
        <v>387</v>
      </c>
      <c r="J178" t="s">
        <v>304</v>
      </c>
      <c r="K178" s="7">
        <v>50501</v>
      </c>
      <c r="L178" s="7" t="s">
        <v>546</v>
      </c>
      <c r="M178" s="7">
        <v>2</v>
      </c>
      <c r="N178" s="20">
        <v>42.510762999999997</v>
      </c>
      <c r="O178" s="11">
        <v>-94.300478999999996</v>
      </c>
      <c r="P178" s="12">
        <v>2009</v>
      </c>
      <c r="Q178" s="12" t="s">
        <v>388</v>
      </c>
      <c r="R178" s="12">
        <f t="shared" si="24"/>
        <v>12</v>
      </c>
      <c r="S178" s="12" t="s">
        <v>389</v>
      </c>
      <c r="AB178" s="13" t="s">
        <v>390</v>
      </c>
      <c r="AC178" s="13" t="s">
        <v>391</v>
      </c>
      <c r="AD178" s="8"/>
      <c r="AE178" s="8" t="str">
        <f t="shared" si="25"/>
        <v>High</v>
      </c>
      <c r="AF178" s="14">
        <v>165</v>
      </c>
      <c r="AG178" s="14">
        <v>120</v>
      </c>
      <c r="AH178" s="14" t="s">
        <v>934</v>
      </c>
      <c r="AI178" s="14"/>
      <c r="AJ178" s="15">
        <f>VLOOKUP(E178,'[1]Ethanol Plant Listing 2025'!$B$3:$E$220,4,FALSE)</f>
        <v>150</v>
      </c>
      <c r="AK178" s="14">
        <f>+AJ178*[1]Yield!$K$4</f>
        <v>142.5</v>
      </c>
      <c r="AL178" s="14">
        <f>AK178/VLOOKUP(Q178,[1]Yield!$E$5:$F$14,2,FALSE)</f>
        <v>48.305084745762706</v>
      </c>
      <c r="AM178" s="14"/>
      <c r="AN178" s="14"/>
      <c r="AO178" s="16">
        <f t="shared" si="26"/>
        <v>316000</v>
      </c>
      <c r="AP178" s="16" t="s">
        <v>393</v>
      </c>
      <c r="AQ178" s="17" t="str">
        <f t="shared" si="32"/>
        <v>ICM</v>
      </c>
      <c r="AR178" s="18">
        <f>VLOOKUP(AQ178,[1]Yield!$A$5:$B$10,2,FALSE)</f>
        <v>0.9</v>
      </c>
      <c r="AS178" s="14">
        <f t="shared" si="27"/>
        <v>43.474576271186436</v>
      </c>
      <c r="AT178" s="8" t="s">
        <v>437</v>
      </c>
      <c r="AU178" s="8"/>
      <c r="AV178" s="8" t="s">
        <v>395</v>
      </c>
      <c r="AW178" s="13"/>
      <c r="AX178" s="8" t="str">
        <f>IFERROR(VLOOKUP(E178,[1]Sheet3!$C$2:$E$68,2,FALSE),"None")</f>
        <v>Summit Carbon Solutions</v>
      </c>
      <c r="AY178" s="8">
        <f>IFERROR(VLOOKUP(AX178,[1]Sheet3!$H$3:$I$5,2,FALSE),0)</f>
        <v>31</v>
      </c>
      <c r="AZ178" s="14">
        <f t="shared" si="28"/>
        <v>150</v>
      </c>
      <c r="BA178" s="14">
        <f t="shared" si="29"/>
        <v>246.6</v>
      </c>
      <c r="BB178" s="12">
        <f>SUMIFS('[1]Corn 2023'!V:V,'[1]Corn 2023'!B:B,"=2023",'[1]Corn 2023'!L:L,"="&amp;'Corn Processors'!L178)</f>
        <v>195000</v>
      </c>
      <c r="BC178" s="7" t="s">
        <v>437</v>
      </c>
      <c r="BD178" s="19" t="s">
        <v>828</v>
      </c>
      <c r="BE178" s="7" t="s">
        <v>548</v>
      </c>
      <c r="BF178" s="7" t="s">
        <v>398</v>
      </c>
      <c r="BK178" s="7">
        <f t="shared" si="30"/>
        <v>25</v>
      </c>
      <c r="BL178" s="9" t="s">
        <v>924</v>
      </c>
    </row>
    <row r="179" spans="1:64" ht="15.6" customHeight="1" x14ac:dyDescent="0.3">
      <c r="A179" s="7">
        <v>178</v>
      </c>
      <c r="B179" s="8">
        <v>3201</v>
      </c>
      <c r="C179" s="8">
        <v>70275</v>
      </c>
      <c r="D179" s="8">
        <v>3287</v>
      </c>
      <c r="E179" s="8">
        <v>3728</v>
      </c>
      <c r="F179" s="8" t="str">
        <f t="shared" si="31"/>
        <v>Active</v>
      </c>
      <c r="G179" s="9" t="s">
        <v>295</v>
      </c>
      <c r="H179" s="9" t="str">
        <f>VLOOKUP(E179,'[1]EPA Ethanol Capacity 2024'!$B$5:$C$235,2,FALSE)</f>
        <v>Valero Renewable Fuels LLC</v>
      </c>
      <c r="I179" s="8" t="s">
        <v>387</v>
      </c>
      <c r="J179" t="s">
        <v>306</v>
      </c>
      <c r="K179" s="7">
        <v>51346</v>
      </c>
      <c r="L179" s="7" t="s">
        <v>935</v>
      </c>
      <c r="M179" s="7">
        <v>2</v>
      </c>
      <c r="N179" s="20">
        <v>43.182940000000002</v>
      </c>
      <c r="O179" s="11">
        <v>-95.505690000000001</v>
      </c>
      <c r="P179" s="12">
        <v>2008</v>
      </c>
      <c r="Q179" s="12" t="s">
        <v>388</v>
      </c>
      <c r="R179" s="12">
        <f t="shared" si="24"/>
        <v>12</v>
      </c>
      <c r="S179" s="12" t="s">
        <v>389</v>
      </c>
      <c r="AB179" s="13" t="s">
        <v>390</v>
      </c>
      <c r="AC179" s="13" t="s">
        <v>391</v>
      </c>
      <c r="AD179" s="8" t="s">
        <v>378</v>
      </c>
      <c r="AE179" s="8" t="str">
        <f t="shared" si="25"/>
        <v>High</v>
      </c>
      <c r="AF179" s="14">
        <v>165</v>
      </c>
      <c r="AG179" s="14">
        <v>118</v>
      </c>
      <c r="AH179" s="14" t="s">
        <v>936</v>
      </c>
      <c r="AI179" s="14"/>
      <c r="AJ179" s="15">
        <f>VLOOKUP(E179,'[1]Ethanol Plant Listing 2025'!$B$3:$E$220,4,FALSE)</f>
        <v>150</v>
      </c>
      <c r="AK179" s="14">
        <f>+AJ179*[1]Yield!$K$4</f>
        <v>142.5</v>
      </c>
      <c r="AL179" s="14">
        <f>AK179/VLOOKUP(Q179,[1]Yield!$E$5:$F$14,2,FALSE)</f>
        <v>48.305084745762706</v>
      </c>
      <c r="AM179" s="14"/>
      <c r="AN179" s="14"/>
      <c r="AO179" s="16">
        <f t="shared" si="26"/>
        <v>316000</v>
      </c>
      <c r="AP179" s="16" t="s">
        <v>393</v>
      </c>
      <c r="AQ179" s="17" t="str">
        <f t="shared" si="32"/>
        <v>ICM</v>
      </c>
      <c r="AR179" s="18">
        <f>VLOOKUP(AQ179,[1]Yield!$A$5:$B$10,2,FALSE)</f>
        <v>0.9</v>
      </c>
      <c r="AS179" s="14">
        <f t="shared" si="27"/>
        <v>43.474576271186436</v>
      </c>
      <c r="AT179" s="8" t="s">
        <v>437</v>
      </c>
      <c r="AU179" s="8"/>
      <c r="AV179" s="8" t="s">
        <v>395</v>
      </c>
      <c r="AW179" s="13"/>
      <c r="AX179" s="8" t="str">
        <f>IFERROR(VLOOKUP(E179,[1]Sheet3!$C$2:$E$68,2,FALSE),"None")</f>
        <v>Summit Carbon Solutions</v>
      </c>
      <c r="AY179" s="8">
        <f>IFERROR(VLOOKUP(AX179,[1]Sheet3!$H$3:$I$5,2,FALSE),0)</f>
        <v>31</v>
      </c>
      <c r="AZ179" s="14">
        <f t="shared" si="28"/>
        <v>150</v>
      </c>
      <c r="BA179" s="14">
        <f t="shared" si="29"/>
        <v>246.6</v>
      </c>
      <c r="BB179" s="12">
        <f>SUMIFS('[1]Corn 2023'!V:V,'[1]Corn 2023'!B:B,"=2023",'[1]Corn 2023'!L:L,"="&amp;'Corn Processors'!L179)</f>
        <v>0</v>
      </c>
      <c r="BC179" s="7" t="s">
        <v>437</v>
      </c>
      <c r="BD179" s="19" t="s">
        <v>828</v>
      </c>
      <c r="BE179" s="7" t="s">
        <v>432</v>
      </c>
      <c r="BF179" s="7" t="s">
        <v>398</v>
      </c>
      <c r="BK179" s="7">
        <f t="shared" si="30"/>
        <v>25</v>
      </c>
      <c r="BL179" s="9" t="s">
        <v>924</v>
      </c>
    </row>
    <row r="180" spans="1:64" ht="15.6" customHeight="1" x14ac:dyDescent="0.3">
      <c r="A180" s="7">
        <v>179</v>
      </c>
      <c r="B180" s="8">
        <v>3201</v>
      </c>
      <c r="C180" s="8"/>
      <c r="D180" s="8">
        <v>3289</v>
      </c>
      <c r="E180" s="8">
        <v>3729</v>
      </c>
      <c r="F180" s="8" t="str">
        <f t="shared" si="31"/>
        <v>Active</v>
      </c>
      <c r="G180" s="9" t="s">
        <v>295</v>
      </c>
      <c r="H180" s="9" t="str">
        <f>VLOOKUP(E180,'[1]EPA Ethanol Capacity 2024'!$B$5:$C$235,2,FALSE)</f>
        <v>Valero Renewable Fuels LLC</v>
      </c>
      <c r="I180" s="8" t="s">
        <v>387</v>
      </c>
      <c r="J180" t="s">
        <v>937</v>
      </c>
      <c r="K180" s="7">
        <v>50451</v>
      </c>
      <c r="L180" s="7" t="s">
        <v>938</v>
      </c>
      <c r="M180" s="7">
        <v>2</v>
      </c>
      <c r="N180" s="20">
        <v>43.38391</v>
      </c>
      <c r="O180" s="11">
        <v>-94.147059999999996</v>
      </c>
      <c r="P180" s="12">
        <v>2002</v>
      </c>
      <c r="Q180" s="12" t="s">
        <v>388</v>
      </c>
      <c r="R180" s="12">
        <f t="shared" si="24"/>
        <v>12</v>
      </c>
      <c r="S180" s="12"/>
      <c r="AB180" s="13" t="s">
        <v>390</v>
      </c>
      <c r="AC180" s="13" t="s">
        <v>391</v>
      </c>
      <c r="AD180" s="8"/>
      <c r="AE180" s="8" t="str">
        <f t="shared" si="25"/>
        <v>High</v>
      </c>
      <c r="AF180" s="14">
        <v>127</v>
      </c>
      <c r="AG180" s="14">
        <v>100</v>
      </c>
      <c r="AH180" s="14" t="s">
        <v>939</v>
      </c>
      <c r="AI180" s="14"/>
      <c r="AJ180" s="15">
        <f>VLOOKUP(E180,'[1]Ethanol Plant Listing 2025'!$B$3:$E$220,4,FALSE)</f>
        <v>110</v>
      </c>
      <c r="AK180" s="14">
        <f>+AJ180*[1]Yield!$K$4</f>
        <v>104.5</v>
      </c>
      <c r="AL180" s="14">
        <f>AK180/VLOOKUP(Q180,[1]Yield!$E$5:$F$14,2,FALSE)</f>
        <v>35.423728813559322</v>
      </c>
      <c r="AM180" s="14"/>
      <c r="AN180" s="14"/>
      <c r="AO180" s="16">
        <f t="shared" si="26"/>
        <v>232000</v>
      </c>
      <c r="AP180" s="16" t="s">
        <v>393</v>
      </c>
      <c r="AQ180" s="17" t="str">
        <f t="shared" si="32"/>
        <v>ICM</v>
      </c>
      <c r="AR180" s="18">
        <f>VLOOKUP(AQ180,[1]Yield!$A$5:$B$10,2,FALSE)</f>
        <v>0.9</v>
      </c>
      <c r="AS180" s="14">
        <f t="shared" si="27"/>
        <v>31.881355932203391</v>
      </c>
      <c r="AT180" s="8" t="s">
        <v>437</v>
      </c>
      <c r="AU180" s="8"/>
      <c r="AV180" s="8" t="s">
        <v>395</v>
      </c>
      <c r="AW180" s="13"/>
      <c r="AX180" s="8" t="str">
        <f>IFERROR(VLOOKUP(E180,[1]Sheet3!$C$2:$E$68,2,FALSE),"None")</f>
        <v>Summit Carbon Solutions</v>
      </c>
      <c r="AY180" s="8">
        <f>IFERROR(VLOOKUP(AX180,[1]Sheet3!$H$3:$I$5,2,FALSE),0)</f>
        <v>31</v>
      </c>
      <c r="AZ180" s="14">
        <f t="shared" si="28"/>
        <v>110</v>
      </c>
      <c r="BA180" s="14">
        <f t="shared" si="29"/>
        <v>180.84</v>
      </c>
      <c r="BB180" s="12">
        <f>SUMIFS('[1]Corn 2023'!V:V,'[1]Corn 2023'!B:B,"=2023",'[1]Corn 2023'!L:L,"="&amp;'Corn Processors'!L180)</f>
        <v>0</v>
      </c>
      <c r="BC180" s="7" t="s">
        <v>437</v>
      </c>
      <c r="BD180" s="19" t="s">
        <v>828</v>
      </c>
      <c r="BE180" s="7" t="s">
        <v>428</v>
      </c>
      <c r="BF180" s="7" t="s">
        <v>398</v>
      </c>
      <c r="BK180" s="7">
        <f t="shared" si="30"/>
        <v>25</v>
      </c>
      <c r="BL180" s="9" t="s">
        <v>931</v>
      </c>
    </row>
    <row r="181" spans="1:64" ht="15.6" customHeight="1" x14ac:dyDescent="0.3">
      <c r="A181" s="7">
        <v>180</v>
      </c>
      <c r="B181" s="8">
        <v>3201</v>
      </c>
      <c r="C181" s="8">
        <v>70196</v>
      </c>
      <c r="D181" s="8">
        <v>3290</v>
      </c>
      <c r="E181" s="8">
        <v>3730</v>
      </c>
      <c r="F181" s="8" t="str">
        <f t="shared" si="31"/>
        <v>Active</v>
      </c>
      <c r="G181" s="9" t="s">
        <v>295</v>
      </c>
      <c r="H181" s="9" t="str">
        <f>VLOOKUP(E181,'[1]EPA Ethanol Capacity 2024'!$B$5:$C$235,2,FALSE)</f>
        <v>Valero Renewable Fuels LLC</v>
      </c>
      <c r="I181" s="8" t="s">
        <v>533</v>
      </c>
      <c r="J181" t="s">
        <v>308</v>
      </c>
      <c r="K181" s="7">
        <v>47955</v>
      </c>
      <c r="L181" s="7" t="s">
        <v>940</v>
      </c>
      <c r="M181" s="7">
        <v>2</v>
      </c>
      <c r="N181" s="20">
        <v>40.20064</v>
      </c>
      <c r="O181" s="11">
        <v>-86.91</v>
      </c>
      <c r="P181" s="12">
        <v>2007</v>
      </c>
      <c r="Q181" s="12" t="s">
        <v>388</v>
      </c>
      <c r="R181" s="12">
        <f t="shared" si="24"/>
        <v>12</v>
      </c>
      <c r="S181" s="12" t="s">
        <v>389</v>
      </c>
      <c r="AB181" s="13" t="s">
        <v>390</v>
      </c>
      <c r="AC181" s="13" t="s">
        <v>391</v>
      </c>
      <c r="AD181" s="8"/>
      <c r="AE181" s="8" t="str">
        <f t="shared" si="25"/>
        <v>High</v>
      </c>
      <c r="AF181" s="14"/>
      <c r="AG181" s="14"/>
      <c r="AH181" s="14"/>
      <c r="AI181" s="14"/>
      <c r="AJ181" s="15">
        <f>VLOOKUP(E181,'[1]Ethanol Plant Listing 2025'!$B$3:$E$220,4,FALSE)</f>
        <v>140</v>
      </c>
      <c r="AK181" s="14">
        <f>+AJ181*[1]Yield!$K$4</f>
        <v>133</v>
      </c>
      <c r="AL181" s="14">
        <f>AK181/VLOOKUP(Q181,[1]Yield!$E$5:$F$14,2,FALSE)</f>
        <v>45.084745762711862</v>
      </c>
      <c r="AM181" s="14"/>
      <c r="AN181" s="14"/>
      <c r="AO181" s="16">
        <f t="shared" si="26"/>
        <v>295000</v>
      </c>
      <c r="AP181" s="16" t="s">
        <v>393</v>
      </c>
      <c r="AQ181" s="17" t="str">
        <f t="shared" si="32"/>
        <v>ICM</v>
      </c>
      <c r="AR181" s="18">
        <f>VLOOKUP(AQ181,[1]Yield!$A$5:$B$10,2,FALSE)</f>
        <v>0.9</v>
      </c>
      <c r="AS181" s="14">
        <f t="shared" si="27"/>
        <v>40.576271186440678</v>
      </c>
      <c r="AT181" s="8" t="s">
        <v>394</v>
      </c>
      <c r="AX181" s="8" t="str">
        <f>IFERROR(VLOOKUP(E181,[1]Sheet3!$C$2:$E$68,2,FALSE),"None")</f>
        <v>None</v>
      </c>
      <c r="AY181" s="8">
        <f>IFERROR(VLOOKUP(AX181,[1]Sheet3!$H$3:$I$5,2,FALSE),0)</f>
        <v>0</v>
      </c>
      <c r="AZ181" s="14">
        <f t="shared" si="28"/>
        <v>140</v>
      </c>
      <c r="BA181" s="14">
        <f t="shared" si="29"/>
        <v>230.16</v>
      </c>
      <c r="BB181" s="27"/>
      <c r="BC181" s="7" t="s">
        <v>437</v>
      </c>
      <c r="BD181" s="19" t="s">
        <v>828</v>
      </c>
      <c r="BE181" s="7" t="s">
        <v>531</v>
      </c>
      <c r="BF181" s="7" t="s">
        <v>398</v>
      </c>
      <c r="BK181" s="7">
        <f t="shared" si="30"/>
        <v>25</v>
      </c>
      <c r="BL181" s="9" t="s">
        <v>928</v>
      </c>
    </row>
    <row r="182" spans="1:64" ht="15.6" customHeight="1" x14ac:dyDescent="0.3">
      <c r="A182" s="7">
        <v>181</v>
      </c>
      <c r="B182" s="8">
        <v>3201</v>
      </c>
      <c r="C182" s="8"/>
      <c r="D182" s="8">
        <v>3291</v>
      </c>
      <c r="E182" s="8">
        <v>3731</v>
      </c>
      <c r="F182" s="8" t="str">
        <f t="shared" si="31"/>
        <v>Active</v>
      </c>
      <c r="G182" s="9" t="s">
        <v>295</v>
      </c>
      <c r="H182" s="9" t="str">
        <f>VLOOKUP(E182,'[1]EPA Ethanol Capacity 2024'!$B$5:$C$235,2,FALSE)</f>
        <v>Valero Renewable Fuels LLC</v>
      </c>
      <c r="I182" s="8" t="s">
        <v>533</v>
      </c>
      <c r="J182" t="s">
        <v>647</v>
      </c>
      <c r="K182" s="7">
        <v>47620</v>
      </c>
      <c r="L182" s="7" t="s">
        <v>648</v>
      </c>
      <c r="M182" s="7">
        <v>2</v>
      </c>
      <c r="N182" s="20">
        <v>37.933999999999997</v>
      </c>
      <c r="O182" s="11">
        <v>-87.872699999999995</v>
      </c>
      <c r="P182" s="12">
        <v>2007</v>
      </c>
      <c r="Q182" s="12" t="s">
        <v>405</v>
      </c>
      <c r="R182" s="12">
        <f t="shared" si="24"/>
        <v>12</v>
      </c>
      <c r="S182" s="12"/>
      <c r="AB182" s="13" t="s">
        <v>390</v>
      </c>
      <c r="AC182" s="13" t="s">
        <v>391</v>
      </c>
      <c r="AD182" s="8"/>
      <c r="AE182" s="8" t="str">
        <f t="shared" si="25"/>
        <v>High</v>
      </c>
      <c r="AF182" s="14"/>
      <c r="AG182" s="14"/>
      <c r="AH182" s="14"/>
      <c r="AI182" s="14"/>
      <c r="AJ182" s="15">
        <f>VLOOKUP(E182,'[1]Ethanol Plant Listing 2025'!$B$3:$E$220,4,FALSE)</f>
        <v>100</v>
      </c>
      <c r="AK182" s="14">
        <f>+AJ182*[1]Yield!$K$4</f>
        <v>95</v>
      </c>
      <c r="AL182" s="14">
        <f>AK182/VLOOKUP(Q182,[1]Yield!$E$5:$F$14,2,FALSE)</f>
        <v>32.986111111111114</v>
      </c>
      <c r="AM182" s="14"/>
      <c r="AN182" s="14"/>
      <c r="AO182" s="16">
        <f t="shared" si="26"/>
        <v>216000</v>
      </c>
      <c r="AP182" s="16" t="s">
        <v>410</v>
      </c>
      <c r="AQ182" s="17" t="str">
        <f t="shared" si="32"/>
        <v>None</v>
      </c>
      <c r="AR182" s="18">
        <f>VLOOKUP(AQ182,[1]Yield!$A$5:$B$10,2,FALSE)</f>
        <v>0.81499999999999995</v>
      </c>
      <c r="AS182" s="14">
        <f t="shared" si="27"/>
        <v>26.883680555555557</v>
      </c>
      <c r="AT182" s="8" t="s">
        <v>394</v>
      </c>
      <c r="AX182" s="8" t="str">
        <f>IFERROR(VLOOKUP(E182,[1]Sheet3!$C$2:$E$68,2,FALSE),"None")</f>
        <v>None</v>
      </c>
      <c r="AY182" s="8">
        <f>IFERROR(VLOOKUP(AX182,[1]Sheet3!$H$3:$I$5,2,FALSE),0)</f>
        <v>0</v>
      </c>
      <c r="AZ182" s="14">
        <f t="shared" si="28"/>
        <v>100</v>
      </c>
      <c r="BA182" s="14">
        <f t="shared" si="29"/>
        <v>164.4</v>
      </c>
      <c r="BB182" s="27"/>
      <c r="BC182" s="7" t="s">
        <v>437</v>
      </c>
      <c r="BD182" s="19" t="s">
        <v>828</v>
      </c>
      <c r="BE182" s="7" t="s">
        <v>531</v>
      </c>
      <c r="BF182" s="7" t="s">
        <v>398</v>
      </c>
      <c r="BH182" s="7" t="s">
        <v>448</v>
      </c>
      <c r="BK182" s="7">
        <f t="shared" si="30"/>
        <v>20</v>
      </c>
      <c r="BL182" s="9" t="s">
        <v>941</v>
      </c>
    </row>
    <row r="183" spans="1:64" ht="15.6" customHeight="1" x14ac:dyDescent="0.3">
      <c r="A183" s="7">
        <v>182</v>
      </c>
      <c r="B183" s="8">
        <v>3201</v>
      </c>
      <c r="C183" s="8"/>
      <c r="D183" s="8">
        <v>3292</v>
      </c>
      <c r="E183" s="8">
        <v>3732</v>
      </c>
      <c r="F183" s="8" t="str">
        <f t="shared" si="31"/>
        <v>Active</v>
      </c>
      <c r="G183" s="31" t="s">
        <v>942</v>
      </c>
      <c r="H183" s="9" t="str">
        <f>VLOOKUP(E183,'[1]EPA Ethanol Capacity 2024'!$B$5:$C$235,2,FALSE)</f>
        <v>ZFS Riga LLC</v>
      </c>
      <c r="I183" s="8" t="s">
        <v>527</v>
      </c>
      <c r="J183" t="s">
        <v>943</v>
      </c>
      <c r="K183" s="7">
        <v>49228</v>
      </c>
      <c r="L183" s="7" t="s">
        <v>944</v>
      </c>
      <c r="M183" s="7">
        <v>2</v>
      </c>
      <c r="N183" s="20">
        <v>41.816600000000001</v>
      </c>
      <c r="O183" s="11">
        <v>-83.836000999999996</v>
      </c>
      <c r="P183" s="12">
        <v>2007</v>
      </c>
      <c r="Q183" s="12" t="s">
        <v>405</v>
      </c>
      <c r="R183" s="12">
        <f t="shared" si="24"/>
        <v>1</v>
      </c>
      <c r="S183" s="12"/>
      <c r="AB183" s="13" t="s">
        <v>390</v>
      </c>
      <c r="AC183" s="13" t="s">
        <v>391</v>
      </c>
      <c r="AD183" s="8"/>
      <c r="AE183" s="8" t="str">
        <f t="shared" si="25"/>
        <v>High</v>
      </c>
      <c r="AF183" s="14"/>
      <c r="AG183" s="14"/>
      <c r="AH183" s="14"/>
      <c r="AI183" s="14"/>
      <c r="AJ183" s="15" t="e">
        <f>VLOOKUP(E183,'[1]Ethanol Plant Listing 2025'!$B$3:$E$220,4,FALSE)</f>
        <v>#N/A</v>
      </c>
      <c r="AK183" s="14" t="e">
        <f>+AJ183*[1]Yield!$K$4</f>
        <v>#N/A</v>
      </c>
      <c r="AL183" s="14" t="e">
        <f>AK183/VLOOKUP(Q183,[1]Yield!$E$5:$F$14,2,FALSE)</f>
        <v>#N/A</v>
      </c>
      <c r="AM183" s="14"/>
      <c r="AN183" s="14"/>
      <c r="AO183" s="16" t="e">
        <f t="shared" si="26"/>
        <v>#N/A</v>
      </c>
      <c r="AP183" s="16" t="s">
        <v>410</v>
      </c>
      <c r="AQ183" s="17" t="str">
        <f t="shared" si="32"/>
        <v>None</v>
      </c>
      <c r="AR183" s="18">
        <f>VLOOKUP(AQ183,[1]Yield!$A$5:$B$10,2,FALSE)</f>
        <v>0.81499999999999995</v>
      </c>
      <c r="AS183" s="14" t="e">
        <f t="shared" si="27"/>
        <v>#N/A</v>
      </c>
      <c r="AT183" s="8" t="s">
        <v>394</v>
      </c>
      <c r="AX183" s="8" t="str">
        <f>IFERROR(VLOOKUP(E183,[1]Sheet3!$C$2:$E$68,2,FALSE),"None")</f>
        <v>None</v>
      </c>
      <c r="AY183" s="8">
        <f>IFERROR(VLOOKUP(AX183,[1]Sheet3!$H$3:$I$5,2,FALSE),0)</f>
        <v>0</v>
      </c>
      <c r="AZ183" s="14" t="e">
        <f t="shared" si="28"/>
        <v>#N/A</v>
      </c>
      <c r="BA183" s="14" t="e">
        <f t="shared" si="29"/>
        <v>#N/A</v>
      </c>
      <c r="BB183" s="27"/>
      <c r="BC183" s="7" t="s">
        <v>437</v>
      </c>
      <c r="BD183" s="19" t="s">
        <v>828</v>
      </c>
      <c r="BE183" s="7" t="s">
        <v>945</v>
      </c>
      <c r="BF183" s="7" t="s">
        <v>398</v>
      </c>
      <c r="BK183" s="7">
        <f t="shared" si="30"/>
        <v>20</v>
      </c>
      <c r="BL183" s="9" t="s">
        <v>931</v>
      </c>
    </row>
    <row r="184" spans="1:64" ht="15.6" customHeight="1" x14ac:dyDescent="0.3">
      <c r="A184" s="7">
        <v>183</v>
      </c>
      <c r="B184" s="8">
        <v>3201</v>
      </c>
      <c r="C184" s="8">
        <v>70276</v>
      </c>
      <c r="D184" s="8">
        <v>3293</v>
      </c>
      <c r="E184" s="8">
        <v>3733</v>
      </c>
      <c r="F184" s="8" t="str">
        <f t="shared" si="31"/>
        <v>Active</v>
      </c>
      <c r="G184" s="9" t="s">
        <v>295</v>
      </c>
      <c r="H184" s="9" t="str">
        <f>VLOOKUP(E184,'[1]EPA Ethanol Capacity 2024'!$B$5:$C$235,2,FALSE)</f>
        <v>Valero Renewable Fuels LLC</v>
      </c>
      <c r="I184" s="8" t="s">
        <v>429</v>
      </c>
      <c r="J184" t="s">
        <v>310</v>
      </c>
      <c r="K184" s="7">
        <v>56181</v>
      </c>
      <c r="L184" s="7" t="s">
        <v>644</v>
      </c>
      <c r="M184" s="7">
        <v>2</v>
      </c>
      <c r="N184" s="20">
        <v>43.663888999999998</v>
      </c>
      <c r="O184" s="11">
        <v>-94.582222000000002</v>
      </c>
      <c r="P184" s="12">
        <v>2009</v>
      </c>
      <c r="Q184" s="12" t="s">
        <v>388</v>
      </c>
      <c r="R184" s="12">
        <f t="shared" si="24"/>
        <v>12</v>
      </c>
      <c r="S184" s="12" t="s">
        <v>389</v>
      </c>
      <c r="AB184" s="13" t="s">
        <v>390</v>
      </c>
      <c r="AC184" s="13" t="s">
        <v>391</v>
      </c>
      <c r="AD184" s="8" t="s">
        <v>378</v>
      </c>
      <c r="AE184" s="8" t="str">
        <f t="shared" si="25"/>
        <v>High</v>
      </c>
      <c r="AF184" s="14"/>
      <c r="AG184" s="14"/>
      <c r="AH184" s="14"/>
      <c r="AI184" s="14"/>
      <c r="AJ184" s="15">
        <f>VLOOKUP(E184,'[1]Ethanol Plant Listing 2025'!$B$3:$E$220,4,FALSE)</f>
        <v>150</v>
      </c>
      <c r="AK184" s="14">
        <f>+AJ184*[1]Yield!$K$4</f>
        <v>142.5</v>
      </c>
      <c r="AL184" s="14">
        <f>AK184/VLOOKUP(Q184,[1]Yield!$E$5:$F$14,2,FALSE)</f>
        <v>48.305084745762706</v>
      </c>
      <c r="AM184" s="14"/>
      <c r="AN184" s="14"/>
      <c r="AO184" s="16">
        <f t="shared" si="26"/>
        <v>316000</v>
      </c>
      <c r="AP184" s="16" t="s">
        <v>393</v>
      </c>
      <c r="AQ184" s="17" t="str">
        <f t="shared" si="32"/>
        <v>ICM</v>
      </c>
      <c r="AR184" s="18">
        <f>VLOOKUP(AQ184,[1]Yield!$A$5:$B$10,2,FALSE)</f>
        <v>0.9</v>
      </c>
      <c r="AS184" s="14">
        <f t="shared" si="27"/>
        <v>43.474576271186436</v>
      </c>
      <c r="AT184" s="8" t="s">
        <v>437</v>
      </c>
      <c r="AU184" s="8"/>
      <c r="AV184" s="8"/>
      <c r="AW184" s="13"/>
      <c r="AX184" s="8" t="str">
        <f>IFERROR(VLOOKUP(E184,[1]Sheet3!$C$2:$E$68,2,FALSE),"None")</f>
        <v>None</v>
      </c>
      <c r="AY184" s="8">
        <f>IFERROR(VLOOKUP(AX184,[1]Sheet3!$H$3:$I$5,2,FALSE),0)</f>
        <v>0</v>
      </c>
      <c r="AZ184" s="14">
        <f t="shared" si="28"/>
        <v>150</v>
      </c>
      <c r="BA184" s="14">
        <f t="shared" si="29"/>
        <v>246.6</v>
      </c>
      <c r="BB184" s="27"/>
      <c r="BC184" s="7" t="s">
        <v>437</v>
      </c>
      <c r="BD184" s="19" t="s">
        <v>828</v>
      </c>
      <c r="BE184" s="7" t="s">
        <v>428</v>
      </c>
      <c r="BF184" s="7" t="s">
        <v>398</v>
      </c>
      <c r="BK184" s="7">
        <f t="shared" si="30"/>
        <v>25</v>
      </c>
      <c r="BL184" s="9" t="s">
        <v>924</v>
      </c>
    </row>
    <row r="185" spans="1:64" ht="15.6" customHeight="1" x14ac:dyDescent="0.3">
      <c r="A185" s="7">
        <v>144</v>
      </c>
      <c r="B185" s="8"/>
      <c r="C185" s="8">
        <v>71686</v>
      </c>
      <c r="D185" s="8">
        <v>3258</v>
      </c>
      <c r="E185" s="8">
        <v>3692</v>
      </c>
      <c r="F185" s="8" t="str">
        <f t="shared" si="31"/>
        <v>Active</v>
      </c>
      <c r="G185" s="9" t="s">
        <v>163</v>
      </c>
      <c r="H185" s="9" t="str">
        <f>VLOOKUP(E185,'[1]EPA Ethanol Capacity 2024'!$B$5:$C$235,2,FALSE)</f>
        <v>Poet Biorefinning-Shell Rock LLC</v>
      </c>
      <c r="I185" s="8" t="s">
        <v>387</v>
      </c>
      <c r="J185" s="22" t="s">
        <v>264</v>
      </c>
      <c r="K185" s="7">
        <v>50670</v>
      </c>
      <c r="L185" s="7" t="s">
        <v>946</v>
      </c>
      <c r="M185" s="7">
        <v>2</v>
      </c>
      <c r="N185" s="20">
        <v>42.7363</v>
      </c>
      <c r="O185" s="11">
        <v>-92.617400000000004</v>
      </c>
      <c r="P185" s="12">
        <v>2008</v>
      </c>
      <c r="Q185" s="12" t="s">
        <v>388</v>
      </c>
      <c r="R185" s="12">
        <f t="shared" si="24"/>
        <v>34</v>
      </c>
      <c r="S185" s="12" t="s">
        <v>389</v>
      </c>
      <c r="T185" s="7" t="s">
        <v>486</v>
      </c>
      <c r="Z185" s="7" t="str">
        <f>+T185</f>
        <v>FQPT HI PRO</v>
      </c>
      <c r="AB185" s="13" t="s">
        <v>390</v>
      </c>
      <c r="AC185" s="13" t="s">
        <v>391</v>
      </c>
      <c r="AD185" s="13" t="s">
        <v>378</v>
      </c>
      <c r="AE185" s="8" t="str">
        <f t="shared" si="25"/>
        <v>High</v>
      </c>
      <c r="AF185" s="14">
        <v>140</v>
      </c>
      <c r="AG185" s="14">
        <v>132</v>
      </c>
      <c r="AH185" s="14" t="s">
        <v>947</v>
      </c>
      <c r="AI185" s="14"/>
      <c r="AJ185" s="15">
        <f>VLOOKUP(E185,'[1]Ethanol Plant Listing 2025'!$B$3:$E$220,4,FALSE)</f>
        <v>128</v>
      </c>
      <c r="AK185" s="14">
        <f>+AJ185*[1]Yield!$K$4</f>
        <v>121.6</v>
      </c>
      <c r="AL185" s="14">
        <f>AK185/VLOOKUP(Q185,[1]Yield!$E$5:$F$14,2,FALSE)</f>
        <v>41.220338983050844</v>
      </c>
      <c r="AM185" s="14">
        <v>1000</v>
      </c>
      <c r="AN185" s="28">
        <f>+AM185/(AL185*2.85714285714286)</f>
        <v>8.4909539473684141</v>
      </c>
      <c r="AO185" s="16">
        <f t="shared" si="26"/>
        <v>270000</v>
      </c>
      <c r="AP185" s="16" t="s">
        <v>393</v>
      </c>
      <c r="AQ185" s="17" t="str">
        <f t="shared" si="32"/>
        <v>POET Biorefining</v>
      </c>
      <c r="AR185" s="18">
        <f>VLOOKUP(AQ185,[1]Yield!$A$5:$B$10,2,FALSE)</f>
        <v>1</v>
      </c>
      <c r="AS185" s="14">
        <f t="shared" si="27"/>
        <v>41.220338983050844</v>
      </c>
      <c r="AT185" s="8" t="s">
        <v>437</v>
      </c>
      <c r="AU185" s="8"/>
      <c r="AV185" s="8"/>
      <c r="AW185" s="13"/>
      <c r="AX185" s="8" t="s">
        <v>807</v>
      </c>
      <c r="AY185" s="8">
        <f>IFERROR(VLOOKUP(AX185,[1]Sheet3!$H$3:$I$5,2,FALSE),0)</f>
        <v>0</v>
      </c>
      <c r="AZ185" s="14">
        <f t="shared" si="28"/>
        <v>128</v>
      </c>
      <c r="BA185" s="14">
        <f t="shared" si="29"/>
        <v>210.43199999999999</v>
      </c>
      <c r="BB185" s="12">
        <f>SUMIFS('[1]Corn 2023'!V:V,'[1]Corn 2023'!B:B,"=2023",'[1]Corn 2023'!L:L,"="&amp;'Corn Processors'!L145)</f>
        <v>0</v>
      </c>
      <c r="BC185" s="7"/>
      <c r="BD185" s="19" t="s">
        <v>804</v>
      </c>
      <c r="BE185" s="7" t="s">
        <v>948</v>
      </c>
      <c r="BF185" s="7" t="s">
        <v>398</v>
      </c>
      <c r="BK185" s="7">
        <f t="shared" si="30"/>
        <v>25</v>
      </c>
      <c r="BL185" s="9" t="s">
        <v>808</v>
      </c>
    </row>
    <row r="186" spans="1:64" ht="15.6" customHeight="1" x14ac:dyDescent="0.3">
      <c r="A186" s="7">
        <v>186</v>
      </c>
      <c r="B186" s="8">
        <v>4740</v>
      </c>
      <c r="C186" s="8">
        <v>70030</v>
      </c>
      <c r="D186" s="8">
        <v>3296</v>
      </c>
      <c r="E186" s="8">
        <v>3736</v>
      </c>
      <c r="F186" s="8" t="str">
        <f>IF(A186&lt;300,"Active","Retired")</f>
        <v>Active</v>
      </c>
      <c r="G186" s="9" t="s">
        <v>313</v>
      </c>
      <c r="H186" s="9" t="str">
        <f>VLOOKUP(E186,'[1]EPA Ethanol Capacity 2024'!$B$5:$C$235,2,FALSE)</f>
        <v>Western Plains Energy LLC</v>
      </c>
      <c r="I186" s="8" t="s">
        <v>455</v>
      </c>
      <c r="J186" t="s">
        <v>314</v>
      </c>
      <c r="K186" s="7">
        <v>67748</v>
      </c>
      <c r="L186" s="7" t="s">
        <v>891</v>
      </c>
      <c r="M186" s="7">
        <v>2</v>
      </c>
      <c r="N186" s="20">
        <v>39.124609999999997</v>
      </c>
      <c r="O186" s="11">
        <v>-100.73803700000001</v>
      </c>
      <c r="P186" s="12">
        <v>2004</v>
      </c>
      <c r="Q186" s="12" t="s">
        <v>388</v>
      </c>
      <c r="R186" s="12">
        <f>COUNTIF(G:G,"="&amp;G186)</f>
        <v>1</v>
      </c>
      <c r="S186" s="12"/>
      <c r="W186" s="7" t="s">
        <v>345</v>
      </c>
      <c r="X186" s="7" t="s">
        <v>949</v>
      </c>
      <c r="AB186" s="13" t="s">
        <v>425</v>
      </c>
      <c r="AC186" s="13" t="s">
        <v>426</v>
      </c>
      <c r="AD186" s="13" t="s">
        <v>378</v>
      </c>
      <c r="AE186" s="8" t="str">
        <f>IF(BK186=1,"Low","High")</f>
        <v>High</v>
      </c>
      <c r="AF186" s="14"/>
      <c r="AG186" s="14"/>
      <c r="AH186" s="14"/>
      <c r="AI186" s="14"/>
      <c r="AJ186" s="15">
        <f>VLOOKUP(E186,'[1]Ethanol Plant Listing 2025'!$B$3:$E$220,4,FALSE)</f>
        <v>52</v>
      </c>
      <c r="AK186" s="14">
        <f>+AJ186*[1]Yield!$K$4</f>
        <v>49.4</v>
      </c>
      <c r="AL186" s="14">
        <f>AK186/VLOOKUP(Q186,[1]Yield!$E$5:$F$14,2,FALSE)</f>
        <v>16.745762711864405</v>
      </c>
      <c r="AM186" s="14"/>
      <c r="AN186" s="14"/>
      <c r="AO186" s="16">
        <f>ROUND((+AL186*13.1*1000000)/2000,-3)</f>
        <v>110000</v>
      </c>
      <c r="AP186" s="16" t="s">
        <v>393</v>
      </c>
      <c r="AQ186" s="17" t="str">
        <f>IF(G186="POET Biorefining",G186,IF(T186="FQPT HI Pro",T186,IF(Z186="ICM FOT",Z186,IF(Q186="ICM",Q186,IF(Q186="ADM",Q186,"None")))))</f>
        <v>ICM</v>
      </c>
      <c r="AR186" s="18">
        <f>VLOOKUP(AQ186,[1]Yield!$A$5:$B$10,2,FALSE)</f>
        <v>0.9</v>
      </c>
      <c r="AS186" s="14">
        <f>(AL186)*AR186</f>
        <v>15.071186440677964</v>
      </c>
      <c r="AT186" s="8" t="s">
        <v>394</v>
      </c>
      <c r="AX186" s="8" t="str">
        <f>IFERROR(VLOOKUP(E186,[1]Sheet3!$C$2:$E$68,2,FALSE),"None")</f>
        <v>None</v>
      </c>
      <c r="AY186" s="8">
        <f>IFERROR(VLOOKUP(AX186,[1]Sheet3!$H$3:$I$5,2,FALSE),0)</f>
        <v>0</v>
      </c>
      <c r="AZ186" s="14">
        <f>AJ186</f>
        <v>52</v>
      </c>
      <c r="BA186" s="14">
        <f>+AJ186*6.85*0.48/2</f>
        <v>85.488</v>
      </c>
      <c r="BB186" s="7"/>
      <c r="BC186" s="7"/>
      <c r="BD186" s="19" t="s">
        <v>950</v>
      </c>
      <c r="BE186" s="7" t="s">
        <v>428</v>
      </c>
      <c r="BF186" s="7" t="s">
        <v>414</v>
      </c>
      <c r="BJ186" s="7" t="s">
        <v>400</v>
      </c>
      <c r="BK186" s="7">
        <f>IF(M186=2,10,5)+IF(Q186="ICM",10,5)+IF(X186="Y",10,5)</f>
        <v>25</v>
      </c>
    </row>
    <row r="187" spans="1:64" ht="15.6" customHeight="1" x14ac:dyDescent="0.3">
      <c r="A187" s="7">
        <v>185</v>
      </c>
      <c r="B187" s="8"/>
      <c r="C187" s="8"/>
      <c r="D187" s="8">
        <v>3295</v>
      </c>
      <c r="E187" s="8">
        <v>3735</v>
      </c>
      <c r="F187" s="8" t="str">
        <f>IF(A187&lt;300,"Active","Retired")</f>
        <v>Active</v>
      </c>
      <c r="G187" s="9" t="s">
        <v>951</v>
      </c>
      <c r="H187" s="9" t="str">
        <f>VLOOKUP(E187,'[1]EPA Ethanol Capacity 2024'!$B$5:$C$235,2,FALSE)</f>
        <v>Western New York Energy LLC</v>
      </c>
      <c r="I187" s="8" t="s">
        <v>952</v>
      </c>
      <c r="J187" t="s">
        <v>953</v>
      </c>
      <c r="K187" s="7">
        <v>14103</v>
      </c>
      <c r="L187" s="7" t="s">
        <v>954</v>
      </c>
      <c r="M187" s="7">
        <v>1</v>
      </c>
      <c r="N187" s="20">
        <v>43.210490999999998</v>
      </c>
      <c r="O187" s="11">
        <v>-78.365415999999996</v>
      </c>
      <c r="P187" s="12">
        <v>2008</v>
      </c>
      <c r="Q187" s="12" t="s">
        <v>388</v>
      </c>
      <c r="R187" s="12">
        <f>COUNTIF(G:G,"="&amp;G187)</f>
        <v>1</v>
      </c>
      <c r="S187" s="12" t="s">
        <v>389</v>
      </c>
      <c r="Z187" s="7" t="s">
        <v>793</v>
      </c>
      <c r="AB187" s="13" t="s">
        <v>390</v>
      </c>
      <c r="AC187" s="13" t="s">
        <v>391</v>
      </c>
      <c r="AD187" s="13" t="s">
        <v>378</v>
      </c>
      <c r="AE187" s="8" t="str">
        <f>IF(BK187=1,"Low","High")</f>
        <v>High</v>
      </c>
      <c r="AF187" s="14"/>
      <c r="AG187" s="14"/>
      <c r="AH187" s="14"/>
      <c r="AI187" s="14"/>
      <c r="AJ187" s="15">
        <f>VLOOKUP(E187,'[1]Ethanol Plant Listing 2025'!$B$3:$E$220,4,FALSE)</f>
        <v>62</v>
      </c>
      <c r="AK187" s="14">
        <f>+AJ187*[1]Yield!$K$4</f>
        <v>58.9</v>
      </c>
      <c r="AL187" s="14">
        <f>AK187/VLOOKUP(Q187,[1]Yield!$E$5:$F$14,2,FALSE)</f>
        <v>19.966101694915253</v>
      </c>
      <c r="AM187" s="14"/>
      <c r="AN187" s="14"/>
      <c r="AO187" s="16">
        <f>ROUND((+AL187*13.1*1000000)/2000,-3)</f>
        <v>131000</v>
      </c>
      <c r="AP187" s="16" t="s">
        <v>393</v>
      </c>
      <c r="AQ187" s="17" t="str">
        <f>IF(G187="POET Biorefining",G187,IF(T187="FQPT HI Pro",T187,IF(Z187="ICM FOT",Z187,IF(Q187="ICM",Q187,IF(Q187="ADM",Q187,"None")))))</f>
        <v>ICM FOT</v>
      </c>
      <c r="AR187" s="18">
        <f>VLOOKUP(AQ187,[1]Yield!$A$5:$B$10,2,FALSE)</f>
        <v>1.1000000000000001</v>
      </c>
      <c r="AS187" s="14">
        <f>(AL187)*AR187</f>
        <v>21.962711864406778</v>
      </c>
      <c r="AT187" s="8" t="s">
        <v>411</v>
      </c>
      <c r="AX187" s="8" t="str">
        <f>IFERROR(VLOOKUP(E187,[1]Sheet3!$C$2:$E$68,2,FALSE),"None")</f>
        <v>None</v>
      </c>
      <c r="AY187" s="8">
        <f>IFERROR(VLOOKUP(AX187,[1]Sheet3!$H$3:$I$5,2,FALSE),0)</f>
        <v>0</v>
      </c>
      <c r="AZ187" s="14">
        <f>AJ187</f>
        <v>62</v>
      </c>
      <c r="BA187" s="14">
        <f>+AJ187*6.85*0.48/2</f>
        <v>101.928</v>
      </c>
      <c r="BB187" s="7"/>
      <c r="BC187" s="7"/>
      <c r="BD187" s="19" t="s">
        <v>955</v>
      </c>
      <c r="BE187" s="7" t="s">
        <v>531</v>
      </c>
      <c r="BF187" s="7" t="s">
        <v>398</v>
      </c>
      <c r="BJ187" s="7" t="s">
        <v>400</v>
      </c>
      <c r="BK187" s="7">
        <f>IF(M187=2,10,5)+IF(Q187="ICM",10,5)+IF(X187="Y",10,5)</f>
        <v>20</v>
      </c>
    </row>
    <row r="188" spans="1:64" ht="15.6" customHeight="1" x14ac:dyDescent="0.3">
      <c r="A188" s="7">
        <v>187</v>
      </c>
      <c r="B188" s="8">
        <v>4745</v>
      </c>
      <c r="C188" s="8">
        <v>70037</v>
      </c>
      <c r="D188" s="8">
        <v>3297</v>
      </c>
      <c r="E188" s="8">
        <v>3737</v>
      </c>
      <c r="F188" s="8" t="str">
        <f t="shared" si="31"/>
        <v>Active</v>
      </c>
      <c r="G188" s="9" t="s">
        <v>317</v>
      </c>
      <c r="H188" s="9" t="str">
        <f>VLOOKUP(E188,'[1]EPA Ethanol Capacity 2024'!$B$5:$C$235,2,FALSE)</f>
        <v>White Energy Hereford LLC</v>
      </c>
      <c r="I188" s="8" t="s">
        <v>594</v>
      </c>
      <c r="J188" t="s">
        <v>116</v>
      </c>
      <c r="K188" s="7">
        <v>79045</v>
      </c>
      <c r="L188" s="7" t="s">
        <v>686</v>
      </c>
      <c r="M188" s="7">
        <v>3</v>
      </c>
      <c r="N188" s="20">
        <v>34.849980000000002</v>
      </c>
      <c r="O188" s="11">
        <v>-102.28679</v>
      </c>
      <c r="P188" s="12">
        <v>2008</v>
      </c>
      <c r="Q188" s="12" t="s">
        <v>445</v>
      </c>
      <c r="R188" s="12">
        <f t="shared" si="24"/>
        <v>2</v>
      </c>
      <c r="S188" s="12" t="s">
        <v>389</v>
      </c>
      <c r="AB188" s="13" t="s">
        <v>425</v>
      </c>
      <c r="AC188" s="13" t="s">
        <v>391</v>
      </c>
      <c r="AD188" s="13" t="s">
        <v>378</v>
      </c>
      <c r="AE188" s="8" t="str">
        <f t="shared" si="25"/>
        <v>High</v>
      </c>
      <c r="AF188" s="14"/>
      <c r="AG188" s="14"/>
      <c r="AH188" s="14"/>
      <c r="AI188" s="14"/>
      <c r="AJ188" s="15">
        <f>VLOOKUP(E188,'[1]Ethanol Plant Listing 2025'!$B$3:$E$220,4,FALSE)</f>
        <v>130</v>
      </c>
      <c r="AK188" s="14">
        <f>+AJ188*[1]Yield!$K$4</f>
        <v>123.5</v>
      </c>
      <c r="AL188" s="14">
        <f>AK188/VLOOKUP(Q188,[1]Yield!$E$5:$F$14,2,FALSE)</f>
        <v>42.586206896551722</v>
      </c>
      <c r="AM188" s="14"/>
      <c r="AN188" s="14"/>
      <c r="AO188" s="16">
        <f t="shared" si="26"/>
        <v>279000</v>
      </c>
      <c r="AP188" s="16"/>
      <c r="AQ188" s="17" t="str">
        <f t="shared" si="32"/>
        <v>None</v>
      </c>
      <c r="AR188" s="18">
        <f>VLOOKUP(AQ188,[1]Yield!$A$5:$B$10,2,FALSE)</f>
        <v>0.81499999999999995</v>
      </c>
      <c r="AS188" s="14">
        <f t="shared" si="27"/>
        <v>34.707758620689653</v>
      </c>
      <c r="AT188" s="8" t="s">
        <v>394</v>
      </c>
      <c r="AX188" s="8" t="str">
        <f>IFERROR(VLOOKUP(E188,[1]Sheet3!$C$2:$E$68,2,FALSE),"None")</f>
        <v>None</v>
      </c>
      <c r="AY188" s="8">
        <f>IFERROR(VLOOKUP(AX188,[1]Sheet3!$H$3:$I$5,2,FALSE),0)</f>
        <v>0</v>
      </c>
      <c r="AZ188" s="14">
        <f t="shared" si="28"/>
        <v>130</v>
      </c>
      <c r="BA188" s="14">
        <f t="shared" si="29"/>
        <v>213.72</v>
      </c>
      <c r="BB188" s="7"/>
      <c r="BC188" s="7"/>
      <c r="BD188" s="19" t="s">
        <v>956</v>
      </c>
      <c r="BE188" s="7" t="s">
        <v>481</v>
      </c>
      <c r="BF188" s="7" t="s">
        <v>398</v>
      </c>
      <c r="BK188" s="7">
        <f t="shared" si="30"/>
        <v>15</v>
      </c>
      <c r="BL188" s="9" t="s">
        <v>957</v>
      </c>
    </row>
    <row r="189" spans="1:64" ht="15.6" customHeight="1" x14ac:dyDescent="0.3">
      <c r="A189" s="7">
        <v>188</v>
      </c>
      <c r="B189" s="8">
        <v>4745</v>
      </c>
      <c r="C189" s="8">
        <v>70039</v>
      </c>
      <c r="D189" s="8">
        <v>3298</v>
      </c>
      <c r="E189" s="8">
        <v>3738</v>
      </c>
      <c r="F189" s="8" t="str">
        <f t="shared" si="31"/>
        <v>Active</v>
      </c>
      <c r="G189" s="9" t="s">
        <v>317</v>
      </c>
      <c r="H189" s="9" t="str">
        <f>VLOOKUP(E189,'[1]EPA Ethanol Capacity 2024'!$B$5:$C$235,2,FALSE)</f>
        <v>Plainview Bioenergy LLC</v>
      </c>
      <c r="I189" s="8" t="s">
        <v>594</v>
      </c>
      <c r="J189" t="s">
        <v>131</v>
      </c>
      <c r="K189" s="7">
        <v>79072</v>
      </c>
      <c r="L189" s="7" t="s">
        <v>958</v>
      </c>
      <c r="M189" s="7">
        <v>3</v>
      </c>
      <c r="N189" s="20">
        <v>34.180593999999999</v>
      </c>
      <c r="O189" s="11">
        <v>-101.627387</v>
      </c>
      <c r="P189" s="12">
        <v>2008</v>
      </c>
      <c r="Q189" s="12" t="s">
        <v>388</v>
      </c>
      <c r="R189" s="12">
        <f t="shared" si="24"/>
        <v>2</v>
      </c>
      <c r="S189" s="12" t="s">
        <v>389</v>
      </c>
      <c r="AB189" s="13" t="s">
        <v>425</v>
      </c>
      <c r="AC189" s="13" t="s">
        <v>391</v>
      </c>
      <c r="AD189" s="13" t="s">
        <v>378</v>
      </c>
      <c r="AE189" s="8" t="str">
        <f t="shared" si="25"/>
        <v>High</v>
      </c>
      <c r="AF189" s="14"/>
      <c r="AG189" s="14"/>
      <c r="AH189" s="14"/>
      <c r="AI189" s="14"/>
      <c r="AJ189" s="15">
        <f>VLOOKUP(E189,'[1]Ethanol Plant Listing 2025'!$B$3:$E$220,4,FALSE)</f>
        <v>130</v>
      </c>
      <c r="AK189" s="14">
        <f>+AJ189*[1]Yield!$K$4</f>
        <v>123.5</v>
      </c>
      <c r="AL189" s="14">
        <f>AK189/VLOOKUP(Q189,[1]Yield!$E$5:$F$14,2,FALSE)</f>
        <v>41.864406779661017</v>
      </c>
      <c r="AM189" s="14"/>
      <c r="AN189" s="14"/>
      <c r="AO189" s="16">
        <f t="shared" si="26"/>
        <v>274000</v>
      </c>
      <c r="AP189" s="16" t="s">
        <v>393</v>
      </c>
      <c r="AQ189" s="17" t="str">
        <f t="shared" si="32"/>
        <v>ICM</v>
      </c>
      <c r="AR189" s="18">
        <f>VLOOKUP(AQ189,[1]Yield!$A$5:$B$10,2,FALSE)</f>
        <v>0.9</v>
      </c>
      <c r="AS189" s="14">
        <f t="shared" si="27"/>
        <v>37.677966101694913</v>
      </c>
      <c r="AT189" s="8" t="s">
        <v>394</v>
      </c>
      <c r="AX189" s="8" t="str">
        <f>IFERROR(VLOOKUP(E189,[1]Sheet3!$C$2:$E$68,2,FALSE),"None")</f>
        <v>None</v>
      </c>
      <c r="AY189" s="8">
        <f>IFERROR(VLOOKUP(AX189,[1]Sheet3!$H$3:$I$5,2,FALSE),0)</f>
        <v>0</v>
      </c>
      <c r="AZ189" s="14">
        <f t="shared" si="28"/>
        <v>130</v>
      </c>
      <c r="BA189" s="14">
        <f t="shared" si="29"/>
        <v>213.72</v>
      </c>
      <c r="BB189" s="7"/>
      <c r="BC189" s="7"/>
      <c r="BD189" s="19" t="s">
        <v>956</v>
      </c>
      <c r="BE189" s="7" t="s">
        <v>481</v>
      </c>
      <c r="BF189" s="7" t="s">
        <v>398</v>
      </c>
      <c r="BK189" s="7">
        <f t="shared" si="30"/>
        <v>20</v>
      </c>
    </row>
    <row r="190" spans="1:64" ht="15.6" customHeight="1" x14ac:dyDescent="0.3">
      <c r="A190" s="7">
        <v>189</v>
      </c>
      <c r="B190" s="8">
        <v>4735</v>
      </c>
      <c r="C190" s="8">
        <v>70024</v>
      </c>
      <c r="D190" s="8">
        <v>3299</v>
      </c>
      <c r="E190" s="8">
        <v>3739</v>
      </c>
      <c r="F190" s="8" t="str">
        <f t="shared" si="31"/>
        <v>Active</v>
      </c>
      <c r="G190" s="9" t="s">
        <v>959</v>
      </c>
      <c r="H190" s="9" t="str">
        <f>VLOOKUP(E190,'[1]EPA Ethanol Capacity 2024'!$B$5:$C$235,2,FALSE)</f>
        <v>Yuma Ethanol LLC</v>
      </c>
      <c r="I190" s="8" t="s">
        <v>616</v>
      </c>
      <c r="J190" t="s">
        <v>960</v>
      </c>
      <c r="K190" s="7">
        <v>80751</v>
      </c>
      <c r="L190" s="7" t="s">
        <v>891</v>
      </c>
      <c r="M190" s="7">
        <v>4</v>
      </c>
      <c r="N190" s="20">
        <v>40.122199999999999</v>
      </c>
      <c r="O190" s="11">
        <v>-102.7252</v>
      </c>
      <c r="P190" s="12">
        <v>2007</v>
      </c>
      <c r="Q190" s="12" t="s">
        <v>388</v>
      </c>
      <c r="R190" s="12">
        <f t="shared" si="24"/>
        <v>1</v>
      </c>
      <c r="S190" s="12"/>
      <c r="U190" s="7" t="s">
        <v>343</v>
      </c>
      <c r="AB190" s="13" t="s">
        <v>390</v>
      </c>
      <c r="AC190" s="13" t="s">
        <v>391</v>
      </c>
      <c r="AD190" s="13" t="s">
        <v>378</v>
      </c>
      <c r="AE190" s="8" t="str">
        <f t="shared" si="25"/>
        <v>High</v>
      </c>
      <c r="AF190" s="14"/>
      <c r="AG190" s="14"/>
      <c r="AH190" s="14"/>
      <c r="AI190" s="14"/>
      <c r="AJ190" s="15">
        <f>VLOOKUP(E190,'[1]Ethanol Plant Listing 2025'!$B$3:$E$220,4,FALSE)</f>
        <v>60</v>
      </c>
      <c r="AK190" s="14">
        <f>+AJ190*[1]Yield!$K$4</f>
        <v>57</v>
      </c>
      <c r="AL190" s="14">
        <f>AK190/VLOOKUP(Q190,[1]Yield!$E$5:$F$14,2,FALSE)</f>
        <v>19.322033898305083</v>
      </c>
      <c r="AM190" s="14"/>
      <c r="AN190" s="14"/>
      <c r="AO190" s="16">
        <f t="shared" si="26"/>
        <v>127000</v>
      </c>
      <c r="AP190" s="16" t="s">
        <v>393</v>
      </c>
      <c r="AQ190" s="17" t="str">
        <f t="shared" si="32"/>
        <v>ICM</v>
      </c>
      <c r="AR190" s="18">
        <f>VLOOKUP(AQ190,[1]Yield!$A$5:$B$10,2,FALSE)</f>
        <v>0.9</v>
      </c>
      <c r="AS190" s="14">
        <f t="shared" si="27"/>
        <v>17.389830508474574</v>
      </c>
      <c r="AT190" s="8" t="s">
        <v>394</v>
      </c>
      <c r="AX190" s="8" t="str">
        <f>IFERROR(VLOOKUP(E190,[1]Sheet3!$C$2:$E$68,2,FALSE),"None")</f>
        <v>None</v>
      </c>
      <c r="AY190" s="8">
        <f>IFERROR(VLOOKUP(AX190,[1]Sheet3!$H$3:$I$5,2,FALSE),0)</f>
        <v>0</v>
      </c>
      <c r="AZ190" s="14">
        <f t="shared" si="28"/>
        <v>60</v>
      </c>
      <c r="BA190" s="14">
        <f t="shared" si="29"/>
        <v>98.64</v>
      </c>
      <c r="BB190" s="7"/>
      <c r="BC190" s="7"/>
      <c r="BD190" s="19" t="s">
        <v>961</v>
      </c>
      <c r="BE190" s="7" t="s">
        <v>481</v>
      </c>
      <c r="BF190" s="7" t="s">
        <v>398</v>
      </c>
      <c r="BK190" s="7">
        <f t="shared" si="30"/>
        <v>20</v>
      </c>
    </row>
    <row r="191" spans="1:64" ht="15.6" customHeight="1" x14ac:dyDescent="0.3">
      <c r="A191" s="7">
        <v>190</v>
      </c>
      <c r="B191" s="8"/>
      <c r="C191" s="8"/>
      <c r="D191" s="8">
        <v>3312</v>
      </c>
      <c r="E191" s="8">
        <v>3755</v>
      </c>
      <c r="F191" s="8" t="str">
        <f t="shared" si="31"/>
        <v>Active</v>
      </c>
      <c r="G191" s="9" t="s">
        <v>962</v>
      </c>
      <c r="H191" s="9" t="str">
        <f>VLOOKUP(E191,'[1]EPA Ethanol Capacity 2024'!$B$5:$C$235,2,FALSE)</f>
        <v>Aztalan Bio LLC</v>
      </c>
      <c r="I191" s="8" t="s">
        <v>402</v>
      </c>
      <c r="J191" t="s">
        <v>963</v>
      </c>
      <c r="K191" s="7">
        <v>53038</v>
      </c>
      <c r="L191" s="7" t="s">
        <v>774</v>
      </c>
      <c r="M191" s="7">
        <v>2</v>
      </c>
      <c r="N191" s="20">
        <v>43.040384750543701</v>
      </c>
      <c r="O191" s="11">
        <v>-88.796176980641107</v>
      </c>
      <c r="P191" s="12">
        <v>2006</v>
      </c>
      <c r="Q191" s="12" t="s">
        <v>405</v>
      </c>
      <c r="R191" s="12">
        <f t="shared" si="24"/>
        <v>1</v>
      </c>
      <c r="S191" s="12"/>
      <c r="T191" s="7" t="s">
        <v>964</v>
      </c>
      <c r="AB191" s="13" t="s">
        <v>965</v>
      </c>
      <c r="AC191" s="13" t="s">
        <v>966</v>
      </c>
      <c r="AD191" s="13" t="s">
        <v>378</v>
      </c>
      <c r="AE191" s="8" t="str">
        <f t="shared" si="25"/>
        <v>High</v>
      </c>
      <c r="AF191" s="14"/>
      <c r="AG191" s="14"/>
      <c r="AH191" s="14"/>
      <c r="AI191" s="14"/>
      <c r="AJ191" s="15">
        <f>VLOOKUP(E191,'[1]Ethanol Plant Listing 2025'!$B$3:$E$220,4,FALSE)</f>
        <v>106</v>
      </c>
      <c r="AK191" s="14">
        <f>+AJ191*[1]Yield!$K$4</f>
        <v>100.69999999999999</v>
      </c>
      <c r="AL191" s="14">
        <f>AK191/VLOOKUP(Q191,[1]Yield!$E$5:$F$14,2,FALSE)</f>
        <v>34.965277777777779</v>
      </c>
      <c r="AM191" s="14"/>
      <c r="AN191" s="14"/>
      <c r="AO191" s="16">
        <f t="shared" si="26"/>
        <v>229000</v>
      </c>
      <c r="AP191" s="16" t="s">
        <v>410</v>
      </c>
      <c r="AQ191" s="17" t="str">
        <f t="shared" si="32"/>
        <v>None</v>
      </c>
      <c r="AR191" s="18">
        <f>VLOOKUP(AQ191,[1]Yield!$A$5:$B$10,2,FALSE)</f>
        <v>0.81499999999999995</v>
      </c>
      <c r="AS191" s="14">
        <f t="shared" si="27"/>
        <v>28.496701388888887</v>
      </c>
      <c r="AT191" s="8" t="s">
        <v>411</v>
      </c>
      <c r="AX191" s="8" t="str">
        <f>IFERROR(VLOOKUP(E191,[1]Sheet3!$C$2:$E$68,2,FALSE),"None")</f>
        <v>None</v>
      </c>
      <c r="AY191" s="8">
        <f>IFERROR(VLOOKUP(AX191,[1]Sheet3!$H$3:$I$5,2,FALSE),0)</f>
        <v>0</v>
      </c>
      <c r="AZ191" s="14">
        <f t="shared" si="28"/>
        <v>106</v>
      </c>
      <c r="BA191" s="14">
        <f t="shared" si="29"/>
        <v>174.26399999999998</v>
      </c>
      <c r="BB191" s="27"/>
      <c r="BC191" s="7"/>
      <c r="BD191" s="19" t="s">
        <v>967</v>
      </c>
      <c r="BE191" s="7" t="s">
        <v>428</v>
      </c>
      <c r="BF191" s="7" t="s">
        <v>414</v>
      </c>
      <c r="BG191" s="7" t="s">
        <v>398</v>
      </c>
      <c r="BJ191" s="7" t="s">
        <v>400</v>
      </c>
      <c r="BK191" s="7">
        <f t="shared" si="30"/>
        <v>20</v>
      </c>
      <c r="BL191" s="9" t="s">
        <v>968</v>
      </c>
    </row>
    <row r="192" spans="1:64" ht="15.6" customHeight="1" x14ac:dyDescent="0.3">
      <c r="A192" s="7">
        <v>191</v>
      </c>
      <c r="B192" s="8"/>
      <c r="C192" s="8"/>
      <c r="D192" s="8">
        <v>3150</v>
      </c>
      <c r="E192" s="8" t="s">
        <v>969</v>
      </c>
      <c r="F192" s="8" t="str">
        <f t="shared" si="31"/>
        <v>Active</v>
      </c>
      <c r="G192" s="9" t="s">
        <v>970</v>
      </c>
      <c r="H192" s="9" t="str">
        <f>+G192</f>
        <v>Attis Industries Inc.</v>
      </c>
      <c r="I192" s="8" t="s">
        <v>952</v>
      </c>
      <c r="J192" t="s">
        <v>971</v>
      </c>
      <c r="K192" s="7">
        <v>13069</v>
      </c>
      <c r="L192" s="7" t="s">
        <v>972</v>
      </c>
      <c r="M192" s="7">
        <v>1</v>
      </c>
      <c r="N192" s="20">
        <v>43.3</v>
      </c>
      <c r="O192" s="11">
        <v>-76.381</v>
      </c>
      <c r="P192" s="12">
        <v>0</v>
      </c>
      <c r="Q192" s="12" t="s">
        <v>700</v>
      </c>
      <c r="R192" s="12">
        <f t="shared" si="24"/>
        <v>1</v>
      </c>
      <c r="S192" s="12"/>
      <c r="AB192" s="13" t="s">
        <v>390</v>
      </c>
      <c r="AC192" s="13" t="s">
        <v>391</v>
      </c>
      <c r="AD192" s="13" t="s">
        <v>378</v>
      </c>
      <c r="AE192" s="8" t="str">
        <f t="shared" si="25"/>
        <v>High</v>
      </c>
      <c r="AF192" s="14"/>
      <c r="AG192" s="14"/>
      <c r="AH192" s="14"/>
      <c r="AI192" s="14"/>
      <c r="AJ192" s="15" t="e">
        <f>VLOOKUP(E192,'[1]Ethanol Plant Listing 2025'!$B$3:$E$220,4,FALSE)</f>
        <v>#N/A</v>
      </c>
      <c r="AK192" s="14" t="e">
        <f>+AJ192*[1]Yield!$K$4</f>
        <v>#N/A</v>
      </c>
      <c r="AL192" s="14" t="e">
        <f>AK192/VLOOKUP(Q192,[1]Yield!$E$5:$F$14,2,FALSE)</f>
        <v>#N/A</v>
      </c>
      <c r="AM192" s="14"/>
      <c r="AN192" s="14"/>
      <c r="AO192" s="16" t="e">
        <f t="shared" si="26"/>
        <v>#N/A</v>
      </c>
      <c r="AP192" s="16"/>
      <c r="AQ192" s="17" t="str">
        <f t="shared" si="32"/>
        <v>None</v>
      </c>
      <c r="AR192" s="18">
        <f>VLOOKUP(AQ192,[1]Yield!$A$5:$B$10,2,FALSE)</f>
        <v>0.81499999999999995</v>
      </c>
      <c r="AS192" s="14" t="e">
        <f t="shared" si="27"/>
        <v>#N/A</v>
      </c>
      <c r="AT192" s="8" t="s">
        <v>411</v>
      </c>
      <c r="AX192" s="8" t="str">
        <f>IFERROR(VLOOKUP(E192,[1]Sheet3!$C$2:$E$68,2,FALSE),"None")</f>
        <v>None</v>
      </c>
      <c r="AY192" s="8">
        <f>IFERROR(VLOOKUP(AX192,[1]Sheet3!$H$3:$I$5,2,FALSE),0)</f>
        <v>0</v>
      </c>
      <c r="AZ192" s="14" t="e">
        <f t="shared" si="28"/>
        <v>#N/A</v>
      </c>
      <c r="BA192" s="14" t="e">
        <f t="shared" si="29"/>
        <v>#N/A</v>
      </c>
      <c r="BB192" s="27"/>
      <c r="BC192" s="7"/>
      <c r="BD192" s="29" t="s">
        <v>743</v>
      </c>
      <c r="BE192" s="7" t="s">
        <v>531</v>
      </c>
      <c r="BF192" s="7" t="s">
        <v>398</v>
      </c>
      <c r="BK192" s="7">
        <f t="shared" si="30"/>
        <v>15</v>
      </c>
      <c r="BL192" s="9" t="s">
        <v>973</v>
      </c>
    </row>
    <row r="193" spans="1:64" ht="15.6" customHeight="1" x14ac:dyDescent="0.3">
      <c r="A193" s="7">
        <v>192</v>
      </c>
      <c r="B193" s="8">
        <v>1020</v>
      </c>
      <c r="C193" s="32">
        <v>75441</v>
      </c>
      <c r="D193" s="32">
        <v>3175</v>
      </c>
      <c r="E193" s="32">
        <v>3756</v>
      </c>
      <c r="F193" s="8" t="str">
        <f t="shared" si="31"/>
        <v>Active</v>
      </c>
      <c r="G193" s="9" t="s">
        <v>532</v>
      </c>
      <c r="H193" s="9" t="str">
        <f>VLOOKUP(E193,'[1]EPA Ethanol Capacity 2024'!$B$5:$C$235,2,FALSE)</f>
        <v>Cardinal</v>
      </c>
      <c r="I193" s="8" t="s">
        <v>455</v>
      </c>
      <c r="J193" t="s">
        <v>974</v>
      </c>
      <c r="K193" s="7">
        <v>67030</v>
      </c>
      <c r="L193" s="7" t="s">
        <v>699</v>
      </c>
      <c r="M193" s="7">
        <v>2</v>
      </c>
      <c r="N193" s="20">
        <v>37.786819999999999</v>
      </c>
      <c r="O193" s="11">
        <v>-97.530990000000003</v>
      </c>
      <c r="P193" s="12">
        <v>2020</v>
      </c>
      <c r="Q193" s="12" t="s">
        <v>388</v>
      </c>
      <c r="R193" s="12">
        <f t="shared" si="24"/>
        <v>2</v>
      </c>
      <c r="S193" s="12" t="s">
        <v>389</v>
      </c>
      <c r="T193" s="7" t="s">
        <v>536</v>
      </c>
      <c r="U193" s="7" t="s">
        <v>343</v>
      </c>
      <c r="AB193" s="13" t="s">
        <v>390</v>
      </c>
      <c r="AC193" s="13" t="s">
        <v>408</v>
      </c>
      <c r="AD193" s="13" t="s">
        <v>378</v>
      </c>
      <c r="AE193" s="8" t="str">
        <f t="shared" si="25"/>
        <v>High</v>
      </c>
      <c r="AF193" s="14"/>
      <c r="AG193" s="14"/>
      <c r="AH193" s="14"/>
      <c r="AI193" s="14"/>
      <c r="AJ193" s="15">
        <f>VLOOKUP(E193,'[1]Ethanol Plant Listing 2025'!$B$3:$E$220,4,FALSE)</f>
        <v>70</v>
      </c>
      <c r="AK193" s="14">
        <f>+AJ193*[1]Yield!$K$4</f>
        <v>66.5</v>
      </c>
      <c r="AL193" s="14">
        <f>AK193/VLOOKUP(Q193,[1]Yield!$E$5:$F$14,2,FALSE)</f>
        <v>22.542372881355931</v>
      </c>
      <c r="AM193" s="14"/>
      <c r="AN193" s="14"/>
      <c r="AO193" s="16">
        <f t="shared" si="26"/>
        <v>148000</v>
      </c>
      <c r="AP193" s="16" t="s">
        <v>393</v>
      </c>
      <c r="AQ193" s="17" t="str">
        <f t="shared" si="32"/>
        <v>ICM</v>
      </c>
      <c r="AR193" s="18">
        <f>VLOOKUP(AQ193,[1]Yield!$A$5:$B$10,2,FALSE)</f>
        <v>0.9</v>
      </c>
      <c r="AS193" s="14">
        <f t="shared" si="27"/>
        <v>20.288135593220339</v>
      </c>
      <c r="AT193" s="8" t="s">
        <v>394</v>
      </c>
      <c r="AX193" s="8" t="str">
        <f>IFERROR(VLOOKUP(E193,[1]Sheet3!$C$2:$E$68,2,FALSE),"None")</f>
        <v>None</v>
      </c>
      <c r="AY193" s="8">
        <f>IFERROR(VLOOKUP(AX193,[1]Sheet3!$H$3:$I$5,2,FALSE),0)</f>
        <v>0</v>
      </c>
      <c r="AZ193" s="14">
        <f t="shared" si="28"/>
        <v>70</v>
      </c>
      <c r="BA193" s="14">
        <f t="shared" si="29"/>
        <v>115.08</v>
      </c>
      <c r="BB193" s="27"/>
      <c r="BC193" s="7"/>
      <c r="BD193" s="19" t="s">
        <v>900</v>
      </c>
      <c r="BE193" s="7" t="s">
        <v>428</v>
      </c>
      <c r="BF193" s="7" t="s">
        <v>398</v>
      </c>
      <c r="BK193" s="7">
        <f t="shared" si="30"/>
        <v>25</v>
      </c>
    </row>
    <row r="194" spans="1:64" ht="15.6" customHeight="1" x14ac:dyDescent="0.3">
      <c r="A194" s="7">
        <v>193</v>
      </c>
      <c r="B194" s="8"/>
      <c r="C194" s="8"/>
      <c r="D194" s="8">
        <v>2465</v>
      </c>
      <c r="E194" s="8">
        <v>3762</v>
      </c>
      <c r="F194" s="8" t="str">
        <f t="shared" si="31"/>
        <v>Active</v>
      </c>
      <c r="G194" s="9" t="s">
        <v>975</v>
      </c>
      <c r="H194" s="9" t="s">
        <v>975</v>
      </c>
      <c r="I194" s="8" t="s">
        <v>429</v>
      </c>
      <c r="J194" t="s">
        <v>976</v>
      </c>
      <c r="K194" s="7">
        <v>56156</v>
      </c>
      <c r="L194" s="7" t="s">
        <v>912</v>
      </c>
      <c r="M194" s="7">
        <v>2</v>
      </c>
      <c r="N194" s="20">
        <v>43.6474487685906</v>
      </c>
      <c r="O194" s="11">
        <v>-96.224891843539893</v>
      </c>
      <c r="P194" s="12">
        <v>0</v>
      </c>
      <c r="Q194" s="12" t="s">
        <v>700</v>
      </c>
      <c r="R194" s="12">
        <f t="shared" ref="R194:R204" si="33">COUNTIF(G:G,"="&amp;G194)</f>
        <v>1</v>
      </c>
      <c r="S194" s="12"/>
      <c r="AB194" s="13" t="s">
        <v>390</v>
      </c>
      <c r="AC194" s="13" t="s">
        <v>391</v>
      </c>
      <c r="AD194" s="13" t="s">
        <v>378</v>
      </c>
      <c r="AE194" s="8" t="str">
        <f t="shared" ref="AE194:AE229" si="34">IF(BK194=1,"Low","High")</f>
        <v>High</v>
      </c>
      <c r="AF194" s="14"/>
      <c r="AG194" s="14"/>
      <c r="AH194" s="14"/>
      <c r="AI194" s="14"/>
      <c r="AJ194" s="15" t="e">
        <f>VLOOKUP(E194,'[1]Ethanol Plant Listing 2025'!$B$3:$E$220,4,FALSE)</f>
        <v>#N/A</v>
      </c>
      <c r="AK194" s="14" t="e">
        <f>+AJ194*[1]Yield!$K$4</f>
        <v>#N/A</v>
      </c>
      <c r="AL194" s="14" t="e">
        <f>AK194/VLOOKUP(Q194,[1]Yield!$E$5:$F$14,2,FALSE)</f>
        <v>#N/A</v>
      </c>
      <c r="AM194" s="14"/>
      <c r="AN194" s="14"/>
      <c r="AO194" s="16" t="e">
        <f t="shared" ref="AO194:AO205" si="35">ROUND((+AL194*13.1*1000000)/2000,-3)</f>
        <v>#N/A</v>
      </c>
      <c r="AP194" s="16"/>
      <c r="AQ194" s="17" t="str">
        <f t="shared" si="32"/>
        <v>None</v>
      </c>
      <c r="AR194" s="18">
        <f>VLOOKUP(AQ194,[1]Yield!$A$5:$B$10,2,FALSE)</f>
        <v>0.81499999999999995</v>
      </c>
      <c r="AS194" s="14" t="e">
        <f t="shared" ref="AS194:AS205" si="36">(AL194)*AR194</f>
        <v>#N/A</v>
      </c>
      <c r="AT194" s="8" t="s">
        <v>394</v>
      </c>
      <c r="AU194" s="8"/>
      <c r="AV194" s="8"/>
      <c r="AW194" s="13"/>
      <c r="AX194" s="8" t="str">
        <f>IFERROR(VLOOKUP(E194,[1]Sheet3!$C$2:$E$68,2,FALSE),"None")</f>
        <v>None</v>
      </c>
      <c r="AY194" s="8">
        <f>IFERROR(VLOOKUP(AX194,[1]Sheet3!$H$3:$I$5,2,FALSE),0)</f>
        <v>0</v>
      </c>
      <c r="AZ194" s="14" t="e">
        <f t="shared" ref="AZ194:AZ229" si="37">AJ194</f>
        <v>#N/A</v>
      </c>
      <c r="BA194" s="14" t="e">
        <f t="shared" ref="BA194:BA229" si="38">+AJ194*6.85*0.48/2</f>
        <v>#N/A</v>
      </c>
      <c r="BB194" s="27"/>
      <c r="BC194" s="7"/>
      <c r="BD194" s="19" t="s">
        <v>977</v>
      </c>
      <c r="BE194" s="7" t="s">
        <v>978</v>
      </c>
      <c r="BF194" s="7" t="s">
        <v>414</v>
      </c>
      <c r="BK194" s="7">
        <f t="shared" ref="BK194:BK205" si="39">IF(M194=2,10,5)+IF(Q194="ICM",10,5)+IF(X194="Y",10,5)</f>
        <v>20</v>
      </c>
    </row>
    <row r="195" spans="1:64" ht="15.6" customHeight="1" x14ac:dyDescent="0.3">
      <c r="A195" s="7">
        <v>195</v>
      </c>
      <c r="B195" s="8"/>
      <c r="C195" s="8"/>
      <c r="D195" s="8">
        <v>3259</v>
      </c>
      <c r="E195" s="8" t="s">
        <v>979</v>
      </c>
      <c r="F195" s="8" t="s">
        <v>980</v>
      </c>
      <c r="G195" s="9" t="s">
        <v>981</v>
      </c>
      <c r="H195" s="9" t="str">
        <f>+G195</f>
        <v>Prairie Horizon Agri–Energy</v>
      </c>
      <c r="I195" s="8" t="s">
        <v>455</v>
      </c>
      <c r="J195" t="s">
        <v>456</v>
      </c>
      <c r="K195" s="7">
        <v>67661</v>
      </c>
      <c r="L195" s="7" t="s">
        <v>457</v>
      </c>
      <c r="M195" s="7">
        <v>2</v>
      </c>
      <c r="N195" s="20">
        <v>39.760046000000003</v>
      </c>
      <c r="O195" s="11">
        <v>-99.304261999999994</v>
      </c>
      <c r="P195" s="12">
        <v>2006</v>
      </c>
      <c r="Q195" s="12" t="s">
        <v>388</v>
      </c>
      <c r="R195" s="12">
        <f t="shared" si="33"/>
        <v>1</v>
      </c>
      <c r="S195" s="12"/>
      <c r="T195" s="7" t="s">
        <v>536</v>
      </c>
      <c r="U195" s="7" t="s">
        <v>343</v>
      </c>
      <c r="AB195" s="13" t="s">
        <v>459</v>
      </c>
      <c r="AC195" s="13" t="s">
        <v>391</v>
      </c>
      <c r="AD195" s="13" t="s">
        <v>378</v>
      </c>
      <c r="AE195" s="8" t="str">
        <f t="shared" si="34"/>
        <v>High</v>
      </c>
      <c r="AF195" s="14"/>
      <c r="AG195" s="14"/>
      <c r="AH195" s="14"/>
      <c r="AI195" s="14"/>
      <c r="AJ195" s="15" t="e">
        <f>VLOOKUP(E195,'[1]Ethanol Plant Listing 2025'!$B$3:$E$220,4,FALSE)</f>
        <v>#N/A</v>
      </c>
      <c r="AK195" s="14" t="e">
        <f>+AJ195*[1]Yield!$K$4</f>
        <v>#N/A</v>
      </c>
      <c r="AL195" s="14" t="e">
        <f>AK195/VLOOKUP(Q195,[1]Yield!$E$5:$F$14,2,FALSE)</f>
        <v>#N/A</v>
      </c>
      <c r="AM195" s="14"/>
      <c r="AN195" s="14"/>
      <c r="AO195" s="16" t="e">
        <f t="shared" si="35"/>
        <v>#N/A</v>
      </c>
      <c r="AP195" s="16" t="s">
        <v>393</v>
      </c>
      <c r="AQ195" s="17" t="str">
        <f t="shared" ref="AQ195:AQ196" si="40">IF(G195="POET Biorefining",G195,IF(T195="FQPT HI Pro",T195,IF(Z195="ICM FOT",Z195,IF(Q195="ICM",Q195,IF(Q195="ADM",Q195,IF(Q195="Waste Stream",Q195,IF(Q195="Wheat","Wheat","None")))))))</f>
        <v>ICM</v>
      </c>
      <c r="AR195" s="18">
        <f>VLOOKUP(AQ195,[1]Yield!$A$5:$B$10,2,FALSE)</f>
        <v>0.9</v>
      </c>
      <c r="AS195" s="14" t="e">
        <f t="shared" si="36"/>
        <v>#N/A</v>
      </c>
      <c r="AT195" s="8" t="s">
        <v>394</v>
      </c>
      <c r="AX195" s="8" t="str">
        <f>IFERROR(VLOOKUP(E195,[1]Sheet3!$C$2:$E$68,2,FALSE),"None")</f>
        <v>None</v>
      </c>
      <c r="AY195" s="8">
        <f>IFERROR(VLOOKUP(AX195,[1]Sheet3!$H$3:$I$5,2,FALSE),0)</f>
        <v>0</v>
      </c>
      <c r="AZ195" s="14" t="e">
        <f t="shared" si="37"/>
        <v>#N/A</v>
      </c>
      <c r="BA195" s="14" t="e">
        <f t="shared" si="38"/>
        <v>#N/A</v>
      </c>
      <c r="BB195" s="27"/>
      <c r="BC195" s="7"/>
      <c r="BD195" s="29" t="s">
        <v>743</v>
      </c>
      <c r="BE195" s="7" t="s">
        <v>428</v>
      </c>
      <c r="BF195" s="7" t="s">
        <v>414</v>
      </c>
      <c r="BK195" s="7">
        <f t="shared" si="39"/>
        <v>25</v>
      </c>
      <c r="BL195" s="9" t="s">
        <v>982</v>
      </c>
    </row>
    <row r="196" spans="1:64" ht="15.6" customHeight="1" x14ac:dyDescent="0.3">
      <c r="A196" s="7">
        <v>196</v>
      </c>
      <c r="B196" s="8"/>
      <c r="C196" s="8"/>
      <c r="D196" s="8">
        <v>3261</v>
      </c>
      <c r="E196" s="8" t="s">
        <v>983</v>
      </c>
      <c r="F196" s="8" t="str">
        <f t="shared" ref="F196:F197" si="41">IF(A196&lt;300,"Active","Retired")</f>
        <v>Active</v>
      </c>
      <c r="G196" s="9" t="s">
        <v>850</v>
      </c>
      <c r="H196" s="9" t="str">
        <f>VLOOKUP(E196,'[1]EPA Ethanol Capacity 2024'!$B$5:$C$235,2,FALSE)</f>
        <v>Red River Energy</v>
      </c>
      <c r="I196" s="8" t="s">
        <v>508</v>
      </c>
      <c r="J196" t="s">
        <v>984</v>
      </c>
      <c r="K196" s="7">
        <v>58203</v>
      </c>
      <c r="L196" s="7" t="s">
        <v>984</v>
      </c>
      <c r="M196" s="7">
        <v>2</v>
      </c>
      <c r="N196" s="20">
        <v>47.943973760946697</v>
      </c>
      <c r="O196" s="11">
        <v>-97.085176009775907</v>
      </c>
      <c r="P196" s="12">
        <v>2020</v>
      </c>
      <c r="Q196" s="12" t="s">
        <v>700</v>
      </c>
      <c r="R196" s="12">
        <f t="shared" si="33"/>
        <v>2</v>
      </c>
      <c r="S196" s="12"/>
      <c r="AB196" s="13" t="s">
        <v>772</v>
      </c>
      <c r="AC196" s="13" t="s">
        <v>426</v>
      </c>
      <c r="AD196" s="13" t="s">
        <v>378</v>
      </c>
      <c r="AE196" s="8" t="str">
        <f t="shared" si="34"/>
        <v>High</v>
      </c>
      <c r="AF196" s="14"/>
      <c r="AG196" s="14"/>
      <c r="AH196" s="14"/>
      <c r="AI196" s="14"/>
      <c r="AJ196" s="15" t="e">
        <f>VLOOKUP(E196,'[1]Ethanol Plant Listing 2025'!$B$3:$E$220,4,FALSE)</f>
        <v>#N/A</v>
      </c>
      <c r="AK196" s="14" t="e">
        <f>+AJ196*[1]Yield!$K$4</f>
        <v>#N/A</v>
      </c>
      <c r="AL196" s="14" t="e">
        <f>AK196/VLOOKUP(Q196,[1]Yield!$E$5:$F$14,2,FALSE)</f>
        <v>#N/A</v>
      </c>
      <c r="AM196" s="14"/>
      <c r="AN196" s="14"/>
      <c r="AO196" s="16" t="e">
        <f t="shared" si="35"/>
        <v>#N/A</v>
      </c>
      <c r="AP196" s="16"/>
      <c r="AQ196" s="17" t="str">
        <f t="shared" si="40"/>
        <v>None</v>
      </c>
      <c r="AR196" s="18">
        <f>VLOOKUP(AQ196,[1]Yield!$A$5:$B$10,2,FALSE)</f>
        <v>0.81499999999999995</v>
      </c>
      <c r="AS196" s="14" t="e">
        <f t="shared" si="36"/>
        <v>#N/A</v>
      </c>
      <c r="AT196" s="8" t="s">
        <v>394</v>
      </c>
      <c r="AU196" s="8"/>
      <c r="AV196" s="8"/>
      <c r="AW196" s="13"/>
      <c r="AX196" s="8" t="str">
        <f>IFERROR(VLOOKUP(E196,[1]Sheet3!$C$2:$E$68,2,FALSE),"None")</f>
        <v>None</v>
      </c>
      <c r="AY196" s="8">
        <f>IFERROR(VLOOKUP(AX196,[1]Sheet3!$H$3:$I$5,2,FALSE),0)</f>
        <v>0</v>
      </c>
      <c r="AZ196" s="14" t="e">
        <f t="shared" si="37"/>
        <v>#N/A</v>
      </c>
      <c r="BA196" s="14" t="e">
        <f t="shared" si="38"/>
        <v>#N/A</v>
      </c>
      <c r="BB196" s="27"/>
      <c r="BC196" s="7"/>
      <c r="BD196" s="19" t="s">
        <v>985</v>
      </c>
      <c r="BE196" s="7" t="s">
        <v>481</v>
      </c>
      <c r="BF196" s="7" t="s">
        <v>414</v>
      </c>
      <c r="BK196" s="7">
        <f t="shared" si="39"/>
        <v>20</v>
      </c>
    </row>
    <row r="197" spans="1:64" ht="15.6" customHeight="1" x14ac:dyDescent="0.3">
      <c r="A197" s="7">
        <v>197</v>
      </c>
      <c r="B197" s="8"/>
      <c r="C197" s="8"/>
      <c r="D197" s="8">
        <v>3277</v>
      </c>
      <c r="E197" s="8" t="s">
        <v>986</v>
      </c>
      <c r="F197" s="8" t="str">
        <f t="shared" si="41"/>
        <v>Active</v>
      </c>
      <c r="G197" s="9" t="s">
        <v>987</v>
      </c>
      <c r="H197" s="9" t="str">
        <f>+G197</f>
        <v>Tyton NC Biofuels</v>
      </c>
      <c r="I197" s="8" t="s">
        <v>988</v>
      </c>
      <c r="J197" s="9" t="s">
        <v>989</v>
      </c>
      <c r="K197" s="7">
        <v>28376</v>
      </c>
      <c r="L197" s="7" t="s">
        <v>990</v>
      </c>
      <c r="M197" s="7">
        <v>1</v>
      </c>
      <c r="N197" s="20">
        <v>34.946728</v>
      </c>
      <c r="O197" s="11">
        <v>-79.144518000000005</v>
      </c>
      <c r="P197" s="12">
        <v>2010</v>
      </c>
      <c r="Q197" s="12" t="s">
        <v>663</v>
      </c>
      <c r="R197" s="12">
        <f t="shared" si="33"/>
        <v>1</v>
      </c>
      <c r="S197" s="12"/>
      <c r="AB197" s="13" t="s">
        <v>390</v>
      </c>
      <c r="AC197" s="13" t="s">
        <v>391</v>
      </c>
      <c r="AD197" s="13" t="s">
        <v>378</v>
      </c>
      <c r="AE197" s="8" t="str">
        <f t="shared" si="34"/>
        <v>High</v>
      </c>
      <c r="AF197" s="14"/>
      <c r="AG197" s="14"/>
      <c r="AH197" s="14"/>
      <c r="AI197" s="14"/>
      <c r="AJ197" s="15" t="e">
        <f>VLOOKUP(E197,'[1]Ethanol Plant Listing 2025'!$B$3:$E$220,4,FALSE)</f>
        <v>#N/A</v>
      </c>
      <c r="AK197" s="14" t="e">
        <f>+AJ197*[1]Yield!$K$4</f>
        <v>#N/A</v>
      </c>
      <c r="AL197" s="14" t="e">
        <f>AK197/VLOOKUP(Q197,[1]Yield!$E$5:$F$14,2,FALSE)</f>
        <v>#N/A</v>
      </c>
      <c r="AM197" s="14"/>
      <c r="AN197" s="14"/>
      <c r="AO197" s="16" t="e">
        <f t="shared" si="35"/>
        <v>#N/A</v>
      </c>
      <c r="AP197" s="16"/>
      <c r="AQ197" s="17" t="str">
        <f t="shared" ref="AQ197:AQ205" si="42">IF(G197="POET Biorefining",G197,IF(T197="FQPT HI Pro",T197,IF(Z197="ICM FOT",Z197,IF(Q197="ICM",Q197,IF(Q197="ADM",Q197,"None")))))</f>
        <v>None</v>
      </c>
      <c r="AR197" s="18">
        <f>VLOOKUP(AQ197,[1]Yield!$A$5:$B$10,2,FALSE)</f>
        <v>0.81499999999999995</v>
      </c>
      <c r="AS197" s="14" t="e">
        <f t="shared" si="36"/>
        <v>#N/A</v>
      </c>
      <c r="AT197" s="8" t="s">
        <v>411</v>
      </c>
      <c r="AX197" s="8" t="str">
        <f>IFERROR(VLOOKUP(E197,[1]Sheet3!$C$2:$E$68,2,FALSE),"None")</f>
        <v>None</v>
      </c>
      <c r="AY197" s="8">
        <f>IFERROR(VLOOKUP(AX197,[1]Sheet3!$H$3:$I$5,2,FALSE),0)</f>
        <v>0</v>
      </c>
      <c r="AZ197" s="14" t="e">
        <f t="shared" si="37"/>
        <v>#N/A</v>
      </c>
      <c r="BA197" s="14" t="e">
        <f t="shared" si="38"/>
        <v>#N/A</v>
      </c>
      <c r="BB197" s="27"/>
      <c r="BC197" s="7"/>
      <c r="BD197" s="19" t="s">
        <v>991</v>
      </c>
      <c r="BE197" s="7" t="s">
        <v>833</v>
      </c>
      <c r="BF197" s="7" t="s">
        <v>398</v>
      </c>
      <c r="BK197" s="7">
        <f t="shared" si="39"/>
        <v>15</v>
      </c>
    </row>
    <row r="198" spans="1:64" ht="15.6" customHeight="1" x14ac:dyDescent="0.3">
      <c r="A198" s="7">
        <v>198</v>
      </c>
      <c r="B198" s="8"/>
      <c r="C198" s="8"/>
      <c r="D198" s="8">
        <v>3278</v>
      </c>
      <c r="E198" s="8" t="s">
        <v>992</v>
      </c>
      <c r="F198" s="8" t="s">
        <v>980</v>
      </c>
      <c r="G198" s="33" t="s">
        <v>993</v>
      </c>
      <c r="H198" s="9" t="str">
        <f>+G198</f>
        <v>AltEn</v>
      </c>
      <c r="I198" s="11" t="s">
        <v>470</v>
      </c>
      <c r="J198" s="34" t="s">
        <v>994</v>
      </c>
      <c r="K198" s="11"/>
      <c r="M198" s="11"/>
      <c r="N198" s="20">
        <v>41.226999999999997</v>
      </c>
      <c r="O198" s="11">
        <v>-96.487799999999993</v>
      </c>
      <c r="P198" s="12">
        <v>0</v>
      </c>
      <c r="Q198" s="12" t="s">
        <v>700</v>
      </c>
      <c r="R198" s="12">
        <f t="shared" si="33"/>
        <v>1</v>
      </c>
      <c r="S198" s="12"/>
      <c r="AB198" s="13" t="s">
        <v>390</v>
      </c>
      <c r="AC198" s="13"/>
      <c r="AD198" s="13" t="s">
        <v>378</v>
      </c>
      <c r="AE198" s="8"/>
      <c r="AF198" s="14"/>
      <c r="AG198" s="14"/>
      <c r="AH198" s="14"/>
      <c r="AI198" s="14"/>
      <c r="AJ198" s="15" t="e">
        <f>VLOOKUP(E198,'[1]Ethanol Plant Listing 2025'!$B$3:$E$220,4,FALSE)</f>
        <v>#N/A</v>
      </c>
      <c r="AK198" s="14" t="e">
        <f>+AJ198*[1]Yield!$K$4</f>
        <v>#N/A</v>
      </c>
      <c r="AL198" s="14" t="e">
        <f>AK198/VLOOKUP(Q198,[1]Yield!$E$5:$F$14,2,FALSE)</f>
        <v>#N/A</v>
      </c>
      <c r="AM198" s="14"/>
      <c r="AN198" s="14"/>
      <c r="AO198" s="16" t="e">
        <f t="shared" si="35"/>
        <v>#N/A</v>
      </c>
      <c r="AP198" s="16"/>
      <c r="AQ198" s="17" t="str">
        <f t="shared" si="42"/>
        <v>None</v>
      </c>
      <c r="AR198" s="18">
        <f>VLOOKUP(AQ198,[1]Yield!$A$5:$B$10,2,FALSE)</f>
        <v>0.81499999999999995</v>
      </c>
      <c r="AS198" s="14" t="e">
        <f t="shared" si="36"/>
        <v>#N/A</v>
      </c>
      <c r="AT198" s="8"/>
      <c r="AX198" s="8" t="str">
        <f>IFERROR(VLOOKUP(E198,[1]Sheet3!$C$2:$E$68,2,FALSE),"None")</f>
        <v>None</v>
      </c>
      <c r="AY198" s="8">
        <f>IFERROR(VLOOKUP(AX198,[1]Sheet3!$H$3:$I$5,2,FALSE),0)</f>
        <v>0</v>
      </c>
      <c r="AZ198" s="14"/>
      <c r="BA198" s="14"/>
      <c r="BB198" s="35"/>
      <c r="BC198" s="7"/>
      <c r="BD198" s="19"/>
      <c r="BE198" s="7" t="s">
        <v>593</v>
      </c>
      <c r="BK198" s="7">
        <f t="shared" si="39"/>
        <v>15</v>
      </c>
    </row>
    <row r="199" spans="1:64" ht="15.6" customHeight="1" x14ac:dyDescent="0.3">
      <c r="A199" s="7">
        <v>199</v>
      </c>
      <c r="B199" s="8"/>
      <c r="C199" s="8"/>
      <c r="D199" s="8"/>
      <c r="E199" s="8">
        <v>8888</v>
      </c>
      <c r="F199" s="8" t="s">
        <v>980</v>
      </c>
      <c r="G199" s="33" t="s">
        <v>96</v>
      </c>
      <c r="H199" s="9" t="str">
        <f>+G199</f>
        <v>Green Plains</v>
      </c>
      <c r="I199" s="11" t="s">
        <v>995</v>
      </c>
      <c r="J199" s="34" t="s">
        <v>996</v>
      </c>
      <c r="N199" s="20">
        <v>37.304499999999997</v>
      </c>
      <c r="O199" s="11">
        <v>-77.289199999999994</v>
      </c>
      <c r="P199" s="12">
        <v>0</v>
      </c>
      <c r="Q199" s="12" t="s">
        <v>700</v>
      </c>
      <c r="R199" s="12">
        <f t="shared" si="33"/>
        <v>11</v>
      </c>
      <c r="S199" s="12"/>
      <c r="AB199" s="13" t="s">
        <v>390</v>
      </c>
      <c r="AC199" s="13"/>
      <c r="AD199" s="13" t="s">
        <v>378</v>
      </c>
      <c r="AE199" s="8"/>
      <c r="AF199" s="14"/>
      <c r="AG199" s="14"/>
      <c r="AH199" s="14"/>
      <c r="AI199" s="14"/>
      <c r="AJ199" s="15" t="e">
        <f>VLOOKUP(E199,'[1]Ethanol Plant Listing 2025'!$B$3:$E$220,4,FALSE)</f>
        <v>#N/A</v>
      </c>
      <c r="AK199" s="14" t="e">
        <f>+AJ199*[1]Yield!$K$4</f>
        <v>#N/A</v>
      </c>
      <c r="AL199" s="14" t="e">
        <f>AK199/VLOOKUP(Q199,[1]Yield!$E$5:$F$14,2,FALSE)</f>
        <v>#N/A</v>
      </c>
      <c r="AM199" s="14"/>
      <c r="AN199" s="14"/>
      <c r="AO199" s="16" t="e">
        <f t="shared" si="35"/>
        <v>#N/A</v>
      </c>
      <c r="AP199" s="16"/>
      <c r="AQ199" s="17" t="str">
        <f t="shared" si="42"/>
        <v>None</v>
      </c>
      <c r="AR199" s="18">
        <f>VLOOKUP(AQ199,[1]Yield!$A$5:$B$10,2,FALSE)</f>
        <v>0.81499999999999995</v>
      </c>
      <c r="AS199" s="14" t="e">
        <f t="shared" si="36"/>
        <v>#N/A</v>
      </c>
      <c r="AT199" s="8"/>
      <c r="AX199" s="8" t="str">
        <f>IFERROR(VLOOKUP(E199,[1]Sheet3!$C$2:$E$68,2,FALSE),"None")</f>
        <v>None</v>
      </c>
      <c r="AY199" s="8">
        <f>IFERROR(VLOOKUP(AX199,[1]Sheet3!$H$3:$I$5,2,FALSE),0)</f>
        <v>0</v>
      </c>
      <c r="AZ199" s="14"/>
      <c r="BA199" s="14"/>
      <c r="BB199" s="35"/>
      <c r="BC199" s="7"/>
      <c r="BD199" s="19"/>
      <c r="BE199" s="7" t="s">
        <v>593</v>
      </c>
      <c r="BK199" s="7">
        <f t="shared" si="39"/>
        <v>15</v>
      </c>
    </row>
    <row r="200" spans="1:64" ht="15.6" customHeight="1" x14ac:dyDescent="0.3">
      <c r="A200" s="7">
        <v>200</v>
      </c>
      <c r="B200" s="8"/>
      <c r="C200" s="8"/>
      <c r="D200" s="8">
        <v>3280</v>
      </c>
      <c r="E200" s="8">
        <v>3757</v>
      </c>
      <c r="F200" s="8" t="s">
        <v>997</v>
      </c>
      <c r="G200" s="33" t="s">
        <v>998</v>
      </c>
      <c r="H200" s="9" t="str">
        <f>VLOOKUP(E200,'[1]EPA Ethanol Capacity 2024'!$B$5:$C$235,2,FALSE)</f>
        <v>Crysalis Biosciences</v>
      </c>
      <c r="I200" s="11" t="s">
        <v>416</v>
      </c>
      <c r="J200" s="34" t="s">
        <v>999</v>
      </c>
      <c r="M200" s="7">
        <v>2</v>
      </c>
      <c r="N200" s="20">
        <v>38.595413000000001</v>
      </c>
      <c r="O200" s="11">
        <v>-90.176648</v>
      </c>
      <c r="P200" s="12">
        <v>2010</v>
      </c>
      <c r="Q200" s="12" t="s">
        <v>405</v>
      </c>
      <c r="R200" s="12">
        <f t="shared" si="33"/>
        <v>1</v>
      </c>
      <c r="S200" s="12"/>
      <c r="AB200" s="13" t="s">
        <v>390</v>
      </c>
      <c r="AC200" s="13"/>
      <c r="AD200" s="13" t="s">
        <v>1000</v>
      </c>
      <c r="AE200" s="8"/>
      <c r="AF200" s="14"/>
      <c r="AG200" s="14"/>
      <c r="AH200" s="14"/>
      <c r="AI200" s="14"/>
      <c r="AJ200" s="15">
        <f>VLOOKUP(E200,'[1]Ethanol Plant Listing 2025'!$B$3:$E$220,4,FALSE)</f>
        <v>57</v>
      </c>
      <c r="AK200" s="14">
        <f>+AJ200*[1]Yield!$K$4</f>
        <v>54.15</v>
      </c>
      <c r="AL200" s="14">
        <f>AK200/VLOOKUP(Q200,[1]Yield!$E$5:$F$14,2,FALSE)</f>
        <v>18.802083333333332</v>
      </c>
      <c r="AM200" s="14"/>
      <c r="AN200" s="14"/>
      <c r="AO200" s="16">
        <f t="shared" si="35"/>
        <v>123000</v>
      </c>
      <c r="AP200" s="16" t="s">
        <v>410</v>
      </c>
      <c r="AQ200" s="17" t="str">
        <f t="shared" si="42"/>
        <v>None</v>
      </c>
      <c r="AR200" s="18">
        <f>VLOOKUP(AQ200,[1]Yield!$A$5:$B$10,2,FALSE)</f>
        <v>0.81499999999999995</v>
      </c>
      <c r="AS200" s="14">
        <f t="shared" si="36"/>
        <v>15.323697916666665</v>
      </c>
      <c r="AT200" s="8"/>
      <c r="AX200" s="8" t="str">
        <f>IFERROR(VLOOKUP(E200,[1]Sheet3!$C$2:$E$68,2,FALSE),"None")</f>
        <v>None</v>
      </c>
      <c r="AY200" s="8">
        <f>IFERROR(VLOOKUP(AX200,[1]Sheet3!$H$3:$I$5,2,FALSE),0)</f>
        <v>0</v>
      </c>
      <c r="AZ200" s="14"/>
      <c r="BA200" s="14"/>
      <c r="BB200" s="35"/>
      <c r="BC200" s="7"/>
      <c r="BD200" s="19"/>
      <c r="BE200" s="7" t="s">
        <v>531</v>
      </c>
      <c r="BK200" s="7">
        <f t="shared" si="39"/>
        <v>20</v>
      </c>
    </row>
    <row r="201" spans="1:64" ht="15.6" customHeight="1" x14ac:dyDescent="0.3">
      <c r="A201" s="7">
        <v>201</v>
      </c>
      <c r="B201" s="8"/>
      <c r="C201" s="8"/>
      <c r="D201" s="8">
        <v>3281</v>
      </c>
      <c r="E201" s="8" t="s">
        <v>1001</v>
      </c>
      <c r="F201" s="8" t="s">
        <v>980</v>
      </c>
      <c r="G201" s="33" t="s">
        <v>461</v>
      </c>
      <c r="H201" s="9" t="str">
        <f>+G201</f>
        <v>ADM</v>
      </c>
      <c r="I201" s="11" t="s">
        <v>508</v>
      </c>
      <c r="J201" s="34" t="s">
        <v>1002</v>
      </c>
      <c r="N201" s="20">
        <v>48.910797000000002</v>
      </c>
      <c r="O201" s="11">
        <v>-97.888743000000005</v>
      </c>
      <c r="P201" s="12">
        <v>0</v>
      </c>
      <c r="Q201" s="12" t="s">
        <v>700</v>
      </c>
      <c r="R201" s="12">
        <f t="shared" si="33"/>
        <v>8</v>
      </c>
      <c r="S201" s="12"/>
      <c r="AB201" s="13" t="s">
        <v>390</v>
      </c>
      <c r="AC201" s="13"/>
      <c r="AD201" s="13" t="s">
        <v>378</v>
      </c>
      <c r="AE201" s="8"/>
      <c r="AF201" s="14"/>
      <c r="AG201" s="14"/>
      <c r="AH201" s="14"/>
      <c r="AI201" s="14"/>
      <c r="AJ201" s="15" t="e">
        <f>VLOOKUP(E201,'[1]Ethanol Plant Listing 2025'!$B$3:$E$220,4,FALSE)</f>
        <v>#N/A</v>
      </c>
      <c r="AK201" s="14" t="e">
        <f>+AJ201*[1]Yield!$K$4</f>
        <v>#N/A</v>
      </c>
      <c r="AL201" s="14" t="e">
        <f>AK201/VLOOKUP(Q201,[1]Yield!$E$5:$F$14,2,FALSE)</f>
        <v>#N/A</v>
      </c>
      <c r="AM201" s="14"/>
      <c r="AN201" s="14"/>
      <c r="AO201" s="16" t="e">
        <f t="shared" si="35"/>
        <v>#N/A</v>
      </c>
      <c r="AP201" s="16"/>
      <c r="AQ201" s="17" t="str">
        <f t="shared" si="42"/>
        <v>None</v>
      </c>
      <c r="AR201" s="18">
        <f>VLOOKUP(AQ201,[1]Yield!$A$5:$B$10,2,FALSE)</f>
        <v>0.81499999999999995</v>
      </c>
      <c r="AS201" s="14" t="e">
        <f t="shared" si="36"/>
        <v>#N/A</v>
      </c>
      <c r="AT201" s="8"/>
      <c r="AX201" s="8" t="str">
        <f>IFERROR(VLOOKUP(E201,[1]Sheet3!$C$2:$E$68,2,FALSE),"None")</f>
        <v>None</v>
      </c>
      <c r="AY201" s="8">
        <f>IFERROR(VLOOKUP(AX201,[1]Sheet3!$H$3:$I$5,2,FALSE),0)</f>
        <v>0</v>
      </c>
      <c r="AZ201" s="14"/>
      <c r="BA201" s="14"/>
      <c r="BB201" s="35"/>
      <c r="BC201" s="7"/>
      <c r="BD201" s="19"/>
      <c r="BE201" s="7" t="s">
        <v>593</v>
      </c>
      <c r="BK201" s="7">
        <f t="shared" si="39"/>
        <v>15</v>
      </c>
    </row>
    <row r="202" spans="1:64" ht="15.6" customHeight="1" x14ac:dyDescent="0.3">
      <c r="A202" s="7">
        <v>202</v>
      </c>
      <c r="B202" s="8"/>
      <c r="C202" s="8"/>
      <c r="D202" s="8">
        <v>3282</v>
      </c>
      <c r="E202" s="8" t="s">
        <v>1003</v>
      </c>
      <c r="F202" s="8" t="s">
        <v>980</v>
      </c>
      <c r="G202" s="33" t="s">
        <v>1004</v>
      </c>
      <c r="H202" s="9" t="str">
        <f>VLOOKUP(E202,'[1]EPA Ethanol Capacity 2024'!$B$5:$C$235,2,FALSE)</f>
        <v>Flint Hills</v>
      </c>
      <c r="I202" s="11" t="s">
        <v>1005</v>
      </c>
      <c r="J202" s="34" t="s">
        <v>1006</v>
      </c>
      <c r="N202" s="20">
        <v>31.169408000000001</v>
      </c>
      <c r="O202" s="11">
        <v>-84.162558000000004</v>
      </c>
      <c r="P202" s="12">
        <v>0</v>
      </c>
      <c r="Q202" s="36" t="s">
        <v>388</v>
      </c>
      <c r="R202" s="12">
        <f t="shared" si="33"/>
        <v>1</v>
      </c>
      <c r="S202" s="36" t="s">
        <v>389</v>
      </c>
      <c r="AB202" s="13" t="s">
        <v>390</v>
      </c>
      <c r="AC202" s="13"/>
      <c r="AD202" s="13" t="s">
        <v>378</v>
      </c>
      <c r="AE202" s="8"/>
      <c r="AF202" s="14"/>
      <c r="AG202" s="14"/>
      <c r="AH202" s="14"/>
      <c r="AI202" s="14"/>
      <c r="AJ202" s="15" t="e">
        <f>VLOOKUP(E202,'[1]Ethanol Plant Listing 2025'!$B$3:$E$220,4,FALSE)</f>
        <v>#N/A</v>
      </c>
      <c r="AK202" s="14" t="e">
        <f>+AJ202*[1]Yield!$K$4</f>
        <v>#N/A</v>
      </c>
      <c r="AL202" s="14" t="e">
        <f>AK202/VLOOKUP(Q202,[1]Yield!$E$5:$F$14,2,FALSE)</f>
        <v>#N/A</v>
      </c>
      <c r="AM202" s="14"/>
      <c r="AN202" s="14"/>
      <c r="AO202" s="16" t="e">
        <f t="shared" si="35"/>
        <v>#N/A</v>
      </c>
      <c r="AP202" s="16" t="s">
        <v>393</v>
      </c>
      <c r="AQ202" s="17" t="str">
        <f t="shared" si="42"/>
        <v>ICM</v>
      </c>
      <c r="AR202" s="18">
        <f>VLOOKUP(AQ202,[1]Yield!$A$5:$B$10,2,FALSE)</f>
        <v>0.9</v>
      </c>
      <c r="AS202" s="14" t="e">
        <f t="shared" si="36"/>
        <v>#N/A</v>
      </c>
      <c r="AT202" s="8"/>
      <c r="AX202" s="8" t="str">
        <f>IFERROR(VLOOKUP(E202,[1]Sheet3!$C$2:$E$68,2,FALSE),"None")</f>
        <v>None</v>
      </c>
      <c r="AY202" s="8">
        <f>IFERROR(VLOOKUP(AX202,[1]Sheet3!$H$3:$I$5,2,FALSE),0)</f>
        <v>0</v>
      </c>
      <c r="AZ202" s="14"/>
      <c r="BA202" s="14"/>
      <c r="BB202" s="35"/>
      <c r="BC202" s="7"/>
      <c r="BD202" s="19"/>
      <c r="BE202" s="7" t="s">
        <v>593</v>
      </c>
      <c r="BK202" s="7">
        <f t="shared" si="39"/>
        <v>20</v>
      </c>
    </row>
    <row r="203" spans="1:64" ht="15.6" customHeight="1" x14ac:dyDescent="0.3">
      <c r="A203" s="7">
        <v>203</v>
      </c>
      <c r="B203" s="8"/>
      <c r="C203" s="8"/>
      <c r="D203" s="8">
        <v>3283</v>
      </c>
      <c r="E203" s="8">
        <v>3283</v>
      </c>
      <c r="F203" s="8" t="s">
        <v>997</v>
      </c>
      <c r="G203" s="33" t="s">
        <v>1007</v>
      </c>
      <c r="H203" s="9" t="str">
        <f>VLOOKUP(E203,'[1]EPA Ethanol Capacity 2024'!$B$5:$C$235,2,FALSE)</f>
        <v>Golden Triangle Energy LLC</v>
      </c>
      <c r="I203" s="11" t="s">
        <v>697</v>
      </c>
      <c r="J203" s="34" t="s">
        <v>1008</v>
      </c>
      <c r="M203" s="7">
        <v>2</v>
      </c>
      <c r="N203" s="20">
        <v>40.189250000000001</v>
      </c>
      <c r="O203" s="11">
        <v>-95.367890000000003</v>
      </c>
      <c r="P203" s="12">
        <v>0</v>
      </c>
      <c r="Q203" s="12" t="s">
        <v>700</v>
      </c>
      <c r="R203" s="12">
        <f t="shared" si="33"/>
        <v>1</v>
      </c>
      <c r="S203" s="12"/>
      <c r="AB203" s="13" t="s">
        <v>390</v>
      </c>
      <c r="AC203" s="13"/>
      <c r="AD203" s="13" t="s">
        <v>378</v>
      </c>
      <c r="AE203" s="8"/>
      <c r="AF203" s="14"/>
      <c r="AG203" s="14"/>
      <c r="AH203" s="14"/>
      <c r="AI203" s="14"/>
      <c r="AJ203" s="15">
        <f>VLOOKUP(E203,'[1]Ethanol Plant Listing 2025'!$B$3:$E$220,4,FALSE)</f>
        <v>21</v>
      </c>
      <c r="AK203" s="14">
        <f>+AJ203*[1]Yield!$K$4</f>
        <v>19.95</v>
      </c>
      <c r="AL203" s="14" t="e">
        <f>AK203/VLOOKUP(Q203,[1]Yield!$E$5:$F$14,2,FALSE)</f>
        <v>#N/A</v>
      </c>
      <c r="AM203" s="14"/>
      <c r="AN203" s="14"/>
      <c r="AO203" s="16" t="e">
        <f t="shared" si="35"/>
        <v>#N/A</v>
      </c>
      <c r="AP203" s="16"/>
      <c r="AQ203" s="17" t="str">
        <f t="shared" si="42"/>
        <v>None</v>
      </c>
      <c r="AR203" s="18">
        <f>VLOOKUP(AQ203,[1]Yield!$A$5:$B$10,2,FALSE)</f>
        <v>0.81499999999999995</v>
      </c>
      <c r="AS203" s="14" t="e">
        <f t="shared" si="36"/>
        <v>#N/A</v>
      </c>
      <c r="AT203" s="8"/>
      <c r="AX203" s="8" t="str">
        <f>IFERROR(VLOOKUP(E203,[1]Sheet3!$C$2:$E$68,2,FALSE),"None")</f>
        <v>None</v>
      </c>
      <c r="AY203" s="8">
        <f>IFERROR(VLOOKUP(AX203,[1]Sheet3!$H$3:$I$5,2,FALSE),0)</f>
        <v>0</v>
      </c>
      <c r="AZ203" s="14"/>
      <c r="BA203" s="14"/>
      <c r="BB203" s="35"/>
      <c r="BC203" s="7"/>
      <c r="BD203" s="19"/>
      <c r="BE203" s="7" t="s">
        <v>593</v>
      </c>
      <c r="BK203" s="7">
        <f t="shared" si="39"/>
        <v>20</v>
      </c>
    </row>
    <row r="204" spans="1:64" ht="15.6" customHeight="1" x14ac:dyDescent="0.3">
      <c r="A204" s="7">
        <v>204</v>
      </c>
      <c r="B204" s="8"/>
      <c r="C204" s="8"/>
      <c r="D204" s="8">
        <v>3284</v>
      </c>
      <c r="E204" s="8" t="s">
        <v>1009</v>
      </c>
      <c r="F204" s="8" t="s">
        <v>980</v>
      </c>
      <c r="G204" s="33" t="s">
        <v>1010</v>
      </c>
      <c r="H204" s="9" t="str">
        <f>+G204</f>
        <v>PACIFIC ETHANOL CANTON, LLC</v>
      </c>
      <c r="I204" s="11" t="s">
        <v>416</v>
      </c>
      <c r="J204" s="34" t="s">
        <v>1011</v>
      </c>
      <c r="N204" s="20">
        <v>40.501342999999999</v>
      </c>
      <c r="O204" s="11">
        <v>-90.006265999999997</v>
      </c>
      <c r="P204" s="12">
        <v>0</v>
      </c>
      <c r="Q204" s="12" t="s">
        <v>700</v>
      </c>
      <c r="R204" s="12">
        <f t="shared" si="33"/>
        <v>1</v>
      </c>
      <c r="S204" s="12"/>
      <c r="AB204" s="13" t="s">
        <v>390</v>
      </c>
      <c r="AC204" s="13"/>
      <c r="AD204" s="13" t="s">
        <v>1012</v>
      </c>
      <c r="AE204" s="8"/>
      <c r="AF204" s="14"/>
      <c r="AG204" s="14"/>
      <c r="AH204" s="14"/>
      <c r="AI204" s="14"/>
      <c r="AJ204" s="15" t="e">
        <f>VLOOKUP(E204,'[1]Ethanol Plant Listing 2025'!$B$3:$E$220,4,FALSE)</f>
        <v>#N/A</v>
      </c>
      <c r="AK204" s="14" t="e">
        <f>+AJ204*[1]Yield!$K$4</f>
        <v>#N/A</v>
      </c>
      <c r="AL204" s="14" t="e">
        <f>AK204/VLOOKUP(Q204,[1]Yield!$E$5:$F$14,2,FALSE)</f>
        <v>#N/A</v>
      </c>
      <c r="AM204" s="14"/>
      <c r="AN204" s="14"/>
      <c r="AO204" s="16" t="e">
        <f t="shared" si="35"/>
        <v>#N/A</v>
      </c>
      <c r="AP204" s="16"/>
      <c r="AQ204" s="17" t="str">
        <f t="shared" si="42"/>
        <v>None</v>
      </c>
      <c r="AR204" s="18">
        <f>VLOOKUP(AQ204,[1]Yield!$A$5:$B$10,2,FALSE)</f>
        <v>0.81499999999999995</v>
      </c>
      <c r="AS204" s="14" t="e">
        <f t="shared" si="36"/>
        <v>#N/A</v>
      </c>
      <c r="AT204" s="8"/>
      <c r="AX204" s="8" t="str">
        <f>IFERROR(VLOOKUP(E204,[1]Sheet3!$C$2:$E$68,2,FALSE),"None")</f>
        <v>None</v>
      </c>
      <c r="AY204" s="8">
        <f>IFERROR(VLOOKUP(AX204,[1]Sheet3!$H$3:$I$5,2,FALSE),0)</f>
        <v>0</v>
      </c>
      <c r="AZ204" s="14"/>
      <c r="BA204" s="14"/>
      <c r="BB204" s="35"/>
      <c r="BC204" s="7"/>
      <c r="BD204" s="19"/>
      <c r="BE204" s="7" t="s">
        <v>593</v>
      </c>
      <c r="BK204" s="7">
        <f t="shared" si="39"/>
        <v>15</v>
      </c>
    </row>
    <row r="205" spans="1:64" ht="15.6" customHeight="1" x14ac:dyDescent="0.3">
      <c r="A205" s="7">
        <v>205</v>
      </c>
      <c r="B205" s="8"/>
      <c r="C205" s="8"/>
      <c r="D205" s="8">
        <v>3285</v>
      </c>
      <c r="E205" s="8" t="s">
        <v>1013</v>
      </c>
      <c r="F205" s="8" t="s">
        <v>980</v>
      </c>
      <c r="G205" s="33" t="s">
        <v>1014</v>
      </c>
      <c r="H205" s="9" t="str">
        <f>+G205</f>
        <v>THE ANDERSONS MARATHON HOLDINGS LLC</v>
      </c>
      <c r="I205" s="11" t="s">
        <v>533</v>
      </c>
      <c r="J205" s="34" t="s">
        <v>1015</v>
      </c>
      <c r="N205" s="20">
        <v>40.753500000000003</v>
      </c>
      <c r="O205" s="11">
        <v>-86.360500000000002</v>
      </c>
      <c r="P205" s="12"/>
      <c r="Q205" s="12"/>
      <c r="R205" s="12"/>
      <c r="S205" s="12"/>
      <c r="AB205" s="13" t="s">
        <v>390</v>
      </c>
      <c r="AC205" s="13"/>
      <c r="AD205" s="13" t="s">
        <v>378</v>
      </c>
      <c r="AE205" s="8"/>
      <c r="AF205" s="14"/>
      <c r="AG205" s="14"/>
      <c r="AH205" s="14"/>
      <c r="AI205" s="14"/>
      <c r="AJ205" s="15" t="e">
        <f>VLOOKUP(E205,'[1]Ethanol Plant Listing 2025'!$B$3:$E$220,4,FALSE)</f>
        <v>#N/A</v>
      </c>
      <c r="AK205" s="14" t="e">
        <f>+AJ205*[1]Yield!$K$4</f>
        <v>#N/A</v>
      </c>
      <c r="AL205" s="14" t="e">
        <f>AK205/VLOOKUP(Q205,[1]Yield!$E$5:$F$14,2,FALSE)</f>
        <v>#N/A</v>
      </c>
      <c r="AM205" s="14"/>
      <c r="AN205" s="14"/>
      <c r="AO205" s="16" t="e">
        <f t="shared" si="35"/>
        <v>#N/A</v>
      </c>
      <c r="AP205" s="16"/>
      <c r="AQ205" s="17" t="str">
        <f t="shared" si="42"/>
        <v>None</v>
      </c>
      <c r="AR205" s="18">
        <f>VLOOKUP(AQ205,[1]Yield!$A$5:$B$10,2,FALSE)</f>
        <v>0.81499999999999995</v>
      </c>
      <c r="AS205" s="14" t="e">
        <f t="shared" si="36"/>
        <v>#N/A</v>
      </c>
      <c r="AT205" s="8"/>
      <c r="AX205" s="8" t="str">
        <f>IFERROR(VLOOKUP(E205,[1]Sheet3!$C$2:$E$68,2,FALSE),"None")</f>
        <v>None</v>
      </c>
      <c r="AY205" s="8">
        <f>IFERROR(VLOOKUP(AX205,[1]Sheet3!$H$3:$I$5,2,FALSE),0)</f>
        <v>0</v>
      </c>
      <c r="AZ205" s="14"/>
      <c r="BA205" s="14"/>
      <c r="BB205" s="35"/>
      <c r="BC205" s="7"/>
      <c r="BD205" s="19"/>
      <c r="BE205" s="7" t="s">
        <v>593</v>
      </c>
      <c r="BK205" s="7">
        <f t="shared" si="39"/>
        <v>15</v>
      </c>
    </row>
    <row r="206" spans="1:64" ht="15.75" customHeight="1" x14ac:dyDescent="0.3">
      <c r="A206" s="7">
        <v>206</v>
      </c>
      <c r="E206" s="7">
        <v>3758</v>
      </c>
      <c r="F206" s="7" t="s">
        <v>1016</v>
      </c>
      <c r="G206" s="9" t="s">
        <v>1017</v>
      </c>
      <c r="H206" s="9" t="str">
        <f>+G206</f>
        <v>Gevo</v>
      </c>
      <c r="I206" s="7" t="s">
        <v>582</v>
      </c>
      <c r="J206" s="34" t="s">
        <v>1018</v>
      </c>
      <c r="K206" s="25">
        <v>57249</v>
      </c>
      <c r="L206" s="34" t="s">
        <v>1019</v>
      </c>
      <c r="M206" s="34"/>
      <c r="N206" s="34" t="s">
        <v>1020</v>
      </c>
      <c r="O206" s="34">
        <v>-97.375</v>
      </c>
      <c r="R206" s="12">
        <f>COUNTIF(G:G,"="&amp;G206)</f>
        <v>1</v>
      </c>
      <c r="AB206" s="13" t="s">
        <v>390</v>
      </c>
      <c r="AY206" s="8">
        <f>IFERROR(VLOOKUP(AX206,[1]Sheet3!$H$3:$I$5,2,FALSE),0)</f>
        <v>0</v>
      </c>
      <c r="BB206" s="38"/>
      <c r="BE206" s="7" t="s">
        <v>1021</v>
      </c>
      <c r="BJ206" s="7" t="s">
        <v>400</v>
      </c>
    </row>
    <row r="207" spans="1:64" ht="15.75" customHeight="1" x14ac:dyDescent="0.3">
      <c r="A207" s="7">
        <v>207</v>
      </c>
      <c r="E207" s="7">
        <v>3759</v>
      </c>
      <c r="F207" s="7" t="s">
        <v>1016</v>
      </c>
      <c r="G207" s="9" t="s">
        <v>1022</v>
      </c>
      <c r="H207" s="9" t="str">
        <f t="shared" ref="H207:H209" si="43">+G207</f>
        <v>LanzaJet</v>
      </c>
      <c r="I207" s="7" t="s">
        <v>1005</v>
      </c>
      <c r="J207" s="7" t="s">
        <v>1023</v>
      </c>
      <c r="R207" s="12">
        <f>COUNTIF(G:G,"="&amp;G207)</f>
        <v>1</v>
      </c>
      <c r="AB207" s="13" t="s">
        <v>390</v>
      </c>
      <c r="AY207" s="8">
        <f>IFERROR(VLOOKUP(AX207,[1]Sheet3!$H$3:$I$5,2,FALSE),0)</f>
        <v>0</v>
      </c>
      <c r="BB207" s="38"/>
      <c r="BE207" s="7" t="s">
        <v>1024</v>
      </c>
      <c r="BJ207" s="7" t="s">
        <v>400</v>
      </c>
    </row>
    <row r="208" spans="1:64" ht="15.75" customHeight="1" x14ac:dyDescent="0.3">
      <c r="A208" s="7">
        <v>208</v>
      </c>
      <c r="E208" s="7">
        <v>3760</v>
      </c>
      <c r="F208" s="7" t="s">
        <v>1016</v>
      </c>
      <c r="G208" s="9" t="s">
        <v>1025</v>
      </c>
      <c r="H208" s="9" t="str">
        <f t="shared" si="43"/>
        <v>New Energy Blue</v>
      </c>
      <c r="I208" s="7" t="s">
        <v>387</v>
      </c>
      <c r="R208" s="12">
        <f>COUNTIF(G:G,"="&amp;G208)</f>
        <v>1</v>
      </c>
      <c r="AB208" s="13" t="s">
        <v>390</v>
      </c>
      <c r="AJ208" s="37">
        <f>SUMIFS(AJ2:AJ205,AJ2:AJ205,"&gt;0")</f>
        <v>18555.714</v>
      </c>
      <c r="AL208" s="37">
        <f t="shared" ref="AL208:AS208" si="44">SUMIFS(AL2:AL205,AL2:AL205,"&gt;0")</f>
        <v>6023.7089543419843</v>
      </c>
      <c r="AM208" s="37">
        <f t="shared" si="44"/>
        <v>28699</v>
      </c>
      <c r="AN208" s="37">
        <f t="shared" si="44"/>
        <v>326.03319449204326</v>
      </c>
      <c r="AO208" s="37">
        <f t="shared" si="44"/>
        <v>39455000</v>
      </c>
      <c r="AQ208" s="37">
        <f t="shared" si="44"/>
        <v>0</v>
      </c>
      <c r="AR208" s="37">
        <f t="shared" si="44"/>
        <v>179.88000000000017</v>
      </c>
      <c r="AS208" s="37">
        <f t="shared" si="44"/>
        <v>5410.1388968641677</v>
      </c>
      <c r="AY208" s="8">
        <f>IFERROR(VLOOKUP(AX208,[1]Sheet3!$H$3:$I$5,2,FALSE),0)</f>
        <v>0</v>
      </c>
      <c r="BB208" s="38"/>
      <c r="BE208" s="7" t="s">
        <v>1026</v>
      </c>
      <c r="BJ208" s="7" t="s">
        <v>400</v>
      </c>
    </row>
    <row r="209" spans="5:62" ht="15.75" customHeight="1" x14ac:dyDescent="0.3">
      <c r="E209" s="7">
        <v>3761</v>
      </c>
      <c r="F209" s="7" t="s">
        <v>1016</v>
      </c>
      <c r="G209" s="9" t="s">
        <v>1027</v>
      </c>
      <c r="H209" s="9" t="str">
        <f t="shared" si="43"/>
        <v>Sumitomo Corporation of Americas</v>
      </c>
      <c r="R209" s="12">
        <f>COUNTIF(G:G,"="&amp;G209)</f>
        <v>1</v>
      </c>
      <c r="AY209" s="8">
        <f>IFERROR(VLOOKUP(AX209,[1]Sheet3!$H$3:$I$5,2,FALSE),0)</f>
        <v>0</v>
      </c>
      <c r="BB209" s="38"/>
      <c r="BJ209" s="7" t="s">
        <v>400</v>
      </c>
    </row>
    <row r="210" spans="5:62" ht="15.75" customHeight="1" x14ac:dyDescent="0.3">
      <c r="BB210" s="38"/>
    </row>
    <row r="211" spans="5:62" ht="15.75" customHeight="1" x14ac:dyDescent="0.3">
      <c r="AL211" s="20"/>
      <c r="AS211" s="20">
        <f>+AS208/AL208</f>
        <v>0.89814081953020897</v>
      </c>
      <c r="AV211" s="7" t="s">
        <v>1028</v>
      </c>
      <c r="BB211" s="38"/>
    </row>
    <row r="212" spans="5:62" ht="15.75" customHeight="1" x14ac:dyDescent="0.3">
      <c r="S212" s="7">
        <f>COUNT(S1:S208)</f>
        <v>0</v>
      </c>
      <c r="BB212" s="38"/>
    </row>
    <row r="213" spans="5:62" ht="15.75" customHeight="1" x14ac:dyDescent="0.3">
      <c r="AK213" s="39"/>
      <c r="BB213" s="38"/>
    </row>
    <row r="214" spans="5:62" ht="15.75" customHeight="1" x14ac:dyDescent="0.3">
      <c r="BB214" s="38"/>
    </row>
    <row r="215" spans="5:62" ht="15.75" customHeight="1" x14ac:dyDescent="0.3">
      <c r="BB215" s="38"/>
    </row>
    <row r="216" spans="5:62" ht="15.75" customHeight="1" x14ac:dyDescent="0.3">
      <c r="BB216" s="38"/>
    </row>
    <row r="217" spans="5:62" ht="15.75" customHeight="1" x14ac:dyDescent="0.3">
      <c r="BB217" s="38"/>
    </row>
    <row r="218" spans="5:62" ht="15.75" customHeight="1" x14ac:dyDescent="0.3">
      <c r="BB218" s="38"/>
    </row>
    <row r="219" spans="5:62" ht="15.75" customHeight="1" x14ac:dyDescent="0.3">
      <c r="BB219" s="38"/>
    </row>
    <row r="220" spans="5:62" ht="15.75" customHeight="1" x14ac:dyDescent="0.3">
      <c r="BB220" s="38"/>
    </row>
    <row r="221" spans="5:62" ht="15.75" customHeight="1" x14ac:dyDescent="0.3">
      <c r="BB221" s="38"/>
    </row>
    <row r="222" spans="5:62" ht="15.75" customHeight="1" x14ac:dyDescent="0.3">
      <c r="BB222" s="38"/>
    </row>
    <row r="223" spans="5:62" ht="15.75" customHeight="1" x14ac:dyDescent="0.3">
      <c r="BB223" s="38"/>
    </row>
    <row r="224" spans="5:62" ht="15.75" customHeight="1" x14ac:dyDescent="0.3">
      <c r="BB224" s="38"/>
    </row>
    <row r="225" spans="54:54" ht="15.75" customHeight="1" x14ac:dyDescent="0.3">
      <c r="BB225" s="38"/>
    </row>
    <row r="226" spans="54:54" ht="15.75" customHeight="1" x14ac:dyDescent="0.3">
      <c r="BB226" s="38"/>
    </row>
    <row r="227" spans="54:54" ht="15.75" customHeight="1" x14ac:dyDescent="0.3">
      <c r="BB227" s="38"/>
    </row>
    <row r="228" spans="54:54" ht="15.75" customHeight="1" x14ac:dyDescent="0.3">
      <c r="BB228" s="38"/>
    </row>
    <row r="229" spans="54:54" ht="15.75" customHeight="1" x14ac:dyDescent="0.3">
      <c r="BB229" s="38"/>
    </row>
    <row r="230" spans="54:54" ht="15.75" customHeight="1" x14ac:dyDescent="0.3">
      <c r="BB230" s="38"/>
    </row>
    <row r="231" spans="54:54" ht="15.75" customHeight="1" x14ac:dyDescent="0.3">
      <c r="BB231" s="38"/>
    </row>
    <row r="232" spans="54:54" ht="15.75" customHeight="1" x14ac:dyDescent="0.3">
      <c r="BB232" s="38"/>
    </row>
    <row r="233" spans="54:54" ht="15.75" customHeight="1" x14ac:dyDescent="0.3">
      <c r="BB233" s="38"/>
    </row>
    <row r="234" spans="54:54" ht="15.75" customHeight="1" x14ac:dyDescent="0.3">
      <c r="BB234" s="38"/>
    </row>
    <row r="235" spans="54:54" ht="15.75" customHeight="1" x14ac:dyDescent="0.3">
      <c r="BB235" s="38"/>
    </row>
    <row r="236" spans="54:54" ht="15.75" customHeight="1" x14ac:dyDescent="0.3">
      <c r="BB236" s="38"/>
    </row>
    <row r="237" spans="54:54" ht="15.75" customHeight="1" x14ac:dyDescent="0.3">
      <c r="BB237" s="38"/>
    </row>
    <row r="238" spans="54:54" ht="15.75" customHeight="1" x14ac:dyDescent="0.3">
      <c r="BB238" s="38"/>
    </row>
    <row r="239" spans="54:54" ht="15.75" customHeight="1" x14ac:dyDescent="0.3">
      <c r="BB239" s="38"/>
    </row>
    <row r="240" spans="54:54" ht="15.75" customHeight="1" x14ac:dyDescent="0.3">
      <c r="BB240" s="38"/>
    </row>
    <row r="241" spans="54:54" ht="15.75" customHeight="1" x14ac:dyDescent="0.3">
      <c r="BB241" s="38"/>
    </row>
    <row r="242" spans="54:54" ht="15.75" customHeight="1" x14ac:dyDescent="0.3">
      <c r="BB242" s="38"/>
    </row>
    <row r="243" spans="54:54" ht="15.75" customHeight="1" x14ac:dyDescent="0.3">
      <c r="BB243" s="38"/>
    </row>
    <row r="244" spans="54:54" ht="15.75" customHeight="1" x14ac:dyDescent="0.3">
      <c r="BB244" s="38"/>
    </row>
    <row r="245" spans="54:54" ht="15.75" customHeight="1" x14ac:dyDescent="0.3">
      <c r="BB245" s="38"/>
    </row>
    <row r="246" spans="54:54" ht="15.75" customHeight="1" x14ac:dyDescent="0.3">
      <c r="BB246" s="38"/>
    </row>
    <row r="247" spans="54:54" ht="15.75" customHeight="1" x14ac:dyDescent="0.3">
      <c r="BB247" s="38"/>
    </row>
    <row r="248" spans="54:54" ht="15.75" customHeight="1" x14ac:dyDescent="0.3">
      <c r="BB248" s="38"/>
    </row>
    <row r="249" spans="54:54" ht="15.75" customHeight="1" x14ac:dyDescent="0.3">
      <c r="BB249" s="38"/>
    </row>
    <row r="250" spans="54:54" ht="15.75" customHeight="1" x14ac:dyDescent="0.3">
      <c r="BB250" s="38"/>
    </row>
    <row r="251" spans="54:54" ht="15.75" customHeight="1" x14ac:dyDescent="0.3">
      <c r="BB251" s="38"/>
    </row>
    <row r="252" spans="54:54" ht="15.75" customHeight="1" x14ac:dyDescent="0.3">
      <c r="BB252" s="38"/>
    </row>
    <row r="253" spans="54:54" ht="15.75" customHeight="1" x14ac:dyDescent="0.3">
      <c r="BB253" s="38"/>
    </row>
    <row r="254" spans="54:54" ht="15.75" customHeight="1" x14ac:dyDescent="0.3">
      <c r="BB254" s="38"/>
    </row>
    <row r="255" spans="54:54" ht="15.75" customHeight="1" x14ac:dyDescent="0.3">
      <c r="BB255" s="38"/>
    </row>
    <row r="256" spans="54:54" ht="15.75" customHeight="1" x14ac:dyDescent="0.3">
      <c r="BB256" s="38"/>
    </row>
    <row r="257" spans="54:54" ht="15.75" customHeight="1" x14ac:dyDescent="0.3">
      <c r="BB257" s="38"/>
    </row>
    <row r="258" spans="54:54" ht="15.75" customHeight="1" x14ac:dyDescent="0.3">
      <c r="BB258" s="38"/>
    </row>
    <row r="259" spans="54:54" ht="15.75" customHeight="1" x14ac:dyDescent="0.3">
      <c r="BB259" s="38"/>
    </row>
    <row r="260" spans="54:54" ht="15.75" customHeight="1" x14ac:dyDescent="0.3">
      <c r="BB260" s="38"/>
    </row>
    <row r="261" spans="54:54" ht="15.75" customHeight="1" x14ac:dyDescent="0.3">
      <c r="BB261" s="38"/>
    </row>
    <row r="262" spans="54:54" ht="15.75" customHeight="1" x14ac:dyDescent="0.3">
      <c r="BB262" s="38"/>
    </row>
    <row r="263" spans="54:54" ht="15.75" customHeight="1" x14ac:dyDescent="0.3">
      <c r="BB263" s="38"/>
    </row>
    <row r="264" spans="54:54" ht="15.75" customHeight="1" x14ac:dyDescent="0.3">
      <c r="BB264" s="38"/>
    </row>
    <row r="265" spans="54:54" ht="15.75" customHeight="1" x14ac:dyDescent="0.3">
      <c r="BB265" s="38"/>
    </row>
    <row r="266" spans="54:54" ht="15.75" customHeight="1" x14ac:dyDescent="0.3">
      <c r="BB266" s="38"/>
    </row>
    <row r="267" spans="54:54" ht="15.75" customHeight="1" x14ac:dyDescent="0.3">
      <c r="BB267" s="38"/>
    </row>
    <row r="268" spans="54:54" ht="15.75" customHeight="1" x14ac:dyDescent="0.3">
      <c r="BB268" s="38"/>
    </row>
    <row r="269" spans="54:54" ht="15.75" customHeight="1" x14ac:dyDescent="0.3">
      <c r="BB269" s="38"/>
    </row>
    <row r="270" spans="54:54" ht="15.75" customHeight="1" x14ac:dyDescent="0.3">
      <c r="BB270" s="38"/>
    </row>
    <row r="271" spans="54:54" ht="15.75" customHeight="1" x14ac:dyDescent="0.3">
      <c r="BB271" s="38"/>
    </row>
    <row r="272" spans="54:54" ht="15.75" customHeight="1" x14ac:dyDescent="0.3">
      <c r="BB272" s="38"/>
    </row>
    <row r="273" spans="54:54" ht="15.75" customHeight="1" x14ac:dyDescent="0.3">
      <c r="BB273" s="38"/>
    </row>
    <row r="274" spans="54:54" ht="15.75" customHeight="1" x14ac:dyDescent="0.3">
      <c r="BB274" s="38"/>
    </row>
    <row r="275" spans="54:54" ht="15.75" customHeight="1" x14ac:dyDescent="0.3">
      <c r="BB275" s="38"/>
    </row>
    <row r="276" spans="54:54" ht="15.75" customHeight="1" x14ac:dyDescent="0.3">
      <c r="BB276" s="38"/>
    </row>
    <row r="277" spans="54:54" ht="15.75" customHeight="1" x14ac:dyDescent="0.3">
      <c r="BB277" s="38"/>
    </row>
    <row r="278" spans="54:54" ht="15.75" customHeight="1" x14ac:dyDescent="0.3">
      <c r="BB278" s="38"/>
    </row>
    <row r="279" spans="54:54" ht="15.75" customHeight="1" x14ac:dyDescent="0.3">
      <c r="BB279" s="38"/>
    </row>
    <row r="280" spans="54:54" ht="15.75" customHeight="1" x14ac:dyDescent="0.3">
      <c r="BB280" s="38"/>
    </row>
    <row r="281" spans="54:54" ht="15.75" customHeight="1" x14ac:dyDescent="0.3">
      <c r="BB281" s="38"/>
    </row>
    <row r="282" spans="54:54" ht="15.75" customHeight="1" x14ac:dyDescent="0.3">
      <c r="BB282" s="38"/>
    </row>
    <row r="283" spans="54:54" ht="15.75" customHeight="1" x14ac:dyDescent="0.3">
      <c r="BB283" s="38"/>
    </row>
    <row r="284" spans="54:54" ht="15.75" customHeight="1" x14ac:dyDescent="0.3">
      <c r="BB284" s="38"/>
    </row>
    <row r="285" spans="54:54" ht="15.75" customHeight="1" x14ac:dyDescent="0.3">
      <c r="BB285" s="38"/>
    </row>
    <row r="286" spans="54:54" ht="15.75" customHeight="1" x14ac:dyDescent="0.3">
      <c r="BB286" s="38"/>
    </row>
    <row r="287" spans="54:54" ht="15.75" customHeight="1" x14ac:dyDescent="0.3">
      <c r="BB287" s="38"/>
    </row>
    <row r="288" spans="54:54" ht="15.75" customHeight="1" x14ac:dyDescent="0.3">
      <c r="BB288" s="38"/>
    </row>
    <row r="289" spans="54:54" ht="15.75" customHeight="1" x14ac:dyDescent="0.3">
      <c r="BB289" s="38"/>
    </row>
    <row r="290" spans="54:54" ht="15.75" customHeight="1" x14ac:dyDescent="0.3">
      <c r="BB290" s="38"/>
    </row>
    <row r="291" spans="54:54" ht="15.75" customHeight="1" x14ac:dyDescent="0.3">
      <c r="BB291" s="38"/>
    </row>
    <row r="292" spans="54:54" ht="15.75" customHeight="1" x14ac:dyDescent="0.3">
      <c r="BB292" s="38"/>
    </row>
    <row r="293" spans="54:54" ht="15.75" customHeight="1" x14ac:dyDescent="0.3">
      <c r="BB293" s="38"/>
    </row>
    <row r="294" spans="54:54" ht="15.75" customHeight="1" x14ac:dyDescent="0.3">
      <c r="BB294" s="38"/>
    </row>
    <row r="295" spans="54:54" ht="15.75" customHeight="1" x14ac:dyDescent="0.3">
      <c r="BB295" s="38"/>
    </row>
    <row r="296" spans="54:54" ht="15.75" customHeight="1" x14ac:dyDescent="0.3">
      <c r="BB296" s="38"/>
    </row>
    <row r="297" spans="54:54" ht="15.75" customHeight="1" x14ac:dyDescent="0.3">
      <c r="BB297" s="38"/>
    </row>
    <row r="298" spans="54:54" ht="15.75" customHeight="1" x14ac:dyDescent="0.3">
      <c r="BB298" s="38"/>
    </row>
    <row r="299" spans="54:54" ht="15.75" customHeight="1" x14ac:dyDescent="0.3">
      <c r="BB299" s="38"/>
    </row>
    <row r="300" spans="54:54" ht="15.75" customHeight="1" x14ac:dyDescent="0.3">
      <c r="BB300" s="38"/>
    </row>
    <row r="301" spans="54:54" ht="15.75" customHeight="1" x14ac:dyDescent="0.3">
      <c r="BB301" s="38"/>
    </row>
    <row r="302" spans="54:54" ht="15.75" customHeight="1" x14ac:dyDescent="0.3">
      <c r="BB302" s="38"/>
    </row>
    <row r="303" spans="54:54" ht="15.75" customHeight="1" x14ac:dyDescent="0.3">
      <c r="BB303" s="38"/>
    </row>
    <row r="304" spans="54:54" ht="15.75" customHeight="1" x14ac:dyDescent="0.3">
      <c r="BB304" s="38"/>
    </row>
    <row r="305" spans="54:54" ht="15.75" customHeight="1" x14ac:dyDescent="0.3">
      <c r="BB305" s="38"/>
    </row>
    <row r="306" spans="54:54" ht="15.75" customHeight="1" x14ac:dyDescent="0.3">
      <c r="BB306" s="38"/>
    </row>
    <row r="307" spans="54:54" ht="15.75" customHeight="1" x14ac:dyDescent="0.3">
      <c r="BB307" s="38"/>
    </row>
    <row r="308" spans="54:54" ht="15.75" customHeight="1" x14ac:dyDescent="0.3">
      <c r="BB308" s="38"/>
    </row>
    <row r="309" spans="54:54" ht="15.75" customHeight="1" x14ac:dyDescent="0.3">
      <c r="BB309" s="38"/>
    </row>
    <row r="310" spans="54:54" ht="15.75" customHeight="1" x14ac:dyDescent="0.3">
      <c r="BB310" s="38"/>
    </row>
    <row r="311" spans="54:54" ht="15.75" customHeight="1" x14ac:dyDescent="0.3">
      <c r="BB311" s="38"/>
    </row>
    <row r="312" spans="54:54" ht="15.75" customHeight="1" x14ac:dyDescent="0.3">
      <c r="BB312" s="38"/>
    </row>
    <row r="313" spans="54:54" ht="15.75" customHeight="1" x14ac:dyDescent="0.3">
      <c r="BB313" s="38"/>
    </row>
    <row r="314" spans="54:54" ht="15.75" customHeight="1" x14ac:dyDescent="0.3">
      <c r="BB314" s="38"/>
    </row>
    <row r="315" spans="54:54" ht="15.75" customHeight="1" x14ac:dyDescent="0.3">
      <c r="BB315" s="38"/>
    </row>
    <row r="316" spans="54:54" ht="15.75" customHeight="1" x14ac:dyDescent="0.3">
      <c r="BB316" s="38"/>
    </row>
    <row r="317" spans="54:54" ht="15.75" customHeight="1" x14ac:dyDescent="0.3">
      <c r="BB317" s="38"/>
    </row>
    <row r="318" spans="54:54" ht="15.75" customHeight="1" x14ac:dyDescent="0.3">
      <c r="BB318" s="38"/>
    </row>
    <row r="319" spans="54:54" ht="15.75" customHeight="1" x14ac:dyDescent="0.3">
      <c r="BB319" s="38"/>
    </row>
    <row r="320" spans="54:54" ht="15.75" customHeight="1" x14ac:dyDescent="0.3">
      <c r="BB320" s="38"/>
    </row>
    <row r="321" spans="54:54" ht="15.75" customHeight="1" x14ac:dyDescent="0.3">
      <c r="BB321" s="38"/>
    </row>
    <row r="322" spans="54:54" ht="15.75" customHeight="1" x14ac:dyDescent="0.3">
      <c r="BB322" s="38"/>
    </row>
    <row r="323" spans="54:54" ht="15.75" customHeight="1" x14ac:dyDescent="0.3">
      <c r="BB323" s="38"/>
    </row>
    <row r="324" spans="54:54" ht="15.75" customHeight="1" x14ac:dyDescent="0.3">
      <c r="BB324" s="38"/>
    </row>
    <row r="325" spans="54:54" ht="15.75" customHeight="1" x14ac:dyDescent="0.3">
      <c r="BB325" s="38"/>
    </row>
    <row r="326" spans="54:54" ht="15.75" customHeight="1" x14ac:dyDescent="0.3">
      <c r="BB326" s="38"/>
    </row>
    <row r="327" spans="54:54" ht="15.75" customHeight="1" x14ac:dyDescent="0.3">
      <c r="BB327" s="38"/>
    </row>
    <row r="328" spans="54:54" ht="15.75" customHeight="1" x14ac:dyDescent="0.3">
      <c r="BB328" s="38"/>
    </row>
    <row r="329" spans="54:54" ht="15.75" customHeight="1" x14ac:dyDescent="0.3">
      <c r="BB329" s="38"/>
    </row>
    <row r="330" spans="54:54" ht="15.75" customHeight="1" x14ac:dyDescent="0.3">
      <c r="BB330" s="38"/>
    </row>
    <row r="331" spans="54:54" ht="15.75" customHeight="1" x14ac:dyDescent="0.3">
      <c r="BB331" s="38"/>
    </row>
    <row r="332" spans="54:54" ht="15.75" customHeight="1" x14ac:dyDescent="0.3">
      <c r="BB332" s="38"/>
    </row>
    <row r="333" spans="54:54" ht="15.75" customHeight="1" x14ac:dyDescent="0.3">
      <c r="BB333" s="38"/>
    </row>
    <row r="334" spans="54:54" ht="15.75" customHeight="1" x14ac:dyDescent="0.3">
      <c r="BB334" s="38"/>
    </row>
    <row r="335" spans="54:54" ht="15.75" customHeight="1" x14ac:dyDescent="0.3">
      <c r="BB335" s="38"/>
    </row>
    <row r="336" spans="54:54" ht="15.75" customHeight="1" x14ac:dyDescent="0.3">
      <c r="BB336" s="38"/>
    </row>
    <row r="337" spans="54:54" ht="15.75" customHeight="1" x14ac:dyDescent="0.3">
      <c r="BB337" s="38"/>
    </row>
    <row r="338" spans="54:54" ht="15.75" customHeight="1" x14ac:dyDescent="0.3">
      <c r="BB338" s="38"/>
    </row>
    <row r="339" spans="54:54" ht="15.75" customHeight="1" x14ac:dyDescent="0.3">
      <c r="BB339" s="38"/>
    </row>
    <row r="340" spans="54:54" ht="15.75" customHeight="1" x14ac:dyDescent="0.3">
      <c r="BB340" s="38"/>
    </row>
    <row r="341" spans="54:54" ht="15.75" customHeight="1" x14ac:dyDescent="0.3">
      <c r="BB341" s="38"/>
    </row>
    <row r="342" spans="54:54" ht="15.75" customHeight="1" x14ac:dyDescent="0.3">
      <c r="BB342" s="38"/>
    </row>
    <row r="343" spans="54:54" ht="15.75" customHeight="1" x14ac:dyDescent="0.3">
      <c r="BB343" s="38"/>
    </row>
    <row r="344" spans="54:54" ht="15.75" customHeight="1" x14ac:dyDescent="0.3">
      <c r="BB344" s="38"/>
    </row>
    <row r="345" spans="54:54" ht="15.75" customHeight="1" x14ac:dyDescent="0.3">
      <c r="BB345" s="38"/>
    </row>
    <row r="346" spans="54:54" ht="15.75" customHeight="1" x14ac:dyDescent="0.3">
      <c r="BB346" s="38"/>
    </row>
    <row r="347" spans="54:54" ht="15.75" customHeight="1" x14ac:dyDescent="0.3">
      <c r="BB347" s="38"/>
    </row>
    <row r="348" spans="54:54" ht="15.75" customHeight="1" x14ac:dyDescent="0.3">
      <c r="BB348" s="38"/>
    </row>
    <row r="349" spans="54:54" ht="15.75" customHeight="1" x14ac:dyDescent="0.3">
      <c r="BB349" s="38"/>
    </row>
    <row r="350" spans="54:54" ht="15.75" customHeight="1" x14ac:dyDescent="0.3">
      <c r="BB350" s="38"/>
    </row>
    <row r="351" spans="54:54" ht="15.75" customHeight="1" x14ac:dyDescent="0.3">
      <c r="BB351" s="38"/>
    </row>
    <row r="352" spans="54:54" ht="15.75" customHeight="1" x14ac:dyDescent="0.3">
      <c r="BB352" s="38"/>
    </row>
    <row r="353" spans="54:54" ht="15.75" customHeight="1" x14ac:dyDescent="0.3">
      <c r="BB353" s="38"/>
    </row>
    <row r="354" spans="54:54" ht="15.75" customHeight="1" x14ac:dyDescent="0.3">
      <c r="BB354" s="38"/>
    </row>
    <row r="355" spans="54:54" ht="15.75" customHeight="1" x14ac:dyDescent="0.3">
      <c r="BB355" s="38"/>
    </row>
    <row r="356" spans="54:54" ht="15.75" customHeight="1" x14ac:dyDescent="0.3">
      <c r="BB356" s="38"/>
    </row>
    <row r="357" spans="54:54" ht="15.75" customHeight="1" x14ac:dyDescent="0.3">
      <c r="BB357" s="38"/>
    </row>
    <row r="358" spans="54:54" ht="15.75" customHeight="1" x14ac:dyDescent="0.3">
      <c r="BB358" s="38"/>
    </row>
    <row r="359" spans="54:54" ht="15.75" customHeight="1" x14ac:dyDescent="0.3">
      <c r="BB359" s="38"/>
    </row>
    <row r="360" spans="54:54" ht="15.75" customHeight="1" x14ac:dyDescent="0.3">
      <c r="BB360" s="38"/>
    </row>
    <row r="361" spans="54:54" ht="15.75" customHeight="1" x14ac:dyDescent="0.3">
      <c r="BB361" s="38"/>
    </row>
    <row r="362" spans="54:54" ht="15.75" customHeight="1" x14ac:dyDescent="0.3">
      <c r="BB362" s="38"/>
    </row>
    <row r="363" spans="54:54" ht="15.75" customHeight="1" x14ac:dyDescent="0.3">
      <c r="BB363" s="38"/>
    </row>
    <row r="364" spans="54:54" ht="15.75" customHeight="1" x14ac:dyDescent="0.3">
      <c r="BB364" s="38"/>
    </row>
    <row r="365" spans="54:54" ht="15.75" customHeight="1" x14ac:dyDescent="0.3">
      <c r="BB365" s="38"/>
    </row>
    <row r="366" spans="54:54" ht="15.75" customHeight="1" x14ac:dyDescent="0.3">
      <c r="BB366" s="38"/>
    </row>
    <row r="367" spans="54:54" ht="15.75" customHeight="1" x14ac:dyDescent="0.3">
      <c r="BB367" s="38"/>
    </row>
    <row r="368" spans="54:54" ht="15.75" customHeight="1" x14ac:dyDescent="0.3">
      <c r="BB368" s="38"/>
    </row>
    <row r="369" spans="54:54" ht="15.75" customHeight="1" x14ac:dyDescent="0.3">
      <c r="BB369" s="38"/>
    </row>
    <row r="370" spans="54:54" ht="15.75" customHeight="1" x14ac:dyDescent="0.3">
      <c r="BB370" s="38"/>
    </row>
    <row r="371" spans="54:54" ht="15.75" customHeight="1" x14ac:dyDescent="0.3">
      <c r="BB371" s="38"/>
    </row>
    <row r="372" spans="54:54" ht="15.75" customHeight="1" x14ac:dyDescent="0.3">
      <c r="BB372" s="38"/>
    </row>
    <row r="373" spans="54:54" ht="15.75" customHeight="1" x14ac:dyDescent="0.3">
      <c r="BB373" s="38"/>
    </row>
    <row r="374" spans="54:54" ht="15.75" customHeight="1" x14ac:dyDescent="0.3">
      <c r="BB374" s="38"/>
    </row>
    <row r="375" spans="54:54" ht="15.75" customHeight="1" x14ac:dyDescent="0.3">
      <c r="BB375" s="38"/>
    </row>
    <row r="376" spans="54:54" ht="15.75" customHeight="1" x14ac:dyDescent="0.3">
      <c r="BB376" s="38"/>
    </row>
    <row r="377" spans="54:54" ht="15.75" customHeight="1" x14ac:dyDescent="0.3">
      <c r="BB377" s="38"/>
    </row>
    <row r="378" spans="54:54" ht="15.75" customHeight="1" x14ac:dyDescent="0.3">
      <c r="BB378" s="38"/>
    </row>
    <row r="379" spans="54:54" ht="15.75" customHeight="1" x14ac:dyDescent="0.3">
      <c r="BB379" s="38"/>
    </row>
    <row r="380" spans="54:54" ht="15.75" customHeight="1" x14ac:dyDescent="0.3">
      <c r="BB380" s="38"/>
    </row>
    <row r="381" spans="54:54" ht="15.75" customHeight="1" x14ac:dyDescent="0.3">
      <c r="BB381" s="38"/>
    </row>
    <row r="382" spans="54:54" ht="15.75" customHeight="1" x14ac:dyDescent="0.3">
      <c r="BB382" s="38"/>
    </row>
    <row r="383" spans="54:54" ht="15.75" customHeight="1" x14ac:dyDescent="0.3">
      <c r="BB383" s="38"/>
    </row>
    <row r="384" spans="54:54" ht="15.75" customHeight="1" x14ac:dyDescent="0.3">
      <c r="BB384" s="38"/>
    </row>
    <row r="385" spans="54:54" ht="15.75" customHeight="1" x14ac:dyDescent="0.3">
      <c r="BB385" s="38"/>
    </row>
    <row r="386" spans="54:54" ht="15.75" customHeight="1" x14ac:dyDescent="0.3">
      <c r="BB386" s="38"/>
    </row>
    <row r="387" spans="54:54" ht="15.75" customHeight="1" x14ac:dyDescent="0.3">
      <c r="BB387" s="38"/>
    </row>
    <row r="388" spans="54:54" ht="15.75" customHeight="1" x14ac:dyDescent="0.3">
      <c r="BB388" s="38"/>
    </row>
    <row r="389" spans="54:54" ht="15.75" customHeight="1" x14ac:dyDescent="0.3">
      <c r="BB389" s="38"/>
    </row>
    <row r="390" spans="54:54" ht="15.75" customHeight="1" x14ac:dyDescent="0.3">
      <c r="BB390" s="38"/>
    </row>
    <row r="391" spans="54:54" ht="15.75" customHeight="1" x14ac:dyDescent="0.3">
      <c r="BB391" s="38"/>
    </row>
    <row r="392" spans="54:54" ht="15.75" customHeight="1" x14ac:dyDescent="0.3">
      <c r="BB392" s="38"/>
    </row>
    <row r="393" spans="54:54" ht="15.75" customHeight="1" x14ac:dyDescent="0.3">
      <c r="BB393" s="38"/>
    </row>
    <row r="394" spans="54:54" ht="15.75" customHeight="1" x14ac:dyDescent="0.3">
      <c r="BB394" s="38"/>
    </row>
    <row r="395" spans="54:54" ht="15.75" customHeight="1" x14ac:dyDescent="0.3">
      <c r="BB395" s="38"/>
    </row>
    <row r="396" spans="54:54" ht="15.75" customHeight="1" x14ac:dyDescent="0.3">
      <c r="BB396" s="38"/>
    </row>
    <row r="397" spans="54:54" ht="15.75" customHeight="1" x14ac:dyDescent="0.3">
      <c r="BB397" s="38"/>
    </row>
    <row r="398" spans="54:54" ht="15.75" customHeight="1" x14ac:dyDescent="0.3">
      <c r="BB398" s="38"/>
    </row>
    <row r="399" spans="54:54" ht="15.75" customHeight="1" x14ac:dyDescent="0.3">
      <c r="BB399" s="38"/>
    </row>
    <row r="400" spans="54:54" ht="15.75" customHeight="1" x14ac:dyDescent="0.3">
      <c r="BB400" s="38"/>
    </row>
    <row r="401" spans="54:54" ht="15.75" customHeight="1" x14ac:dyDescent="0.3">
      <c r="BB401" s="38"/>
    </row>
    <row r="402" spans="54:54" ht="15.75" customHeight="1" x14ac:dyDescent="0.3">
      <c r="BB402" s="38"/>
    </row>
    <row r="403" spans="54:54" ht="15.75" customHeight="1" x14ac:dyDescent="0.3">
      <c r="BB403" s="38"/>
    </row>
    <row r="404" spans="54:54" ht="15.75" customHeight="1" x14ac:dyDescent="0.3">
      <c r="BB404" s="38"/>
    </row>
    <row r="405" spans="54:54" ht="15.75" customHeight="1" x14ac:dyDescent="0.3">
      <c r="BB405" s="38"/>
    </row>
    <row r="406" spans="54:54" ht="15.75" customHeight="1" x14ac:dyDescent="0.3">
      <c r="BB406" s="38"/>
    </row>
    <row r="407" spans="54:54" ht="15.75" customHeight="1" x14ac:dyDescent="0.3">
      <c r="BB407" s="38"/>
    </row>
    <row r="408" spans="54:54" ht="15.75" customHeight="1" x14ac:dyDescent="0.3">
      <c r="BB408" s="38"/>
    </row>
    <row r="409" spans="54:54" ht="15.75" customHeight="1" x14ac:dyDescent="0.3">
      <c r="BB409" s="38"/>
    </row>
    <row r="410" spans="54:54" ht="15.75" customHeight="1" x14ac:dyDescent="0.3">
      <c r="BB410" s="38"/>
    </row>
    <row r="411" spans="54:54" ht="15.75" customHeight="1" x14ac:dyDescent="0.3">
      <c r="BB411" s="38"/>
    </row>
    <row r="412" spans="54:54" ht="15.75" customHeight="1" x14ac:dyDescent="0.3">
      <c r="BB412" s="38"/>
    </row>
    <row r="413" spans="54:54" ht="15.75" customHeight="1" x14ac:dyDescent="0.3">
      <c r="BB413" s="38"/>
    </row>
    <row r="414" spans="54:54" ht="15.75" customHeight="1" x14ac:dyDescent="0.3">
      <c r="BB414" s="38"/>
    </row>
    <row r="415" spans="54:54" ht="15.75" customHeight="1" x14ac:dyDescent="0.3">
      <c r="BB415" s="38"/>
    </row>
    <row r="416" spans="54:54" ht="15.75" customHeight="1" x14ac:dyDescent="0.3">
      <c r="BB416" s="38"/>
    </row>
    <row r="417" spans="54:54" ht="15.75" customHeight="1" x14ac:dyDescent="0.3">
      <c r="BB417" s="38"/>
    </row>
    <row r="418" spans="54:54" ht="15.75" customHeight="1" x14ac:dyDescent="0.3">
      <c r="BB418" s="38"/>
    </row>
    <row r="419" spans="54:54" ht="15.75" customHeight="1" x14ac:dyDescent="0.3">
      <c r="BB419" s="38"/>
    </row>
    <row r="420" spans="54:54" ht="15.75" customHeight="1" x14ac:dyDescent="0.3">
      <c r="BB420" s="38"/>
    </row>
    <row r="421" spans="54:54" ht="15.75" customHeight="1" x14ac:dyDescent="0.3">
      <c r="BB421" s="38"/>
    </row>
    <row r="422" spans="54:54" ht="15.75" customHeight="1" x14ac:dyDescent="0.3">
      <c r="BB422" s="38"/>
    </row>
    <row r="423" spans="54:54" ht="15.75" customHeight="1" x14ac:dyDescent="0.3">
      <c r="BB423" s="38"/>
    </row>
    <row r="424" spans="54:54" ht="15.75" customHeight="1" x14ac:dyDescent="0.3">
      <c r="BB424" s="38"/>
    </row>
    <row r="425" spans="54:54" ht="15.75" customHeight="1" x14ac:dyDescent="0.3">
      <c r="BB425" s="38"/>
    </row>
    <row r="426" spans="54:54" ht="15.75" customHeight="1" x14ac:dyDescent="0.3">
      <c r="BB426" s="38"/>
    </row>
    <row r="427" spans="54:54" ht="15.75" customHeight="1" x14ac:dyDescent="0.3">
      <c r="BB427" s="38"/>
    </row>
    <row r="428" spans="54:54" ht="15.75" customHeight="1" x14ac:dyDescent="0.3">
      <c r="BB428" s="38"/>
    </row>
    <row r="429" spans="54:54" ht="15.75" customHeight="1" x14ac:dyDescent="0.3">
      <c r="BB429" s="38"/>
    </row>
    <row r="430" spans="54:54" ht="15.75" customHeight="1" x14ac:dyDescent="0.3">
      <c r="BB430" s="38"/>
    </row>
    <row r="431" spans="54:54" ht="15.75" customHeight="1" x14ac:dyDescent="0.3">
      <c r="BB431" s="38"/>
    </row>
    <row r="432" spans="54:54" ht="15.75" customHeight="1" x14ac:dyDescent="0.3">
      <c r="BB432" s="38"/>
    </row>
    <row r="433" spans="54:54" ht="15.75" customHeight="1" x14ac:dyDescent="0.3">
      <c r="BB433" s="38"/>
    </row>
    <row r="1023791" spans="54:54" ht="15.75" customHeight="1" x14ac:dyDescent="0.3">
      <c r="BB1023791" s="40" t="s">
        <v>1029</v>
      </c>
    </row>
    <row r="1023792" spans="54:54" ht="15.75" customHeight="1" x14ac:dyDescent="0.3">
      <c r="BB1023792" s="38"/>
    </row>
    <row r="1023793" spans="54:54" ht="15.75" customHeight="1" x14ac:dyDescent="0.3">
      <c r="BB1023793" s="38"/>
    </row>
    <row r="1023794" spans="54:54" ht="15.75" customHeight="1" x14ac:dyDescent="0.3">
      <c r="BB1023794" s="38"/>
    </row>
    <row r="1023795" spans="54:54" ht="15.75" customHeight="1" x14ac:dyDescent="0.3">
      <c r="BB1023795" s="38"/>
    </row>
    <row r="1023796" spans="54:54" ht="15.75" customHeight="1" x14ac:dyDescent="0.3">
      <c r="BB1023796" s="38"/>
    </row>
    <row r="1023797" spans="54:54" ht="15.75" customHeight="1" x14ac:dyDescent="0.3">
      <c r="BB1023797" s="38"/>
    </row>
    <row r="1023798" spans="54:54" ht="15.75" customHeight="1" x14ac:dyDescent="0.3">
      <c r="BB1023798" s="38"/>
    </row>
    <row r="1023799" spans="54:54" ht="15.75" customHeight="1" x14ac:dyDescent="0.3">
      <c r="BB1023799" s="38"/>
    </row>
    <row r="1023800" spans="54:54" ht="15.75" customHeight="1" x14ac:dyDescent="0.3">
      <c r="BB1023800" s="38"/>
    </row>
    <row r="1023801" spans="54:54" ht="15.75" customHeight="1" x14ac:dyDescent="0.3">
      <c r="BB1023801" s="38"/>
    </row>
    <row r="1023802" spans="54:54" ht="15.75" customHeight="1" x14ac:dyDescent="0.3">
      <c r="BB1023802" s="38"/>
    </row>
    <row r="1023803" spans="54:54" ht="15.75" customHeight="1" x14ac:dyDescent="0.3">
      <c r="BB1023803" s="38"/>
    </row>
    <row r="1023804" spans="54:54" ht="15.75" customHeight="1" x14ac:dyDescent="0.3">
      <c r="BB1023804" s="38"/>
    </row>
    <row r="1023805" spans="54:54" ht="15.75" customHeight="1" x14ac:dyDescent="0.3">
      <c r="BB1023805" s="38"/>
    </row>
    <row r="1023806" spans="54:54" ht="15.75" customHeight="1" x14ac:dyDescent="0.3">
      <c r="BB1023806" s="38"/>
    </row>
    <row r="1023807" spans="54:54" ht="15.75" customHeight="1" x14ac:dyDescent="0.3">
      <c r="BB1023807" s="38"/>
    </row>
    <row r="1023808" spans="54:54" ht="15.75" customHeight="1" x14ac:dyDescent="0.3">
      <c r="BB1023808" s="38"/>
    </row>
    <row r="1023809" spans="54:54" ht="15.75" customHeight="1" x14ac:dyDescent="0.3">
      <c r="BB1023809" s="38"/>
    </row>
    <row r="1023810" spans="54:54" ht="15.75" customHeight="1" x14ac:dyDescent="0.3">
      <c r="BB1023810" s="38"/>
    </row>
    <row r="1023811" spans="54:54" ht="15.75" customHeight="1" x14ac:dyDescent="0.3">
      <c r="BB1023811" s="38"/>
    </row>
    <row r="1023812" spans="54:54" ht="15.75" customHeight="1" x14ac:dyDescent="0.3">
      <c r="BB1023812" s="38"/>
    </row>
    <row r="1023813" spans="54:54" ht="15.75" customHeight="1" x14ac:dyDescent="0.3">
      <c r="BB1023813" s="38"/>
    </row>
    <row r="1023814" spans="54:54" ht="15.75" customHeight="1" x14ac:dyDescent="0.3">
      <c r="BB1023814" s="38"/>
    </row>
    <row r="1023815" spans="54:54" ht="15.75" customHeight="1" x14ac:dyDescent="0.3">
      <c r="BB1023815" s="38"/>
    </row>
    <row r="1023816" spans="54:54" ht="15.75" customHeight="1" x14ac:dyDescent="0.3">
      <c r="BB1023816" s="38"/>
    </row>
    <row r="1023817" spans="54:54" ht="15.75" customHeight="1" x14ac:dyDescent="0.3">
      <c r="BB1023817" s="38"/>
    </row>
    <row r="1023818" spans="54:54" ht="15.75" customHeight="1" x14ac:dyDescent="0.3">
      <c r="BB1023818" s="38"/>
    </row>
    <row r="1023819" spans="54:54" ht="15.75" customHeight="1" x14ac:dyDescent="0.3">
      <c r="BB1023819" s="38"/>
    </row>
    <row r="1023820" spans="54:54" ht="15.75" customHeight="1" x14ac:dyDescent="0.3">
      <c r="BB1023820" s="38"/>
    </row>
    <row r="1023821" spans="54:54" ht="15.75" customHeight="1" x14ac:dyDescent="0.3">
      <c r="BB1023821" s="38"/>
    </row>
    <row r="1023822" spans="54:54" ht="15.75" customHeight="1" x14ac:dyDescent="0.3">
      <c r="BB1023822" s="38"/>
    </row>
    <row r="1023823" spans="54:54" ht="15.75" customHeight="1" x14ac:dyDescent="0.3">
      <c r="BB1023823" s="38"/>
    </row>
    <row r="1023824" spans="54:54" ht="15.75" customHeight="1" x14ac:dyDescent="0.3">
      <c r="BB1023824" s="38"/>
    </row>
    <row r="1023825" spans="54:54" ht="15.75" customHeight="1" x14ac:dyDescent="0.3">
      <c r="BB1023825" s="38"/>
    </row>
    <row r="1023826" spans="54:54" ht="15.75" customHeight="1" x14ac:dyDescent="0.3">
      <c r="BB1023826" s="38"/>
    </row>
    <row r="1023827" spans="54:54" ht="15.75" customHeight="1" x14ac:dyDescent="0.3">
      <c r="BB1023827" s="38"/>
    </row>
    <row r="1023828" spans="54:54" ht="15.75" customHeight="1" x14ac:dyDescent="0.3">
      <c r="BB1023828" s="38"/>
    </row>
    <row r="1023829" spans="54:54" ht="15.75" customHeight="1" x14ac:dyDescent="0.3">
      <c r="BB1023829" s="38"/>
    </row>
    <row r="1023830" spans="54:54" ht="15.75" customHeight="1" x14ac:dyDescent="0.3">
      <c r="BB1023830" s="38"/>
    </row>
    <row r="1023831" spans="54:54" ht="15.75" customHeight="1" x14ac:dyDescent="0.3">
      <c r="BB1023831" s="38"/>
    </row>
    <row r="1023832" spans="54:54" ht="15.75" customHeight="1" x14ac:dyDescent="0.3">
      <c r="BB1023832" s="38"/>
    </row>
    <row r="1023833" spans="54:54" ht="15.75" customHeight="1" x14ac:dyDescent="0.3">
      <c r="BB1023833" s="38"/>
    </row>
    <row r="1023834" spans="54:54" ht="15.75" customHeight="1" x14ac:dyDescent="0.3">
      <c r="BB1023834" s="38"/>
    </row>
    <row r="1023835" spans="54:54" ht="15.75" customHeight="1" x14ac:dyDescent="0.3">
      <c r="BB1023835" s="38"/>
    </row>
    <row r="1023836" spans="54:54" ht="15.75" customHeight="1" x14ac:dyDescent="0.3">
      <c r="BB1023836" s="38"/>
    </row>
    <row r="1023837" spans="54:54" ht="15.75" customHeight="1" x14ac:dyDescent="0.3">
      <c r="BB1023837" s="38"/>
    </row>
    <row r="1023838" spans="54:54" ht="15.75" customHeight="1" x14ac:dyDescent="0.3">
      <c r="BB1023838" s="38"/>
    </row>
    <row r="1023839" spans="54:54" ht="15.75" customHeight="1" x14ac:dyDescent="0.3">
      <c r="BB1023839" s="38"/>
    </row>
    <row r="1023840" spans="54:54" ht="15.75" customHeight="1" x14ac:dyDescent="0.3">
      <c r="BB1023840" s="38"/>
    </row>
    <row r="1023841" spans="54:54" ht="15.75" customHeight="1" x14ac:dyDescent="0.3">
      <c r="BB1023841" s="38"/>
    </row>
    <row r="1023842" spans="54:54" ht="15.75" customHeight="1" x14ac:dyDescent="0.3">
      <c r="BB1023842" s="38"/>
    </row>
    <row r="1023843" spans="54:54" ht="15.75" customHeight="1" x14ac:dyDescent="0.3">
      <c r="BB1023843" s="38"/>
    </row>
    <row r="1023844" spans="54:54" ht="15.75" customHeight="1" x14ac:dyDescent="0.3">
      <c r="BB1023844" s="38"/>
    </row>
    <row r="1023845" spans="54:54" ht="15.75" customHeight="1" x14ac:dyDescent="0.3">
      <c r="BB1023845" s="38"/>
    </row>
    <row r="1023846" spans="54:54" ht="15.75" customHeight="1" x14ac:dyDescent="0.3">
      <c r="BB1023846" s="38"/>
    </row>
    <row r="1023847" spans="54:54" ht="15.75" customHeight="1" x14ac:dyDescent="0.3">
      <c r="BB1023847" s="38"/>
    </row>
    <row r="1023848" spans="54:54" ht="15.75" customHeight="1" x14ac:dyDescent="0.3">
      <c r="BB1023848" s="38"/>
    </row>
    <row r="1023849" spans="54:54" ht="15.75" customHeight="1" x14ac:dyDescent="0.3">
      <c r="BB1023849" s="38"/>
    </row>
    <row r="1023850" spans="54:54" ht="15.75" customHeight="1" x14ac:dyDescent="0.3">
      <c r="BB1023850" s="38"/>
    </row>
    <row r="1023851" spans="54:54" ht="15.75" customHeight="1" x14ac:dyDescent="0.3">
      <c r="BB1023851" s="38"/>
    </row>
    <row r="1023852" spans="54:54" ht="15.75" customHeight="1" x14ac:dyDescent="0.3">
      <c r="BB1023852" s="38"/>
    </row>
    <row r="1023853" spans="54:54" ht="15.75" customHeight="1" x14ac:dyDescent="0.3">
      <c r="BB1023853" s="38"/>
    </row>
    <row r="1023854" spans="54:54" ht="15.75" customHeight="1" x14ac:dyDescent="0.3">
      <c r="BB1023854" s="38"/>
    </row>
    <row r="1023855" spans="54:54" ht="15.75" customHeight="1" x14ac:dyDescent="0.3">
      <c r="BB1023855" s="38"/>
    </row>
    <row r="1023856" spans="54:54" ht="15.75" customHeight="1" x14ac:dyDescent="0.3">
      <c r="BB1023856" s="38"/>
    </row>
    <row r="1023857" spans="54:54" ht="15.75" customHeight="1" x14ac:dyDescent="0.3">
      <c r="BB1023857" s="38"/>
    </row>
    <row r="1023858" spans="54:54" ht="15.75" customHeight="1" x14ac:dyDescent="0.3">
      <c r="BB1023858" s="38"/>
    </row>
    <row r="1023859" spans="54:54" ht="15.75" customHeight="1" x14ac:dyDescent="0.3">
      <c r="BB1023859" s="38"/>
    </row>
    <row r="1023860" spans="54:54" ht="15.75" customHeight="1" x14ac:dyDescent="0.3">
      <c r="BB1023860" s="38"/>
    </row>
    <row r="1023861" spans="54:54" ht="15.75" customHeight="1" x14ac:dyDescent="0.3">
      <c r="BB1023861" s="38"/>
    </row>
    <row r="1023862" spans="54:54" ht="15.75" customHeight="1" x14ac:dyDescent="0.3">
      <c r="BB1023862" s="38"/>
    </row>
    <row r="1023863" spans="54:54" ht="15.75" customHeight="1" x14ac:dyDescent="0.3">
      <c r="BB1023863" s="38"/>
    </row>
    <row r="1023864" spans="54:54" ht="15.75" customHeight="1" x14ac:dyDescent="0.3">
      <c r="BB1023864" s="38"/>
    </row>
    <row r="1023865" spans="54:54" ht="15.75" customHeight="1" x14ac:dyDescent="0.3">
      <c r="BB1023865" s="38"/>
    </row>
    <row r="1023866" spans="54:54" ht="15.75" customHeight="1" x14ac:dyDescent="0.3">
      <c r="BB1023866" s="38"/>
    </row>
    <row r="1023867" spans="54:54" ht="15.75" customHeight="1" x14ac:dyDescent="0.3">
      <c r="BB1023867" s="38"/>
    </row>
    <row r="1023868" spans="54:54" ht="15.75" customHeight="1" x14ac:dyDescent="0.3">
      <c r="BB1023868" s="38"/>
    </row>
    <row r="1023869" spans="54:54" ht="15.75" customHeight="1" x14ac:dyDescent="0.3">
      <c r="BB1023869" s="38"/>
    </row>
    <row r="1023870" spans="54:54" ht="15.75" customHeight="1" x14ac:dyDescent="0.3">
      <c r="BB1023870" s="38"/>
    </row>
    <row r="1023871" spans="54:54" ht="15.75" customHeight="1" x14ac:dyDescent="0.3">
      <c r="BB1023871" s="38"/>
    </row>
    <row r="1023872" spans="54:54" ht="15.75" customHeight="1" x14ac:dyDescent="0.3">
      <c r="BB1023872" s="38"/>
    </row>
    <row r="1023873" spans="54:54" ht="15.75" customHeight="1" x14ac:dyDescent="0.3">
      <c r="BB1023873" s="38"/>
    </row>
    <row r="1023874" spans="54:54" ht="15.75" customHeight="1" x14ac:dyDescent="0.3">
      <c r="BB1023874" s="38"/>
    </row>
    <row r="1023875" spans="54:54" ht="15.75" customHeight="1" x14ac:dyDescent="0.3">
      <c r="BB1023875" s="38"/>
    </row>
    <row r="1023876" spans="54:54" ht="15.75" customHeight="1" x14ac:dyDescent="0.3">
      <c r="BB1023876" s="38"/>
    </row>
    <row r="1023877" spans="54:54" ht="15.75" customHeight="1" x14ac:dyDescent="0.3">
      <c r="BB1023877" s="38"/>
    </row>
    <row r="1023878" spans="54:54" ht="15.75" customHeight="1" x14ac:dyDescent="0.3">
      <c r="BB1023878" s="38"/>
    </row>
    <row r="1023879" spans="54:54" ht="15.75" customHeight="1" x14ac:dyDescent="0.3">
      <c r="BB1023879" s="38"/>
    </row>
    <row r="1023880" spans="54:54" ht="15.75" customHeight="1" x14ac:dyDescent="0.3">
      <c r="BB1023880" s="38"/>
    </row>
    <row r="1023881" spans="54:54" ht="15.75" customHeight="1" x14ac:dyDescent="0.3">
      <c r="BB1023881" s="38"/>
    </row>
    <row r="1023882" spans="54:54" ht="15.75" customHeight="1" x14ac:dyDescent="0.3">
      <c r="BB1023882" s="38"/>
    </row>
    <row r="1023883" spans="54:54" ht="15.75" customHeight="1" x14ac:dyDescent="0.3">
      <c r="BB1023883" s="38"/>
    </row>
    <row r="1023884" spans="54:54" ht="15.75" customHeight="1" x14ac:dyDescent="0.3">
      <c r="BB1023884" s="38"/>
    </row>
    <row r="1023885" spans="54:54" ht="15.75" customHeight="1" x14ac:dyDescent="0.3">
      <c r="BB1023885" s="38"/>
    </row>
    <row r="1023886" spans="54:54" ht="15.75" customHeight="1" x14ac:dyDescent="0.3">
      <c r="BB1023886" s="38"/>
    </row>
    <row r="1023887" spans="54:54" ht="15.75" customHeight="1" x14ac:dyDescent="0.3">
      <c r="BB1023887" s="38"/>
    </row>
    <row r="1023888" spans="54:54" ht="15.75" customHeight="1" x14ac:dyDescent="0.3">
      <c r="BB1023888" s="38"/>
    </row>
    <row r="1023889" spans="54:54" ht="15.75" customHeight="1" x14ac:dyDescent="0.3">
      <c r="BB1023889" s="38"/>
    </row>
    <row r="1023890" spans="54:54" ht="15.75" customHeight="1" x14ac:dyDescent="0.3">
      <c r="BB1023890" s="38"/>
    </row>
    <row r="1023891" spans="54:54" ht="15.75" customHeight="1" x14ac:dyDescent="0.3">
      <c r="BB1023891" s="38"/>
    </row>
    <row r="1023892" spans="54:54" ht="15.75" customHeight="1" x14ac:dyDescent="0.3">
      <c r="BB1023892" s="38"/>
    </row>
    <row r="1023893" spans="54:54" ht="15.75" customHeight="1" x14ac:dyDescent="0.3">
      <c r="BB1023893" s="38"/>
    </row>
    <row r="1023894" spans="54:54" ht="15.75" customHeight="1" x14ac:dyDescent="0.3">
      <c r="BB1023894" s="38"/>
    </row>
    <row r="1023895" spans="54:54" ht="15.75" customHeight="1" x14ac:dyDescent="0.3">
      <c r="BB1023895" s="38"/>
    </row>
    <row r="1023896" spans="54:54" ht="15.75" customHeight="1" x14ac:dyDescent="0.3">
      <c r="BB1023896" s="38"/>
    </row>
    <row r="1023897" spans="54:54" ht="15.75" customHeight="1" x14ac:dyDescent="0.3">
      <c r="BB1023897" s="38"/>
    </row>
    <row r="1023898" spans="54:54" ht="15.75" customHeight="1" x14ac:dyDescent="0.3">
      <c r="BB1023898" s="38"/>
    </row>
    <row r="1023899" spans="54:54" ht="15.75" customHeight="1" x14ac:dyDescent="0.3">
      <c r="BB1023899" s="38"/>
    </row>
    <row r="1023900" spans="54:54" ht="15.75" customHeight="1" x14ac:dyDescent="0.3">
      <c r="BB1023900" s="38"/>
    </row>
    <row r="1023901" spans="54:54" ht="15.75" customHeight="1" x14ac:dyDescent="0.3">
      <c r="BB1023901" s="38"/>
    </row>
    <row r="1023902" spans="54:54" ht="15.75" customHeight="1" x14ac:dyDescent="0.3">
      <c r="BB1023902" s="38"/>
    </row>
    <row r="1023903" spans="54:54" ht="15.75" customHeight="1" x14ac:dyDescent="0.3">
      <c r="BB1023903" s="38"/>
    </row>
    <row r="1023904" spans="54:54" ht="15.75" customHeight="1" x14ac:dyDescent="0.3">
      <c r="BB1023904" s="38"/>
    </row>
    <row r="1023905" spans="54:54" ht="15.75" customHeight="1" x14ac:dyDescent="0.3">
      <c r="BB1023905" s="38"/>
    </row>
    <row r="1023906" spans="54:54" ht="15.75" customHeight="1" x14ac:dyDescent="0.3">
      <c r="BB1023906" s="38"/>
    </row>
    <row r="1023907" spans="54:54" ht="15.75" customHeight="1" x14ac:dyDescent="0.3">
      <c r="BB1023907" s="38"/>
    </row>
    <row r="1023908" spans="54:54" ht="15.75" customHeight="1" x14ac:dyDescent="0.3">
      <c r="BB1023908" s="38"/>
    </row>
    <row r="1023909" spans="54:54" ht="15.75" customHeight="1" x14ac:dyDescent="0.3">
      <c r="BB1023909" s="38"/>
    </row>
    <row r="1023910" spans="54:54" ht="15.75" customHeight="1" x14ac:dyDescent="0.3">
      <c r="BB1023910" s="38"/>
    </row>
    <row r="1023911" spans="54:54" ht="15.75" customHeight="1" x14ac:dyDescent="0.3">
      <c r="BB1023911" s="38"/>
    </row>
    <row r="1023912" spans="54:54" ht="15.75" customHeight="1" x14ac:dyDescent="0.3">
      <c r="BB1023912" s="38"/>
    </row>
    <row r="1023913" spans="54:54" ht="15.75" customHeight="1" x14ac:dyDescent="0.3">
      <c r="BB1023913" s="38"/>
    </row>
    <row r="1023914" spans="54:54" ht="15.75" customHeight="1" x14ac:dyDescent="0.3">
      <c r="BB1023914" s="38"/>
    </row>
    <row r="1023915" spans="54:54" ht="15.75" customHeight="1" x14ac:dyDescent="0.3">
      <c r="BB1023915" s="38"/>
    </row>
    <row r="1023916" spans="54:54" ht="15.75" customHeight="1" x14ac:dyDescent="0.3">
      <c r="BB1023916" s="38"/>
    </row>
    <row r="1023917" spans="54:54" ht="15.75" customHeight="1" x14ac:dyDescent="0.3">
      <c r="BB1023917" s="38"/>
    </row>
    <row r="1023918" spans="54:54" ht="15.75" customHeight="1" x14ac:dyDescent="0.3">
      <c r="BB1023918" s="38"/>
    </row>
    <row r="1023919" spans="54:54" ht="15.75" customHeight="1" x14ac:dyDescent="0.3">
      <c r="BB1023919" s="38"/>
    </row>
    <row r="1023920" spans="54:54" ht="15.75" customHeight="1" x14ac:dyDescent="0.3">
      <c r="BB1023920" s="38"/>
    </row>
    <row r="1023921" spans="54:54" ht="15.75" customHeight="1" x14ac:dyDescent="0.3">
      <c r="BB1023921" s="38"/>
    </row>
    <row r="1023922" spans="54:54" ht="15.75" customHeight="1" x14ac:dyDescent="0.3">
      <c r="BB1023922" s="38"/>
    </row>
    <row r="1023923" spans="54:54" ht="15.75" customHeight="1" x14ac:dyDescent="0.3">
      <c r="BB1023923" s="38"/>
    </row>
    <row r="1023924" spans="54:54" ht="15.75" customHeight="1" x14ac:dyDescent="0.3">
      <c r="BB1023924" s="38"/>
    </row>
    <row r="1023925" spans="54:54" ht="15.75" customHeight="1" x14ac:dyDescent="0.3">
      <c r="BB1023925" s="38"/>
    </row>
    <row r="1023926" spans="54:54" ht="15.75" customHeight="1" x14ac:dyDescent="0.3">
      <c r="BB1023926" s="38"/>
    </row>
    <row r="1023927" spans="54:54" ht="15.75" customHeight="1" x14ac:dyDescent="0.3">
      <c r="BB1023927" s="38"/>
    </row>
    <row r="1023928" spans="54:54" ht="15.75" customHeight="1" x14ac:dyDescent="0.3">
      <c r="BB1023928" s="38"/>
    </row>
    <row r="1023929" spans="54:54" ht="15.75" customHeight="1" x14ac:dyDescent="0.3">
      <c r="BB1023929" s="38"/>
    </row>
    <row r="1023930" spans="54:54" ht="15.75" customHeight="1" x14ac:dyDescent="0.3">
      <c r="BB1023930" s="38"/>
    </row>
    <row r="1023931" spans="54:54" ht="15.75" customHeight="1" x14ac:dyDescent="0.3">
      <c r="BB1023931" s="38"/>
    </row>
    <row r="1023932" spans="54:54" ht="15.75" customHeight="1" x14ac:dyDescent="0.3">
      <c r="BB1023932" s="38"/>
    </row>
    <row r="1023933" spans="54:54" ht="15.75" customHeight="1" x14ac:dyDescent="0.3">
      <c r="BB1023933" s="38"/>
    </row>
    <row r="1023934" spans="54:54" ht="15.75" customHeight="1" x14ac:dyDescent="0.3">
      <c r="BB1023934" s="38"/>
    </row>
    <row r="1023935" spans="54:54" ht="15.75" customHeight="1" x14ac:dyDescent="0.3">
      <c r="BB1023935" s="38"/>
    </row>
    <row r="1023936" spans="54:54" ht="15.75" customHeight="1" x14ac:dyDescent="0.3">
      <c r="BB1023936" s="38"/>
    </row>
    <row r="1023937" spans="54:54" ht="15.75" customHeight="1" x14ac:dyDescent="0.3">
      <c r="BB1023937" s="38"/>
    </row>
    <row r="1023938" spans="54:54" ht="15.75" customHeight="1" x14ac:dyDescent="0.3">
      <c r="BB1023938" s="38"/>
    </row>
    <row r="1023939" spans="54:54" ht="15.75" customHeight="1" x14ac:dyDescent="0.3">
      <c r="BB1023939" s="38"/>
    </row>
    <row r="1023940" spans="54:54" ht="15.75" customHeight="1" x14ac:dyDescent="0.3">
      <c r="BB1023940" s="38"/>
    </row>
    <row r="1023941" spans="54:54" ht="15.75" customHeight="1" x14ac:dyDescent="0.3">
      <c r="BB1023941" s="38"/>
    </row>
    <row r="1023942" spans="54:54" ht="15.75" customHeight="1" x14ac:dyDescent="0.3">
      <c r="BB1023942" s="38"/>
    </row>
    <row r="1023943" spans="54:54" ht="15.75" customHeight="1" x14ac:dyDescent="0.3">
      <c r="BB1023943" s="38"/>
    </row>
    <row r="1023944" spans="54:54" ht="15.75" customHeight="1" x14ac:dyDescent="0.3">
      <c r="BB1023944" s="38"/>
    </row>
    <row r="1023945" spans="54:54" ht="15.75" customHeight="1" x14ac:dyDescent="0.3">
      <c r="BB1023945" s="38"/>
    </row>
    <row r="1023946" spans="54:54" ht="15.75" customHeight="1" x14ac:dyDescent="0.3">
      <c r="BB1023946" s="38"/>
    </row>
    <row r="1023947" spans="54:54" ht="15.75" customHeight="1" x14ac:dyDescent="0.3">
      <c r="BB1023947" s="38"/>
    </row>
    <row r="1023948" spans="54:54" ht="15.75" customHeight="1" x14ac:dyDescent="0.3">
      <c r="BB1023948" s="38"/>
    </row>
    <row r="1023949" spans="54:54" ht="15.75" customHeight="1" x14ac:dyDescent="0.3">
      <c r="BB1023949" s="38"/>
    </row>
    <row r="1023950" spans="54:54" ht="15.75" customHeight="1" x14ac:dyDescent="0.3">
      <c r="BB1023950" s="38"/>
    </row>
    <row r="1023951" spans="54:54" ht="15.75" customHeight="1" x14ac:dyDescent="0.3">
      <c r="BB1023951" s="38"/>
    </row>
    <row r="1023952" spans="54:54" ht="15.75" customHeight="1" x14ac:dyDescent="0.3">
      <c r="BB1023952" s="38"/>
    </row>
    <row r="1023953" spans="54:54" ht="15.75" customHeight="1" x14ac:dyDescent="0.3">
      <c r="BB1023953" s="38"/>
    </row>
    <row r="1023954" spans="54:54" ht="15.75" customHeight="1" x14ac:dyDescent="0.3">
      <c r="BB1023954" s="38"/>
    </row>
    <row r="1023955" spans="54:54" ht="15.75" customHeight="1" x14ac:dyDescent="0.3">
      <c r="BB1023955" s="38"/>
    </row>
    <row r="1023956" spans="54:54" ht="15.75" customHeight="1" x14ac:dyDescent="0.3">
      <c r="BB1023956" s="38"/>
    </row>
    <row r="1023957" spans="54:54" ht="15.75" customHeight="1" x14ac:dyDescent="0.3">
      <c r="BB1023957" s="38"/>
    </row>
    <row r="1023958" spans="54:54" ht="15.75" customHeight="1" x14ac:dyDescent="0.3">
      <c r="BB1023958" s="38"/>
    </row>
    <row r="1023959" spans="54:54" ht="15.75" customHeight="1" x14ac:dyDescent="0.3">
      <c r="BB1023959" s="38"/>
    </row>
    <row r="1023960" spans="54:54" ht="15.75" customHeight="1" x14ac:dyDescent="0.3">
      <c r="BB1023960" s="38"/>
    </row>
    <row r="1023961" spans="54:54" ht="15.75" customHeight="1" x14ac:dyDescent="0.3">
      <c r="BB1023961" s="38"/>
    </row>
    <row r="1023962" spans="54:54" ht="15.75" customHeight="1" x14ac:dyDescent="0.3">
      <c r="BB1023962" s="38"/>
    </row>
    <row r="1023963" spans="54:54" ht="15.75" customHeight="1" x14ac:dyDescent="0.3">
      <c r="BB1023963" s="38"/>
    </row>
    <row r="1023964" spans="54:54" ht="15.75" customHeight="1" x14ac:dyDescent="0.3">
      <c r="BB1023964" s="38"/>
    </row>
    <row r="1023965" spans="54:54" ht="15.75" customHeight="1" x14ac:dyDescent="0.3">
      <c r="BB1023965" s="38"/>
    </row>
    <row r="1023966" spans="54:54" ht="15.75" customHeight="1" x14ac:dyDescent="0.3">
      <c r="BB1023966" s="38"/>
    </row>
    <row r="1023967" spans="54:54" ht="15.75" customHeight="1" x14ac:dyDescent="0.3">
      <c r="BB1023967" s="38"/>
    </row>
    <row r="1023968" spans="54:54" ht="15.75" customHeight="1" x14ac:dyDescent="0.3">
      <c r="BB1023968" s="38"/>
    </row>
    <row r="1023969" spans="54:54" ht="15.75" customHeight="1" x14ac:dyDescent="0.3">
      <c r="BB1023969" s="38"/>
    </row>
    <row r="1023970" spans="54:54" ht="15.75" customHeight="1" x14ac:dyDescent="0.3">
      <c r="BB1023970" s="38"/>
    </row>
    <row r="1023971" spans="54:54" ht="15.75" customHeight="1" x14ac:dyDescent="0.3">
      <c r="BB1023971" s="38"/>
    </row>
    <row r="1023972" spans="54:54" ht="15.75" customHeight="1" x14ac:dyDescent="0.3">
      <c r="BB1023972" s="38"/>
    </row>
    <row r="1023973" spans="54:54" ht="15.75" customHeight="1" x14ac:dyDescent="0.3">
      <c r="BB1023973" s="38"/>
    </row>
    <row r="1023974" spans="54:54" ht="15.75" customHeight="1" x14ac:dyDescent="0.3">
      <c r="BB1023974" s="38"/>
    </row>
    <row r="1023975" spans="54:54" ht="15.75" customHeight="1" x14ac:dyDescent="0.3">
      <c r="BB1023975" s="38"/>
    </row>
    <row r="1023976" spans="54:54" ht="15.75" customHeight="1" x14ac:dyDescent="0.3">
      <c r="BB1023976" s="38"/>
    </row>
    <row r="1023977" spans="54:54" ht="15.75" customHeight="1" x14ac:dyDescent="0.3">
      <c r="BB1023977" s="38"/>
    </row>
    <row r="1023978" spans="54:54" ht="15.75" customHeight="1" x14ac:dyDescent="0.3">
      <c r="BB1023978" s="38"/>
    </row>
    <row r="1023979" spans="54:54" ht="15.75" customHeight="1" x14ac:dyDescent="0.3">
      <c r="BB1023979" s="38"/>
    </row>
    <row r="1023980" spans="54:54" ht="15.75" customHeight="1" x14ac:dyDescent="0.3">
      <c r="BB1023980" s="38"/>
    </row>
    <row r="1023981" spans="54:54" ht="15.75" customHeight="1" x14ac:dyDescent="0.3">
      <c r="BB1023981" s="38"/>
    </row>
    <row r="1023982" spans="54:54" ht="15.75" customHeight="1" x14ac:dyDescent="0.3">
      <c r="BB1023982" s="38"/>
    </row>
    <row r="1023983" spans="54:54" ht="15.75" customHeight="1" x14ac:dyDescent="0.3">
      <c r="BB1023983" s="38"/>
    </row>
    <row r="1023984" spans="54:54" ht="15.75" customHeight="1" x14ac:dyDescent="0.3">
      <c r="BB1023984" s="38"/>
    </row>
    <row r="1023985" spans="54:54" ht="15.75" customHeight="1" x14ac:dyDescent="0.3">
      <c r="BB1023985" s="38"/>
    </row>
    <row r="1023986" spans="54:54" ht="15.75" customHeight="1" x14ac:dyDescent="0.3">
      <c r="BB1023986" s="38"/>
    </row>
    <row r="1023987" spans="54:54" ht="15.75" customHeight="1" x14ac:dyDescent="0.3">
      <c r="BB1023987" s="38"/>
    </row>
    <row r="1023988" spans="54:54" ht="15.75" customHeight="1" x14ac:dyDescent="0.3">
      <c r="BB1023988" s="38"/>
    </row>
    <row r="1023989" spans="54:54" ht="15.75" customHeight="1" x14ac:dyDescent="0.3">
      <c r="BB1023989" s="38"/>
    </row>
    <row r="1023990" spans="54:54" ht="15.75" customHeight="1" x14ac:dyDescent="0.3">
      <c r="BB1023990" s="38"/>
    </row>
    <row r="1023991" spans="54:54" ht="15.75" customHeight="1" x14ac:dyDescent="0.3">
      <c r="BB1023991" s="38"/>
    </row>
    <row r="1023992" spans="54:54" ht="15.75" customHeight="1" x14ac:dyDescent="0.3">
      <c r="BB1023992" s="38"/>
    </row>
    <row r="1023993" spans="54:54" ht="15.75" customHeight="1" x14ac:dyDescent="0.3">
      <c r="BB1023993" s="38"/>
    </row>
    <row r="1023994" spans="54:54" ht="15.75" customHeight="1" x14ac:dyDescent="0.3">
      <c r="BB1023994" s="38"/>
    </row>
    <row r="1023995" spans="54:54" ht="15.75" customHeight="1" x14ac:dyDescent="0.3">
      <c r="BB1023995" s="38"/>
    </row>
    <row r="1023996" spans="54:54" ht="15.75" customHeight="1" x14ac:dyDescent="0.3">
      <c r="BB1023996" s="38"/>
    </row>
    <row r="1023997" spans="54:54" ht="15.75" customHeight="1" x14ac:dyDescent="0.3">
      <c r="BB1023997" s="38"/>
    </row>
    <row r="1023998" spans="54:54" ht="15.75" customHeight="1" x14ac:dyDescent="0.3">
      <c r="BB1023998" s="38"/>
    </row>
    <row r="1023999" spans="54:54" ht="15.75" customHeight="1" x14ac:dyDescent="0.3">
      <c r="BB1023999" s="38"/>
    </row>
    <row r="1024000" spans="54:54" ht="15.75" customHeight="1" x14ac:dyDescent="0.3">
      <c r="BB1024000" s="38"/>
    </row>
    <row r="1024001" spans="54:54" ht="15.75" customHeight="1" x14ac:dyDescent="0.3">
      <c r="BB1024001" s="38"/>
    </row>
    <row r="1024002" spans="54:54" ht="15.75" customHeight="1" x14ac:dyDescent="0.3">
      <c r="BB1024002" s="38"/>
    </row>
    <row r="1024003" spans="54:54" ht="15.75" customHeight="1" x14ac:dyDescent="0.3">
      <c r="BB1024003" s="38"/>
    </row>
    <row r="1024004" spans="54:54" ht="15.75" customHeight="1" x14ac:dyDescent="0.3">
      <c r="BB1024004" s="38"/>
    </row>
    <row r="1024005" spans="54:54" ht="15.75" customHeight="1" x14ac:dyDescent="0.3">
      <c r="BB1024005" s="38"/>
    </row>
    <row r="1024006" spans="54:54" ht="15.75" customHeight="1" x14ac:dyDescent="0.3">
      <c r="BB1024006" s="38"/>
    </row>
    <row r="1024007" spans="54:54" ht="15.75" customHeight="1" x14ac:dyDescent="0.3">
      <c r="BB1024007" s="38"/>
    </row>
    <row r="1024008" spans="54:54" ht="15.75" customHeight="1" x14ac:dyDescent="0.3">
      <c r="BB1024008" s="38"/>
    </row>
    <row r="1024009" spans="54:54" ht="15.75" customHeight="1" x14ac:dyDescent="0.3">
      <c r="BB1024009" s="38"/>
    </row>
    <row r="1024010" spans="54:54" ht="15.75" customHeight="1" x14ac:dyDescent="0.3">
      <c r="BB1024010" s="38"/>
    </row>
    <row r="1024011" spans="54:54" ht="15.75" customHeight="1" x14ac:dyDescent="0.3">
      <c r="BB1024011" s="38"/>
    </row>
    <row r="1024012" spans="54:54" ht="15.75" customHeight="1" x14ac:dyDescent="0.3">
      <c r="BB1024012" s="38"/>
    </row>
    <row r="1024013" spans="54:54" ht="15.75" customHeight="1" x14ac:dyDescent="0.3">
      <c r="BB1024013" s="38"/>
    </row>
    <row r="1024014" spans="54:54" ht="15.75" customHeight="1" x14ac:dyDescent="0.3">
      <c r="BB1024014" s="38"/>
    </row>
    <row r="1024015" spans="54:54" ht="15.75" customHeight="1" x14ac:dyDescent="0.3">
      <c r="BB1024015" s="38"/>
    </row>
    <row r="1024016" spans="54:54" ht="15.75" customHeight="1" x14ac:dyDescent="0.3">
      <c r="BB1024016" s="38"/>
    </row>
    <row r="1024017" spans="54:54" ht="15.75" customHeight="1" x14ac:dyDescent="0.3">
      <c r="BB1024017" s="38"/>
    </row>
    <row r="1024018" spans="54:54" ht="15.75" customHeight="1" x14ac:dyDescent="0.3">
      <c r="BB1024018" s="38"/>
    </row>
    <row r="1024019" spans="54:54" ht="15.75" customHeight="1" x14ac:dyDescent="0.3">
      <c r="BB1024019" s="38"/>
    </row>
    <row r="1024020" spans="54:54" ht="15.75" customHeight="1" x14ac:dyDescent="0.3">
      <c r="BB1024020" s="38"/>
    </row>
    <row r="1024021" spans="54:54" ht="15.75" customHeight="1" x14ac:dyDescent="0.3">
      <c r="BB1024021" s="38"/>
    </row>
    <row r="1024022" spans="54:54" ht="15.75" customHeight="1" x14ac:dyDescent="0.3">
      <c r="BB1024022" s="38"/>
    </row>
    <row r="1024023" spans="54:54" ht="15.75" customHeight="1" x14ac:dyDescent="0.3">
      <c r="BB1024023" s="38"/>
    </row>
    <row r="1024024" spans="54:54" ht="15.75" customHeight="1" x14ac:dyDescent="0.3">
      <c r="BB1024024" s="38"/>
    </row>
    <row r="1024025" spans="54:54" ht="15.75" customHeight="1" x14ac:dyDescent="0.3">
      <c r="BB1024025" s="38"/>
    </row>
    <row r="1024026" spans="54:54" ht="15.75" customHeight="1" x14ac:dyDescent="0.3">
      <c r="BB1024026" s="38"/>
    </row>
    <row r="1024027" spans="54:54" ht="15.75" customHeight="1" x14ac:dyDescent="0.3">
      <c r="BB1024027" s="38"/>
    </row>
    <row r="1024028" spans="54:54" ht="15.75" customHeight="1" x14ac:dyDescent="0.3">
      <c r="BB1024028" s="38"/>
    </row>
    <row r="1024029" spans="54:54" ht="15.75" customHeight="1" x14ac:dyDescent="0.3">
      <c r="BB1024029" s="38"/>
    </row>
    <row r="1024030" spans="54:54" ht="15.75" customHeight="1" x14ac:dyDescent="0.3">
      <c r="BB1024030" s="38"/>
    </row>
    <row r="1024031" spans="54:54" ht="15.75" customHeight="1" x14ac:dyDescent="0.3">
      <c r="BB1024031" s="38"/>
    </row>
    <row r="1024032" spans="54:54" ht="15.75" customHeight="1" x14ac:dyDescent="0.3">
      <c r="BB1024032" s="38"/>
    </row>
    <row r="1024033" spans="54:54" ht="15.75" customHeight="1" x14ac:dyDescent="0.3">
      <c r="BB1024033" s="38"/>
    </row>
    <row r="1024034" spans="54:54" ht="15.75" customHeight="1" x14ac:dyDescent="0.3">
      <c r="BB1024034" s="38"/>
    </row>
    <row r="1024035" spans="54:54" ht="15.75" customHeight="1" x14ac:dyDescent="0.3">
      <c r="BB1024035" s="38"/>
    </row>
    <row r="1024036" spans="54:54" ht="15.75" customHeight="1" x14ac:dyDescent="0.3">
      <c r="BB1024036" s="38"/>
    </row>
    <row r="1024037" spans="54:54" ht="15.75" customHeight="1" x14ac:dyDescent="0.3">
      <c r="BB1024037" s="38"/>
    </row>
    <row r="1024038" spans="54:54" ht="15.75" customHeight="1" x14ac:dyDescent="0.3">
      <c r="BB1024038" s="38"/>
    </row>
    <row r="1024039" spans="54:54" ht="15.75" customHeight="1" x14ac:dyDescent="0.3">
      <c r="BB1024039" s="38"/>
    </row>
    <row r="1024040" spans="54:54" ht="15.75" customHeight="1" x14ac:dyDescent="0.3">
      <c r="BB1024040" s="38"/>
    </row>
    <row r="1024041" spans="54:54" ht="15.75" customHeight="1" x14ac:dyDescent="0.3">
      <c r="BB1024041" s="38"/>
    </row>
    <row r="1024042" spans="54:54" ht="15.75" customHeight="1" x14ac:dyDescent="0.3">
      <c r="BB1024042" s="38"/>
    </row>
    <row r="1024043" spans="54:54" ht="15.75" customHeight="1" x14ac:dyDescent="0.3">
      <c r="BB1024043" s="38"/>
    </row>
    <row r="1024044" spans="54:54" ht="15.75" customHeight="1" x14ac:dyDescent="0.3">
      <c r="BB1024044" s="38"/>
    </row>
    <row r="1024045" spans="54:54" ht="15.75" customHeight="1" x14ac:dyDescent="0.3">
      <c r="BB1024045" s="38"/>
    </row>
    <row r="1024046" spans="54:54" ht="15.75" customHeight="1" x14ac:dyDescent="0.3">
      <c r="BB1024046" s="38"/>
    </row>
    <row r="1024047" spans="54:54" ht="15.75" customHeight="1" x14ac:dyDescent="0.3">
      <c r="BB1024047" s="38"/>
    </row>
    <row r="1024048" spans="54:54" ht="15.75" customHeight="1" x14ac:dyDescent="0.3">
      <c r="BB1024048" s="38"/>
    </row>
    <row r="1024049" spans="54:54" ht="15.75" customHeight="1" x14ac:dyDescent="0.3">
      <c r="BB1024049" s="38"/>
    </row>
    <row r="1024050" spans="54:54" ht="15.75" customHeight="1" x14ac:dyDescent="0.3">
      <c r="BB1024050" s="38"/>
    </row>
    <row r="1024051" spans="54:54" ht="15.75" customHeight="1" x14ac:dyDescent="0.3">
      <c r="BB1024051" s="38"/>
    </row>
    <row r="1024052" spans="54:54" ht="15.75" customHeight="1" x14ac:dyDescent="0.3">
      <c r="BB1024052" s="38"/>
    </row>
    <row r="1024053" spans="54:54" ht="15.75" customHeight="1" x14ac:dyDescent="0.3">
      <c r="BB1024053" s="38"/>
    </row>
    <row r="1024054" spans="54:54" ht="15.75" customHeight="1" x14ac:dyDescent="0.3">
      <c r="BB1024054" s="38"/>
    </row>
    <row r="1024055" spans="54:54" ht="15.75" customHeight="1" x14ac:dyDescent="0.3">
      <c r="BB1024055" s="38"/>
    </row>
    <row r="1024056" spans="54:54" ht="15.75" customHeight="1" x14ac:dyDescent="0.3">
      <c r="BB1024056" s="38"/>
    </row>
    <row r="1024057" spans="54:54" ht="15.75" customHeight="1" x14ac:dyDescent="0.3">
      <c r="BB1024057" s="38"/>
    </row>
    <row r="1024058" spans="54:54" ht="15.75" customHeight="1" x14ac:dyDescent="0.3">
      <c r="BB1024058" s="38"/>
    </row>
    <row r="1024059" spans="54:54" ht="15.75" customHeight="1" x14ac:dyDescent="0.3">
      <c r="BB1024059" s="38"/>
    </row>
    <row r="1024060" spans="54:54" ht="15.75" customHeight="1" x14ac:dyDescent="0.3">
      <c r="BB1024060" s="38"/>
    </row>
    <row r="1024061" spans="54:54" ht="15.75" customHeight="1" x14ac:dyDescent="0.3">
      <c r="BB1024061" s="38"/>
    </row>
    <row r="1024062" spans="54:54" ht="15.75" customHeight="1" x14ac:dyDescent="0.3">
      <c r="BB1024062" s="38"/>
    </row>
    <row r="1024063" spans="54:54" ht="15.75" customHeight="1" x14ac:dyDescent="0.3">
      <c r="BB1024063" s="38"/>
    </row>
    <row r="1024064" spans="54:54" ht="15.75" customHeight="1" x14ac:dyDescent="0.3">
      <c r="BB1024064" s="38"/>
    </row>
    <row r="1024065" spans="54:54" ht="15.75" customHeight="1" x14ac:dyDescent="0.3">
      <c r="BB1024065" s="38"/>
    </row>
    <row r="1024066" spans="54:54" ht="15.75" customHeight="1" x14ac:dyDescent="0.3">
      <c r="BB1024066" s="38"/>
    </row>
    <row r="1024067" spans="54:54" ht="15.75" customHeight="1" x14ac:dyDescent="0.3">
      <c r="BB1024067" s="38"/>
    </row>
    <row r="1024068" spans="54:54" ht="15.75" customHeight="1" x14ac:dyDescent="0.3">
      <c r="BB1024068" s="38"/>
    </row>
    <row r="1024069" spans="54:54" ht="15.75" customHeight="1" x14ac:dyDescent="0.3">
      <c r="BB1024069" s="38"/>
    </row>
    <row r="1024070" spans="54:54" ht="15.75" customHeight="1" x14ac:dyDescent="0.3">
      <c r="BB1024070" s="38"/>
    </row>
    <row r="1024071" spans="54:54" ht="15.75" customHeight="1" x14ac:dyDescent="0.3">
      <c r="BB1024071" s="38"/>
    </row>
    <row r="1024072" spans="54:54" ht="15.75" customHeight="1" x14ac:dyDescent="0.3">
      <c r="BB1024072" s="38"/>
    </row>
    <row r="1024073" spans="54:54" ht="15.75" customHeight="1" x14ac:dyDescent="0.3">
      <c r="BB1024073" s="38"/>
    </row>
    <row r="1024074" spans="54:54" ht="15.75" customHeight="1" x14ac:dyDescent="0.3">
      <c r="BB1024074" s="38"/>
    </row>
    <row r="1024075" spans="54:54" ht="15.75" customHeight="1" x14ac:dyDescent="0.3">
      <c r="BB1024075" s="38"/>
    </row>
    <row r="1024076" spans="54:54" ht="15.75" customHeight="1" x14ac:dyDescent="0.3">
      <c r="BB1024076" s="38"/>
    </row>
    <row r="1024077" spans="54:54" ht="15.75" customHeight="1" x14ac:dyDescent="0.3">
      <c r="BB1024077" s="38"/>
    </row>
    <row r="1024078" spans="54:54" ht="15.75" customHeight="1" x14ac:dyDescent="0.3">
      <c r="BB1024078" s="38"/>
    </row>
    <row r="1024079" spans="54:54" ht="15.75" customHeight="1" x14ac:dyDescent="0.3">
      <c r="BB1024079" s="38"/>
    </row>
    <row r="1024080" spans="54:54" ht="15.75" customHeight="1" x14ac:dyDescent="0.3">
      <c r="BB1024080" s="38"/>
    </row>
    <row r="1024081" spans="54:54" ht="15.75" customHeight="1" x14ac:dyDescent="0.3">
      <c r="BB1024081" s="38"/>
    </row>
    <row r="1024082" spans="54:54" ht="15.75" customHeight="1" x14ac:dyDescent="0.3">
      <c r="BB1024082" s="38"/>
    </row>
    <row r="1024083" spans="54:54" ht="15.75" customHeight="1" x14ac:dyDescent="0.3">
      <c r="BB1024083" s="38"/>
    </row>
    <row r="1024084" spans="54:54" ht="15.75" customHeight="1" x14ac:dyDescent="0.3">
      <c r="BB1024084" s="38"/>
    </row>
    <row r="1024085" spans="54:54" ht="15.75" customHeight="1" x14ac:dyDescent="0.3">
      <c r="BB1024085" s="38"/>
    </row>
    <row r="1024086" spans="54:54" ht="15.75" customHeight="1" x14ac:dyDescent="0.3">
      <c r="BB1024086" s="38"/>
    </row>
    <row r="1024087" spans="54:54" ht="15.75" customHeight="1" x14ac:dyDescent="0.3">
      <c r="BB1024087" s="38"/>
    </row>
    <row r="1024088" spans="54:54" ht="15.75" customHeight="1" x14ac:dyDescent="0.3">
      <c r="BB1024088" s="38"/>
    </row>
    <row r="1024089" spans="54:54" ht="15.75" customHeight="1" x14ac:dyDescent="0.3">
      <c r="BB1024089" s="38"/>
    </row>
    <row r="1024090" spans="54:54" ht="15.75" customHeight="1" x14ac:dyDescent="0.3">
      <c r="BB1024090" s="38"/>
    </row>
    <row r="1024091" spans="54:54" ht="15.75" customHeight="1" x14ac:dyDescent="0.3">
      <c r="BB1024091" s="38"/>
    </row>
    <row r="1024092" spans="54:54" ht="15.75" customHeight="1" x14ac:dyDescent="0.3">
      <c r="BB1024092" s="38"/>
    </row>
    <row r="1024093" spans="54:54" ht="15.75" customHeight="1" x14ac:dyDescent="0.3">
      <c r="BB1024093" s="38"/>
    </row>
    <row r="1024094" spans="54:54" ht="15.75" customHeight="1" x14ac:dyDescent="0.3">
      <c r="BB1024094" s="38"/>
    </row>
    <row r="1024095" spans="54:54" ht="15.75" customHeight="1" x14ac:dyDescent="0.3">
      <c r="BB1024095" s="38"/>
    </row>
    <row r="1024096" spans="54:54" ht="15.75" customHeight="1" x14ac:dyDescent="0.3">
      <c r="BB1024096" s="38"/>
    </row>
    <row r="1024097" spans="54:54" ht="15.75" customHeight="1" x14ac:dyDescent="0.3">
      <c r="BB1024097" s="38"/>
    </row>
    <row r="1024098" spans="54:54" ht="15.75" customHeight="1" x14ac:dyDescent="0.3">
      <c r="BB1024098" s="38"/>
    </row>
    <row r="1024099" spans="54:54" ht="15.75" customHeight="1" x14ac:dyDescent="0.3">
      <c r="BB1024099" s="38"/>
    </row>
    <row r="1024100" spans="54:54" ht="15.75" customHeight="1" x14ac:dyDescent="0.3">
      <c r="BB1024100" s="38"/>
    </row>
    <row r="1024101" spans="54:54" ht="15.75" customHeight="1" x14ac:dyDescent="0.3">
      <c r="BB1024101" s="38"/>
    </row>
    <row r="1024102" spans="54:54" ht="15.75" customHeight="1" x14ac:dyDescent="0.3">
      <c r="BB1024102" s="38"/>
    </row>
    <row r="1024103" spans="54:54" ht="15.75" customHeight="1" x14ac:dyDescent="0.3">
      <c r="BB1024103" s="38"/>
    </row>
    <row r="1024104" spans="54:54" ht="15.75" customHeight="1" x14ac:dyDescent="0.3">
      <c r="BB1024104" s="38"/>
    </row>
    <row r="1024105" spans="54:54" ht="15.75" customHeight="1" x14ac:dyDescent="0.3">
      <c r="BB1024105" s="38"/>
    </row>
    <row r="1024106" spans="54:54" ht="15.75" customHeight="1" x14ac:dyDescent="0.3">
      <c r="BB1024106" s="38"/>
    </row>
    <row r="1024107" spans="54:54" ht="15.75" customHeight="1" x14ac:dyDescent="0.3">
      <c r="BB1024107" s="38"/>
    </row>
    <row r="1024108" spans="54:54" ht="15.75" customHeight="1" x14ac:dyDescent="0.3">
      <c r="BB1024108" s="38"/>
    </row>
    <row r="1024109" spans="54:54" ht="15.75" customHeight="1" x14ac:dyDescent="0.3">
      <c r="BB1024109" s="38"/>
    </row>
    <row r="1024110" spans="54:54" ht="15.75" customHeight="1" x14ac:dyDescent="0.3">
      <c r="BB1024110" s="38"/>
    </row>
    <row r="1024111" spans="54:54" ht="15.75" customHeight="1" x14ac:dyDescent="0.3">
      <c r="BB1024111" s="38"/>
    </row>
    <row r="1024112" spans="54:54" ht="15.75" customHeight="1" x14ac:dyDescent="0.3">
      <c r="BB1024112" s="38"/>
    </row>
    <row r="1024113" spans="54:54" ht="15.75" customHeight="1" x14ac:dyDescent="0.3">
      <c r="BB1024113" s="38"/>
    </row>
    <row r="1024114" spans="54:54" ht="15.75" customHeight="1" x14ac:dyDescent="0.3">
      <c r="BB1024114" s="38"/>
    </row>
    <row r="1024115" spans="54:54" ht="15.75" customHeight="1" x14ac:dyDescent="0.3">
      <c r="BB1024115" s="38"/>
    </row>
    <row r="1024116" spans="54:54" ht="15.75" customHeight="1" x14ac:dyDescent="0.3">
      <c r="BB1024116" s="38"/>
    </row>
    <row r="1024117" spans="54:54" ht="15.75" customHeight="1" x14ac:dyDescent="0.3">
      <c r="BB1024117" s="38"/>
    </row>
    <row r="1024118" spans="54:54" ht="15.75" customHeight="1" x14ac:dyDescent="0.3">
      <c r="BB1024118" s="38"/>
    </row>
    <row r="1024119" spans="54:54" ht="15.75" customHeight="1" x14ac:dyDescent="0.3">
      <c r="BB1024119" s="38"/>
    </row>
    <row r="1024120" spans="54:54" ht="15.75" customHeight="1" x14ac:dyDescent="0.3">
      <c r="BB1024120" s="38"/>
    </row>
    <row r="1024121" spans="54:54" ht="15.75" customHeight="1" x14ac:dyDescent="0.3">
      <c r="BB1024121" s="38"/>
    </row>
    <row r="1024122" spans="54:54" ht="15.75" customHeight="1" x14ac:dyDescent="0.3">
      <c r="BB1024122" s="38"/>
    </row>
    <row r="1024123" spans="54:54" ht="15.75" customHeight="1" x14ac:dyDescent="0.3">
      <c r="BB1024123" s="38"/>
    </row>
    <row r="1024124" spans="54:54" ht="15.75" customHeight="1" x14ac:dyDescent="0.3">
      <c r="BB1024124" s="38"/>
    </row>
    <row r="1024125" spans="54:54" ht="15.75" customHeight="1" x14ac:dyDescent="0.3">
      <c r="BB1024125" s="38"/>
    </row>
    <row r="1024126" spans="54:54" ht="15.75" customHeight="1" x14ac:dyDescent="0.3">
      <c r="BB1024126" s="38"/>
    </row>
    <row r="1024127" spans="54:54" ht="15.75" customHeight="1" x14ac:dyDescent="0.3">
      <c r="BB1024127" s="38"/>
    </row>
    <row r="1024128" spans="54:54" ht="15.75" customHeight="1" x14ac:dyDescent="0.3">
      <c r="BB1024128" s="38"/>
    </row>
    <row r="1024129" spans="54:54" ht="15.75" customHeight="1" x14ac:dyDescent="0.3">
      <c r="BB1024129" s="38"/>
    </row>
    <row r="1024130" spans="54:54" ht="15.75" customHeight="1" x14ac:dyDescent="0.3">
      <c r="BB1024130" s="38"/>
    </row>
    <row r="1024131" spans="54:54" ht="15.75" customHeight="1" x14ac:dyDescent="0.3">
      <c r="BB1024131" s="38"/>
    </row>
    <row r="1024132" spans="54:54" ht="15.75" customHeight="1" x14ac:dyDescent="0.3">
      <c r="BB1024132" s="38"/>
    </row>
    <row r="1024133" spans="54:54" ht="15.75" customHeight="1" x14ac:dyDescent="0.3">
      <c r="BB1024133" s="38"/>
    </row>
    <row r="1024134" spans="54:54" ht="15.75" customHeight="1" x14ac:dyDescent="0.3">
      <c r="BB1024134" s="38"/>
    </row>
    <row r="1024135" spans="54:54" ht="15.75" customHeight="1" x14ac:dyDescent="0.3">
      <c r="BB1024135" s="38"/>
    </row>
    <row r="1024136" spans="54:54" ht="15.75" customHeight="1" x14ac:dyDescent="0.3">
      <c r="BB1024136" s="38"/>
    </row>
    <row r="1024137" spans="54:54" ht="15.75" customHeight="1" x14ac:dyDescent="0.3">
      <c r="BB1024137" s="38"/>
    </row>
    <row r="1024138" spans="54:54" ht="15.75" customHeight="1" x14ac:dyDescent="0.3">
      <c r="BB1024138" s="38"/>
    </row>
    <row r="1024139" spans="54:54" ht="15.75" customHeight="1" x14ac:dyDescent="0.3">
      <c r="BB1024139" s="38"/>
    </row>
    <row r="1024140" spans="54:54" ht="15.75" customHeight="1" x14ac:dyDescent="0.3">
      <c r="BB1024140" s="38"/>
    </row>
    <row r="1024141" spans="54:54" ht="15.75" customHeight="1" x14ac:dyDescent="0.3">
      <c r="BB1024141" s="38"/>
    </row>
    <row r="1024142" spans="54:54" ht="15.75" customHeight="1" x14ac:dyDescent="0.3">
      <c r="BB1024142" s="38"/>
    </row>
    <row r="1024143" spans="54:54" ht="15.75" customHeight="1" x14ac:dyDescent="0.3">
      <c r="BB1024143" s="38"/>
    </row>
    <row r="1024144" spans="54:54" ht="15.75" customHeight="1" x14ac:dyDescent="0.3">
      <c r="BB1024144" s="38"/>
    </row>
    <row r="1024145" spans="54:54" ht="15.75" customHeight="1" x14ac:dyDescent="0.3">
      <c r="BB1024145" s="38"/>
    </row>
    <row r="1024146" spans="54:54" ht="15.75" customHeight="1" x14ac:dyDescent="0.3">
      <c r="BB1024146" s="38"/>
    </row>
    <row r="1024147" spans="54:54" ht="15.75" customHeight="1" x14ac:dyDescent="0.3">
      <c r="BB1024147" s="38"/>
    </row>
    <row r="1024148" spans="54:54" ht="15.75" customHeight="1" x14ac:dyDescent="0.3">
      <c r="BB1024148" s="38"/>
    </row>
    <row r="1024149" spans="54:54" ht="15.75" customHeight="1" x14ac:dyDescent="0.3">
      <c r="BB1024149" s="38"/>
    </row>
    <row r="1024150" spans="54:54" ht="15.75" customHeight="1" x14ac:dyDescent="0.3">
      <c r="BB1024150" s="38"/>
    </row>
    <row r="1024151" spans="54:54" ht="15.75" customHeight="1" x14ac:dyDescent="0.3">
      <c r="BB1024151" s="38"/>
    </row>
    <row r="1024152" spans="54:54" ht="15.75" customHeight="1" x14ac:dyDescent="0.3">
      <c r="BB1024152" s="38"/>
    </row>
    <row r="1024153" spans="54:54" ht="15.75" customHeight="1" x14ac:dyDescent="0.3">
      <c r="BB1024153" s="38"/>
    </row>
    <row r="1024154" spans="54:54" ht="15.75" customHeight="1" x14ac:dyDescent="0.3">
      <c r="BB1024154" s="38"/>
    </row>
    <row r="1024155" spans="54:54" ht="15.75" customHeight="1" x14ac:dyDescent="0.3">
      <c r="BB1024155" s="38"/>
    </row>
    <row r="1024156" spans="54:54" ht="15.75" customHeight="1" x14ac:dyDescent="0.3">
      <c r="BB1024156" s="38"/>
    </row>
    <row r="1024157" spans="54:54" ht="15.75" customHeight="1" x14ac:dyDescent="0.3">
      <c r="BB1024157" s="38"/>
    </row>
    <row r="1024158" spans="54:54" ht="15.75" customHeight="1" x14ac:dyDescent="0.3">
      <c r="BB1024158" s="38"/>
    </row>
    <row r="1024159" spans="54:54" ht="15.75" customHeight="1" x14ac:dyDescent="0.3">
      <c r="BB1024159" s="38"/>
    </row>
    <row r="1024160" spans="54:54" ht="15.75" customHeight="1" x14ac:dyDescent="0.3">
      <c r="BB1024160" s="38"/>
    </row>
    <row r="1024161" spans="54:54" ht="15.75" customHeight="1" x14ac:dyDescent="0.3">
      <c r="BB1024161" s="38"/>
    </row>
    <row r="1024162" spans="54:54" ht="15.75" customHeight="1" x14ac:dyDescent="0.3">
      <c r="BB1024162" s="38"/>
    </row>
    <row r="1024163" spans="54:54" ht="15.75" customHeight="1" x14ac:dyDescent="0.3">
      <c r="BB1024163" s="38"/>
    </row>
    <row r="1024164" spans="54:54" ht="15.75" customHeight="1" x14ac:dyDescent="0.3">
      <c r="BB1024164" s="38"/>
    </row>
    <row r="1024165" spans="54:54" ht="15.75" customHeight="1" x14ac:dyDescent="0.3">
      <c r="BB1024165" s="38"/>
    </row>
    <row r="1024166" spans="54:54" ht="15.75" customHeight="1" x14ac:dyDescent="0.3">
      <c r="BB1024166" s="38"/>
    </row>
    <row r="1024167" spans="54:54" ht="15.75" customHeight="1" x14ac:dyDescent="0.3">
      <c r="BB1024167" s="38"/>
    </row>
    <row r="1024168" spans="54:54" ht="15.75" customHeight="1" x14ac:dyDescent="0.3">
      <c r="BB1024168" s="38"/>
    </row>
    <row r="1024169" spans="54:54" ht="15.75" customHeight="1" x14ac:dyDescent="0.3">
      <c r="BB1024169" s="38"/>
    </row>
    <row r="1024170" spans="54:54" ht="15.75" customHeight="1" x14ac:dyDescent="0.3">
      <c r="BB1024170" s="38"/>
    </row>
    <row r="1024171" spans="54:54" ht="15.75" customHeight="1" x14ac:dyDescent="0.3">
      <c r="BB1024171" s="38"/>
    </row>
    <row r="1024172" spans="54:54" ht="15.75" customHeight="1" x14ac:dyDescent="0.3">
      <c r="BB1024172" s="38"/>
    </row>
    <row r="1024173" spans="54:54" ht="15.75" customHeight="1" x14ac:dyDescent="0.3">
      <c r="BB1024173" s="38"/>
    </row>
    <row r="1024174" spans="54:54" ht="15.75" customHeight="1" x14ac:dyDescent="0.3">
      <c r="BB1024174" s="38"/>
    </row>
    <row r="1024175" spans="54:54" ht="15.75" customHeight="1" x14ac:dyDescent="0.3">
      <c r="BB1024175" s="38"/>
    </row>
    <row r="1024176" spans="54:54" ht="15.75" customHeight="1" x14ac:dyDescent="0.3">
      <c r="BB1024176" s="38"/>
    </row>
    <row r="1024177" spans="54:54" ht="15.75" customHeight="1" x14ac:dyDescent="0.3">
      <c r="BB1024177" s="38"/>
    </row>
    <row r="1024178" spans="54:54" ht="15.75" customHeight="1" x14ac:dyDescent="0.3">
      <c r="BB1024178" s="38"/>
    </row>
    <row r="1024179" spans="54:54" ht="15.75" customHeight="1" x14ac:dyDescent="0.3">
      <c r="BB1024179" s="38"/>
    </row>
    <row r="1024180" spans="54:54" ht="15.75" customHeight="1" x14ac:dyDescent="0.3">
      <c r="BB1024180" s="38"/>
    </row>
    <row r="1024181" spans="54:54" ht="15.75" customHeight="1" x14ac:dyDescent="0.3">
      <c r="BB1024181" s="38"/>
    </row>
    <row r="1024182" spans="54:54" ht="15.75" customHeight="1" x14ac:dyDescent="0.3">
      <c r="BB1024182" s="38"/>
    </row>
    <row r="1024183" spans="54:54" ht="15.75" customHeight="1" x14ac:dyDescent="0.3">
      <c r="BB1024183" s="38"/>
    </row>
    <row r="1024184" spans="54:54" ht="15.75" customHeight="1" x14ac:dyDescent="0.3">
      <c r="BB1024184" s="38"/>
    </row>
    <row r="1024185" spans="54:54" ht="15.75" customHeight="1" x14ac:dyDescent="0.3">
      <c r="BB1024185" s="38"/>
    </row>
    <row r="1024186" spans="54:54" ht="15.75" customHeight="1" x14ac:dyDescent="0.3">
      <c r="BB1024186" s="38"/>
    </row>
    <row r="1024187" spans="54:54" ht="15.75" customHeight="1" x14ac:dyDescent="0.3">
      <c r="BB1024187" s="38"/>
    </row>
    <row r="1024188" spans="54:54" ht="15.75" customHeight="1" x14ac:dyDescent="0.3">
      <c r="BB1024188" s="38"/>
    </row>
    <row r="1024189" spans="54:54" ht="15.75" customHeight="1" x14ac:dyDescent="0.3">
      <c r="BB1024189" s="38"/>
    </row>
    <row r="1024190" spans="54:54" ht="15.75" customHeight="1" x14ac:dyDescent="0.3">
      <c r="BB1024190" s="38"/>
    </row>
    <row r="1024191" spans="54:54" ht="15.75" customHeight="1" x14ac:dyDescent="0.3">
      <c r="BB1024191" s="38"/>
    </row>
    <row r="1024192" spans="54:54" ht="15.75" customHeight="1" x14ac:dyDescent="0.3">
      <c r="BB1024192" s="38"/>
    </row>
    <row r="1024193" spans="54:54" ht="15.75" customHeight="1" x14ac:dyDescent="0.3">
      <c r="BB1024193" s="38"/>
    </row>
    <row r="1024194" spans="54:54" ht="15.75" customHeight="1" x14ac:dyDescent="0.3">
      <c r="BB1024194" s="38"/>
    </row>
    <row r="1024195" spans="54:54" ht="15.75" customHeight="1" x14ac:dyDescent="0.3">
      <c r="BB1024195" s="38"/>
    </row>
    <row r="1024196" spans="54:54" ht="15.75" customHeight="1" x14ac:dyDescent="0.3">
      <c r="BB1024196" s="38"/>
    </row>
    <row r="1024197" spans="54:54" ht="15.75" customHeight="1" x14ac:dyDescent="0.3">
      <c r="BB1024197" s="38"/>
    </row>
    <row r="1024198" spans="54:54" ht="15.75" customHeight="1" x14ac:dyDescent="0.3">
      <c r="BB1024198" s="38"/>
    </row>
    <row r="1024199" spans="54:54" ht="15.75" customHeight="1" x14ac:dyDescent="0.3">
      <c r="BB1024199" s="38"/>
    </row>
    <row r="1024200" spans="54:54" ht="15.75" customHeight="1" x14ac:dyDescent="0.3">
      <c r="BB1024200" s="38"/>
    </row>
    <row r="1024201" spans="54:54" ht="15.75" customHeight="1" x14ac:dyDescent="0.3">
      <c r="BB1024201" s="38"/>
    </row>
    <row r="1024202" spans="54:54" ht="15.75" customHeight="1" x14ac:dyDescent="0.3">
      <c r="BB1024202" s="38"/>
    </row>
    <row r="1024203" spans="54:54" ht="15.75" customHeight="1" x14ac:dyDescent="0.3">
      <c r="BB1024203" s="38"/>
    </row>
    <row r="1024204" spans="54:54" ht="15.75" customHeight="1" x14ac:dyDescent="0.3">
      <c r="BB1024204" s="38"/>
    </row>
    <row r="1024205" spans="54:54" ht="15.75" customHeight="1" x14ac:dyDescent="0.3">
      <c r="BB1024205" s="38"/>
    </row>
    <row r="1024206" spans="54:54" ht="15.75" customHeight="1" x14ac:dyDescent="0.3">
      <c r="BB1024206" s="38"/>
    </row>
    <row r="1024207" spans="54:54" ht="15.75" customHeight="1" x14ac:dyDescent="0.3">
      <c r="BB1024207" s="38"/>
    </row>
    <row r="1024208" spans="54:54" ht="15.75" customHeight="1" x14ac:dyDescent="0.3">
      <c r="BB1024208" s="38"/>
    </row>
    <row r="1024209" spans="54:54" ht="15.75" customHeight="1" x14ac:dyDescent="0.3">
      <c r="BB1024209" s="38"/>
    </row>
    <row r="1024210" spans="54:54" ht="15.75" customHeight="1" x14ac:dyDescent="0.3">
      <c r="BB1024210" s="38"/>
    </row>
    <row r="1024211" spans="54:54" ht="15.75" customHeight="1" x14ac:dyDescent="0.3">
      <c r="BB1024211" s="38"/>
    </row>
    <row r="1024212" spans="54:54" ht="15.75" customHeight="1" x14ac:dyDescent="0.3">
      <c r="BB1024212" s="38"/>
    </row>
    <row r="1024213" spans="54:54" ht="15.75" customHeight="1" x14ac:dyDescent="0.3">
      <c r="BB1024213" s="38"/>
    </row>
    <row r="1024214" spans="54:54" ht="15.75" customHeight="1" x14ac:dyDescent="0.3">
      <c r="BB1024214" s="38"/>
    </row>
    <row r="1024215" spans="54:54" ht="15.75" customHeight="1" x14ac:dyDescent="0.3">
      <c r="BB1024215" s="38"/>
    </row>
    <row r="1024216" spans="54:54" ht="15.75" customHeight="1" x14ac:dyDescent="0.3">
      <c r="BB1024216" s="38"/>
    </row>
    <row r="1024217" spans="54:54" ht="15.75" customHeight="1" x14ac:dyDescent="0.3">
      <c r="BB1024217" s="38"/>
    </row>
    <row r="1024218" spans="54:54" ht="15.75" customHeight="1" x14ac:dyDescent="0.3">
      <c r="BB1024218" s="38"/>
    </row>
    <row r="1024219" spans="54:54" ht="15.75" customHeight="1" x14ac:dyDescent="0.3">
      <c r="BB1024219" s="38"/>
    </row>
    <row r="1024220" spans="54:54" ht="15.75" customHeight="1" x14ac:dyDescent="0.3">
      <c r="BB1024220" s="38"/>
    </row>
    <row r="1024221" spans="54:54" ht="15.75" customHeight="1" x14ac:dyDescent="0.3">
      <c r="BB1024221" s="38"/>
    </row>
    <row r="1024222" spans="54:54" ht="15.75" customHeight="1" x14ac:dyDescent="0.3">
      <c r="BB1024222" s="38"/>
    </row>
    <row r="1024223" spans="54:54" ht="15.75" customHeight="1" x14ac:dyDescent="0.3">
      <c r="BB1024223" s="38"/>
    </row>
    <row r="1024224" spans="54:54" ht="15.75" customHeight="1" x14ac:dyDescent="0.3">
      <c r="BB1024224" s="38"/>
    </row>
    <row r="1024225" spans="54:54" ht="15.75" customHeight="1" x14ac:dyDescent="0.3">
      <c r="BB1024225" s="38"/>
    </row>
    <row r="1024226" spans="54:54" ht="15.75" customHeight="1" x14ac:dyDescent="0.3">
      <c r="BB1024226" s="38"/>
    </row>
    <row r="1024227" spans="54:54" ht="15.75" customHeight="1" x14ac:dyDescent="0.3">
      <c r="BB1024227" s="38"/>
    </row>
    <row r="1024228" spans="54:54" ht="15.75" customHeight="1" x14ac:dyDescent="0.3">
      <c r="BB1024228" s="38"/>
    </row>
    <row r="1024229" spans="54:54" ht="15.75" customHeight="1" x14ac:dyDescent="0.3">
      <c r="BB1024229" s="38"/>
    </row>
    <row r="1024230" spans="54:54" ht="15.75" customHeight="1" x14ac:dyDescent="0.3">
      <c r="BB1024230" s="38"/>
    </row>
    <row r="1024231" spans="54:54" ht="15.75" customHeight="1" x14ac:dyDescent="0.3">
      <c r="BB1024231" s="38"/>
    </row>
    <row r="1024232" spans="54:54" ht="15.75" customHeight="1" x14ac:dyDescent="0.3">
      <c r="BB1024232" s="38"/>
    </row>
    <row r="1024233" spans="54:54" ht="15.75" customHeight="1" x14ac:dyDescent="0.3">
      <c r="BB1024233" s="38"/>
    </row>
    <row r="1024234" spans="54:54" ht="15.75" customHeight="1" x14ac:dyDescent="0.3">
      <c r="BB1024234" s="38"/>
    </row>
    <row r="1024235" spans="54:54" ht="15.75" customHeight="1" x14ac:dyDescent="0.3">
      <c r="BB1024235" s="38"/>
    </row>
    <row r="1024236" spans="54:54" ht="15.75" customHeight="1" x14ac:dyDescent="0.3">
      <c r="BB1024236" s="38"/>
    </row>
    <row r="1024237" spans="54:54" ht="15.75" customHeight="1" x14ac:dyDescent="0.3">
      <c r="BB1024237" s="38"/>
    </row>
    <row r="1024238" spans="54:54" ht="15.75" customHeight="1" x14ac:dyDescent="0.3">
      <c r="BB1024238" s="38"/>
    </row>
    <row r="1024239" spans="54:54" ht="15.75" customHeight="1" x14ac:dyDescent="0.3">
      <c r="BB1024239" s="38"/>
    </row>
    <row r="1024240" spans="54:54" ht="15.75" customHeight="1" x14ac:dyDescent="0.3">
      <c r="BB1024240" s="38"/>
    </row>
    <row r="1024241" spans="54:54" ht="15.75" customHeight="1" x14ac:dyDescent="0.3">
      <c r="BB1024241" s="38"/>
    </row>
    <row r="1024242" spans="54:54" ht="15.75" customHeight="1" x14ac:dyDescent="0.3">
      <c r="BB1024242" s="38"/>
    </row>
    <row r="1024243" spans="54:54" ht="15.75" customHeight="1" x14ac:dyDescent="0.3">
      <c r="BB1024243" s="38"/>
    </row>
    <row r="1024244" spans="54:54" ht="15.75" customHeight="1" x14ac:dyDescent="0.3">
      <c r="BB1024244" s="38"/>
    </row>
    <row r="1024245" spans="54:54" ht="15.75" customHeight="1" x14ac:dyDescent="0.3">
      <c r="BB1024245" s="38"/>
    </row>
    <row r="1024246" spans="54:54" ht="15.75" customHeight="1" x14ac:dyDescent="0.3">
      <c r="BB1024246" s="38"/>
    </row>
    <row r="1024247" spans="54:54" ht="15.75" customHeight="1" x14ac:dyDescent="0.3">
      <c r="BB1024247" s="38"/>
    </row>
    <row r="1024248" spans="54:54" ht="15.75" customHeight="1" x14ac:dyDescent="0.3">
      <c r="BB1024248" s="38"/>
    </row>
    <row r="1024249" spans="54:54" ht="15.75" customHeight="1" x14ac:dyDescent="0.3">
      <c r="BB1024249" s="38"/>
    </row>
    <row r="1024250" spans="54:54" ht="15.75" customHeight="1" x14ac:dyDescent="0.3">
      <c r="BB1024250" s="38"/>
    </row>
    <row r="1024251" spans="54:54" ht="15.75" customHeight="1" x14ac:dyDescent="0.3">
      <c r="BB1024251" s="38"/>
    </row>
    <row r="1024252" spans="54:54" ht="15.75" customHeight="1" x14ac:dyDescent="0.3">
      <c r="BB1024252" s="38"/>
    </row>
    <row r="1024253" spans="54:54" ht="15.75" customHeight="1" x14ac:dyDescent="0.3">
      <c r="BB1024253" s="38"/>
    </row>
    <row r="1024254" spans="54:54" ht="15.75" customHeight="1" x14ac:dyDescent="0.3">
      <c r="BB1024254" s="38"/>
    </row>
    <row r="1024255" spans="54:54" ht="15.75" customHeight="1" x14ac:dyDescent="0.3">
      <c r="BB1024255" s="38"/>
    </row>
    <row r="1024256" spans="54:54" ht="15.75" customHeight="1" x14ac:dyDescent="0.3">
      <c r="BB1024256" s="38"/>
    </row>
    <row r="1024257" spans="54:54" ht="15.75" customHeight="1" x14ac:dyDescent="0.3">
      <c r="BB1024257" s="38"/>
    </row>
    <row r="1024258" spans="54:54" ht="15.75" customHeight="1" x14ac:dyDescent="0.3">
      <c r="BB1024258" s="38"/>
    </row>
    <row r="1024259" spans="54:54" ht="15.75" customHeight="1" x14ac:dyDescent="0.3">
      <c r="BB1024259" s="38"/>
    </row>
    <row r="1024260" spans="54:54" ht="15.75" customHeight="1" x14ac:dyDescent="0.3">
      <c r="BB1024260" s="38"/>
    </row>
    <row r="1024261" spans="54:54" ht="15.75" customHeight="1" x14ac:dyDescent="0.3">
      <c r="BB1024261" s="38"/>
    </row>
    <row r="1024262" spans="54:54" ht="15.75" customHeight="1" x14ac:dyDescent="0.3">
      <c r="BB1024262" s="38"/>
    </row>
    <row r="1024263" spans="54:54" ht="15.75" customHeight="1" x14ac:dyDescent="0.3">
      <c r="BB1024263" s="38"/>
    </row>
    <row r="1024264" spans="54:54" ht="15.75" customHeight="1" x14ac:dyDescent="0.3">
      <c r="BB1024264" s="38"/>
    </row>
    <row r="1024265" spans="54:54" ht="15.75" customHeight="1" x14ac:dyDescent="0.3">
      <c r="BB1024265" s="38"/>
    </row>
    <row r="1024266" spans="54:54" ht="15.75" customHeight="1" x14ac:dyDescent="0.3">
      <c r="BB1024266" s="38"/>
    </row>
    <row r="1024267" spans="54:54" ht="15.75" customHeight="1" x14ac:dyDescent="0.3">
      <c r="BB1024267" s="38"/>
    </row>
    <row r="1024268" spans="54:54" ht="15.75" customHeight="1" x14ac:dyDescent="0.3">
      <c r="BB1024268" s="38"/>
    </row>
    <row r="1024269" spans="54:54" ht="15.75" customHeight="1" x14ac:dyDescent="0.3">
      <c r="BB1024269" s="38"/>
    </row>
    <row r="1024270" spans="54:54" ht="15.75" customHeight="1" x14ac:dyDescent="0.3">
      <c r="BB1024270" s="38"/>
    </row>
    <row r="1024271" spans="54:54" ht="15.75" customHeight="1" x14ac:dyDescent="0.3">
      <c r="BB1024271" s="38"/>
    </row>
    <row r="1024272" spans="54:54" ht="15.75" customHeight="1" x14ac:dyDescent="0.3">
      <c r="BB1024272" s="38"/>
    </row>
    <row r="1024273" spans="54:54" ht="15.75" customHeight="1" x14ac:dyDescent="0.3">
      <c r="BB1024273" s="38"/>
    </row>
    <row r="1024274" spans="54:54" ht="15.75" customHeight="1" x14ac:dyDescent="0.3">
      <c r="BB1024274" s="38"/>
    </row>
    <row r="1024275" spans="54:54" ht="15.75" customHeight="1" x14ac:dyDescent="0.3">
      <c r="BB1024275" s="38"/>
    </row>
    <row r="1024276" spans="54:54" ht="15.75" customHeight="1" x14ac:dyDescent="0.3">
      <c r="BB1024276" s="38"/>
    </row>
    <row r="1024277" spans="54:54" ht="15.75" customHeight="1" x14ac:dyDescent="0.3">
      <c r="BB1024277" s="38"/>
    </row>
    <row r="1024278" spans="54:54" ht="15.75" customHeight="1" x14ac:dyDescent="0.3">
      <c r="BB1024278" s="38"/>
    </row>
    <row r="1024279" spans="54:54" ht="15.75" customHeight="1" x14ac:dyDescent="0.3">
      <c r="BB1024279" s="38"/>
    </row>
    <row r="1024280" spans="54:54" ht="15.75" customHeight="1" x14ac:dyDescent="0.3">
      <c r="BB1024280" s="38"/>
    </row>
    <row r="1024281" spans="54:54" ht="15.75" customHeight="1" x14ac:dyDescent="0.3">
      <c r="BB1024281" s="38"/>
    </row>
    <row r="1024282" spans="54:54" ht="15.75" customHeight="1" x14ac:dyDescent="0.3">
      <c r="BB1024282" s="38"/>
    </row>
    <row r="1024283" spans="54:54" ht="15.75" customHeight="1" x14ac:dyDescent="0.3">
      <c r="BB1024283" s="38"/>
    </row>
    <row r="1024284" spans="54:54" ht="15.75" customHeight="1" x14ac:dyDescent="0.3">
      <c r="BB1024284" s="38"/>
    </row>
    <row r="1024285" spans="54:54" ht="15.75" customHeight="1" x14ac:dyDescent="0.3">
      <c r="BB1024285" s="38"/>
    </row>
    <row r="1024286" spans="54:54" ht="15.75" customHeight="1" x14ac:dyDescent="0.3">
      <c r="BB1024286" s="38"/>
    </row>
    <row r="1024287" spans="54:54" ht="15.75" customHeight="1" x14ac:dyDescent="0.3">
      <c r="BB1024287" s="38"/>
    </row>
    <row r="1024288" spans="54:54" ht="15.75" customHeight="1" x14ac:dyDescent="0.3">
      <c r="BB1024288" s="38"/>
    </row>
    <row r="1024289" spans="54:54" ht="15.75" customHeight="1" x14ac:dyDescent="0.3">
      <c r="BB1024289" s="38"/>
    </row>
    <row r="1024290" spans="54:54" ht="15.75" customHeight="1" x14ac:dyDescent="0.3">
      <c r="BB1024290" s="38"/>
    </row>
    <row r="1024291" spans="54:54" ht="15.75" customHeight="1" x14ac:dyDescent="0.3">
      <c r="BB1024291" s="38"/>
    </row>
    <row r="1024292" spans="54:54" ht="15.75" customHeight="1" x14ac:dyDescent="0.3">
      <c r="BB1024292" s="38"/>
    </row>
    <row r="1024293" spans="54:54" ht="15.75" customHeight="1" x14ac:dyDescent="0.3">
      <c r="BB1024293" s="38"/>
    </row>
    <row r="1024294" spans="54:54" ht="15.75" customHeight="1" x14ac:dyDescent="0.3">
      <c r="BB1024294" s="38"/>
    </row>
    <row r="1024295" spans="54:54" ht="15.75" customHeight="1" x14ac:dyDescent="0.3">
      <c r="BB1024295" s="38"/>
    </row>
    <row r="1024296" spans="54:54" ht="15.75" customHeight="1" x14ac:dyDescent="0.3">
      <c r="BB1024296" s="38"/>
    </row>
    <row r="1024297" spans="54:54" ht="15.75" customHeight="1" x14ac:dyDescent="0.3">
      <c r="BB1024297" s="38"/>
    </row>
    <row r="1024298" spans="54:54" ht="15.75" customHeight="1" x14ac:dyDescent="0.3">
      <c r="BB1024298" s="38"/>
    </row>
    <row r="1024299" spans="54:54" ht="15.75" customHeight="1" x14ac:dyDescent="0.3">
      <c r="BB1024299" s="38"/>
    </row>
    <row r="1024300" spans="54:54" ht="15.75" customHeight="1" x14ac:dyDescent="0.3">
      <c r="BB1024300" s="38"/>
    </row>
    <row r="1024301" spans="54:54" ht="15.75" customHeight="1" x14ac:dyDescent="0.3">
      <c r="BB1024301" s="38"/>
    </row>
    <row r="1024302" spans="54:54" ht="15.75" customHeight="1" x14ac:dyDescent="0.3">
      <c r="BB1024302" s="38"/>
    </row>
    <row r="1024303" spans="54:54" ht="15.75" customHeight="1" x14ac:dyDescent="0.3">
      <c r="BB1024303" s="38"/>
    </row>
    <row r="1024304" spans="54:54" ht="15.75" customHeight="1" x14ac:dyDescent="0.3">
      <c r="BB1024304" s="38"/>
    </row>
    <row r="1024305" spans="54:54" ht="15.75" customHeight="1" x14ac:dyDescent="0.3">
      <c r="BB1024305" s="38"/>
    </row>
    <row r="1024306" spans="54:54" ht="15.75" customHeight="1" x14ac:dyDescent="0.3">
      <c r="BB1024306" s="38"/>
    </row>
    <row r="1024307" spans="54:54" ht="15.75" customHeight="1" x14ac:dyDescent="0.3">
      <c r="BB1024307" s="38"/>
    </row>
    <row r="1024308" spans="54:54" ht="15.75" customHeight="1" x14ac:dyDescent="0.3">
      <c r="BB1024308" s="38"/>
    </row>
    <row r="1024309" spans="54:54" ht="15.75" customHeight="1" x14ac:dyDescent="0.3">
      <c r="BB1024309" s="38"/>
    </row>
    <row r="1024310" spans="54:54" ht="15.75" customHeight="1" x14ac:dyDescent="0.3">
      <c r="BB1024310" s="38"/>
    </row>
    <row r="1024311" spans="54:54" ht="15.75" customHeight="1" x14ac:dyDescent="0.3">
      <c r="BB1024311" s="38"/>
    </row>
    <row r="1024312" spans="54:54" ht="15.75" customHeight="1" x14ac:dyDescent="0.3">
      <c r="BB1024312" s="38"/>
    </row>
    <row r="1024313" spans="54:54" ht="15.75" customHeight="1" x14ac:dyDescent="0.3">
      <c r="BB1024313" s="38"/>
    </row>
    <row r="1024314" spans="54:54" ht="15.75" customHeight="1" x14ac:dyDescent="0.3">
      <c r="BB1024314" s="38"/>
    </row>
    <row r="1024315" spans="54:54" ht="15.75" customHeight="1" x14ac:dyDescent="0.3">
      <c r="BB1024315" s="38"/>
    </row>
    <row r="1024316" spans="54:54" ht="15.75" customHeight="1" x14ac:dyDescent="0.3">
      <c r="BB1024316" s="38"/>
    </row>
    <row r="1024317" spans="54:54" ht="15.75" customHeight="1" x14ac:dyDescent="0.3">
      <c r="BB1024317" s="38"/>
    </row>
    <row r="1024318" spans="54:54" ht="15.75" customHeight="1" x14ac:dyDescent="0.3">
      <c r="BB1024318" s="38"/>
    </row>
    <row r="1024319" spans="54:54" ht="15.75" customHeight="1" x14ac:dyDescent="0.3">
      <c r="BB1024319" s="38"/>
    </row>
    <row r="1024320" spans="54:54" ht="15.75" customHeight="1" x14ac:dyDescent="0.3">
      <c r="BB1024320" s="38"/>
    </row>
    <row r="1024321" spans="54:54" ht="15.75" customHeight="1" x14ac:dyDescent="0.3">
      <c r="BB1024321" s="38"/>
    </row>
    <row r="1024322" spans="54:54" ht="15.75" customHeight="1" x14ac:dyDescent="0.3">
      <c r="BB1024322" s="38"/>
    </row>
    <row r="1024323" spans="54:54" ht="15.75" customHeight="1" x14ac:dyDescent="0.3">
      <c r="BB1024323" s="38"/>
    </row>
    <row r="1024324" spans="54:54" ht="15.75" customHeight="1" x14ac:dyDescent="0.3">
      <c r="BB1024324" s="38"/>
    </row>
    <row r="1024325" spans="54:54" ht="15.75" customHeight="1" x14ac:dyDescent="0.3">
      <c r="BB1024325" s="38"/>
    </row>
    <row r="1024326" spans="54:54" ht="15.75" customHeight="1" x14ac:dyDescent="0.3">
      <c r="BB1024326" s="38"/>
    </row>
    <row r="1024327" spans="54:54" ht="15.75" customHeight="1" x14ac:dyDescent="0.3">
      <c r="BB1024327" s="38"/>
    </row>
    <row r="1024328" spans="54:54" ht="15.75" customHeight="1" x14ac:dyDescent="0.3">
      <c r="BB1024328" s="38"/>
    </row>
    <row r="1024329" spans="54:54" ht="15.75" customHeight="1" x14ac:dyDescent="0.3">
      <c r="BB1024329" s="38"/>
    </row>
    <row r="1024330" spans="54:54" ht="15.75" customHeight="1" x14ac:dyDescent="0.3">
      <c r="BB1024330" s="38"/>
    </row>
    <row r="1024331" spans="54:54" ht="15.75" customHeight="1" x14ac:dyDescent="0.3">
      <c r="BB1024331" s="38"/>
    </row>
    <row r="1024332" spans="54:54" ht="15.75" customHeight="1" x14ac:dyDescent="0.3">
      <c r="BB1024332" s="38"/>
    </row>
    <row r="1024333" spans="54:54" ht="15.75" customHeight="1" x14ac:dyDescent="0.3">
      <c r="BB1024333" s="38"/>
    </row>
    <row r="1024334" spans="54:54" ht="15.75" customHeight="1" x14ac:dyDescent="0.3">
      <c r="BB1024334" s="38"/>
    </row>
    <row r="1024335" spans="54:54" ht="15.75" customHeight="1" x14ac:dyDescent="0.3">
      <c r="BB1024335" s="38"/>
    </row>
    <row r="1024336" spans="54:54" ht="15.75" customHeight="1" x14ac:dyDescent="0.3">
      <c r="BB1024336" s="38"/>
    </row>
    <row r="1024337" spans="54:54" ht="15.75" customHeight="1" x14ac:dyDescent="0.3">
      <c r="BB1024337" s="38"/>
    </row>
    <row r="1024338" spans="54:54" ht="15.75" customHeight="1" x14ac:dyDescent="0.3">
      <c r="BB1024338" s="38"/>
    </row>
    <row r="1024339" spans="54:54" ht="15.75" customHeight="1" x14ac:dyDescent="0.3">
      <c r="BB1024339" s="38"/>
    </row>
    <row r="1024340" spans="54:54" ht="15.75" customHeight="1" x14ac:dyDescent="0.3">
      <c r="BB1024340" s="38"/>
    </row>
    <row r="1024341" spans="54:54" ht="15.75" customHeight="1" x14ac:dyDescent="0.3">
      <c r="BB1024341" s="38"/>
    </row>
    <row r="1024342" spans="54:54" ht="15.75" customHeight="1" x14ac:dyDescent="0.3">
      <c r="BB1024342" s="38"/>
    </row>
    <row r="1024343" spans="54:54" ht="15.75" customHeight="1" x14ac:dyDescent="0.3">
      <c r="BB1024343" s="38"/>
    </row>
    <row r="1024344" spans="54:54" ht="15.75" customHeight="1" x14ac:dyDescent="0.3">
      <c r="BB1024344" s="38"/>
    </row>
    <row r="1024345" spans="54:54" ht="15.75" customHeight="1" x14ac:dyDescent="0.3">
      <c r="BB1024345" s="38"/>
    </row>
    <row r="1024346" spans="54:54" ht="15.75" customHeight="1" x14ac:dyDescent="0.3">
      <c r="BB1024346" s="38"/>
    </row>
    <row r="1024347" spans="54:54" ht="15.75" customHeight="1" x14ac:dyDescent="0.3">
      <c r="BB1024347" s="38"/>
    </row>
    <row r="1024348" spans="54:54" ht="15.75" customHeight="1" x14ac:dyDescent="0.3">
      <c r="BB1024348" s="38"/>
    </row>
    <row r="1024349" spans="54:54" ht="15.75" customHeight="1" x14ac:dyDescent="0.3">
      <c r="BB1024349" s="38"/>
    </row>
    <row r="1024350" spans="54:54" ht="15.75" customHeight="1" x14ac:dyDescent="0.3">
      <c r="BB1024350" s="38"/>
    </row>
    <row r="1024351" spans="54:54" ht="15.75" customHeight="1" x14ac:dyDescent="0.3">
      <c r="BB1024351" s="38"/>
    </row>
    <row r="1024352" spans="54:54" ht="15.75" customHeight="1" x14ac:dyDescent="0.3">
      <c r="BB1024352" s="38"/>
    </row>
    <row r="1024353" spans="54:54" ht="15.75" customHeight="1" x14ac:dyDescent="0.3">
      <c r="BB1024353" s="38"/>
    </row>
    <row r="1024354" spans="54:54" ht="15.75" customHeight="1" x14ac:dyDescent="0.3">
      <c r="BB1024354" s="38"/>
    </row>
    <row r="1024355" spans="54:54" ht="15.75" customHeight="1" x14ac:dyDescent="0.3">
      <c r="BB1024355" s="38"/>
    </row>
    <row r="1024356" spans="54:54" ht="15.75" customHeight="1" x14ac:dyDescent="0.3">
      <c r="BB1024356" s="38"/>
    </row>
    <row r="1024357" spans="54:54" ht="15.75" customHeight="1" x14ac:dyDescent="0.3">
      <c r="BB1024357" s="38"/>
    </row>
    <row r="1024358" spans="54:54" ht="15.75" customHeight="1" x14ac:dyDescent="0.3">
      <c r="BB1024358" s="38"/>
    </row>
    <row r="1024359" spans="54:54" ht="15.75" customHeight="1" x14ac:dyDescent="0.3">
      <c r="BB1024359" s="38"/>
    </row>
    <row r="1024360" spans="54:54" ht="15.75" customHeight="1" x14ac:dyDescent="0.3">
      <c r="BB1024360" s="38"/>
    </row>
    <row r="1024361" spans="54:54" ht="15.75" customHeight="1" x14ac:dyDescent="0.3">
      <c r="BB1024361" s="38"/>
    </row>
    <row r="1024362" spans="54:54" ht="15.75" customHeight="1" x14ac:dyDescent="0.3">
      <c r="BB1024362" s="38"/>
    </row>
    <row r="1024363" spans="54:54" ht="15.75" customHeight="1" x14ac:dyDescent="0.3">
      <c r="BB1024363" s="38"/>
    </row>
    <row r="1024364" spans="54:54" ht="15.75" customHeight="1" x14ac:dyDescent="0.3">
      <c r="BB1024364" s="38"/>
    </row>
    <row r="1024365" spans="54:54" ht="15.75" customHeight="1" x14ac:dyDescent="0.3">
      <c r="BB1024365" s="38"/>
    </row>
    <row r="1024366" spans="54:54" ht="15.75" customHeight="1" x14ac:dyDescent="0.3">
      <c r="BB1024366" s="38"/>
    </row>
    <row r="1024367" spans="54:54" ht="15.75" customHeight="1" x14ac:dyDescent="0.3">
      <c r="BB1024367" s="38"/>
    </row>
    <row r="1024368" spans="54:54" ht="15.75" customHeight="1" x14ac:dyDescent="0.3">
      <c r="BB1024368" s="38"/>
    </row>
    <row r="1024369" spans="54:54" ht="15.75" customHeight="1" x14ac:dyDescent="0.3">
      <c r="BB1024369" s="38"/>
    </row>
    <row r="1024370" spans="54:54" ht="15.75" customHeight="1" x14ac:dyDescent="0.3">
      <c r="BB1024370" s="38"/>
    </row>
    <row r="1024371" spans="54:54" ht="15.75" customHeight="1" x14ac:dyDescent="0.3">
      <c r="BB1024371" s="38"/>
    </row>
    <row r="1024372" spans="54:54" ht="15.75" customHeight="1" x14ac:dyDescent="0.3">
      <c r="BB1024372" s="38"/>
    </row>
    <row r="1024373" spans="54:54" ht="15.75" customHeight="1" x14ac:dyDescent="0.3">
      <c r="BB1024373" s="38"/>
    </row>
    <row r="1024374" spans="54:54" ht="15.75" customHeight="1" x14ac:dyDescent="0.3">
      <c r="BB1024374" s="38"/>
    </row>
    <row r="1024375" spans="54:54" ht="15.75" customHeight="1" x14ac:dyDescent="0.3">
      <c r="BB1024375" s="38"/>
    </row>
    <row r="1024376" spans="54:54" ht="15.75" customHeight="1" x14ac:dyDescent="0.3">
      <c r="BB1024376" s="38"/>
    </row>
    <row r="1024377" spans="54:54" ht="15.75" customHeight="1" x14ac:dyDescent="0.3">
      <c r="BB1024377" s="38"/>
    </row>
    <row r="1024378" spans="54:54" ht="15.75" customHeight="1" x14ac:dyDescent="0.3">
      <c r="BB1024378" s="38"/>
    </row>
    <row r="1024379" spans="54:54" ht="15.75" customHeight="1" x14ac:dyDescent="0.3">
      <c r="BB1024379" s="38"/>
    </row>
    <row r="1024380" spans="54:54" ht="15.75" customHeight="1" x14ac:dyDescent="0.3">
      <c r="BB1024380" s="38"/>
    </row>
    <row r="1024381" spans="54:54" ht="15.75" customHeight="1" x14ac:dyDescent="0.3">
      <c r="BB1024381" s="38"/>
    </row>
    <row r="1024382" spans="54:54" ht="15.75" customHeight="1" x14ac:dyDescent="0.3">
      <c r="BB1024382" s="38"/>
    </row>
    <row r="1024383" spans="54:54" ht="15.75" customHeight="1" x14ac:dyDescent="0.3">
      <c r="BB1024383" s="38"/>
    </row>
    <row r="1024384" spans="54:54" ht="15.75" customHeight="1" x14ac:dyDescent="0.3">
      <c r="BB1024384" s="38"/>
    </row>
    <row r="1024385" spans="54:54" ht="15.75" customHeight="1" x14ac:dyDescent="0.3">
      <c r="BB1024385" s="38"/>
    </row>
    <row r="1024386" spans="54:54" ht="15.75" customHeight="1" x14ac:dyDescent="0.3">
      <c r="BB1024386" s="38"/>
    </row>
    <row r="1024387" spans="54:54" ht="15.75" customHeight="1" x14ac:dyDescent="0.3">
      <c r="BB1024387" s="38"/>
    </row>
    <row r="1024388" spans="54:54" ht="15.75" customHeight="1" x14ac:dyDescent="0.3">
      <c r="BB1024388" s="38"/>
    </row>
    <row r="1024389" spans="54:54" ht="15.75" customHeight="1" x14ac:dyDescent="0.3">
      <c r="BB1024389" s="38"/>
    </row>
    <row r="1024390" spans="54:54" ht="15.75" customHeight="1" x14ac:dyDescent="0.3">
      <c r="BB1024390" s="38"/>
    </row>
    <row r="1024391" spans="54:54" ht="15.75" customHeight="1" x14ac:dyDescent="0.3">
      <c r="BB1024391" s="38"/>
    </row>
    <row r="1024392" spans="54:54" ht="15.75" customHeight="1" x14ac:dyDescent="0.3">
      <c r="BB1024392" s="38"/>
    </row>
    <row r="1024393" spans="54:54" ht="15.75" customHeight="1" x14ac:dyDescent="0.3">
      <c r="BB1024393" s="38"/>
    </row>
    <row r="1024394" spans="54:54" ht="15.75" customHeight="1" x14ac:dyDescent="0.3">
      <c r="BB1024394" s="38"/>
    </row>
    <row r="1024395" spans="54:54" ht="15.75" customHeight="1" x14ac:dyDescent="0.3">
      <c r="BB1024395" s="38"/>
    </row>
    <row r="1024396" spans="54:54" ht="15.75" customHeight="1" x14ac:dyDescent="0.3">
      <c r="BB1024396" s="38"/>
    </row>
    <row r="1024397" spans="54:54" ht="15.75" customHeight="1" x14ac:dyDescent="0.3">
      <c r="BB1024397" s="38"/>
    </row>
    <row r="1024398" spans="54:54" ht="15.75" customHeight="1" x14ac:dyDescent="0.3">
      <c r="BB1024398" s="38"/>
    </row>
    <row r="1024399" spans="54:54" ht="15.75" customHeight="1" x14ac:dyDescent="0.3">
      <c r="BB1024399" s="38"/>
    </row>
    <row r="1024400" spans="54:54" ht="15.75" customHeight="1" x14ac:dyDescent="0.3">
      <c r="BB1024400" s="38"/>
    </row>
    <row r="1024401" spans="54:54" ht="15.75" customHeight="1" x14ac:dyDescent="0.3">
      <c r="BB1024401" s="38"/>
    </row>
    <row r="1024402" spans="54:54" ht="15.75" customHeight="1" x14ac:dyDescent="0.3">
      <c r="BB1024402" s="38"/>
    </row>
    <row r="1024403" spans="54:54" ht="15.75" customHeight="1" x14ac:dyDescent="0.3">
      <c r="BB1024403" s="38"/>
    </row>
    <row r="1024404" spans="54:54" ht="15.75" customHeight="1" x14ac:dyDescent="0.3">
      <c r="BB1024404" s="38"/>
    </row>
    <row r="1024405" spans="54:54" ht="15.75" customHeight="1" x14ac:dyDescent="0.3">
      <c r="BB1024405" s="38"/>
    </row>
    <row r="1024406" spans="54:54" ht="15.75" customHeight="1" x14ac:dyDescent="0.3">
      <c r="BB1024406" s="38"/>
    </row>
    <row r="1024407" spans="54:54" ht="15.75" customHeight="1" x14ac:dyDescent="0.3">
      <c r="BB1024407" s="38"/>
    </row>
    <row r="1024408" spans="54:54" ht="15.75" customHeight="1" x14ac:dyDescent="0.3">
      <c r="BB1024408" s="38"/>
    </row>
    <row r="1024409" spans="54:54" ht="15.75" customHeight="1" x14ac:dyDescent="0.3">
      <c r="BB1024409" s="38"/>
    </row>
    <row r="1024410" spans="54:54" ht="15.75" customHeight="1" x14ac:dyDescent="0.3">
      <c r="BB1024410" s="38"/>
    </row>
    <row r="1024411" spans="54:54" ht="15.75" customHeight="1" x14ac:dyDescent="0.3">
      <c r="BB1024411" s="38"/>
    </row>
    <row r="1024412" spans="54:54" ht="15.75" customHeight="1" x14ac:dyDescent="0.3">
      <c r="BB1024412" s="38"/>
    </row>
    <row r="1024413" spans="54:54" ht="15.75" customHeight="1" x14ac:dyDescent="0.3">
      <c r="BB1024413" s="38"/>
    </row>
    <row r="1024414" spans="54:54" ht="15.75" customHeight="1" x14ac:dyDescent="0.3">
      <c r="BB1024414" s="38"/>
    </row>
    <row r="1024415" spans="54:54" ht="15.75" customHeight="1" x14ac:dyDescent="0.3">
      <c r="BB1024415" s="38"/>
    </row>
    <row r="1024416" spans="54:54" ht="15.75" customHeight="1" x14ac:dyDescent="0.3">
      <c r="BB1024416" s="38"/>
    </row>
    <row r="1024417" spans="54:54" ht="15.75" customHeight="1" x14ac:dyDescent="0.3">
      <c r="BB1024417" s="38"/>
    </row>
    <row r="1024418" spans="54:54" ht="15.75" customHeight="1" x14ac:dyDescent="0.3">
      <c r="BB1024418" s="38"/>
    </row>
    <row r="1024419" spans="54:54" ht="15.75" customHeight="1" x14ac:dyDescent="0.3">
      <c r="BB1024419" s="38"/>
    </row>
    <row r="1024420" spans="54:54" ht="15.75" customHeight="1" x14ac:dyDescent="0.3">
      <c r="BB1024420" s="38"/>
    </row>
    <row r="1024421" spans="54:54" ht="15.75" customHeight="1" x14ac:dyDescent="0.3">
      <c r="BB1024421" s="38"/>
    </row>
    <row r="1024422" spans="54:54" ht="15.75" customHeight="1" x14ac:dyDescent="0.3">
      <c r="BB1024422" s="38"/>
    </row>
    <row r="1024423" spans="54:54" ht="15.75" customHeight="1" x14ac:dyDescent="0.3">
      <c r="BB1024423" s="38"/>
    </row>
    <row r="1024424" spans="54:54" ht="15.75" customHeight="1" x14ac:dyDescent="0.3">
      <c r="BB1024424" s="38"/>
    </row>
    <row r="1024425" spans="54:54" ht="15.75" customHeight="1" x14ac:dyDescent="0.3">
      <c r="BB1024425" s="38"/>
    </row>
    <row r="1024426" spans="54:54" ht="15.75" customHeight="1" x14ac:dyDescent="0.3">
      <c r="BB1024426" s="38"/>
    </row>
    <row r="1024427" spans="54:54" ht="15.75" customHeight="1" x14ac:dyDescent="0.3">
      <c r="BB1024427" s="38"/>
    </row>
    <row r="1024428" spans="54:54" ht="15.75" customHeight="1" x14ac:dyDescent="0.3">
      <c r="BB1024428" s="38"/>
    </row>
    <row r="1024429" spans="54:54" ht="15.75" customHeight="1" x14ac:dyDescent="0.3">
      <c r="BB1024429" s="38"/>
    </row>
    <row r="1024430" spans="54:54" ht="15.75" customHeight="1" x14ac:dyDescent="0.3">
      <c r="BB1024430" s="38"/>
    </row>
    <row r="1024431" spans="54:54" ht="15.75" customHeight="1" x14ac:dyDescent="0.3">
      <c r="BB1024431" s="38"/>
    </row>
    <row r="1024432" spans="54:54" ht="15.75" customHeight="1" x14ac:dyDescent="0.3">
      <c r="BB1024432" s="38"/>
    </row>
    <row r="1024433" spans="54:54" ht="15.75" customHeight="1" x14ac:dyDescent="0.3">
      <c r="BB1024433" s="38"/>
    </row>
    <row r="1024434" spans="54:54" ht="15.75" customHeight="1" x14ac:dyDescent="0.3">
      <c r="BB1024434" s="38"/>
    </row>
    <row r="1024435" spans="54:54" ht="15.75" customHeight="1" x14ac:dyDescent="0.3">
      <c r="BB1024435" s="38"/>
    </row>
    <row r="1024436" spans="54:54" ht="15.75" customHeight="1" x14ac:dyDescent="0.3">
      <c r="BB1024436" s="38"/>
    </row>
    <row r="1024437" spans="54:54" ht="15.75" customHeight="1" x14ac:dyDescent="0.3">
      <c r="BB1024437" s="38"/>
    </row>
    <row r="1024438" spans="54:54" ht="15.75" customHeight="1" x14ac:dyDescent="0.3">
      <c r="BB1024438" s="38"/>
    </row>
    <row r="1024439" spans="54:54" ht="15.75" customHeight="1" x14ac:dyDescent="0.3">
      <c r="BB1024439" s="38"/>
    </row>
    <row r="1024440" spans="54:54" ht="15.75" customHeight="1" x14ac:dyDescent="0.3">
      <c r="BB1024440" s="38"/>
    </row>
    <row r="1024441" spans="54:54" ht="15.75" customHeight="1" x14ac:dyDescent="0.3">
      <c r="BB1024441" s="38"/>
    </row>
    <row r="1024442" spans="54:54" ht="15.75" customHeight="1" x14ac:dyDescent="0.3">
      <c r="BB1024442" s="38"/>
    </row>
    <row r="1024443" spans="54:54" ht="15.75" customHeight="1" x14ac:dyDescent="0.3">
      <c r="BB1024443" s="38"/>
    </row>
    <row r="1024444" spans="54:54" ht="15.75" customHeight="1" x14ac:dyDescent="0.3">
      <c r="BB1024444" s="38"/>
    </row>
    <row r="1024445" spans="54:54" ht="15.75" customHeight="1" x14ac:dyDescent="0.3">
      <c r="BB1024445" s="38"/>
    </row>
    <row r="1024446" spans="54:54" ht="15.75" customHeight="1" x14ac:dyDescent="0.3">
      <c r="BB1024446" s="38"/>
    </row>
    <row r="1024447" spans="54:54" ht="15.75" customHeight="1" x14ac:dyDescent="0.3">
      <c r="BB1024447" s="38"/>
    </row>
    <row r="1024448" spans="54:54" ht="15.75" customHeight="1" x14ac:dyDescent="0.3">
      <c r="BB1024448" s="38"/>
    </row>
    <row r="1024449" spans="54:54" ht="15.75" customHeight="1" x14ac:dyDescent="0.3">
      <c r="BB1024449" s="38"/>
    </row>
    <row r="1024450" spans="54:54" ht="15.75" customHeight="1" x14ac:dyDescent="0.3">
      <c r="BB1024450" s="38"/>
    </row>
    <row r="1024451" spans="54:54" ht="15.75" customHeight="1" x14ac:dyDescent="0.3">
      <c r="BB1024451" s="38"/>
    </row>
    <row r="1024452" spans="54:54" ht="15.75" customHeight="1" x14ac:dyDescent="0.3">
      <c r="BB1024452" s="38"/>
    </row>
    <row r="1024453" spans="54:54" ht="15.75" customHeight="1" x14ac:dyDescent="0.3">
      <c r="BB1024453" s="38"/>
    </row>
    <row r="1024454" spans="54:54" ht="15.75" customHeight="1" x14ac:dyDescent="0.3">
      <c r="BB1024454" s="38"/>
    </row>
    <row r="1024455" spans="54:54" ht="15.75" customHeight="1" x14ac:dyDescent="0.3">
      <c r="BB1024455" s="38"/>
    </row>
    <row r="1024456" spans="54:54" ht="15.75" customHeight="1" x14ac:dyDescent="0.3">
      <c r="BB1024456" s="38"/>
    </row>
    <row r="1024457" spans="54:54" ht="15.75" customHeight="1" x14ac:dyDescent="0.3">
      <c r="BB1024457" s="38"/>
    </row>
    <row r="1024458" spans="54:54" ht="15.75" customHeight="1" x14ac:dyDescent="0.3">
      <c r="BB1024458" s="38"/>
    </row>
    <row r="1024459" spans="54:54" ht="15.75" customHeight="1" x14ac:dyDescent="0.3">
      <c r="BB1024459" s="38"/>
    </row>
    <row r="1024460" spans="54:54" ht="15.75" customHeight="1" x14ac:dyDescent="0.3">
      <c r="BB1024460" s="38"/>
    </row>
    <row r="1024461" spans="54:54" ht="15.75" customHeight="1" x14ac:dyDescent="0.3">
      <c r="BB1024461" s="38"/>
    </row>
    <row r="1024462" spans="54:54" ht="15.75" customHeight="1" x14ac:dyDescent="0.3">
      <c r="BB1024462" s="38"/>
    </row>
    <row r="1024463" spans="54:54" ht="15.75" customHeight="1" x14ac:dyDescent="0.3">
      <c r="BB1024463" s="38"/>
    </row>
    <row r="1024464" spans="54:54" ht="15.75" customHeight="1" x14ac:dyDescent="0.3">
      <c r="BB1024464" s="38"/>
    </row>
    <row r="1024465" spans="54:54" ht="15.75" customHeight="1" x14ac:dyDescent="0.3">
      <c r="BB1024465" s="38"/>
    </row>
    <row r="1024466" spans="54:54" ht="15.75" customHeight="1" x14ac:dyDescent="0.3">
      <c r="BB1024466" s="38"/>
    </row>
    <row r="1024467" spans="54:54" ht="15.75" customHeight="1" x14ac:dyDescent="0.3">
      <c r="BB1024467" s="38"/>
    </row>
    <row r="1024468" spans="54:54" ht="15.75" customHeight="1" x14ac:dyDescent="0.3">
      <c r="BB1024468" s="38"/>
    </row>
    <row r="1024469" spans="54:54" ht="15.75" customHeight="1" x14ac:dyDescent="0.3">
      <c r="BB1024469" s="38"/>
    </row>
    <row r="1024470" spans="54:54" ht="15.75" customHeight="1" x14ac:dyDescent="0.3">
      <c r="BB1024470" s="38"/>
    </row>
    <row r="1024471" spans="54:54" ht="15.75" customHeight="1" x14ac:dyDescent="0.3">
      <c r="BB1024471" s="38"/>
    </row>
    <row r="1024472" spans="54:54" ht="15.75" customHeight="1" x14ac:dyDescent="0.3">
      <c r="BB1024472" s="38"/>
    </row>
    <row r="1024473" spans="54:54" ht="15.75" customHeight="1" x14ac:dyDescent="0.3">
      <c r="BB1024473" s="38"/>
    </row>
    <row r="1024474" spans="54:54" ht="15.75" customHeight="1" x14ac:dyDescent="0.3">
      <c r="BB1024474" s="38"/>
    </row>
    <row r="1024475" spans="54:54" ht="15.75" customHeight="1" x14ac:dyDescent="0.3">
      <c r="BB1024475" s="38"/>
    </row>
    <row r="1024476" spans="54:54" ht="15.75" customHeight="1" x14ac:dyDescent="0.3">
      <c r="BB1024476" s="38"/>
    </row>
    <row r="1024477" spans="54:54" ht="15.75" customHeight="1" x14ac:dyDescent="0.3">
      <c r="BB1024477" s="38"/>
    </row>
    <row r="1024478" spans="54:54" ht="15.75" customHeight="1" x14ac:dyDescent="0.3">
      <c r="BB1024478" s="38"/>
    </row>
    <row r="1024479" spans="54:54" ht="15.75" customHeight="1" x14ac:dyDescent="0.3">
      <c r="BB1024479" s="38"/>
    </row>
    <row r="1024480" spans="54:54" ht="15.75" customHeight="1" x14ac:dyDescent="0.3">
      <c r="BB1024480" s="38"/>
    </row>
    <row r="1024481" spans="54:54" ht="15.75" customHeight="1" x14ac:dyDescent="0.3">
      <c r="BB1024481" s="38"/>
    </row>
    <row r="1024482" spans="54:54" ht="15.75" customHeight="1" x14ac:dyDescent="0.3">
      <c r="BB1024482" s="38"/>
    </row>
    <row r="1024483" spans="54:54" ht="15.75" customHeight="1" x14ac:dyDescent="0.3">
      <c r="BB1024483" s="38"/>
    </row>
    <row r="1024484" spans="54:54" ht="15.75" customHeight="1" x14ac:dyDescent="0.3">
      <c r="BB1024484" s="38"/>
    </row>
    <row r="1024485" spans="54:54" ht="15.75" customHeight="1" x14ac:dyDescent="0.3">
      <c r="BB1024485" s="38"/>
    </row>
    <row r="1024486" spans="54:54" ht="15.75" customHeight="1" x14ac:dyDescent="0.3">
      <c r="BB1024486" s="38"/>
    </row>
    <row r="1024487" spans="54:54" ht="15.75" customHeight="1" x14ac:dyDescent="0.3">
      <c r="BB1024487" s="38"/>
    </row>
    <row r="1024488" spans="54:54" ht="15.75" customHeight="1" x14ac:dyDescent="0.3">
      <c r="BB1024488" s="38"/>
    </row>
    <row r="1024489" spans="54:54" ht="15.75" customHeight="1" x14ac:dyDescent="0.3">
      <c r="BB1024489" s="38"/>
    </row>
    <row r="1024490" spans="54:54" ht="15.75" customHeight="1" x14ac:dyDescent="0.3">
      <c r="BB1024490" s="38"/>
    </row>
    <row r="1024491" spans="54:54" ht="15.75" customHeight="1" x14ac:dyDescent="0.3">
      <c r="BB1024491" s="38"/>
    </row>
    <row r="1024492" spans="54:54" ht="15.75" customHeight="1" x14ac:dyDescent="0.3">
      <c r="BB1024492" s="38"/>
    </row>
    <row r="1024493" spans="54:54" ht="15.75" customHeight="1" x14ac:dyDescent="0.3">
      <c r="BB1024493" s="38"/>
    </row>
    <row r="1024494" spans="54:54" ht="15.75" customHeight="1" x14ac:dyDescent="0.3">
      <c r="BB1024494" s="38"/>
    </row>
    <row r="1024495" spans="54:54" ht="15.75" customHeight="1" x14ac:dyDescent="0.3">
      <c r="BB1024495" s="38"/>
    </row>
    <row r="1024496" spans="54:54" ht="15.75" customHeight="1" x14ac:dyDescent="0.3">
      <c r="BB1024496" s="38"/>
    </row>
    <row r="1024497" spans="54:54" ht="15.75" customHeight="1" x14ac:dyDescent="0.3">
      <c r="BB1024497" s="38"/>
    </row>
    <row r="1024498" spans="54:54" ht="15.75" customHeight="1" x14ac:dyDescent="0.3">
      <c r="BB1024498" s="38"/>
    </row>
    <row r="1024499" spans="54:54" ht="15.75" customHeight="1" x14ac:dyDescent="0.3">
      <c r="BB1024499" s="38"/>
    </row>
    <row r="1024500" spans="54:54" ht="15.75" customHeight="1" x14ac:dyDescent="0.3">
      <c r="BB1024500" s="38"/>
    </row>
    <row r="1024501" spans="54:54" ht="15.75" customHeight="1" x14ac:dyDescent="0.3">
      <c r="BB1024501" s="38"/>
    </row>
    <row r="1024502" spans="54:54" ht="15.75" customHeight="1" x14ac:dyDescent="0.3">
      <c r="BB1024502" s="38"/>
    </row>
    <row r="1024503" spans="54:54" ht="15.75" customHeight="1" x14ac:dyDescent="0.3">
      <c r="BB1024503" s="38"/>
    </row>
    <row r="1024504" spans="54:54" ht="15.75" customHeight="1" x14ac:dyDescent="0.3">
      <c r="BB1024504" s="38"/>
    </row>
    <row r="1024505" spans="54:54" ht="15.75" customHeight="1" x14ac:dyDescent="0.3">
      <c r="BB1024505" s="38"/>
    </row>
    <row r="1024506" spans="54:54" ht="15.75" customHeight="1" x14ac:dyDescent="0.3">
      <c r="BB1024506" s="38"/>
    </row>
    <row r="1024507" spans="54:54" ht="15.75" customHeight="1" x14ac:dyDescent="0.3">
      <c r="BB1024507" s="38"/>
    </row>
    <row r="1024508" spans="54:54" ht="15.75" customHeight="1" x14ac:dyDescent="0.3">
      <c r="BB1024508" s="38"/>
    </row>
    <row r="1024509" spans="54:54" ht="15.75" customHeight="1" x14ac:dyDescent="0.3">
      <c r="BB1024509" s="38"/>
    </row>
    <row r="1024510" spans="54:54" ht="15.75" customHeight="1" x14ac:dyDescent="0.3">
      <c r="BB1024510" s="38"/>
    </row>
    <row r="1024511" spans="54:54" ht="15.75" customHeight="1" x14ac:dyDescent="0.3">
      <c r="BB1024511" s="38"/>
    </row>
    <row r="1024512" spans="54:54" ht="15.75" customHeight="1" x14ac:dyDescent="0.3">
      <c r="BB1024512" s="38"/>
    </row>
    <row r="1024513" spans="54:54" ht="15.75" customHeight="1" x14ac:dyDescent="0.3">
      <c r="BB1024513" s="38"/>
    </row>
    <row r="1024514" spans="54:54" ht="15.75" customHeight="1" x14ac:dyDescent="0.3">
      <c r="BB1024514" s="38"/>
    </row>
    <row r="1024515" spans="54:54" ht="15.75" customHeight="1" x14ac:dyDescent="0.3">
      <c r="BB1024515" s="38"/>
    </row>
    <row r="1024516" spans="54:54" ht="15.75" customHeight="1" x14ac:dyDescent="0.3">
      <c r="BB1024516" s="38"/>
    </row>
    <row r="1024517" spans="54:54" ht="15.75" customHeight="1" x14ac:dyDescent="0.3">
      <c r="BB1024517" s="38"/>
    </row>
    <row r="1024518" spans="54:54" ht="15.75" customHeight="1" x14ac:dyDescent="0.3">
      <c r="BB1024518" s="38"/>
    </row>
    <row r="1024519" spans="54:54" ht="15.75" customHeight="1" x14ac:dyDescent="0.3">
      <c r="BB1024519" s="38"/>
    </row>
    <row r="1024520" spans="54:54" ht="15.75" customHeight="1" x14ac:dyDescent="0.3">
      <c r="BB1024520" s="38"/>
    </row>
    <row r="1024521" spans="54:54" ht="15.75" customHeight="1" x14ac:dyDescent="0.3">
      <c r="BB1024521" s="38"/>
    </row>
    <row r="1024522" spans="54:54" ht="15.75" customHeight="1" x14ac:dyDescent="0.3">
      <c r="BB1024522" s="38"/>
    </row>
    <row r="1024523" spans="54:54" ht="15.75" customHeight="1" x14ac:dyDescent="0.3">
      <c r="BB1024523" s="38"/>
    </row>
    <row r="1024524" spans="54:54" ht="15.75" customHeight="1" x14ac:dyDescent="0.3">
      <c r="BB1024524" s="38"/>
    </row>
    <row r="1024525" spans="54:54" ht="15.75" customHeight="1" x14ac:dyDescent="0.3">
      <c r="BB1024525" s="38"/>
    </row>
    <row r="1024526" spans="54:54" ht="15.75" customHeight="1" x14ac:dyDescent="0.3">
      <c r="BB1024526" s="38"/>
    </row>
    <row r="1024527" spans="54:54" ht="15.75" customHeight="1" x14ac:dyDescent="0.3">
      <c r="BB1024527" s="38"/>
    </row>
    <row r="1024528" spans="54:54" ht="15.75" customHeight="1" x14ac:dyDescent="0.3">
      <c r="BB1024528" s="38"/>
    </row>
    <row r="1024529" spans="54:54" ht="15.75" customHeight="1" x14ac:dyDescent="0.3">
      <c r="BB1024529" s="38"/>
    </row>
    <row r="1024530" spans="54:54" ht="15.75" customHeight="1" x14ac:dyDescent="0.3">
      <c r="BB1024530" s="38"/>
    </row>
    <row r="1024531" spans="54:54" ht="15.75" customHeight="1" x14ac:dyDescent="0.3">
      <c r="BB1024531" s="38"/>
    </row>
    <row r="1024532" spans="54:54" ht="15.75" customHeight="1" x14ac:dyDescent="0.3">
      <c r="BB1024532" s="38"/>
    </row>
    <row r="1024533" spans="54:54" ht="15.75" customHeight="1" x14ac:dyDescent="0.3">
      <c r="BB1024533" s="38"/>
    </row>
    <row r="1024534" spans="54:54" ht="15.75" customHeight="1" x14ac:dyDescent="0.3">
      <c r="BB1024534" s="38"/>
    </row>
    <row r="1024535" spans="54:54" ht="15.75" customHeight="1" x14ac:dyDescent="0.3">
      <c r="BB1024535" s="38"/>
    </row>
    <row r="1024536" spans="54:54" ht="15.75" customHeight="1" x14ac:dyDescent="0.3">
      <c r="BB1024536" s="38"/>
    </row>
    <row r="1024537" spans="54:54" ht="15.75" customHeight="1" x14ac:dyDescent="0.3">
      <c r="BB1024537" s="38"/>
    </row>
    <row r="1024538" spans="54:54" ht="15.75" customHeight="1" x14ac:dyDescent="0.3">
      <c r="BB1024538" s="38"/>
    </row>
    <row r="1024539" spans="54:54" ht="15.75" customHeight="1" x14ac:dyDescent="0.3">
      <c r="BB1024539" s="38"/>
    </row>
    <row r="1024540" spans="54:54" ht="15.75" customHeight="1" x14ac:dyDescent="0.3">
      <c r="BB1024540" s="38"/>
    </row>
    <row r="1024541" spans="54:54" ht="15.75" customHeight="1" x14ac:dyDescent="0.3">
      <c r="BB1024541" s="38"/>
    </row>
    <row r="1024542" spans="54:54" ht="15.75" customHeight="1" x14ac:dyDescent="0.3">
      <c r="BB1024542" s="38"/>
    </row>
    <row r="1024543" spans="54:54" ht="15.75" customHeight="1" x14ac:dyDescent="0.3">
      <c r="BB1024543" s="38"/>
    </row>
    <row r="1024544" spans="54:54" ht="15.75" customHeight="1" x14ac:dyDescent="0.3">
      <c r="BB1024544" s="38"/>
    </row>
    <row r="1024545" spans="54:54" ht="15.75" customHeight="1" x14ac:dyDescent="0.3">
      <c r="BB1024545" s="38"/>
    </row>
    <row r="1024546" spans="54:54" ht="15.75" customHeight="1" x14ac:dyDescent="0.3">
      <c r="BB1024546" s="38"/>
    </row>
    <row r="1024547" spans="54:54" ht="15.75" customHeight="1" x14ac:dyDescent="0.3">
      <c r="BB1024547" s="38"/>
    </row>
    <row r="1024548" spans="54:54" ht="15.75" customHeight="1" x14ac:dyDescent="0.3">
      <c r="BB1024548" s="38"/>
    </row>
    <row r="1024549" spans="54:54" ht="15.75" customHeight="1" x14ac:dyDescent="0.3">
      <c r="BB1024549" s="38"/>
    </row>
    <row r="1024550" spans="54:54" ht="15.75" customHeight="1" x14ac:dyDescent="0.3">
      <c r="BB1024550" s="38"/>
    </row>
    <row r="1024551" spans="54:54" ht="15.75" customHeight="1" x14ac:dyDescent="0.3">
      <c r="BB1024551" s="38"/>
    </row>
    <row r="1024552" spans="54:54" ht="15.75" customHeight="1" x14ac:dyDescent="0.3">
      <c r="BB1024552" s="38"/>
    </row>
    <row r="1024553" spans="54:54" ht="15.75" customHeight="1" x14ac:dyDescent="0.3">
      <c r="BB1024553" s="38"/>
    </row>
    <row r="1024554" spans="54:54" ht="15.75" customHeight="1" x14ac:dyDescent="0.3">
      <c r="BB1024554" s="38"/>
    </row>
    <row r="1024555" spans="54:54" ht="15.75" customHeight="1" x14ac:dyDescent="0.3">
      <c r="BB1024555" s="38"/>
    </row>
    <row r="1024556" spans="54:54" ht="15.75" customHeight="1" x14ac:dyDescent="0.3">
      <c r="BB1024556" s="38"/>
    </row>
    <row r="1024557" spans="54:54" ht="15.75" customHeight="1" x14ac:dyDescent="0.3">
      <c r="BB1024557" s="38"/>
    </row>
    <row r="1024558" spans="54:54" ht="15.75" customHeight="1" x14ac:dyDescent="0.3">
      <c r="BB1024558" s="38"/>
    </row>
    <row r="1024559" spans="54:54" ht="15.75" customHeight="1" x14ac:dyDescent="0.3">
      <c r="BB1024559" s="38"/>
    </row>
    <row r="1024560" spans="54:54" ht="15.75" customHeight="1" x14ac:dyDescent="0.3">
      <c r="BB1024560" s="38"/>
    </row>
    <row r="1024561" spans="54:54" ht="15.75" customHeight="1" x14ac:dyDescent="0.3">
      <c r="BB1024561" s="38"/>
    </row>
    <row r="1024562" spans="54:54" ht="15.75" customHeight="1" x14ac:dyDescent="0.3">
      <c r="BB1024562" s="38"/>
    </row>
    <row r="1024563" spans="54:54" ht="15.75" customHeight="1" x14ac:dyDescent="0.3">
      <c r="BB1024563" s="38"/>
    </row>
    <row r="1024564" spans="54:54" ht="15.75" customHeight="1" x14ac:dyDescent="0.3">
      <c r="BB1024564" s="38"/>
    </row>
    <row r="1024565" spans="54:54" ht="15.75" customHeight="1" x14ac:dyDescent="0.3">
      <c r="BB1024565" s="38"/>
    </row>
    <row r="1024566" spans="54:54" ht="15.75" customHeight="1" x14ac:dyDescent="0.3">
      <c r="BB1024566" s="38"/>
    </row>
    <row r="1024567" spans="54:54" ht="15.75" customHeight="1" x14ac:dyDescent="0.3">
      <c r="BB1024567" s="38"/>
    </row>
    <row r="1024568" spans="54:54" ht="15.75" customHeight="1" x14ac:dyDescent="0.3">
      <c r="BB1024568" s="38"/>
    </row>
    <row r="1024569" spans="54:54" ht="15.75" customHeight="1" x14ac:dyDescent="0.3">
      <c r="BB1024569" s="38"/>
    </row>
    <row r="1024570" spans="54:54" ht="15.75" customHeight="1" x14ac:dyDescent="0.3">
      <c r="BB1024570" s="38"/>
    </row>
    <row r="1024571" spans="54:54" ht="15.75" customHeight="1" x14ac:dyDescent="0.3">
      <c r="BB1024571" s="38"/>
    </row>
    <row r="1024572" spans="54:54" ht="15.75" customHeight="1" x14ac:dyDescent="0.3">
      <c r="BB1024572" s="38"/>
    </row>
    <row r="1024573" spans="54:54" ht="15.75" customHeight="1" x14ac:dyDescent="0.3">
      <c r="BB1024573" s="38"/>
    </row>
    <row r="1024574" spans="54:54" ht="15.75" customHeight="1" x14ac:dyDescent="0.3">
      <c r="BB1024574" s="38"/>
    </row>
    <row r="1024575" spans="54:54" ht="15.75" customHeight="1" x14ac:dyDescent="0.3">
      <c r="BB1024575" s="38"/>
    </row>
    <row r="1024576" spans="54:54" ht="15.75" customHeight="1" x14ac:dyDescent="0.3">
      <c r="BB1024576" s="38"/>
    </row>
    <row r="1024577" spans="54:54" ht="15.75" customHeight="1" x14ac:dyDescent="0.3">
      <c r="BB1024577" s="38"/>
    </row>
    <row r="1024578" spans="54:54" ht="15.75" customHeight="1" x14ac:dyDescent="0.3">
      <c r="BB1024578" s="38"/>
    </row>
    <row r="1024579" spans="54:54" ht="15.75" customHeight="1" x14ac:dyDescent="0.3">
      <c r="BB1024579" s="38"/>
    </row>
    <row r="1024580" spans="54:54" ht="15.75" customHeight="1" x14ac:dyDescent="0.3">
      <c r="BB1024580" s="38"/>
    </row>
    <row r="1024581" spans="54:54" ht="15.75" customHeight="1" x14ac:dyDescent="0.3">
      <c r="BB1024581" s="38"/>
    </row>
    <row r="1024582" spans="54:54" ht="15.75" customHeight="1" x14ac:dyDescent="0.3">
      <c r="BB1024582" s="38"/>
    </row>
    <row r="1024583" spans="54:54" ht="15.75" customHeight="1" x14ac:dyDescent="0.3">
      <c r="BB1024583" s="38"/>
    </row>
    <row r="1024584" spans="54:54" ht="15.75" customHeight="1" x14ac:dyDescent="0.3">
      <c r="BB1024584" s="38"/>
    </row>
    <row r="1024585" spans="54:54" ht="15.75" customHeight="1" x14ac:dyDescent="0.3">
      <c r="BB1024585" s="38"/>
    </row>
    <row r="1024586" spans="54:54" ht="15.75" customHeight="1" x14ac:dyDescent="0.3">
      <c r="BB1024586" s="38"/>
    </row>
    <row r="1024587" spans="54:54" ht="15.75" customHeight="1" x14ac:dyDescent="0.3">
      <c r="BB1024587" s="38"/>
    </row>
    <row r="1024588" spans="54:54" ht="15.75" customHeight="1" x14ac:dyDescent="0.3">
      <c r="BB1024588" s="38"/>
    </row>
    <row r="1024589" spans="54:54" ht="15.75" customHeight="1" x14ac:dyDescent="0.3">
      <c r="BB1024589" s="38"/>
    </row>
    <row r="1024590" spans="54:54" ht="15.75" customHeight="1" x14ac:dyDescent="0.3">
      <c r="BB1024590" s="38"/>
    </row>
    <row r="1024591" spans="54:54" ht="15.75" customHeight="1" x14ac:dyDescent="0.3">
      <c r="BB1024591" s="38"/>
    </row>
    <row r="1024592" spans="54:54" ht="15.75" customHeight="1" x14ac:dyDescent="0.3">
      <c r="BB1024592" s="38"/>
    </row>
    <row r="1024593" spans="54:54" ht="15.75" customHeight="1" x14ac:dyDescent="0.3">
      <c r="BB1024593" s="38"/>
    </row>
    <row r="1024594" spans="54:54" ht="15.75" customHeight="1" x14ac:dyDescent="0.3">
      <c r="BB1024594" s="38"/>
    </row>
    <row r="1024595" spans="54:54" ht="15.75" customHeight="1" x14ac:dyDescent="0.3">
      <c r="BB1024595" s="38"/>
    </row>
    <row r="1024596" spans="54:54" ht="15.75" customHeight="1" x14ac:dyDescent="0.3">
      <c r="BB1024596" s="38"/>
    </row>
    <row r="1024597" spans="54:54" ht="15.75" customHeight="1" x14ac:dyDescent="0.3">
      <c r="BB1024597" s="38"/>
    </row>
    <row r="1024598" spans="54:54" ht="15.75" customHeight="1" x14ac:dyDescent="0.3">
      <c r="BB1024598" s="38"/>
    </row>
    <row r="1024599" spans="54:54" ht="15.75" customHeight="1" x14ac:dyDescent="0.3">
      <c r="BB1024599" s="38"/>
    </row>
    <row r="1024600" spans="54:54" ht="15.75" customHeight="1" x14ac:dyDescent="0.3">
      <c r="BB1024600" s="38"/>
    </row>
    <row r="1024601" spans="54:54" ht="15.75" customHeight="1" x14ac:dyDescent="0.3">
      <c r="BB1024601" s="38"/>
    </row>
    <row r="1024602" spans="54:54" ht="15.75" customHeight="1" x14ac:dyDescent="0.3">
      <c r="BB1024602" s="38"/>
    </row>
    <row r="1024603" spans="54:54" ht="15.75" customHeight="1" x14ac:dyDescent="0.3">
      <c r="BB1024603" s="38"/>
    </row>
    <row r="1024604" spans="54:54" ht="15.75" customHeight="1" x14ac:dyDescent="0.3">
      <c r="BB1024604" s="38"/>
    </row>
    <row r="1024605" spans="54:54" ht="15.75" customHeight="1" x14ac:dyDescent="0.3">
      <c r="BB1024605" s="38"/>
    </row>
    <row r="1024606" spans="54:54" ht="15.75" customHeight="1" x14ac:dyDescent="0.3">
      <c r="BB1024606" s="38"/>
    </row>
    <row r="1024607" spans="54:54" ht="15.75" customHeight="1" x14ac:dyDescent="0.3">
      <c r="BB1024607" s="38"/>
    </row>
    <row r="1024608" spans="54:54" ht="15.75" customHeight="1" x14ac:dyDescent="0.3">
      <c r="BB1024608" s="38"/>
    </row>
    <row r="1024609" spans="54:54" ht="15.75" customHeight="1" x14ac:dyDescent="0.3">
      <c r="BB1024609" s="38"/>
    </row>
    <row r="1024610" spans="54:54" ht="15.75" customHeight="1" x14ac:dyDescent="0.3">
      <c r="BB1024610" s="38"/>
    </row>
    <row r="1024611" spans="54:54" ht="15.75" customHeight="1" x14ac:dyDescent="0.3">
      <c r="BB1024611" s="38"/>
    </row>
    <row r="1024612" spans="54:54" ht="15.75" customHeight="1" x14ac:dyDescent="0.3">
      <c r="BB1024612" s="38"/>
    </row>
    <row r="1024613" spans="54:54" ht="15.75" customHeight="1" x14ac:dyDescent="0.3">
      <c r="BB1024613" s="38"/>
    </row>
    <row r="1024614" spans="54:54" ht="15.75" customHeight="1" x14ac:dyDescent="0.3">
      <c r="BB1024614" s="38"/>
    </row>
    <row r="1024615" spans="54:54" ht="15.75" customHeight="1" x14ac:dyDescent="0.3">
      <c r="BB1024615" s="38"/>
    </row>
    <row r="1024616" spans="54:54" ht="15.75" customHeight="1" x14ac:dyDescent="0.3">
      <c r="BB1024616" s="38"/>
    </row>
    <row r="1024617" spans="54:54" ht="15.75" customHeight="1" x14ac:dyDescent="0.3">
      <c r="BB1024617" s="38"/>
    </row>
    <row r="1024618" spans="54:54" ht="15.75" customHeight="1" x14ac:dyDescent="0.3">
      <c r="BB1024618" s="38"/>
    </row>
    <row r="1024619" spans="54:54" ht="15.75" customHeight="1" x14ac:dyDescent="0.3">
      <c r="BB1024619" s="38"/>
    </row>
    <row r="1024620" spans="54:54" ht="15.75" customHeight="1" x14ac:dyDescent="0.3">
      <c r="BB1024620" s="38"/>
    </row>
    <row r="1024621" spans="54:54" ht="15.75" customHeight="1" x14ac:dyDescent="0.3">
      <c r="BB1024621" s="38"/>
    </row>
    <row r="1024622" spans="54:54" ht="15.75" customHeight="1" x14ac:dyDescent="0.3">
      <c r="BB1024622" s="38"/>
    </row>
    <row r="1024623" spans="54:54" ht="15.75" customHeight="1" x14ac:dyDescent="0.3">
      <c r="BB1024623" s="38"/>
    </row>
    <row r="1024624" spans="54:54" ht="15.75" customHeight="1" x14ac:dyDescent="0.3">
      <c r="BB1024624" s="38"/>
    </row>
    <row r="1024625" spans="54:54" ht="15.75" customHeight="1" x14ac:dyDescent="0.3">
      <c r="BB1024625" s="38"/>
    </row>
    <row r="1024626" spans="54:54" ht="15.75" customHeight="1" x14ac:dyDescent="0.3">
      <c r="BB1024626" s="38"/>
    </row>
    <row r="1024627" spans="54:54" ht="15.75" customHeight="1" x14ac:dyDescent="0.3">
      <c r="BB1024627" s="38"/>
    </row>
    <row r="1024628" spans="54:54" ht="15.75" customHeight="1" x14ac:dyDescent="0.3">
      <c r="BB1024628" s="38"/>
    </row>
    <row r="1024629" spans="54:54" ht="15.75" customHeight="1" x14ac:dyDescent="0.3">
      <c r="BB1024629" s="38"/>
    </row>
    <row r="1024630" spans="54:54" ht="15.75" customHeight="1" x14ac:dyDescent="0.3">
      <c r="BB1024630" s="38"/>
    </row>
    <row r="1024631" spans="54:54" ht="15.75" customHeight="1" x14ac:dyDescent="0.3">
      <c r="BB1024631" s="38"/>
    </row>
    <row r="1024632" spans="54:54" ht="15.75" customHeight="1" x14ac:dyDescent="0.3">
      <c r="BB1024632" s="38"/>
    </row>
    <row r="1024633" spans="54:54" ht="15.75" customHeight="1" x14ac:dyDescent="0.3">
      <c r="BB1024633" s="38"/>
    </row>
    <row r="1024634" spans="54:54" ht="15.75" customHeight="1" x14ac:dyDescent="0.3">
      <c r="BB1024634" s="38"/>
    </row>
    <row r="1024635" spans="54:54" ht="15.75" customHeight="1" x14ac:dyDescent="0.3">
      <c r="BB1024635" s="38"/>
    </row>
    <row r="1024636" spans="54:54" ht="15.75" customHeight="1" x14ac:dyDescent="0.3">
      <c r="BB1024636" s="38"/>
    </row>
    <row r="1024637" spans="54:54" ht="15.75" customHeight="1" x14ac:dyDescent="0.3">
      <c r="BB1024637" s="38"/>
    </row>
    <row r="1024638" spans="54:54" ht="15.75" customHeight="1" x14ac:dyDescent="0.3">
      <c r="BB1024638" s="38"/>
    </row>
    <row r="1024639" spans="54:54" ht="15.75" customHeight="1" x14ac:dyDescent="0.3">
      <c r="BB1024639" s="38"/>
    </row>
    <row r="1024640" spans="54:54" ht="15.75" customHeight="1" x14ac:dyDescent="0.3">
      <c r="BB1024640" s="38"/>
    </row>
    <row r="1024641" spans="54:54" ht="15.75" customHeight="1" x14ac:dyDescent="0.3">
      <c r="BB1024641" s="38"/>
    </row>
    <row r="1024642" spans="54:54" ht="15.75" customHeight="1" x14ac:dyDescent="0.3">
      <c r="BB1024642" s="38"/>
    </row>
    <row r="1024643" spans="54:54" ht="15.75" customHeight="1" x14ac:dyDescent="0.3">
      <c r="BB1024643" s="38"/>
    </row>
    <row r="1024644" spans="54:54" ht="15.75" customHeight="1" x14ac:dyDescent="0.3">
      <c r="BB1024644" s="38"/>
    </row>
    <row r="1024645" spans="54:54" ht="15.75" customHeight="1" x14ac:dyDescent="0.3">
      <c r="BB1024645" s="38"/>
    </row>
    <row r="1024646" spans="54:54" ht="15.75" customHeight="1" x14ac:dyDescent="0.3">
      <c r="BB1024646" s="38"/>
    </row>
    <row r="1024647" spans="54:54" ht="15.75" customHeight="1" x14ac:dyDescent="0.3">
      <c r="BB1024647" s="38"/>
    </row>
    <row r="1024648" spans="54:54" ht="15.75" customHeight="1" x14ac:dyDescent="0.3">
      <c r="BB1024648" s="38"/>
    </row>
    <row r="1024649" spans="54:54" ht="15.75" customHeight="1" x14ac:dyDescent="0.3">
      <c r="BB1024649" s="38"/>
    </row>
    <row r="1024650" spans="54:54" ht="15.75" customHeight="1" x14ac:dyDescent="0.3">
      <c r="BB1024650" s="38"/>
    </row>
    <row r="1024651" spans="54:54" ht="15.75" customHeight="1" x14ac:dyDescent="0.3">
      <c r="BB1024651" s="38"/>
    </row>
    <row r="1024652" spans="54:54" ht="15.75" customHeight="1" x14ac:dyDescent="0.3">
      <c r="BB1024652" s="38"/>
    </row>
    <row r="1024653" spans="54:54" ht="15.75" customHeight="1" x14ac:dyDescent="0.3">
      <c r="BB1024653" s="38"/>
    </row>
    <row r="1024654" spans="54:54" ht="15.75" customHeight="1" x14ac:dyDescent="0.3">
      <c r="BB1024654" s="38"/>
    </row>
    <row r="1024655" spans="54:54" ht="15.75" customHeight="1" x14ac:dyDescent="0.3">
      <c r="BB1024655" s="38"/>
    </row>
    <row r="1024656" spans="54:54" ht="15.75" customHeight="1" x14ac:dyDescent="0.3">
      <c r="BB1024656" s="38"/>
    </row>
    <row r="1024657" spans="54:54" ht="15.75" customHeight="1" x14ac:dyDescent="0.3">
      <c r="BB1024657" s="38"/>
    </row>
    <row r="1024658" spans="54:54" ht="15.75" customHeight="1" x14ac:dyDescent="0.3">
      <c r="BB1024658" s="38"/>
    </row>
    <row r="1024659" spans="54:54" ht="15.75" customHeight="1" x14ac:dyDescent="0.3">
      <c r="BB1024659" s="38"/>
    </row>
    <row r="1024660" spans="54:54" ht="15.75" customHeight="1" x14ac:dyDescent="0.3">
      <c r="BB1024660" s="38"/>
    </row>
    <row r="1024661" spans="54:54" ht="15.75" customHeight="1" x14ac:dyDescent="0.3">
      <c r="BB1024661" s="38"/>
    </row>
    <row r="1024662" spans="54:54" ht="15.75" customHeight="1" x14ac:dyDescent="0.3">
      <c r="BB1024662" s="38"/>
    </row>
    <row r="1024663" spans="54:54" ht="15.75" customHeight="1" x14ac:dyDescent="0.3">
      <c r="BB1024663" s="38"/>
    </row>
    <row r="1024664" spans="54:54" ht="15.75" customHeight="1" x14ac:dyDescent="0.3">
      <c r="BB1024664" s="38"/>
    </row>
    <row r="1024665" spans="54:54" ht="15.75" customHeight="1" x14ac:dyDescent="0.3">
      <c r="BB1024665" s="38"/>
    </row>
    <row r="1024666" spans="54:54" ht="15.75" customHeight="1" x14ac:dyDescent="0.3">
      <c r="BB1024666" s="38"/>
    </row>
    <row r="1024667" spans="54:54" ht="15.75" customHeight="1" x14ac:dyDescent="0.3">
      <c r="BB1024667" s="38"/>
    </row>
    <row r="1024668" spans="54:54" ht="15.75" customHeight="1" x14ac:dyDescent="0.3">
      <c r="BB1024668" s="38"/>
    </row>
    <row r="1024669" spans="54:54" ht="15.75" customHeight="1" x14ac:dyDescent="0.3">
      <c r="BB1024669" s="38"/>
    </row>
    <row r="1024670" spans="54:54" ht="15.75" customHeight="1" x14ac:dyDescent="0.3">
      <c r="BB1024670" s="38"/>
    </row>
    <row r="1024671" spans="54:54" ht="15.75" customHeight="1" x14ac:dyDescent="0.3">
      <c r="BB1024671" s="38"/>
    </row>
    <row r="1024672" spans="54:54" ht="15.75" customHeight="1" x14ac:dyDescent="0.3">
      <c r="BB1024672" s="38"/>
    </row>
    <row r="1024673" spans="54:54" ht="15.75" customHeight="1" x14ac:dyDescent="0.3">
      <c r="BB1024673" s="38"/>
    </row>
    <row r="1024674" spans="54:54" ht="15.75" customHeight="1" x14ac:dyDescent="0.3">
      <c r="BB1024674" s="38"/>
    </row>
    <row r="1024675" spans="54:54" ht="15.75" customHeight="1" x14ac:dyDescent="0.3">
      <c r="BB1024675" s="38"/>
    </row>
    <row r="1024676" spans="54:54" ht="15.75" customHeight="1" x14ac:dyDescent="0.3">
      <c r="BB1024676" s="38"/>
    </row>
    <row r="1024677" spans="54:54" ht="15.75" customHeight="1" x14ac:dyDescent="0.3">
      <c r="BB1024677" s="38"/>
    </row>
    <row r="1024678" spans="54:54" ht="15.75" customHeight="1" x14ac:dyDescent="0.3">
      <c r="BB1024678" s="38"/>
    </row>
    <row r="1024679" spans="54:54" ht="15.75" customHeight="1" x14ac:dyDescent="0.3">
      <c r="BB1024679" s="38"/>
    </row>
    <row r="1024680" spans="54:54" ht="15.75" customHeight="1" x14ac:dyDescent="0.3">
      <c r="BB1024680" s="38"/>
    </row>
    <row r="1024681" spans="54:54" ht="15.75" customHeight="1" x14ac:dyDescent="0.3">
      <c r="BB1024681" s="38"/>
    </row>
    <row r="1024682" spans="54:54" ht="15.75" customHeight="1" x14ac:dyDescent="0.3">
      <c r="BB1024682" s="38"/>
    </row>
    <row r="1024683" spans="54:54" ht="15.75" customHeight="1" x14ac:dyDescent="0.3">
      <c r="BB1024683" s="38"/>
    </row>
    <row r="1024684" spans="54:54" ht="15.75" customHeight="1" x14ac:dyDescent="0.3">
      <c r="BB1024684" s="38"/>
    </row>
    <row r="1024685" spans="54:54" ht="15.75" customHeight="1" x14ac:dyDescent="0.3">
      <c r="BB1024685" s="38"/>
    </row>
    <row r="1024686" spans="54:54" ht="15.75" customHeight="1" x14ac:dyDescent="0.3">
      <c r="BB1024686" s="38"/>
    </row>
    <row r="1024687" spans="54:54" ht="15.75" customHeight="1" x14ac:dyDescent="0.3">
      <c r="BB1024687" s="38"/>
    </row>
    <row r="1024688" spans="54:54" ht="15.75" customHeight="1" x14ac:dyDescent="0.3">
      <c r="BB1024688" s="38"/>
    </row>
    <row r="1024689" spans="54:54" ht="15.75" customHeight="1" x14ac:dyDescent="0.3">
      <c r="BB1024689" s="38"/>
    </row>
    <row r="1024690" spans="54:54" ht="15.75" customHeight="1" x14ac:dyDescent="0.3">
      <c r="BB1024690" s="38"/>
    </row>
    <row r="1024691" spans="54:54" ht="15.75" customHeight="1" x14ac:dyDescent="0.3">
      <c r="BB1024691" s="38"/>
    </row>
    <row r="1024692" spans="54:54" ht="15.75" customHeight="1" x14ac:dyDescent="0.3">
      <c r="BB1024692" s="38"/>
    </row>
    <row r="1024693" spans="54:54" ht="15.75" customHeight="1" x14ac:dyDescent="0.3">
      <c r="BB1024693" s="38"/>
    </row>
    <row r="1024694" spans="54:54" ht="15.75" customHeight="1" x14ac:dyDescent="0.3">
      <c r="BB1024694" s="38"/>
    </row>
    <row r="1024695" spans="54:54" ht="15.75" customHeight="1" x14ac:dyDescent="0.3">
      <c r="BB1024695" s="38"/>
    </row>
    <row r="1024696" spans="54:54" ht="15.75" customHeight="1" x14ac:dyDescent="0.3">
      <c r="BB1024696" s="38"/>
    </row>
    <row r="1024697" spans="54:54" ht="15.75" customHeight="1" x14ac:dyDescent="0.3">
      <c r="BB1024697" s="38"/>
    </row>
    <row r="1024698" spans="54:54" ht="15.75" customHeight="1" x14ac:dyDescent="0.3">
      <c r="BB1024698" s="38"/>
    </row>
    <row r="1024699" spans="54:54" ht="15.75" customHeight="1" x14ac:dyDescent="0.3">
      <c r="BB1024699" s="38"/>
    </row>
    <row r="1024700" spans="54:54" ht="15.75" customHeight="1" x14ac:dyDescent="0.3">
      <c r="BB1024700" s="38"/>
    </row>
    <row r="1024701" spans="54:54" ht="15.75" customHeight="1" x14ac:dyDescent="0.3">
      <c r="BB1024701" s="38"/>
    </row>
    <row r="1024702" spans="54:54" ht="15.75" customHeight="1" x14ac:dyDescent="0.3">
      <c r="BB1024702" s="38"/>
    </row>
    <row r="1024703" spans="54:54" ht="15.75" customHeight="1" x14ac:dyDescent="0.3">
      <c r="BB1024703" s="38"/>
    </row>
    <row r="1024704" spans="54:54" ht="15.75" customHeight="1" x14ac:dyDescent="0.3">
      <c r="BB1024704" s="38"/>
    </row>
    <row r="1024705" spans="54:54" ht="15.75" customHeight="1" x14ac:dyDescent="0.3">
      <c r="BB1024705" s="38"/>
    </row>
    <row r="1024706" spans="54:54" ht="15.75" customHeight="1" x14ac:dyDescent="0.3">
      <c r="BB1024706" s="38"/>
    </row>
    <row r="1024707" spans="54:54" ht="15.75" customHeight="1" x14ac:dyDescent="0.3">
      <c r="BB1024707" s="38"/>
    </row>
    <row r="1024708" spans="54:54" ht="15.75" customHeight="1" x14ac:dyDescent="0.3">
      <c r="BB1024708" s="38"/>
    </row>
    <row r="1024709" spans="54:54" ht="15.75" customHeight="1" x14ac:dyDescent="0.3">
      <c r="BB1024709" s="38"/>
    </row>
    <row r="1024710" spans="54:54" ht="15.75" customHeight="1" x14ac:dyDescent="0.3">
      <c r="BB1024710" s="38"/>
    </row>
    <row r="1024711" spans="54:54" ht="15.75" customHeight="1" x14ac:dyDescent="0.3">
      <c r="BB1024711" s="38"/>
    </row>
    <row r="1024712" spans="54:54" ht="15.75" customHeight="1" x14ac:dyDescent="0.3">
      <c r="BB1024712" s="38"/>
    </row>
    <row r="1024713" spans="54:54" ht="15.75" customHeight="1" x14ac:dyDescent="0.3">
      <c r="BB1024713" s="38"/>
    </row>
    <row r="1024714" spans="54:54" ht="15.75" customHeight="1" x14ac:dyDescent="0.3">
      <c r="BB1024714" s="38"/>
    </row>
    <row r="1024715" spans="54:54" ht="15.75" customHeight="1" x14ac:dyDescent="0.3">
      <c r="BB1024715" s="38"/>
    </row>
    <row r="1024716" spans="54:54" ht="15.75" customHeight="1" x14ac:dyDescent="0.3">
      <c r="BB1024716" s="38"/>
    </row>
    <row r="1024717" spans="54:54" ht="15.75" customHeight="1" x14ac:dyDescent="0.3">
      <c r="BB1024717" s="38"/>
    </row>
    <row r="1024718" spans="54:54" ht="15.75" customHeight="1" x14ac:dyDescent="0.3">
      <c r="BB1024718" s="38"/>
    </row>
    <row r="1024719" spans="54:54" ht="15.75" customHeight="1" x14ac:dyDescent="0.3">
      <c r="BB1024719" s="38"/>
    </row>
    <row r="1024720" spans="54:54" ht="15.75" customHeight="1" x14ac:dyDescent="0.3">
      <c r="BB1024720" s="38"/>
    </row>
    <row r="1024721" spans="54:54" ht="15.75" customHeight="1" x14ac:dyDescent="0.3">
      <c r="BB1024721" s="38"/>
    </row>
    <row r="1024722" spans="54:54" ht="15.75" customHeight="1" x14ac:dyDescent="0.3">
      <c r="BB1024722" s="38"/>
    </row>
    <row r="1024723" spans="54:54" ht="15.75" customHeight="1" x14ac:dyDescent="0.3">
      <c r="BB1024723" s="38"/>
    </row>
    <row r="1024724" spans="54:54" ht="15.75" customHeight="1" x14ac:dyDescent="0.3">
      <c r="BB1024724" s="38"/>
    </row>
    <row r="1024725" spans="54:54" ht="15.75" customHeight="1" x14ac:dyDescent="0.3">
      <c r="BB1024725" s="38"/>
    </row>
    <row r="1024726" spans="54:54" ht="15.75" customHeight="1" x14ac:dyDescent="0.3">
      <c r="BB1024726" s="38"/>
    </row>
    <row r="1024727" spans="54:54" ht="15.75" customHeight="1" x14ac:dyDescent="0.3">
      <c r="BB1024727" s="38"/>
    </row>
    <row r="1024728" spans="54:54" ht="15.75" customHeight="1" x14ac:dyDescent="0.3">
      <c r="BB1024728" s="38"/>
    </row>
    <row r="1024729" spans="54:54" ht="15.75" customHeight="1" x14ac:dyDescent="0.3">
      <c r="BB1024729" s="38"/>
    </row>
    <row r="1024730" spans="54:54" ht="15.75" customHeight="1" x14ac:dyDescent="0.3">
      <c r="BB1024730" s="38"/>
    </row>
    <row r="1024731" spans="54:54" ht="15.75" customHeight="1" x14ac:dyDescent="0.3">
      <c r="BB1024731" s="38"/>
    </row>
    <row r="1024732" spans="54:54" ht="15.75" customHeight="1" x14ac:dyDescent="0.3">
      <c r="BB1024732" s="38"/>
    </row>
    <row r="1024733" spans="54:54" ht="15.75" customHeight="1" x14ac:dyDescent="0.3">
      <c r="BB1024733" s="38"/>
    </row>
    <row r="1024734" spans="54:54" ht="15.75" customHeight="1" x14ac:dyDescent="0.3">
      <c r="BB1024734" s="38"/>
    </row>
    <row r="1024735" spans="54:54" ht="15.75" customHeight="1" x14ac:dyDescent="0.3">
      <c r="BB1024735" s="38"/>
    </row>
    <row r="1024736" spans="54:54" ht="15.75" customHeight="1" x14ac:dyDescent="0.3">
      <c r="BB1024736" s="38"/>
    </row>
    <row r="1024737" spans="54:54" ht="15.75" customHeight="1" x14ac:dyDescent="0.3">
      <c r="BB1024737" s="38"/>
    </row>
    <row r="1024738" spans="54:54" ht="15.75" customHeight="1" x14ac:dyDescent="0.3">
      <c r="BB1024738" s="38"/>
    </row>
    <row r="1024739" spans="54:54" ht="15.75" customHeight="1" x14ac:dyDescent="0.3">
      <c r="BB1024739" s="38"/>
    </row>
    <row r="1024740" spans="54:54" ht="15.75" customHeight="1" x14ac:dyDescent="0.3">
      <c r="BB1024740" s="38"/>
    </row>
    <row r="1024741" spans="54:54" ht="15.75" customHeight="1" x14ac:dyDescent="0.3">
      <c r="BB1024741" s="38"/>
    </row>
    <row r="1024742" spans="54:54" ht="15.75" customHeight="1" x14ac:dyDescent="0.3">
      <c r="BB1024742" s="38"/>
    </row>
    <row r="1024743" spans="54:54" ht="15.75" customHeight="1" x14ac:dyDescent="0.3">
      <c r="BB1024743" s="38"/>
    </row>
    <row r="1024744" spans="54:54" ht="15.75" customHeight="1" x14ac:dyDescent="0.3">
      <c r="BB1024744" s="38"/>
    </row>
    <row r="1024745" spans="54:54" ht="15.75" customHeight="1" x14ac:dyDescent="0.3">
      <c r="BB1024745" s="38"/>
    </row>
    <row r="1024746" spans="54:54" ht="15.75" customHeight="1" x14ac:dyDescent="0.3">
      <c r="BB1024746" s="38"/>
    </row>
    <row r="1024747" spans="54:54" ht="15.75" customHeight="1" x14ac:dyDescent="0.3">
      <c r="BB1024747" s="38"/>
    </row>
    <row r="1024748" spans="54:54" ht="15.75" customHeight="1" x14ac:dyDescent="0.3">
      <c r="BB1024748" s="38"/>
    </row>
    <row r="1024749" spans="54:54" ht="15.75" customHeight="1" x14ac:dyDescent="0.3">
      <c r="BB1024749" s="38"/>
    </row>
    <row r="1024750" spans="54:54" ht="15.75" customHeight="1" x14ac:dyDescent="0.3">
      <c r="BB1024750" s="38"/>
    </row>
    <row r="1024751" spans="54:54" ht="15.75" customHeight="1" x14ac:dyDescent="0.3">
      <c r="BB1024751" s="38"/>
    </row>
    <row r="1024752" spans="54:54" ht="15.75" customHeight="1" x14ac:dyDescent="0.3">
      <c r="BB1024752" s="38"/>
    </row>
    <row r="1024753" spans="54:54" ht="15.75" customHeight="1" x14ac:dyDescent="0.3">
      <c r="BB1024753" s="38"/>
    </row>
    <row r="1024754" spans="54:54" ht="15.75" customHeight="1" x14ac:dyDescent="0.3">
      <c r="BB1024754" s="38"/>
    </row>
    <row r="1024755" spans="54:54" ht="15.75" customHeight="1" x14ac:dyDescent="0.3">
      <c r="BB1024755" s="38"/>
    </row>
    <row r="1024756" spans="54:54" ht="15.75" customHeight="1" x14ac:dyDescent="0.3">
      <c r="BB1024756" s="38"/>
    </row>
    <row r="1024757" spans="54:54" ht="15.75" customHeight="1" x14ac:dyDescent="0.3">
      <c r="BB1024757" s="38"/>
    </row>
    <row r="1024758" spans="54:54" ht="15.75" customHeight="1" x14ac:dyDescent="0.3">
      <c r="BB1024758" s="38"/>
    </row>
    <row r="1024759" spans="54:54" ht="15.75" customHeight="1" x14ac:dyDescent="0.3">
      <c r="BB1024759" s="38"/>
    </row>
    <row r="1024760" spans="54:54" ht="15.75" customHeight="1" x14ac:dyDescent="0.3">
      <c r="BB1024760" s="38"/>
    </row>
    <row r="1024761" spans="54:54" ht="15.75" customHeight="1" x14ac:dyDescent="0.3">
      <c r="BB1024761" s="38"/>
    </row>
    <row r="1024762" spans="54:54" ht="15.75" customHeight="1" x14ac:dyDescent="0.3">
      <c r="BB1024762" s="38"/>
    </row>
    <row r="1024763" spans="54:54" ht="15.75" customHeight="1" x14ac:dyDescent="0.3">
      <c r="BB1024763" s="38"/>
    </row>
    <row r="1024764" spans="54:54" ht="15.75" customHeight="1" x14ac:dyDescent="0.3">
      <c r="BB1024764" s="38"/>
    </row>
    <row r="1024765" spans="54:54" ht="15.75" customHeight="1" x14ac:dyDescent="0.3">
      <c r="BB1024765" s="38"/>
    </row>
    <row r="1024766" spans="54:54" ht="15.75" customHeight="1" x14ac:dyDescent="0.3">
      <c r="BB1024766" s="38"/>
    </row>
    <row r="1024767" spans="54:54" ht="15.75" customHeight="1" x14ac:dyDescent="0.3">
      <c r="BB1024767" s="38"/>
    </row>
    <row r="1024768" spans="54:54" ht="15.75" customHeight="1" x14ac:dyDescent="0.3">
      <c r="BB1024768" s="38"/>
    </row>
    <row r="1024769" spans="54:54" ht="15.75" customHeight="1" x14ac:dyDescent="0.3">
      <c r="BB1024769" s="38"/>
    </row>
    <row r="1024770" spans="54:54" ht="15.75" customHeight="1" x14ac:dyDescent="0.3">
      <c r="BB1024770" s="38"/>
    </row>
    <row r="1024771" spans="54:54" ht="15.75" customHeight="1" x14ac:dyDescent="0.3">
      <c r="BB1024771" s="38"/>
    </row>
    <row r="1024772" spans="54:54" ht="15.75" customHeight="1" x14ac:dyDescent="0.3">
      <c r="BB1024772" s="38"/>
    </row>
    <row r="1024773" spans="54:54" ht="15.75" customHeight="1" x14ac:dyDescent="0.3">
      <c r="BB1024773" s="38"/>
    </row>
    <row r="1024774" spans="54:54" ht="15.75" customHeight="1" x14ac:dyDescent="0.3">
      <c r="BB1024774" s="38"/>
    </row>
    <row r="1024775" spans="54:54" ht="15.75" customHeight="1" x14ac:dyDescent="0.3">
      <c r="BB1024775" s="38"/>
    </row>
    <row r="1024776" spans="54:54" ht="15.75" customHeight="1" x14ac:dyDescent="0.3">
      <c r="BB1024776" s="38"/>
    </row>
    <row r="1024777" spans="54:54" ht="15.75" customHeight="1" x14ac:dyDescent="0.3">
      <c r="BB1024777" s="38"/>
    </row>
    <row r="1024778" spans="54:54" ht="15.75" customHeight="1" x14ac:dyDescent="0.3">
      <c r="BB1024778" s="38"/>
    </row>
    <row r="1024779" spans="54:54" ht="15.75" customHeight="1" x14ac:dyDescent="0.3">
      <c r="BB1024779" s="38"/>
    </row>
    <row r="1024780" spans="54:54" ht="15.75" customHeight="1" x14ac:dyDescent="0.3">
      <c r="BB1024780" s="38"/>
    </row>
    <row r="1024781" spans="54:54" ht="15.75" customHeight="1" x14ac:dyDescent="0.3">
      <c r="BB1024781" s="38"/>
    </row>
    <row r="1024782" spans="54:54" ht="15.75" customHeight="1" x14ac:dyDescent="0.3">
      <c r="BB1024782" s="38"/>
    </row>
    <row r="1024783" spans="54:54" ht="15.75" customHeight="1" x14ac:dyDescent="0.3">
      <c r="BB1024783" s="38"/>
    </row>
    <row r="1024784" spans="54:54" ht="15.75" customHeight="1" x14ac:dyDescent="0.3">
      <c r="BB1024784" s="38"/>
    </row>
    <row r="1024785" spans="54:54" ht="15.75" customHeight="1" x14ac:dyDescent="0.3">
      <c r="BB1024785" s="38"/>
    </row>
    <row r="1024786" spans="54:54" ht="15.75" customHeight="1" x14ac:dyDescent="0.3">
      <c r="BB1024786" s="38"/>
    </row>
    <row r="1024787" spans="54:54" ht="15.75" customHeight="1" x14ac:dyDescent="0.3">
      <c r="BB1024787" s="38"/>
    </row>
    <row r="1024788" spans="54:54" ht="15.75" customHeight="1" x14ac:dyDescent="0.3">
      <c r="BB1024788" s="38"/>
    </row>
    <row r="1024789" spans="54:54" ht="15.75" customHeight="1" x14ac:dyDescent="0.3">
      <c r="BB1024789" s="38"/>
    </row>
    <row r="1024790" spans="54:54" ht="15.75" customHeight="1" x14ac:dyDescent="0.3">
      <c r="BB1024790" s="38"/>
    </row>
    <row r="1024791" spans="54:54" ht="15.75" customHeight="1" x14ac:dyDescent="0.3">
      <c r="BB1024791" s="38"/>
    </row>
    <row r="1024792" spans="54:54" ht="15.75" customHeight="1" x14ac:dyDescent="0.3">
      <c r="BB1024792" s="38"/>
    </row>
    <row r="1024793" spans="54:54" ht="15.75" customHeight="1" x14ac:dyDescent="0.3">
      <c r="BB1024793" s="38"/>
    </row>
    <row r="1024794" spans="54:54" ht="15.75" customHeight="1" x14ac:dyDescent="0.3">
      <c r="BB1024794" s="38"/>
    </row>
    <row r="1024795" spans="54:54" ht="15.75" customHeight="1" x14ac:dyDescent="0.3">
      <c r="BB1024795" s="38"/>
    </row>
    <row r="1024796" spans="54:54" ht="15.75" customHeight="1" x14ac:dyDescent="0.3">
      <c r="BB1024796" s="38"/>
    </row>
    <row r="1024797" spans="54:54" ht="15.75" customHeight="1" x14ac:dyDescent="0.3">
      <c r="BB1024797" s="38"/>
    </row>
    <row r="1024798" spans="54:54" ht="15.75" customHeight="1" x14ac:dyDescent="0.3">
      <c r="BB1024798" s="38"/>
    </row>
    <row r="1024799" spans="54:54" ht="15.75" customHeight="1" x14ac:dyDescent="0.3">
      <c r="BB1024799" s="38"/>
    </row>
    <row r="1024800" spans="54:54" ht="15.75" customHeight="1" x14ac:dyDescent="0.3">
      <c r="BB1024800" s="38"/>
    </row>
    <row r="1024801" spans="54:54" ht="15.75" customHeight="1" x14ac:dyDescent="0.3">
      <c r="BB1024801" s="38"/>
    </row>
    <row r="1024802" spans="54:54" ht="15.75" customHeight="1" x14ac:dyDescent="0.3">
      <c r="BB1024802" s="38"/>
    </row>
    <row r="1024803" spans="54:54" ht="15.75" customHeight="1" x14ac:dyDescent="0.3">
      <c r="BB1024803" s="38"/>
    </row>
    <row r="1024804" spans="54:54" ht="15.75" customHeight="1" x14ac:dyDescent="0.3">
      <c r="BB1024804" s="38"/>
    </row>
    <row r="1024805" spans="54:54" ht="15.75" customHeight="1" x14ac:dyDescent="0.3">
      <c r="BB1024805" s="38"/>
    </row>
    <row r="1024806" spans="54:54" ht="15.75" customHeight="1" x14ac:dyDescent="0.3">
      <c r="BB1024806" s="38"/>
    </row>
    <row r="1024807" spans="54:54" ht="15.75" customHeight="1" x14ac:dyDescent="0.3">
      <c r="BB1024807" s="38"/>
    </row>
    <row r="1024808" spans="54:54" ht="15.75" customHeight="1" x14ac:dyDescent="0.3">
      <c r="BB1024808" s="38"/>
    </row>
    <row r="1024809" spans="54:54" ht="15.75" customHeight="1" x14ac:dyDescent="0.3">
      <c r="BB1024809" s="38"/>
    </row>
    <row r="1024810" spans="54:54" ht="15.75" customHeight="1" x14ac:dyDescent="0.3">
      <c r="BB1024810" s="38"/>
    </row>
    <row r="1024811" spans="54:54" ht="15.75" customHeight="1" x14ac:dyDescent="0.3">
      <c r="BB1024811" s="38"/>
    </row>
    <row r="1024812" spans="54:54" ht="15.75" customHeight="1" x14ac:dyDescent="0.3">
      <c r="BB1024812" s="38"/>
    </row>
    <row r="1024813" spans="54:54" ht="15.75" customHeight="1" x14ac:dyDescent="0.3">
      <c r="BB1024813" s="38"/>
    </row>
    <row r="1024814" spans="54:54" ht="15.75" customHeight="1" x14ac:dyDescent="0.3">
      <c r="BB1024814" s="38"/>
    </row>
    <row r="1024815" spans="54:54" ht="15.75" customHeight="1" x14ac:dyDescent="0.3">
      <c r="BB1024815" s="38"/>
    </row>
    <row r="1024816" spans="54:54" ht="15.75" customHeight="1" x14ac:dyDescent="0.3">
      <c r="BB1024816" s="38"/>
    </row>
    <row r="1024817" spans="54:54" ht="15.75" customHeight="1" x14ac:dyDescent="0.3">
      <c r="BB1024817" s="38"/>
    </row>
    <row r="1024818" spans="54:54" ht="15.75" customHeight="1" x14ac:dyDescent="0.3">
      <c r="BB1024818" s="38"/>
    </row>
    <row r="1024819" spans="54:54" ht="15.75" customHeight="1" x14ac:dyDescent="0.3">
      <c r="BB1024819" s="38"/>
    </row>
    <row r="1024820" spans="54:54" ht="15.75" customHeight="1" x14ac:dyDescent="0.3">
      <c r="BB1024820" s="38"/>
    </row>
    <row r="1024821" spans="54:54" ht="15.75" customHeight="1" x14ac:dyDescent="0.3">
      <c r="BB1024821" s="38"/>
    </row>
    <row r="1024822" spans="54:54" ht="15.75" customHeight="1" x14ac:dyDescent="0.3">
      <c r="BB1024822" s="38"/>
    </row>
    <row r="1024823" spans="54:54" ht="15.75" customHeight="1" x14ac:dyDescent="0.3">
      <c r="BB1024823" s="38"/>
    </row>
    <row r="1024824" spans="54:54" ht="15.75" customHeight="1" x14ac:dyDescent="0.3">
      <c r="BB1024824" s="38"/>
    </row>
    <row r="1024825" spans="54:54" ht="15.75" customHeight="1" x14ac:dyDescent="0.3">
      <c r="BB1024825" s="38"/>
    </row>
    <row r="1024826" spans="54:54" ht="15.75" customHeight="1" x14ac:dyDescent="0.3">
      <c r="BB1024826" s="38"/>
    </row>
    <row r="1024827" spans="54:54" ht="15.75" customHeight="1" x14ac:dyDescent="0.3">
      <c r="BB1024827" s="38"/>
    </row>
    <row r="1024828" spans="54:54" ht="15.75" customHeight="1" x14ac:dyDescent="0.3">
      <c r="BB1024828" s="38"/>
    </row>
    <row r="1024829" spans="54:54" ht="15.75" customHeight="1" x14ac:dyDescent="0.3">
      <c r="BB1024829" s="38"/>
    </row>
    <row r="1024830" spans="54:54" ht="15.75" customHeight="1" x14ac:dyDescent="0.3">
      <c r="BB1024830" s="38"/>
    </row>
    <row r="1024831" spans="54:54" ht="15.75" customHeight="1" x14ac:dyDescent="0.3">
      <c r="BB1024831" s="38"/>
    </row>
    <row r="1024832" spans="54:54" ht="15.75" customHeight="1" x14ac:dyDescent="0.3">
      <c r="BB1024832" s="38"/>
    </row>
    <row r="1024833" spans="54:54" ht="15.75" customHeight="1" x14ac:dyDescent="0.3">
      <c r="BB1024833" s="38"/>
    </row>
    <row r="1024834" spans="54:54" ht="15.75" customHeight="1" x14ac:dyDescent="0.3">
      <c r="BB1024834" s="38"/>
    </row>
    <row r="1024835" spans="54:54" ht="15.75" customHeight="1" x14ac:dyDescent="0.3">
      <c r="BB1024835" s="38"/>
    </row>
    <row r="1024836" spans="54:54" ht="15.75" customHeight="1" x14ac:dyDescent="0.3">
      <c r="BB1024836" s="38"/>
    </row>
    <row r="1024837" spans="54:54" ht="15.75" customHeight="1" x14ac:dyDescent="0.3">
      <c r="BB1024837" s="38"/>
    </row>
    <row r="1024838" spans="54:54" ht="15.75" customHeight="1" x14ac:dyDescent="0.3">
      <c r="BB1024838" s="38"/>
    </row>
    <row r="1024839" spans="54:54" ht="15.75" customHeight="1" x14ac:dyDescent="0.3">
      <c r="BB1024839" s="38"/>
    </row>
    <row r="1024840" spans="54:54" ht="15.75" customHeight="1" x14ac:dyDescent="0.3">
      <c r="BB1024840" s="38"/>
    </row>
    <row r="1024841" spans="54:54" ht="15.75" customHeight="1" x14ac:dyDescent="0.3">
      <c r="BB1024841" s="38"/>
    </row>
    <row r="1024842" spans="54:54" ht="15.75" customHeight="1" x14ac:dyDescent="0.3">
      <c r="BB1024842" s="38"/>
    </row>
    <row r="1024843" spans="54:54" ht="15.75" customHeight="1" x14ac:dyDescent="0.3">
      <c r="BB1024843" s="38"/>
    </row>
    <row r="1024844" spans="54:54" ht="15.75" customHeight="1" x14ac:dyDescent="0.3">
      <c r="BB1024844" s="38"/>
    </row>
    <row r="1024845" spans="54:54" ht="15.75" customHeight="1" x14ac:dyDescent="0.3">
      <c r="BB1024845" s="38"/>
    </row>
    <row r="1024846" spans="54:54" ht="15.75" customHeight="1" x14ac:dyDescent="0.3">
      <c r="BB1024846" s="38"/>
    </row>
    <row r="1024847" spans="54:54" ht="15.75" customHeight="1" x14ac:dyDescent="0.3">
      <c r="BB1024847" s="38"/>
    </row>
    <row r="1024848" spans="54:54" ht="15.75" customHeight="1" x14ac:dyDescent="0.3">
      <c r="BB1024848" s="38"/>
    </row>
    <row r="1024849" spans="54:54" ht="15.75" customHeight="1" x14ac:dyDescent="0.3">
      <c r="BB1024849" s="38"/>
    </row>
    <row r="1024850" spans="54:54" ht="15.75" customHeight="1" x14ac:dyDescent="0.3">
      <c r="BB1024850" s="38"/>
    </row>
    <row r="1024851" spans="54:54" ht="15.75" customHeight="1" x14ac:dyDescent="0.3">
      <c r="BB1024851" s="38"/>
    </row>
    <row r="1024852" spans="54:54" ht="15.75" customHeight="1" x14ac:dyDescent="0.3">
      <c r="BB1024852" s="38"/>
    </row>
    <row r="1024853" spans="54:54" ht="15.75" customHeight="1" x14ac:dyDescent="0.3">
      <c r="BB1024853" s="38"/>
    </row>
    <row r="1024854" spans="54:54" ht="15.75" customHeight="1" x14ac:dyDescent="0.3">
      <c r="BB1024854" s="38"/>
    </row>
    <row r="1024855" spans="54:54" ht="15.75" customHeight="1" x14ac:dyDescent="0.3">
      <c r="BB1024855" s="38"/>
    </row>
    <row r="1024856" spans="54:54" ht="15.75" customHeight="1" x14ac:dyDescent="0.3">
      <c r="BB1024856" s="38"/>
    </row>
    <row r="1024857" spans="54:54" ht="15.75" customHeight="1" x14ac:dyDescent="0.3">
      <c r="BB1024857" s="38"/>
    </row>
    <row r="1024858" spans="54:54" ht="15.75" customHeight="1" x14ac:dyDescent="0.3">
      <c r="BB1024858" s="38"/>
    </row>
    <row r="1024859" spans="54:54" ht="15.75" customHeight="1" x14ac:dyDescent="0.3">
      <c r="BB1024859" s="38"/>
    </row>
    <row r="1024860" spans="54:54" ht="15.75" customHeight="1" x14ac:dyDescent="0.3">
      <c r="BB1024860" s="38"/>
    </row>
    <row r="1024861" spans="54:54" ht="15.75" customHeight="1" x14ac:dyDescent="0.3">
      <c r="BB1024861" s="38"/>
    </row>
    <row r="1024862" spans="54:54" ht="15.75" customHeight="1" x14ac:dyDescent="0.3">
      <c r="BB1024862" s="38"/>
    </row>
    <row r="1024863" spans="54:54" ht="15.75" customHeight="1" x14ac:dyDescent="0.3">
      <c r="BB1024863" s="38"/>
    </row>
    <row r="1024864" spans="54:54" ht="15.75" customHeight="1" x14ac:dyDescent="0.3">
      <c r="BB1024864" s="38"/>
    </row>
    <row r="1024865" spans="54:54" ht="15.75" customHeight="1" x14ac:dyDescent="0.3">
      <c r="BB1024865" s="38"/>
    </row>
    <row r="1024866" spans="54:54" ht="15.75" customHeight="1" x14ac:dyDescent="0.3">
      <c r="BB1024866" s="38"/>
    </row>
    <row r="1024867" spans="54:54" ht="15.75" customHeight="1" x14ac:dyDescent="0.3">
      <c r="BB1024867" s="38"/>
    </row>
    <row r="1024868" spans="54:54" ht="15.75" customHeight="1" x14ac:dyDescent="0.3">
      <c r="BB1024868" s="38"/>
    </row>
    <row r="1024869" spans="54:54" ht="15.75" customHeight="1" x14ac:dyDescent="0.3">
      <c r="BB1024869" s="38"/>
    </row>
    <row r="1024870" spans="54:54" ht="15.75" customHeight="1" x14ac:dyDescent="0.3">
      <c r="BB1024870" s="38"/>
    </row>
    <row r="1024871" spans="54:54" ht="15.75" customHeight="1" x14ac:dyDescent="0.3">
      <c r="BB1024871" s="38"/>
    </row>
    <row r="1024872" spans="54:54" ht="15.75" customHeight="1" x14ac:dyDescent="0.3">
      <c r="BB1024872" s="38"/>
    </row>
    <row r="1024873" spans="54:54" ht="15.75" customHeight="1" x14ac:dyDescent="0.3">
      <c r="BB1024873" s="38"/>
    </row>
    <row r="1024874" spans="54:54" ht="15.75" customHeight="1" x14ac:dyDescent="0.3">
      <c r="BB1024874" s="38"/>
    </row>
    <row r="1024875" spans="54:54" ht="15.75" customHeight="1" x14ac:dyDescent="0.3">
      <c r="BB1024875" s="38"/>
    </row>
    <row r="1024876" spans="54:54" ht="15.75" customHeight="1" x14ac:dyDescent="0.3">
      <c r="BB1024876" s="38"/>
    </row>
    <row r="1024877" spans="54:54" ht="15.75" customHeight="1" x14ac:dyDescent="0.3">
      <c r="BB1024877" s="38"/>
    </row>
    <row r="1024878" spans="54:54" ht="15.75" customHeight="1" x14ac:dyDescent="0.3">
      <c r="BB1024878" s="38"/>
    </row>
    <row r="1024879" spans="54:54" ht="15.75" customHeight="1" x14ac:dyDescent="0.3">
      <c r="BB1024879" s="38"/>
    </row>
    <row r="1024880" spans="54:54" ht="15.75" customHeight="1" x14ac:dyDescent="0.3">
      <c r="BB1024880" s="38"/>
    </row>
    <row r="1024881" spans="54:54" ht="15.75" customHeight="1" x14ac:dyDescent="0.3">
      <c r="BB1024881" s="38"/>
    </row>
    <row r="1024882" spans="54:54" ht="15.75" customHeight="1" x14ac:dyDescent="0.3">
      <c r="BB1024882" s="38"/>
    </row>
    <row r="1024883" spans="54:54" ht="15.75" customHeight="1" x14ac:dyDescent="0.3">
      <c r="BB1024883" s="38"/>
    </row>
    <row r="1024884" spans="54:54" ht="15.75" customHeight="1" x14ac:dyDescent="0.3">
      <c r="BB1024884" s="38"/>
    </row>
    <row r="1024885" spans="54:54" ht="15.75" customHeight="1" x14ac:dyDescent="0.3">
      <c r="BB1024885" s="38"/>
    </row>
    <row r="1024886" spans="54:54" ht="15.75" customHeight="1" x14ac:dyDescent="0.3">
      <c r="BB1024886" s="38"/>
    </row>
    <row r="1024887" spans="54:54" ht="15.75" customHeight="1" x14ac:dyDescent="0.3">
      <c r="BB1024887" s="38"/>
    </row>
    <row r="1024888" spans="54:54" ht="15.75" customHeight="1" x14ac:dyDescent="0.3">
      <c r="BB1024888" s="38"/>
    </row>
    <row r="1024889" spans="54:54" ht="15.75" customHeight="1" x14ac:dyDescent="0.3">
      <c r="BB1024889" s="38"/>
    </row>
    <row r="1024890" spans="54:54" ht="15.75" customHeight="1" x14ac:dyDescent="0.3">
      <c r="BB1024890" s="38"/>
    </row>
    <row r="1024891" spans="54:54" ht="15.75" customHeight="1" x14ac:dyDescent="0.3">
      <c r="BB1024891" s="38"/>
    </row>
    <row r="1024892" spans="54:54" ht="15.75" customHeight="1" x14ac:dyDescent="0.3">
      <c r="BB1024892" s="38"/>
    </row>
    <row r="1024893" spans="54:54" ht="15.75" customHeight="1" x14ac:dyDescent="0.3">
      <c r="BB1024893" s="38"/>
    </row>
    <row r="1024894" spans="54:54" ht="15.75" customHeight="1" x14ac:dyDescent="0.3">
      <c r="BB1024894" s="38"/>
    </row>
    <row r="1024895" spans="54:54" ht="15.75" customHeight="1" x14ac:dyDescent="0.3">
      <c r="BB1024895" s="38"/>
    </row>
    <row r="1024896" spans="54:54" ht="15.75" customHeight="1" x14ac:dyDescent="0.3">
      <c r="BB1024896" s="38"/>
    </row>
    <row r="1024897" spans="54:54" ht="15.75" customHeight="1" x14ac:dyDescent="0.3">
      <c r="BB1024897" s="38"/>
    </row>
    <row r="1024898" spans="54:54" ht="15.75" customHeight="1" x14ac:dyDescent="0.3">
      <c r="BB1024898" s="38"/>
    </row>
    <row r="1024899" spans="54:54" ht="15.75" customHeight="1" x14ac:dyDescent="0.3">
      <c r="BB1024899" s="38"/>
    </row>
    <row r="1024900" spans="54:54" ht="15.75" customHeight="1" x14ac:dyDescent="0.3">
      <c r="BB1024900" s="38"/>
    </row>
    <row r="1024901" spans="54:54" ht="15.75" customHeight="1" x14ac:dyDescent="0.3">
      <c r="BB1024901" s="38"/>
    </row>
    <row r="1024902" spans="54:54" ht="15.75" customHeight="1" x14ac:dyDescent="0.3">
      <c r="BB1024902" s="38"/>
    </row>
    <row r="1024903" spans="54:54" ht="15.75" customHeight="1" x14ac:dyDescent="0.3">
      <c r="BB1024903" s="38"/>
    </row>
    <row r="1024904" spans="54:54" ht="15.75" customHeight="1" x14ac:dyDescent="0.3">
      <c r="BB1024904" s="38"/>
    </row>
    <row r="1024905" spans="54:54" ht="15.75" customHeight="1" x14ac:dyDescent="0.3">
      <c r="BB1024905" s="38"/>
    </row>
    <row r="1024906" spans="54:54" ht="15.75" customHeight="1" x14ac:dyDescent="0.3">
      <c r="BB1024906" s="38"/>
    </row>
    <row r="1024907" spans="54:54" ht="15.75" customHeight="1" x14ac:dyDescent="0.3">
      <c r="BB1024907" s="38"/>
    </row>
    <row r="1024908" spans="54:54" ht="15.75" customHeight="1" x14ac:dyDescent="0.3">
      <c r="BB1024908" s="38"/>
    </row>
    <row r="1024909" spans="54:54" ht="15.75" customHeight="1" x14ac:dyDescent="0.3">
      <c r="BB1024909" s="38"/>
    </row>
    <row r="1024910" spans="54:54" ht="15.75" customHeight="1" x14ac:dyDescent="0.3">
      <c r="BB1024910" s="38"/>
    </row>
    <row r="1024911" spans="54:54" ht="15.75" customHeight="1" x14ac:dyDescent="0.3">
      <c r="BB1024911" s="38"/>
    </row>
    <row r="1024912" spans="54:54" ht="15.75" customHeight="1" x14ac:dyDescent="0.3">
      <c r="BB1024912" s="38"/>
    </row>
    <row r="1024913" spans="54:54" ht="15.75" customHeight="1" x14ac:dyDescent="0.3">
      <c r="BB1024913" s="38"/>
    </row>
    <row r="1024914" spans="54:54" ht="15.75" customHeight="1" x14ac:dyDescent="0.3">
      <c r="BB1024914" s="38"/>
    </row>
    <row r="1024915" spans="54:54" ht="15.75" customHeight="1" x14ac:dyDescent="0.3">
      <c r="BB1024915" s="38"/>
    </row>
    <row r="1024916" spans="54:54" ht="15.75" customHeight="1" x14ac:dyDescent="0.3">
      <c r="BB1024916" s="38"/>
    </row>
    <row r="1024917" spans="54:54" ht="15.75" customHeight="1" x14ac:dyDescent="0.3">
      <c r="BB1024917" s="38"/>
    </row>
    <row r="1024918" spans="54:54" ht="15.75" customHeight="1" x14ac:dyDescent="0.3">
      <c r="BB1024918" s="38"/>
    </row>
    <row r="1024919" spans="54:54" ht="15.75" customHeight="1" x14ac:dyDescent="0.3">
      <c r="BB1024919" s="38"/>
    </row>
    <row r="1024920" spans="54:54" ht="15.75" customHeight="1" x14ac:dyDescent="0.3">
      <c r="BB1024920" s="38"/>
    </row>
    <row r="1024921" spans="54:54" ht="15.75" customHeight="1" x14ac:dyDescent="0.3">
      <c r="BB1024921" s="38"/>
    </row>
    <row r="1024922" spans="54:54" ht="15.75" customHeight="1" x14ac:dyDescent="0.3">
      <c r="BB1024922" s="38"/>
    </row>
    <row r="1024923" spans="54:54" ht="15.75" customHeight="1" x14ac:dyDescent="0.3">
      <c r="BB1024923" s="38"/>
    </row>
    <row r="1024924" spans="54:54" ht="15.75" customHeight="1" x14ac:dyDescent="0.3">
      <c r="BB1024924" s="38"/>
    </row>
    <row r="1024925" spans="54:54" ht="15.75" customHeight="1" x14ac:dyDescent="0.3">
      <c r="BB1024925" s="38"/>
    </row>
    <row r="1024926" spans="54:54" ht="15.75" customHeight="1" x14ac:dyDescent="0.3">
      <c r="BB1024926" s="38"/>
    </row>
    <row r="1024927" spans="54:54" ht="15.75" customHeight="1" x14ac:dyDescent="0.3">
      <c r="BB1024927" s="38"/>
    </row>
    <row r="1024928" spans="54:54" ht="15.75" customHeight="1" x14ac:dyDescent="0.3">
      <c r="BB1024928" s="38"/>
    </row>
    <row r="1024929" spans="54:54" ht="15.75" customHeight="1" x14ac:dyDescent="0.3">
      <c r="BB1024929" s="38"/>
    </row>
    <row r="1024930" spans="54:54" ht="15.75" customHeight="1" x14ac:dyDescent="0.3">
      <c r="BB1024930" s="38"/>
    </row>
    <row r="1024931" spans="54:54" ht="15.75" customHeight="1" x14ac:dyDescent="0.3">
      <c r="BB1024931" s="38"/>
    </row>
    <row r="1024932" spans="54:54" ht="15.75" customHeight="1" x14ac:dyDescent="0.3">
      <c r="BB1024932" s="38"/>
    </row>
    <row r="1024933" spans="54:54" ht="15.75" customHeight="1" x14ac:dyDescent="0.3">
      <c r="BB1024933" s="38"/>
    </row>
    <row r="1024934" spans="54:54" ht="15.75" customHeight="1" x14ac:dyDescent="0.3">
      <c r="BB1024934" s="38"/>
    </row>
    <row r="1024935" spans="54:54" ht="15.75" customHeight="1" x14ac:dyDescent="0.3">
      <c r="BB1024935" s="38"/>
    </row>
    <row r="1024936" spans="54:54" ht="15.75" customHeight="1" x14ac:dyDescent="0.3">
      <c r="BB1024936" s="38"/>
    </row>
    <row r="1024937" spans="54:54" ht="15.75" customHeight="1" x14ac:dyDescent="0.3">
      <c r="BB1024937" s="38"/>
    </row>
    <row r="1024938" spans="54:54" ht="15.75" customHeight="1" x14ac:dyDescent="0.3">
      <c r="BB1024938" s="38"/>
    </row>
    <row r="1024939" spans="54:54" ht="15.75" customHeight="1" x14ac:dyDescent="0.3">
      <c r="BB1024939" s="38"/>
    </row>
    <row r="1024940" spans="54:54" ht="15.75" customHeight="1" x14ac:dyDescent="0.3">
      <c r="BB1024940" s="38"/>
    </row>
    <row r="1024941" spans="54:54" ht="15.75" customHeight="1" x14ac:dyDescent="0.3">
      <c r="BB1024941" s="38"/>
    </row>
    <row r="1024942" spans="54:54" ht="15.75" customHeight="1" x14ac:dyDescent="0.3">
      <c r="BB1024942" s="38"/>
    </row>
    <row r="1024943" spans="54:54" ht="15.75" customHeight="1" x14ac:dyDescent="0.3">
      <c r="BB1024943" s="38"/>
    </row>
    <row r="1024944" spans="54:54" ht="15.75" customHeight="1" x14ac:dyDescent="0.3">
      <c r="BB1024944" s="38"/>
    </row>
    <row r="1024945" spans="54:54" ht="15.75" customHeight="1" x14ac:dyDescent="0.3">
      <c r="BB1024945" s="38"/>
    </row>
    <row r="1024946" spans="54:54" ht="15.75" customHeight="1" x14ac:dyDescent="0.3">
      <c r="BB1024946" s="38"/>
    </row>
    <row r="1024947" spans="54:54" ht="15.75" customHeight="1" x14ac:dyDescent="0.3">
      <c r="BB1024947" s="38"/>
    </row>
    <row r="1024948" spans="54:54" ht="15.75" customHeight="1" x14ac:dyDescent="0.3">
      <c r="BB1024948" s="38"/>
    </row>
    <row r="1024949" spans="54:54" ht="15.75" customHeight="1" x14ac:dyDescent="0.3">
      <c r="BB1024949" s="38"/>
    </row>
    <row r="1024950" spans="54:54" ht="15.75" customHeight="1" x14ac:dyDescent="0.3">
      <c r="BB1024950" s="38"/>
    </row>
    <row r="1024951" spans="54:54" ht="15.75" customHeight="1" x14ac:dyDescent="0.3">
      <c r="BB1024951" s="38"/>
    </row>
    <row r="1024952" spans="54:54" ht="15.75" customHeight="1" x14ac:dyDescent="0.3">
      <c r="BB1024952" s="38"/>
    </row>
    <row r="1024953" spans="54:54" ht="15.75" customHeight="1" x14ac:dyDescent="0.3">
      <c r="BB1024953" s="38"/>
    </row>
    <row r="1024954" spans="54:54" ht="15.75" customHeight="1" x14ac:dyDescent="0.3">
      <c r="BB1024954" s="38"/>
    </row>
    <row r="1024955" spans="54:54" ht="15.75" customHeight="1" x14ac:dyDescent="0.3">
      <c r="BB1024955" s="38"/>
    </row>
    <row r="1024956" spans="54:54" ht="15.75" customHeight="1" x14ac:dyDescent="0.3">
      <c r="BB1024956" s="38"/>
    </row>
    <row r="1024957" spans="54:54" ht="15.75" customHeight="1" x14ac:dyDescent="0.3">
      <c r="BB1024957" s="38"/>
    </row>
    <row r="1024958" spans="54:54" ht="15.75" customHeight="1" x14ac:dyDescent="0.3">
      <c r="BB1024958" s="38"/>
    </row>
    <row r="1024959" spans="54:54" ht="15.75" customHeight="1" x14ac:dyDescent="0.3">
      <c r="BB1024959" s="38"/>
    </row>
    <row r="1024960" spans="54:54" ht="15.75" customHeight="1" x14ac:dyDescent="0.3">
      <c r="BB1024960" s="38"/>
    </row>
    <row r="1024961" spans="54:54" ht="15.75" customHeight="1" x14ac:dyDescent="0.3">
      <c r="BB1024961" s="38"/>
    </row>
    <row r="1024962" spans="54:54" ht="15.75" customHeight="1" x14ac:dyDescent="0.3">
      <c r="BB1024962" s="38"/>
    </row>
    <row r="1024963" spans="54:54" ht="15.75" customHeight="1" x14ac:dyDescent="0.3">
      <c r="BB1024963" s="38"/>
    </row>
    <row r="1024964" spans="54:54" ht="15.75" customHeight="1" x14ac:dyDescent="0.3">
      <c r="BB1024964" s="38"/>
    </row>
    <row r="1024965" spans="54:54" ht="15.75" customHeight="1" x14ac:dyDescent="0.3">
      <c r="BB1024965" s="38"/>
    </row>
    <row r="1024966" spans="54:54" ht="15.75" customHeight="1" x14ac:dyDescent="0.3">
      <c r="BB1024966" s="38"/>
    </row>
    <row r="1024967" spans="54:54" ht="15.75" customHeight="1" x14ac:dyDescent="0.3">
      <c r="BB1024967" s="38"/>
    </row>
    <row r="1024968" spans="54:54" ht="15.75" customHeight="1" x14ac:dyDescent="0.3">
      <c r="BB1024968" s="38"/>
    </row>
    <row r="1024969" spans="54:54" ht="15.75" customHeight="1" x14ac:dyDescent="0.3">
      <c r="BB1024969" s="38"/>
    </row>
    <row r="1024970" spans="54:54" ht="15.75" customHeight="1" x14ac:dyDescent="0.3">
      <c r="BB1024970" s="38"/>
    </row>
    <row r="1024971" spans="54:54" ht="15.75" customHeight="1" x14ac:dyDescent="0.3">
      <c r="BB1024971" s="38"/>
    </row>
    <row r="1024972" spans="54:54" ht="15.75" customHeight="1" x14ac:dyDescent="0.3">
      <c r="BB1024972" s="38"/>
    </row>
    <row r="1024973" spans="54:54" ht="15.75" customHeight="1" x14ac:dyDescent="0.3">
      <c r="BB1024973" s="38"/>
    </row>
    <row r="1024974" spans="54:54" ht="15.75" customHeight="1" x14ac:dyDescent="0.3">
      <c r="BB1024974" s="38"/>
    </row>
    <row r="1024975" spans="54:54" ht="15.75" customHeight="1" x14ac:dyDescent="0.3">
      <c r="BB1024975" s="38"/>
    </row>
    <row r="1024976" spans="54:54" ht="15.75" customHeight="1" x14ac:dyDescent="0.3">
      <c r="BB1024976" s="38"/>
    </row>
    <row r="1024977" spans="54:54" ht="15.75" customHeight="1" x14ac:dyDescent="0.3">
      <c r="BB1024977" s="38"/>
    </row>
    <row r="1024978" spans="54:54" ht="15.75" customHeight="1" x14ac:dyDescent="0.3">
      <c r="BB1024978" s="38"/>
    </row>
    <row r="1024979" spans="54:54" ht="15.75" customHeight="1" x14ac:dyDescent="0.3">
      <c r="BB1024979" s="38"/>
    </row>
    <row r="1024980" spans="54:54" ht="15.75" customHeight="1" x14ac:dyDescent="0.3">
      <c r="BB1024980" s="38"/>
    </row>
    <row r="1024981" spans="54:54" ht="15.75" customHeight="1" x14ac:dyDescent="0.3">
      <c r="BB1024981" s="38"/>
    </row>
    <row r="1024982" spans="54:54" ht="15.75" customHeight="1" x14ac:dyDescent="0.3">
      <c r="BB1024982" s="38"/>
    </row>
    <row r="1024983" spans="54:54" ht="15.75" customHeight="1" x14ac:dyDescent="0.3">
      <c r="BB1024983" s="38"/>
    </row>
    <row r="1024984" spans="54:54" ht="15.75" customHeight="1" x14ac:dyDescent="0.3">
      <c r="BB1024984" s="38"/>
    </row>
    <row r="1024985" spans="54:54" ht="15.75" customHeight="1" x14ac:dyDescent="0.3">
      <c r="BB1024985" s="38"/>
    </row>
    <row r="1024986" spans="54:54" ht="15.75" customHeight="1" x14ac:dyDescent="0.3">
      <c r="BB1024986" s="38"/>
    </row>
    <row r="1024987" spans="54:54" ht="15.75" customHeight="1" x14ac:dyDescent="0.3">
      <c r="BB1024987" s="38"/>
    </row>
    <row r="1024988" spans="54:54" ht="15.75" customHeight="1" x14ac:dyDescent="0.3">
      <c r="BB1024988" s="38"/>
    </row>
    <row r="1024989" spans="54:54" ht="15.75" customHeight="1" x14ac:dyDescent="0.3">
      <c r="BB1024989" s="38"/>
    </row>
    <row r="1024990" spans="54:54" ht="15.75" customHeight="1" x14ac:dyDescent="0.3">
      <c r="BB1024990" s="38"/>
    </row>
    <row r="1024991" spans="54:54" ht="15.75" customHeight="1" x14ac:dyDescent="0.3">
      <c r="BB1024991" s="38"/>
    </row>
    <row r="1024992" spans="54:54" ht="15.75" customHeight="1" x14ac:dyDescent="0.3">
      <c r="BB1024992" s="38"/>
    </row>
    <row r="1024993" spans="54:54" ht="15.75" customHeight="1" x14ac:dyDescent="0.3">
      <c r="BB1024993" s="38"/>
    </row>
    <row r="1024994" spans="54:54" ht="15.75" customHeight="1" x14ac:dyDescent="0.3">
      <c r="BB1024994" s="38"/>
    </row>
    <row r="1024995" spans="54:54" ht="15.75" customHeight="1" x14ac:dyDescent="0.3">
      <c r="BB1024995" s="38"/>
    </row>
    <row r="1024996" spans="54:54" ht="15.75" customHeight="1" x14ac:dyDescent="0.3">
      <c r="BB1024996" s="38"/>
    </row>
    <row r="1024997" spans="54:54" ht="15.75" customHeight="1" x14ac:dyDescent="0.3">
      <c r="BB1024997" s="38"/>
    </row>
    <row r="1024998" spans="54:54" ht="15.75" customHeight="1" x14ac:dyDescent="0.3">
      <c r="BB1024998" s="38"/>
    </row>
    <row r="1024999" spans="54:54" ht="15.75" customHeight="1" x14ac:dyDescent="0.3">
      <c r="BB1024999" s="38"/>
    </row>
    <row r="1025000" spans="54:54" ht="15.75" customHeight="1" x14ac:dyDescent="0.3">
      <c r="BB1025000" s="38"/>
    </row>
    <row r="1025001" spans="54:54" ht="15.75" customHeight="1" x14ac:dyDescent="0.3">
      <c r="BB1025001" s="38"/>
    </row>
    <row r="1025002" spans="54:54" ht="15.75" customHeight="1" x14ac:dyDescent="0.3">
      <c r="BB1025002" s="38"/>
    </row>
    <row r="1025003" spans="54:54" ht="15.75" customHeight="1" x14ac:dyDescent="0.3">
      <c r="BB1025003" s="38"/>
    </row>
    <row r="1025004" spans="54:54" ht="15.75" customHeight="1" x14ac:dyDescent="0.3">
      <c r="BB1025004" s="38"/>
    </row>
    <row r="1025005" spans="54:54" ht="15.75" customHeight="1" x14ac:dyDescent="0.3">
      <c r="BB1025005" s="38"/>
    </row>
    <row r="1025006" spans="54:54" ht="15.75" customHeight="1" x14ac:dyDescent="0.3">
      <c r="BB1025006" s="38"/>
    </row>
    <row r="1025007" spans="54:54" ht="15.75" customHeight="1" x14ac:dyDescent="0.3">
      <c r="BB1025007" s="38"/>
    </row>
    <row r="1025008" spans="54:54" ht="15.75" customHeight="1" x14ac:dyDescent="0.3">
      <c r="BB1025008" s="38"/>
    </row>
    <row r="1025009" spans="54:54" ht="15.75" customHeight="1" x14ac:dyDescent="0.3">
      <c r="BB1025009" s="38"/>
    </row>
    <row r="1025010" spans="54:54" ht="15.75" customHeight="1" x14ac:dyDescent="0.3">
      <c r="BB1025010" s="38"/>
    </row>
    <row r="1025011" spans="54:54" ht="15.75" customHeight="1" x14ac:dyDescent="0.3">
      <c r="BB1025011" s="38"/>
    </row>
    <row r="1025012" spans="54:54" ht="15.75" customHeight="1" x14ac:dyDescent="0.3">
      <c r="BB1025012" s="38"/>
    </row>
    <row r="1025013" spans="54:54" ht="15.75" customHeight="1" x14ac:dyDescent="0.3">
      <c r="BB1025013" s="38"/>
    </row>
    <row r="1025014" spans="54:54" ht="15.75" customHeight="1" x14ac:dyDescent="0.3">
      <c r="BB1025014" s="38"/>
    </row>
    <row r="1025015" spans="54:54" ht="15.75" customHeight="1" x14ac:dyDescent="0.3">
      <c r="BB1025015" s="38"/>
    </row>
    <row r="1025016" spans="54:54" ht="15.75" customHeight="1" x14ac:dyDescent="0.3">
      <c r="BB1025016" s="38"/>
    </row>
    <row r="1025017" spans="54:54" ht="15.75" customHeight="1" x14ac:dyDescent="0.3">
      <c r="BB1025017" s="38"/>
    </row>
    <row r="1025018" spans="54:54" ht="15.75" customHeight="1" x14ac:dyDescent="0.3">
      <c r="BB1025018" s="38"/>
    </row>
    <row r="1025019" spans="54:54" ht="15.75" customHeight="1" x14ac:dyDescent="0.3">
      <c r="BB1025019" s="38"/>
    </row>
    <row r="1025020" spans="54:54" ht="15.75" customHeight="1" x14ac:dyDescent="0.3">
      <c r="BB1025020" s="38"/>
    </row>
    <row r="1025021" spans="54:54" ht="15.75" customHeight="1" x14ac:dyDescent="0.3">
      <c r="BB1025021" s="38"/>
    </row>
    <row r="1025022" spans="54:54" ht="15.75" customHeight="1" x14ac:dyDescent="0.3">
      <c r="BB1025022" s="38"/>
    </row>
    <row r="1025023" spans="54:54" ht="15.75" customHeight="1" x14ac:dyDescent="0.3">
      <c r="BB1025023" s="38"/>
    </row>
    <row r="1025024" spans="54:54" ht="15.75" customHeight="1" x14ac:dyDescent="0.3">
      <c r="BB1025024" s="38"/>
    </row>
    <row r="1025025" spans="54:54" ht="15.75" customHeight="1" x14ac:dyDescent="0.3">
      <c r="BB1025025" s="38"/>
    </row>
    <row r="1025026" spans="54:54" ht="15.75" customHeight="1" x14ac:dyDescent="0.3">
      <c r="BB1025026" s="38"/>
    </row>
    <row r="1025027" spans="54:54" ht="15.75" customHeight="1" x14ac:dyDescent="0.3">
      <c r="BB1025027" s="38"/>
    </row>
    <row r="1025028" spans="54:54" ht="15.75" customHeight="1" x14ac:dyDescent="0.3">
      <c r="BB1025028" s="38"/>
    </row>
    <row r="1025029" spans="54:54" ht="15.75" customHeight="1" x14ac:dyDescent="0.3">
      <c r="BB1025029" s="38"/>
    </row>
    <row r="1025030" spans="54:54" ht="15.75" customHeight="1" x14ac:dyDescent="0.3">
      <c r="BB1025030" s="38"/>
    </row>
    <row r="1025031" spans="54:54" ht="15.75" customHeight="1" x14ac:dyDescent="0.3">
      <c r="BB1025031" s="38"/>
    </row>
    <row r="1025032" spans="54:54" ht="15.75" customHeight="1" x14ac:dyDescent="0.3">
      <c r="BB1025032" s="38"/>
    </row>
    <row r="1025033" spans="54:54" ht="15.75" customHeight="1" x14ac:dyDescent="0.3">
      <c r="BB1025033" s="38"/>
    </row>
    <row r="1025034" spans="54:54" ht="15.75" customHeight="1" x14ac:dyDescent="0.3">
      <c r="BB1025034" s="38"/>
    </row>
    <row r="1025035" spans="54:54" ht="15.75" customHeight="1" x14ac:dyDescent="0.3">
      <c r="BB1025035" s="38"/>
    </row>
    <row r="1025036" spans="54:54" ht="15.75" customHeight="1" x14ac:dyDescent="0.3">
      <c r="BB1025036" s="38"/>
    </row>
    <row r="1025037" spans="54:54" ht="15.75" customHeight="1" x14ac:dyDescent="0.3">
      <c r="BB1025037" s="38"/>
    </row>
    <row r="1025038" spans="54:54" ht="15.75" customHeight="1" x14ac:dyDescent="0.3">
      <c r="BB1025038" s="38"/>
    </row>
    <row r="1025039" spans="54:54" ht="15.75" customHeight="1" x14ac:dyDescent="0.3">
      <c r="BB1025039" s="38"/>
    </row>
    <row r="1025040" spans="54:54" ht="15.75" customHeight="1" x14ac:dyDescent="0.3">
      <c r="BB1025040" s="38"/>
    </row>
    <row r="1025041" spans="54:54" ht="15.75" customHeight="1" x14ac:dyDescent="0.3">
      <c r="BB1025041" s="38"/>
    </row>
    <row r="1025042" spans="54:54" ht="15.75" customHeight="1" x14ac:dyDescent="0.3">
      <c r="BB1025042" s="38"/>
    </row>
    <row r="1025043" spans="54:54" ht="15.75" customHeight="1" x14ac:dyDescent="0.3">
      <c r="BB1025043" s="38"/>
    </row>
    <row r="1025044" spans="54:54" ht="15.75" customHeight="1" x14ac:dyDescent="0.3">
      <c r="BB1025044" s="38"/>
    </row>
    <row r="1025045" spans="54:54" ht="15.75" customHeight="1" x14ac:dyDescent="0.3">
      <c r="BB1025045" s="38"/>
    </row>
    <row r="1025046" spans="54:54" ht="15.75" customHeight="1" x14ac:dyDescent="0.3">
      <c r="BB1025046" s="38"/>
    </row>
    <row r="1025047" spans="54:54" ht="15.75" customHeight="1" x14ac:dyDescent="0.3">
      <c r="BB1025047" s="38"/>
    </row>
    <row r="1025048" spans="54:54" ht="15.75" customHeight="1" x14ac:dyDescent="0.3">
      <c r="BB1025048" s="38"/>
    </row>
    <row r="1025049" spans="54:54" ht="15.75" customHeight="1" x14ac:dyDescent="0.3">
      <c r="BB1025049" s="38"/>
    </row>
    <row r="1025050" spans="54:54" ht="15.75" customHeight="1" x14ac:dyDescent="0.3">
      <c r="BB1025050" s="38"/>
    </row>
    <row r="1025051" spans="54:54" ht="15.75" customHeight="1" x14ac:dyDescent="0.3">
      <c r="BB1025051" s="38"/>
    </row>
    <row r="1025052" spans="54:54" ht="15.75" customHeight="1" x14ac:dyDescent="0.3">
      <c r="BB1025052" s="38"/>
    </row>
    <row r="1025053" spans="54:54" ht="15.75" customHeight="1" x14ac:dyDescent="0.3">
      <c r="BB1025053" s="38"/>
    </row>
    <row r="1025054" spans="54:54" ht="15.75" customHeight="1" x14ac:dyDescent="0.3">
      <c r="BB1025054" s="38"/>
    </row>
    <row r="1025055" spans="54:54" ht="15.75" customHeight="1" x14ac:dyDescent="0.3">
      <c r="BB1025055" s="38"/>
    </row>
    <row r="1025056" spans="54:54" ht="15.75" customHeight="1" x14ac:dyDescent="0.3">
      <c r="BB1025056" s="38"/>
    </row>
    <row r="1025057" spans="54:54" ht="15.75" customHeight="1" x14ac:dyDescent="0.3">
      <c r="BB1025057" s="38"/>
    </row>
    <row r="1025058" spans="54:54" ht="15.75" customHeight="1" x14ac:dyDescent="0.3">
      <c r="BB1025058" s="38"/>
    </row>
    <row r="1025059" spans="54:54" ht="15.75" customHeight="1" x14ac:dyDescent="0.3">
      <c r="BB1025059" s="38"/>
    </row>
    <row r="1025060" spans="54:54" ht="15.75" customHeight="1" x14ac:dyDescent="0.3">
      <c r="BB1025060" s="38"/>
    </row>
    <row r="1025061" spans="54:54" ht="15.75" customHeight="1" x14ac:dyDescent="0.3">
      <c r="BB1025061" s="38"/>
    </row>
    <row r="1025062" spans="54:54" ht="15.75" customHeight="1" x14ac:dyDescent="0.3">
      <c r="BB1025062" s="38"/>
    </row>
    <row r="1025063" spans="54:54" ht="15.75" customHeight="1" x14ac:dyDescent="0.3">
      <c r="BB1025063" s="38"/>
    </row>
    <row r="1025064" spans="54:54" ht="15.75" customHeight="1" x14ac:dyDescent="0.3">
      <c r="BB1025064" s="38"/>
    </row>
    <row r="1025065" spans="54:54" ht="15.75" customHeight="1" x14ac:dyDescent="0.3">
      <c r="BB1025065" s="38"/>
    </row>
    <row r="1025066" spans="54:54" ht="15.75" customHeight="1" x14ac:dyDescent="0.3">
      <c r="BB1025066" s="38"/>
    </row>
    <row r="1025067" spans="54:54" ht="15.75" customHeight="1" x14ac:dyDescent="0.3">
      <c r="BB1025067" s="38"/>
    </row>
    <row r="1025068" spans="54:54" ht="15.75" customHeight="1" x14ac:dyDescent="0.3">
      <c r="BB1025068" s="38"/>
    </row>
    <row r="1025069" spans="54:54" ht="15.75" customHeight="1" x14ac:dyDescent="0.3">
      <c r="BB1025069" s="38"/>
    </row>
    <row r="1025070" spans="54:54" ht="15.75" customHeight="1" x14ac:dyDescent="0.3">
      <c r="BB1025070" s="38"/>
    </row>
    <row r="1025071" spans="54:54" ht="15.75" customHeight="1" x14ac:dyDescent="0.3">
      <c r="BB1025071" s="38"/>
    </row>
    <row r="1025072" spans="54:54" ht="15.75" customHeight="1" x14ac:dyDescent="0.3">
      <c r="BB1025072" s="38"/>
    </row>
    <row r="1025073" spans="54:54" ht="15.75" customHeight="1" x14ac:dyDescent="0.3">
      <c r="BB1025073" s="38"/>
    </row>
    <row r="1025074" spans="54:54" ht="15.75" customHeight="1" x14ac:dyDescent="0.3">
      <c r="BB1025074" s="38"/>
    </row>
    <row r="1025075" spans="54:54" ht="15.75" customHeight="1" x14ac:dyDescent="0.3">
      <c r="BB1025075" s="38"/>
    </row>
    <row r="1025076" spans="54:54" ht="15.75" customHeight="1" x14ac:dyDescent="0.3">
      <c r="BB1025076" s="38"/>
    </row>
    <row r="1025077" spans="54:54" ht="15.75" customHeight="1" x14ac:dyDescent="0.3">
      <c r="BB1025077" s="38"/>
    </row>
    <row r="1025078" spans="54:54" ht="15.75" customHeight="1" x14ac:dyDescent="0.3">
      <c r="BB1025078" s="38"/>
    </row>
    <row r="1025079" spans="54:54" ht="15.75" customHeight="1" x14ac:dyDescent="0.3">
      <c r="BB1025079" s="38"/>
    </row>
    <row r="1025080" spans="54:54" ht="15.75" customHeight="1" x14ac:dyDescent="0.3">
      <c r="BB1025080" s="38"/>
    </row>
    <row r="1025081" spans="54:54" ht="15.75" customHeight="1" x14ac:dyDescent="0.3">
      <c r="BB1025081" s="38"/>
    </row>
    <row r="1025082" spans="54:54" ht="15.75" customHeight="1" x14ac:dyDescent="0.3">
      <c r="BB1025082" s="38"/>
    </row>
    <row r="1025083" spans="54:54" ht="15.75" customHeight="1" x14ac:dyDescent="0.3">
      <c r="BB1025083" s="38"/>
    </row>
    <row r="1025084" spans="54:54" ht="15.75" customHeight="1" x14ac:dyDescent="0.3">
      <c r="BB1025084" s="38"/>
    </row>
    <row r="1025085" spans="54:54" ht="15.75" customHeight="1" x14ac:dyDescent="0.3">
      <c r="BB1025085" s="38"/>
    </row>
    <row r="1025086" spans="54:54" ht="15.75" customHeight="1" x14ac:dyDescent="0.3">
      <c r="BB1025086" s="38"/>
    </row>
    <row r="1025087" spans="54:54" ht="15.75" customHeight="1" x14ac:dyDescent="0.3">
      <c r="BB1025087" s="38"/>
    </row>
    <row r="1025088" spans="54:54" ht="15.75" customHeight="1" x14ac:dyDescent="0.3">
      <c r="BB1025088" s="38"/>
    </row>
    <row r="1025089" spans="54:54" ht="15.75" customHeight="1" x14ac:dyDescent="0.3">
      <c r="BB1025089" s="38"/>
    </row>
    <row r="1025090" spans="54:54" ht="15.75" customHeight="1" x14ac:dyDescent="0.3">
      <c r="BB1025090" s="38"/>
    </row>
    <row r="1025091" spans="54:54" ht="15.75" customHeight="1" x14ac:dyDescent="0.3">
      <c r="BB1025091" s="38"/>
    </row>
    <row r="1025092" spans="54:54" ht="15.75" customHeight="1" x14ac:dyDescent="0.3">
      <c r="BB1025092" s="38"/>
    </row>
    <row r="1025093" spans="54:54" ht="15.75" customHeight="1" x14ac:dyDescent="0.3">
      <c r="BB1025093" s="38"/>
    </row>
    <row r="1025094" spans="54:54" ht="15.75" customHeight="1" x14ac:dyDescent="0.3">
      <c r="BB1025094" s="38"/>
    </row>
    <row r="1025095" spans="54:54" ht="15.75" customHeight="1" x14ac:dyDescent="0.3">
      <c r="BB1025095" s="38"/>
    </row>
    <row r="1025096" spans="54:54" ht="15.75" customHeight="1" x14ac:dyDescent="0.3">
      <c r="BB1025096" s="38"/>
    </row>
    <row r="1025097" spans="54:54" ht="15.75" customHeight="1" x14ac:dyDescent="0.3">
      <c r="BB1025097" s="38"/>
    </row>
    <row r="1025098" spans="54:54" ht="15.75" customHeight="1" x14ac:dyDescent="0.3">
      <c r="BB1025098" s="38"/>
    </row>
    <row r="1025099" spans="54:54" ht="15.75" customHeight="1" x14ac:dyDescent="0.3">
      <c r="BB1025099" s="38"/>
    </row>
    <row r="1025100" spans="54:54" ht="15.75" customHeight="1" x14ac:dyDescent="0.3">
      <c r="BB1025100" s="38"/>
    </row>
    <row r="1025101" spans="54:54" ht="15.75" customHeight="1" x14ac:dyDescent="0.3">
      <c r="BB1025101" s="38"/>
    </row>
    <row r="1025102" spans="54:54" ht="15.75" customHeight="1" x14ac:dyDescent="0.3">
      <c r="BB1025102" s="38"/>
    </row>
    <row r="1025103" spans="54:54" ht="15.75" customHeight="1" x14ac:dyDescent="0.3">
      <c r="BB1025103" s="38"/>
    </row>
    <row r="1025104" spans="54:54" ht="15.75" customHeight="1" x14ac:dyDescent="0.3">
      <c r="BB1025104" s="38"/>
    </row>
    <row r="1025105" spans="54:54" ht="15.75" customHeight="1" x14ac:dyDescent="0.3">
      <c r="BB1025105" s="38"/>
    </row>
    <row r="1025106" spans="54:54" ht="15.75" customHeight="1" x14ac:dyDescent="0.3">
      <c r="BB1025106" s="38"/>
    </row>
    <row r="1025107" spans="54:54" ht="15.75" customHeight="1" x14ac:dyDescent="0.3">
      <c r="BB1025107" s="38"/>
    </row>
    <row r="1025108" spans="54:54" ht="15.75" customHeight="1" x14ac:dyDescent="0.3">
      <c r="BB1025108" s="38"/>
    </row>
    <row r="1025109" spans="54:54" ht="15.75" customHeight="1" x14ac:dyDescent="0.3">
      <c r="BB1025109" s="38"/>
    </row>
    <row r="1025110" spans="54:54" ht="15.75" customHeight="1" x14ac:dyDescent="0.3">
      <c r="BB1025110" s="38"/>
    </row>
    <row r="1025111" spans="54:54" ht="15.75" customHeight="1" x14ac:dyDescent="0.3">
      <c r="BB1025111" s="38"/>
    </row>
    <row r="1025112" spans="54:54" ht="15.75" customHeight="1" x14ac:dyDescent="0.3">
      <c r="BB1025112" s="38"/>
    </row>
    <row r="1025113" spans="54:54" ht="15.75" customHeight="1" x14ac:dyDescent="0.3">
      <c r="BB1025113" s="38"/>
    </row>
    <row r="1025114" spans="54:54" ht="15.75" customHeight="1" x14ac:dyDescent="0.3">
      <c r="BB1025114" s="38"/>
    </row>
    <row r="1025115" spans="54:54" ht="15.75" customHeight="1" x14ac:dyDescent="0.3">
      <c r="BB1025115" s="38"/>
    </row>
    <row r="1025116" spans="54:54" ht="15.75" customHeight="1" x14ac:dyDescent="0.3">
      <c r="BB1025116" s="38"/>
    </row>
    <row r="1025117" spans="54:54" ht="15.75" customHeight="1" x14ac:dyDescent="0.3">
      <c r="BB1025117" s="38"/>
    </row>
    <row r="1025118" spans="54:54" ht="15.75" customHeight="1" x14ac:dyDescent="0.3">
      <c r="BB1025118" s="38"/>
    </row>
    <row r="1025119" spans="54:54" ht="15.75" customHeight="1" x14ac:dyDescent="0.3">
      <c r="BB1025119" s="38"/>
    </row>
    <row r="1025120" spans="54:54" ht="15.75" customHeight="1" x14ac:dyDescent="0.3">
      <c r="BB1025120" s="38"/>
    </row>
    <row r="1025121" spans="54:54" ht="15.75" customHeight="1" x14ac:dyDescent="0.3">
      <c r="BB1025121" s="38"/>
    </row>
    <row r="1025122" spans="54:54" ht="15.75" customHeight="1" x14ac:dyDescent="0.3">
      <c r="BB1025122" s="38"/>
    </row>
    <row r="1025123" spans="54:54" ht="15.75" customHeight="1" x14ac:dyDescent="0.3">
      <c r="BB1025123" s="38"/>
    </row>
    <row r="1025124" spans="54:54" ht="15.75" customHeight="1" x14ac:dyDescent="0.3">
      <c r="BB1025124" s="38"/>
    </row>
    <row r="1025125" spans="54:54" ht="15.75" customHeight="1" x14ac:dyDescent="0.3">
      <c r="BB1025125" s="38"/>
    </row>
    <row r="1025126" spans="54:54" ht="15.75" customHeight="1" x14ac:dyDescent="0.3">
      <c r="BB1025126" s="38"/>
    </row>
    <row r="1025127" spans="54:54" ht="15.75" customHeight="1" x14ac:dyDescent="0.3">
      <c r="BB1025127" s="38"/>
    </row>
    <row r="1025128" spans="54:54" ht="15.75" customHeight="1" x14ac:dyDescent="0.3">
      <c r="BB1025128" s="38"/>
    </row>
    <row r="1025129" spans="54:54" ht="15.75" customHeight="1" x14ac:dyDescent="0.3">
      <c r="BB1025129" s="38"/>
    </row>
    <row r="1025130" spans="54:54" ht="15.75" customHeight="1" x14ac:dyDescent="0.3">
      <c r="BB1025130" s="38"/>
    </row>
    <row r="1025131" spans="54:54" ht="15.75" customHeight="1" x14ac:dyDescent="0.3">
      <c r="BB1025131" s="38"/>
    </row>
    <row r="1025132" spans="54:54" ht="15.75" customHeight="1" x14ac:dyDescent="0.3">
      <c r="BB1025132" s="38"/>
    </row>
    <row r="1025133" spans="54:54" ht="15.75" customHeight="1" x14ac:dyDescent="0.3">
      <c r="BB1025133" s="38"/>
    </row>
    <row r="1025134" spans="54:54" ht="15.75" customHeight="1" x14ac:dyDescent="0.3">
      <c r="BB1025134" s="38"/>
    </row>
    <row r="1025135" spans="54:54" ht="15.75" customHeight="1" x14ac:dyDescent="0.3">
      <c r="BB1025135" s="38"/>
    </row>
    <row r="1025136" spans="54:54" ht="15.75" customHeight="1" x14ac:dyDescent="0.3">
      <c r="BB1025136" s="38"/>
    </row>
    <row r="1025137" spans="54:54" ht="15.75" customHeight="1" x14ac:dyDescent="0.3">
      <c r="BB1025137" s="38"/>
    </row>
    <row r="1025138" spans="54:54" ht="15.75" customHeight="1" x14ac:dyDescent="0.3">
      <c r="BB1025138" s="38"/>
    </row>
    <row r="1025139" spans="54:54" ht="15.75" customHeight="1" x14ac:dyDescent="0.3">
      <c r="BB1025139" s="38"/>
    </row>
    <row r="1025140" spans="54:54" ht="15.75" customHeight="1" x14ac:dyDescent="0.3">
      <c r="BB1025140" s="38"/>
    </row>
    <row r="1025141" spans="54:54" ht="15.75" customHeight="1" x14ac:dyDescent="0.3">
      <c r="BB1025141" s="38"/>
    </row>
    <row r="1025142" spans="54:54" ht="15.75" customHeight="1" x14ac:dyDescent="0.3">
      <c r="BB1025142" s="38"/>
    </row>
    <row r="1025143" spans="54:54" ht="15.75" customHeight="1" x14ac:dyDescent="0.3">
      <c r="BB1025143" s="38"/>
    </row>
    <row r="1025144" spans="54:54" ht="15.75" customHeight="1" x14ac:dyDescent="0.3">
      <c r="BB1025144" s="38"/>
    </row>
    <row r="1025145" spans="54:54" ht="15.75" customHeight="1" x14ac:dyDescent="0.3">
      <c r="BB1025145" s="38"/>
    </row>
    <row r="1025146" spans="54:54" ht="15.75" customHeight="1" x14ac:dyDescent="0.3">
      <c r="BB1025146" s="38"/>
    </row>
    <row r="1025147" spans="54:54" ht="15.75" customHeight="1" x14ac:dyDescent="0.3">
      <c r="BB1025147" s="38"/>
    </row>
    <row r="1025148" spans="54:54" ht="15.75" customHeight="1" x14ac:dyDescent="0.3">
      <c r="BB1025148" s="38"/>
    </row>
    <row r="1025149" spans="54:54" ht="15.75" customHeight="1" x14ac:dyDescent="0.3">
      <c r="BB1025149" s="38"/>
    </row>
    <row r="1025150" spans="54:54" ht="15.75" customHeight="1" x14ac:dyDescent="0.3">
      <c r="BB1025150" s="38"/>
    </row>
    <row r="1025151" spans="54:54" ht="15.75" customHeight="1" x14ac:dyDescent="0.3">
      <c r="BB1025151" s="38"/>
    </row>
    <row r="1025152" spans="54:54" ht="15.75" customHeight="1" x14ac:dyDescent="0.3">
      <c r="BB1025152" s="38"/>
    </row>
    <row r="1025153" spans="54:54" ht="15.75" customHeight="1" x14ac:dyDescent="0.3">
      <c r="BB1025153" s="38"/>
    </row>
    <row r="1025154" spans="54:54" ht="15.75" customHeight="1" x14ac:dyDescent="0.3">
      <c r="BB1025154" s="38"/>
    </row>
    <row r="1025155" spans="54:54" ht="15.75" customHeight="1" x14ac:dyDescent="0.3">
      <c r="BB1025155" s="38"/>
    </row>
    <row r="1025156" spans="54:54" ht="15.75" customHeight="1" x14ac:dyDescent="0.3">
      <c r="BB1025156" s="38"/>
    </row>
    <row r="1025157" spans="54:54" ht="15.75" customHeight="1" x14ac:dyDescent="0.3">
      <c r="BB1025157" s="38"/>
    </row>
    <row r="1025158" spans="54:54" ht="15.75" customHeight="1" x14ac:dyDescent="0.3">
      <c r="BB1025158" s="38"/>
    </row>
    <row r="1025159" spans="54:54" ht="15.75" customHeight="1" x14ac:dyDescent="0.3">
      <c r="BB1025159" s="38"/>
    </row>
    <row r="1025160" spans="54:54" ht="15.75" customHeight="1" x14ac:dyDescent="0.3">
      <c r="BB1025160" s="38"/>
    </row>
    <row r="1025161" spans="54:54" ht="15.75" customHeight="1" x14ac:dyDescent="0.3">
      <c r="BB1025161" s="38"/>
    </row>
    <row r="1025162" spans="54:54" ht="15.75" customHeight="1" x14ac:dyDescent="0.3">
      <c r="BB1025162" s="38"/>
    </row>
    <row r="1025163" spans="54:54" ht="15.75" customHeight="1" x14ac:dyDescent="0.3">
      <c r="BB1025163" s="38"/>
    </row>
    <row r="1025164" spans="54:54" ht="15.75" customHeight="1" x14ac:dyDescent="0.3">
      <c r="BB1025164" s="38"/>
    </row>
    <row r="1025165" spans="54:54" ht="15.75" customHeight="1" x14ac:dyDescent="0.3">
      <c r="BB1025165" s="38"/>
    </row>
    <row r="1025166" spans="54:54" ht="15.75" customHeight="1" x14ac:dyDescent="0.3">
      <c r="BB1025166" s="38"/>
    </row>
    <row r="1025167" spans="54:54" ht="15.75" customHeight="1" x14ac:dyDescent="0.3">
      <c r="BB1025167" s="38"/>
    </row>
    <row r="1025168" spans="54:54" ht="15.75" customHeight="1" x14ac:dyDescent="0.3">
      <c r="BB1025168" s="38"/>
    </row>
    <row r="1025169" spans="54:54" ht="15.75" customHeight="1" x14ac:dyDescent="0.3">
      <c r="BB1025169" s="38"/>
    </row>
    <row r="1025170" spans="54:54" ht="15.75" customHeight="1" x14ac:dyDescent="0.3">
      <c r="BB1025170" s="38"/>
    </row>
    <row r="1025171" spans="54:54" ht="15.75" customHeight="1" x14ac:dyDescent="0.3">
      <c r="BB1025171" s="38"/>
    </row>
    <row r="1025172" spans="54:54" ht="15.75" customHeight="1" x14ac:dyDescent="0.3">
      <c r="BB1025172" s="38"/>
    </row>
    <row r="1025173" spans="54:54" ht="15.75" customHeight="1" x14ac:dyDescent="0.3">
      <c r="BB1025173" s="38"/>
    </row>
    <row r="1025174" spans="54:54" ht="15.75" customHeight="1" x14ac:dyDescent="0.3">
      <c r="BB1025174" s="38"/>
    </row>
    <row r="1025175" spans="54:54" ht="15.75" customHeight="1" x14ac:dyDescent="0.3">
      <c r="BB1025175" s="38"/>
    </row>
    <row r="1025176" spans="54:54" ht="15.75" customHeight="1" x14ac:dyDescent="0.3">
      <c r="BB1025176" s="38"/>
    </row>
    <row r="1025177" spans="54:54" ht="15.75" customHeight="1" x14ac:dyDescent="0.3">
      <c r="BB1025177" s="38"/>
    </row>
    <row r="1025178" spans="54:54" ht="15.75" customHeight="1" x14ac:dyDescent="0.3">
      <c r="BB1025178" s="38"/>
    </row>
    <row r="1025179" spans="54:54" ht="15.75" customHeight="1" x14ac:dyDescent="0.3">
      <c r="BB1025179" s="38"/>
    </row>
    <row r="1025180" spans="54:54" ht="15.75" customHeight="1" x14ac:dyDescent="0.3">
      <c r="BB1025180" s="38"/>
    </row>
    <row r="1025181" spans="54:54" ht="15.75" customHeight="1" x14ac:dyDescent="0.3">
      <c r="BB1025181" s="38"/>
    </row>
    <row r="1025182" spans="54:54" ht="15.75" customHeight="1" x14ac:dyDescent="0.3">
      <c r="BB1025182" s="38"/>
    </row>
    <row r="1025183" spans="54:54" ht="15.75" customHeight="1" x14ac:dyDescent="0.3">
      <c r="BB1025183" s="38"/>
    </row>
    <row r="1025184" spans="54:54" ht="15.75" customHeight="1" x14ac:dyDescent="0.3">
      <c r="BB1025184" s="38"/>
    </row>
    <row r="1025185" spans="54:54" ht="15.75" customHeight="1" x14ac:dyDescent="0.3">
      <c r="BB1025185" s="38"/>
    </row>
    <row r="1025186" spans="54:54" ht="15.75" customHeight="1" x14ac:dyDescent="0.3">
      <c r="BB1025186" s="38"/>
    </row>
    <row r="1025187" spans="54:54" ht="15.75" customHeight="1" x14ac:dyDescent="0.3">
      <c r="BB1025187" s="38"/>
    </row>
    <row r="1025188" spans="54:54" ht="15.75" customHeight="1" x14ac:dyDescent="0.3">
      <c r="BB1025188" s="38"/>
    </row>
    <row r="1025189" spans="54:54" ht="15.75" customHeight="1" x14ac:dyDescent="0.3">
      <c r="BB1025189" s="38"/>
    </row>
    <row r="1025190" spans="54:54" ht="15.75" customHeight="1" x14ac:dyDescent="0.3">
      <c r="BB1025190" s="38"/>
    </row>
    <row r="1025191" spans="54:54" ht="15.75" customHeight="1" x14ac:dyDescent="0.3">
      <c r="BB1025191" s="38"/>
    </row>
    <row r="1025192" spans="54:54" ht="15.75" customHeight="1" x14ac:dyDescent="0.3">
      <c r="BB1025192" s="38"/>
    </row>
    <row r="1025193" spans="54:54" ht="15.75" customHeight="1" x14ac:dyDescent="0.3">
      <c r="BB1025193" s="38"/>
    </row>
    <row r="1025194" spans="54:54" ht="15.75" customHeight="1" x14ac:dyDescent="0.3">
      <c r="BB1025194" s="38"/>
    </row>
    <row r="1025195" spans="54:54" ht="15.75" customHeight="1" x14ac:dyDescent="0.3">
      <c r="BB1025195" s="38"/>
    </row>
    <row r="1025196" spans="54:54" ht="15.75" customHeight="1" x14ac:dyDescent="0.3">
      <c r="BB1025196" s="38"/>
    </row>
    <row r="1025197" spans="54:54" ht="15.75" customHeight="1" x14ac:dyDescent="0.3">
      <c r="BB1025197" s="38"/>
    </row>
    <row r="1025198" spans="54:54" ht="15.75" customHeight="1" x14ac:dyDescent="0.3">
      <c r="BB1025198" s="38"/>
    </row>
    <row r="1025199" spans="54:54" ht="15.75" customHeight="1" x14ac:dyDescent="0.3">
      <c r="BB1025199" s="38"/>
    </row>
    <row r="1025200" spans="54:54" ht="15.75" customHeight="1" x14ac:dyDescent="0.3">
      <c r="BB1025200" s="38"/>
    </row>
    <row r="1025201" spans="54:54" ht="15.75" customHeight="1" x14ac:dyDescent="0.3">
      <c r="BB1025201" s="38"/>
    </row>
    <row r="1025202" spans="54:54" ht="15.75" customHeight="1" x14ac:dyDescent="0.3">
      <c r="BB1025202" s="38"/>
    </row>
    <row r="1025203" spans="54:54" ht="15.75" customHeight="1" x14ac:dyDescent="0.3">
      <c r="BB1025203" s="38"/>
    </row>
    <row r="1025204" spans="54:54" ht="15.75" customHeight="1" x14ac:dyDescent="0.3">
      <c r="BB1025204" s="38"/>
    </row>
    <row r="1025205" spans="54:54" ht="15.75" customHeight="1" x14ac:dyDescent="0.3">
      <c r="BB1025205" s="38"/>
    </row>
    <row r="1025206" spans="54:54" ht="15.75" customHeight="1" x14ac:dyDescent="0.3">
      <c r="BB1025206" s="38"/>
    </row>
    <row r="1025207" spans="54:54" ht="15.75" customHeight="1" x14ac:dyDescent="0.3">
      <c r="BB1025207" s="38"/>
    </row>
    <row r="1025208" spans="54:54" ht="15.75" customHeight="1" x14ac:dyDescent="0.3">
      <c r="BB1025208" s="38"/>
    </row>
    <row r="1025209" spans="54:54" ht="15.75" customHeight="1" x14ac:dyDescent="0.3">
      <c r="BB1025209" s="38"/>
    </row>
    <row r="1025210" spans="54:54" ht="15.75" customHeight="1" x14ac:dyDescent="0.3">
      <c r="BB1025210" s="38"/>
    </row>
    <row r="1025211" spans="54:54" ht="15.75" customHeight="1" x14ac:dyDescent="0.3">
      <c r="BB1025211" s="38"/>
    </row>
    <row r="1025212" spans="54:54" ht="15.75" customHeight="1" x14ac:dyDescent="0.3">
      <c r="BB1025212" s="38"/>
    </row>
    <row r="1025213" spans="54:54" ht="15.75" customHeight="1" x14ac:dyDescent="0.3">
      <c r="BB1025213" s="38"/>
    </row>
    <row r="1025214" spans="54:54" ht="15.75" customHeight="1" x14ac:dyDescent="0.3">
      <c r="BB1025214" s="38"/>
    </row>
    <row r="1025215" spans="54:54" ht="15.75" customHeight="1" x14ac:dyDescent="0.3">
      <c r="BB1025215" s="38"/>
    </row>
    <row r="1025216" spans="54:54" ht="15.75" customHeight="1" x14ac:dyDescent="0.3">
      <c r="BB1025216" s="38"/>
    </row>
    <row r="1025217" spans="54:54" ht="15.75" customHeight="1" x14ac:dyDescent="0.3">
      <c r="BB1025217" s="38"/>
    </row>
    <row r="1025218" spans="54:54" ht="15.75" customHeight="1" x14ac:dyDescent="0.3">
      <c r="BB1025218" s="38"/>
    </row>
    <row r="1025219" spans="54:54" ht="15.75" customHeight="1" x14ac:dyDescent="0.3">
      <c r="BB1025219" s="38"/>
    </row>
    <row r="1025220" spans="54:54" ht="15.75" customHeight="1" x14ac:dyDescent="0.3">
      <c r="BB1025220" s="38"/>
    </row>
    <row r="1025221" spans="54:54" ht="15.75" customHeight="1" x14ac:dyDescent="0.3">
      <c r="BB1025221" s="38"/>
    </row>
    <row r="1025222" spans="54:54" ht="15.75" customHeight="1" x14ac:dyDescent="0.3">
      <c r="BB1025222" s="38"/>
    </row>
    <row r="1025223" spans="54:54" ht="15.75" customHeight="1" x14ac:dyDescent="0.3">
      <c r="BB1025223" s="38"/>
    </row>
    <row r="1025224" spans="54:54" ht="15.75" customHeight="1" x14ac:dyDescent="0.3">
      <c r="BB1025224" s="38"/>
    </row>
    <row r="1025225" spans="54:54" ht="15.75" customHeight="1" x14ac:dyDescent="0.3">
      <c r="BB1025225" s="38"/>
    </row>
    <row r="1025226" spans="54:54" ht="15.75" customHeight="1" x14ac:dyDescent="0.3">
      <c r="BB1025226" s="38"/>
    </row>
    <row r="1025227" spans="54:54" ht="15.75" customHeight="1" x14ac:dyDescent="0.3">
      <c r="BB1025227" s="38"/>
    </row>
    <row r="1025228" spans="54:54" ht="15.75" customHeight="1" x14ac:dyDescent="0.3">
      <c r="BB1025228" s="38"/>
    </row>
    <row r="1025229" spans="54:54" ht="15.75" customHeight="1" x14ac:dyDescent="0.3">
      <c r="BB1025229" s="38"/>
    </row>
    <row r="1025230" spans="54:54" ht="15.75" customHeight="1" x14ac:dyDescent="0.3">
      <c r="BB1025230" s="38"/>
    </row>
    <row r="1025231" spans="54:54" ht="15.75" customHeight="1" x14ac:dyDescent="0.3">
      <c r="BB1025231" s="38"/>
    </row>
    <row r="1025232" spans="54:54" ht="15.75" customHeight="1" x14ac:dyDescent="0.3">
      <c r="BB1025232" s="38"/>
    </row>
    <row r="1025233" spans="54:54" ht="15.75" customHeight="1" x14ac:dyDescent="0.3">
      <c r="BB1025233" s="38"/>
    </row>
    <row r="1025234" spans="54:54" ht="15.75" customHeight="1" x14ac:dyDescent="0.3">
      <c r="BB1025234" s="38"/>
    </row>
    <row r="1025235" spans="54:54" ht="15.75" customHeight="1" x14ac:dyDescent="0.3">
      <c r="BB1025235" s="38"/>
    </row>
    <row r="1025236" spans="54:54" ht="15.75" customHeight="1" x14ac:dyDescent="0.3">
      <c r="BB1025236" s="38"/>
    </row>
    <row r="1025237" spans="54:54" ht="15.75" customHeight="1" x14ac:dyDescent="0.3">
      <c r="BB1025237" s="38"/>
    </row>
    <row r="1025238" spans="54:54" ht="15.75" customHeight="1" x14ac:dyDescent="0.3">
      <c r="BB1025238" s="38"/>
    </row>
    <row r="1025239" spans="54:54" ht="15.75" customHeight="1" x14ac:dyDescent="0.3">
      <c r="BB1025239" s="38"/>
    </row>
    <row r="1025240" spans="54:54" ht="15.75" customHeight="1" x14ac:dyDescent="0.3">
      <c r="BB1025240" s="38"/>
    </row>
    <row r="1025241" spans="54:54" ht="15.75" customHeight="1" x14ac:dyDescent="0.3">
      <c r="BB1025241" s="38"/>
    </row>
    <row r="1025242" spans="54:54" ht="15.75" customHeight="1" x14ac:dyDescent="0.3">
      <c r="BB1025242" s="38"/>
    </row>
    <row r="1025243" spans="54:54" ht="15.75" customHeight="1" x14ac:dyDescent="0.3">
      <c r="BB1025243" s="38"/>
    </row>
    <row r="1025244" spans="54:54" ht="15.75" customHeight="1" x14ac:dyDescent="0.3">
      <c r="BB1025244" s="38"/>
    </row>
    <row r="1025245" spans="54:54" ht="15.75" customHeight="1" x14ac:dyDescent="0.3">
      <c r="BB1025245" s="38"/>
    </row>
    <row r="1025246" spans="54:54" ht="15.75" customHeight="1" x14ac:dyDescent="0.3">
      <c r="BB1025246" s="38"/>
    </row>
    <row r="1025247" spans="54:54" ht="15.75" customHeight="1" x14ac:dyDescent="0.3">
      <c r="BB1025247" s="38"/>
    </row>
    <row r="1025248" spans="54:54" ht="15.75" customHeight="1" x14ac:dyDescent="0.3">
      <c r="BB1025248" s="38"/>
    </row>
    <row r="1025249" spans="54:54" ht="15.75" customHeight="1" x14ac:dyDescent="0.3">
      <c r="BB1025249" s="38"/>
    </row>
    <row r="1025250" spans="54:54" ht="15.75" customHeight="1" x14ac:dyDescent="0.3">
      <c r="BB1025250" s="38"/>
    </row>
    <row r="1025251" spans="54:54" ht="15.75" customHeight="1" x14ac:dyDescent="0.3">
      <c r="BB1025251" s="38"/>
    </row>
    <row r="1025252" spans="54:54" ht="15.75" customHeight="1" x14ac:dyDescent="0.3">
      <c r="BB1025252" s="38"/>
    </row>
    <row r="1025253" spans="54:54" ht="15.75" customHeight="1" x14ac:dyDescent="0.3">
      <c r="BB1025253" s="38"/>
    </row>
    <row r="1025254" spans="54:54" ht="15.75" customHeight="1" x14ac:dyDescent="0.3">
      <c r="BB1025254" s="38"/>
    </row>
    <row r="1025255" spans="54:54" ht="15.75" customHeight="1" x14ac:dyDescent="0.3">
      <c r="BB1025255" s="38"/>
    </row>
    <row r="1025256" spans="54:54" ht="15.75" customHeight="1" x14ac:dyDescent="0.3">
      <c r="BB1025256" s="38"/>
    </row>
    <row r="1025257" spans="54:54" ht="15.75" customHeight="1" x14ac:dyDescent="0.3">
      <c r="BB1025257" s="38"/>
    </row>
    <row r="1025258" spans="54:54" ht="15.75" customHeight="1" x14ac:dyDescent="0.3">
      <c r="BB1025258" s="38"/>
    </row>
    <row r="1025259" spans="54:54" ht="15.75" customHeight="1" x14ac:dyDescent="0.3">
      <c r="BB1025259" s="38"/>
    </row>
    <row r="1025260" spans="54:54" ht="15.75" customHeight="1" x14ac:dyDescent="0.3">
      <c r="BB1025260" s="38"/>
    </row>
    <row r="1025261" spans="54:54" ht="15.75" customHeight="1" x14ac:dyDescent="0.3">
      <c r="BB1025261" s="38"/>
    </row>
    <row r="1025262" spans="54:54" ht="15.75" customHeight="1" x14ac:dyDescent="0.3">
      <c r="BB1025262" s="38"/>
    </row>
    <row r="1025263" spans="54:54" ht="15.75" customHeight="1" x14ac:dyDescent="0.3">
      <c r="BB1025263" s="38"/>
    </row>
    <row r="1025264" spans="54:54" ht="15.75" customHeight="1" x14ac:dyDescent="0.3">
      <c r="BB1025264" s="38"/>
    </row>
    <row r="1025265" spans="54:54" ht="15.75" customHeight="1" x14ac:dyDescent="0.3">
      <c r="BB1025265" s="38"/>
    </row>
    <row r="1025266" spans="54:54" ht="15.75" customHeight="1" x14ac:dyDescent="0.3">
      <c r="BB1025266" s="38"/>
    </row>
    <row r="1025267" spans="54:54" ht="15.75" customHeight="1" x14ac:dyDescent="0.3">
      <c r="BB1025267" s="38"/>
    </row>
    <row r="1025268" spans="54:54" ht="15.75" customHeight="1" x14ac:dyDescent="0.3">
      <c r="BB1025268" s="38"/>
    </row>
    <row r="1025269" spans="54:54" ht="15.75" customHeight="1" x14ac:dyDescent="0.3">
      <c r="BB1025269" s="38"/>
    </row>
    <row r="1025270" spans="54:54" ht="15.75" customHeight="1" x14ac:dyDescent="0.3">
      <c r="BB1025270" s="38"/>
    </row>
    <row r="1025271" spans="54:54" ht="15.75" customHeight="1" x14ac:dyDescent="0.3">
      <c r="BB1025271" s="38"/>
    </row>
    <row r="1025272" spans="54:54" ht="15.75" customHeight="1" x14ac:dyDescent="0.3">
      <c r="BB1025272" s="38"/>
    </row>
    <row r="1025273" spans="54:54" ht="15.75" customHeight="1" x14ac:dyDescent="0.3">
      <c r="BB1025273" s="38"/>
    </row>
    <row r="1025274" spans="54:54" ht="15.75" customHeight="1" x14ac:dyDescent="0.3">
      <c r="BB1025274" s="38"/>
    </row>
    <row r="1025275" spans="54:54" ht="15.75" customHeight="1" x14ac:dyDescent="0.3">
      <c r="BB1025275" s="38"/>
    </row>
    <row r="1025276" spans="54:54" ht="15.75" customHeight="1" x14ac:dyDescent="0.3">
      <c r="BB1025276" s="38"/>
    </row>
    <row r="1025277" spans="54:54" ht="15.75" customHeight="1" x14ac:dyDescent="0.3">
      <c r="BB1025277" s="38"/>
    </row>
    <row r="1025278" spans="54:54" ht="15.75" customHeight="1" x14ac:dyDescent="0.3">
      <c r="BB1025278" s="38"/>
    </row>
    <row r="1025279" spans="54:54" ht="15.75" customHeight="1" x14ac:dyDescent="0.3">
      <c r="BB1025279" s="38"/>
    </row>
    <row r="1025280" spans="54:54" ht="15.75" customHeight="1" x14ac:dyDescent="0.3">
      <c r="BB1025280" s="38"/>
    </row>
    <row r="1025281" spans="54:54" ht="15.75" customHeight="1" x14ac:dyDescent="0.3">
      <c r="BB1025281" s="38"/>
    </row>
    <row r="1025282" spans="54:54" ht="15.75" customHeight="1" x14ac:dyDescent="0.3">
      <c r="BB1025282" s="38"/>
    </row>
    <row r="1025283" spans="54:54" ht="15.75" customHeight="1" x14ac:dyDescent="0.3">
      <c r="BB1025283" s="38"/>
    </row>
    <row r="1025284" spans="54:54" ht="15.75" customHeight="1" x14ac:dyDescent="0.3">
      <c r="BB1025284" s="38"/>
    </row>
    <row r="1025285" spans="54:54" ht="15.75" customHeight="1" x14ac:dyDescent="0.3">
      <c r="BB1025285" s="38"/>
    </row>
    <row r="1025286" spans="54:54" ht="15.75" customHeight="1" x14ac:dyDescent="0.3">
      <c r="BB1025286" s="38"/>
    </row>
    <row r="1025287" spans="54:54" ht="15.75" customHeight="1" x14ac:dyDescent="0.3">
      <c r="BB1025287" s="38"/>
    </row>
    <row r="1025288" spans="54:54" ht="15.75" customHeight="1" x14ac:dyDescent="0.3">
      <c r="BB1025288" s="38"/>
    </row>
    <row r="1025289" spans="54:54" ht="15.75" customHeight="1" x14ac:dyDescent="0.3">
      <c r="BB1025289" s="38"/>
    </row>
    <row r="1025290" spans="54:54" ht="15.75" customHeight="1" x14ac:dyDescent="0.3">
      <c r="BB1025290" s="38"/>
    </row>
    <row r="1025291" spans="54:54" ht="15.75" customHeight="1" x14ac:dyDescent="0.3">
      <c r="BB1025291" s="38"/>
    </row>
    <row r="1025292" spans="54:54" ht="15.75" customHeight="1" x14ac:dyDescent="0.3">
      <c r="BB1025292" s="38"/>
    </row>
    <row r="1025293" spans="54:54" ht="15.75" customHeight="1" x14ac:dyDescent="0.3">
      <c r="BB1025293" s="38"/>
    </row>
    <row r="1025294" spans="54:54" ht="15.75" customHeight="1" x14ac:dyDescent="0.3">
      <c r="BB1025294" s="38"/>
    </row>
    <row r="1025295" spans="54:54" ht="15.75" customHeight="1" x14ac:dyDescent="0.3">
      <c r="BB1025295" s="38"/>
    </row>
    <row r="1025296" spans="54:54" ht="15.75" customHeight="1" x14ac:dyDescent="0.3">
      <c r="BB1025296" s="38"/>
    </row>
    <row r="1025297" spans="54:54" ht="15.75" customHeight="1" x14ac:dyDescent="0.3">
      <c r="BB1025297" s="38"/>
    </row>
    <row r="1025298" spans="54:54" ht="15.75" customHeight="1" x14ac:dyDescent="0.3">
      <c r="BB1025298" s="38"/>
    </row>
    <row r="1025299" spans="54:54" ht="15.75" customHeight="1" x14ac:dyDescent="0.3">
      <c r="BB1025299" s="38"/>
    </row>
    <row r="1025300" spans="54:54" ht="15.75" customHeight="1" x14ac:dyDescent="0.3">
      <c r="BB1025300" s="38"/>
    </row>
    <row r="1025301" spans="54:54" ht="15.75" customHeight="1" x14ac:dyDescent="0.3">
      <c r="BB1025301" s="38"/>
    </row>
    <row r="1025302" spans="54:54" ht="15.75" customHeight="1" x14ac:dyDescent="0.3">
      <c r="BB1025302" s="38"/>
    </row>
    <row r="1025303" spans="54:54" ht="15.75" customHeight="1" x14ac:dyDescent="0.3">
      <c r="BB1025303" s="38"/>
    </row>
    <row r="1025304" spans="54:54" ht="15.75" customHeight="1" x14ac:dyDescent="0.3">
      <c r="BB1025304" s="38"/>
    </row>
    <row r="1025305" spans="54:54" ht="15.75" customHeight="1" x14ac:dyDescent="0.3">
      <c r="BB1025305" s="38"/>
    </row>
    <row r="1025306" spans="54:54" ht="15.75" customHeight="1" x14ac:dyDescent="0.3">
      <c r="BB1025306" s="38"/>
    </row>
    <row r="1025307" spans="54:54" ht="15.75" customHeight="1" x14ac:dyDescent="0.3">
      <c r="BB1025307" s="38"/>
    </row>
    <row r="1025308" spans="54:54" ht="15.75" customHeight="1" x14ac:dyDescent="0.3">
      <c r="BB1025308" s="38"/>
    </row>
    <row r="1025309" spans="54:54" ht="15.75" customHeight="1" x14ac:dyDescent="0.3">
      <c r="BB1025309" s="38"/>
    </row>
    <row r="1025310" spans="54:54" ht="15.75" customHeight="1" x14ac:dyDescent="0.3">
      <c r="BB1025310" s="38"/>
    </row>
    <row r="1025311" spans="54:54" ht="15.75" customHeight="1" x14ac:dyDescent="0.3">
      <c r="BB1025311" s="38"/>
    </row>
    <row r="1025312" spans="54:54" ht="15.75" customHeight="1" x14ac:dyDescent="0.3">
      <c r="BB1025312" s="38"/>
    </row>
    <row r="1025313" spans="54:54" ht="15.75" customHeight="1" x14ac:dyDescent="0.3">
      <c r="BB1025313" s="38"/>
    </row>
    <row r="1025314" spans="54:54" ht="15.75" customHeight="1" x14ac:dyDescent="0.3">
      <c r="BB1025314" s="38"/>
    </row>
    <row r="1025315" spans="54:54" ht="15.75" customHeight="1" x14ac:dyDescent="0.3">
      <c r="BB1025315" s="38"/>
    </row>
    <row r="1025316" spans="54:54" ht="15.75" customHeight="1" x14ac:dyDescent="0.3">
      <c r="BB1025316" s="38"/>
    </row>
    <row r="1025317" spans="54:54" ht="15.75" customHeight="1" x14ac:dyDescent="0.3">
      <c r="BB1025317" s="38"/>
    </row>
    <row r="1025318" spans="54:54" ht="15.75" customHeight="1" x14ac:dyDescent="0.3">
      <c r="BB1025318" s="38"/>
    </row>
    <row r="1025319" spans="54:54" ht="15.75" customHeight="1" x14ac:dyDescent="0.3">
      <c r="BB1025319" s="38"/>
    </row>
    <row r="1025320" spans="54:54" ht="15.75" customHeight="1" x14ac:dyDescent="0.3">
      <c r="BB1025320" s="38"/>
    </row>
    <row r="1025321" spans="54:54" ht="15.75" customHeight="1" x14ac:dyDescent="0.3">
      <c r="BB1025321" s="38"/>
    </row>
    <row r="1025322" spans="54:54" ht="15.75" customHeight="1" x14ac:dyDescent="0.3">
      <c r="BB1025322" s="38"/>
    </row>
    <row r="1025323" spans="54:54" ht="15.75" customHeight="1" x14ac:dyDescent="0.3">
      <c r="BB1025323" s="38"/>
    </row>
    <row r="1025324" spans="54:54" ht="15.75" customHeight="1" x14ac:dyDescent="0.3">
      <c r="BB1025324" s="38"/>
    </row>
    <row r="1025325" spans="54:54" ht="15.75" customHeight="1" x14ac:dyDescent="0.3">
      <c r="BB1025325" s="38"/>
    </row>
    <row r="1025326" spans="54:54" ht="15.75" customHeight="1" x14ac:dyDescent="0.3">
      <c r="BB1025326" s="38"/>
    </row>
    <row r="1025327" spans="54:54" ht="15.75" customHeight="1" x14ac:dyDescent="0.3">
      <c r="BB1025327" s="38"/>
    </row>
    <row r="1025328" spans="54:54" ht="15.75" customHeight="1" x14ac:dyDescent="0.3">
      <c r="BB1025328" s="38"/>
    </row>
    <row r="1025329" spans="54:54" ht="15.75" customHeight="1" x14ac:dyDescent="0.3">
      <c r="BB1025329" s="38"/>
    </row>
    <row r="1025330" spans="54:54" ht="15.75" customHeight="1" x14ac:dyDescent="0.3">
      <c r="BB1025330" s="38"/>
    </row>
    <row r="1025331" spans="54:54" ht="15.75" customHeight="1" x14ac:dyDescent="0.3">
      <c r="BB1025331" s="38"/>
    </row>
    <row r="1025332" spans="54:54" ht="15.75" customHeight="1" x14ac:dyDescent="0.3">
      <c r="BB1025332" s="38"/>
    </row>
    <row r="1025333" spans="54:54" ht="15.75" customHeight="1" x14ac:dyDescent="0.3">
      <c r="BB1025333" s="38"/>
    </row>
    <row r="1025334" spans="54:54" ht="15.75" customHeight="1" x14ac:dyDescent="0.3">
      <c r="BB1025334" s="38"/>
    </row>
    <row r="1025335" spans="54:54" ht="15.75" customHeight="1" x14ac:dyDescent="0.3">
      <c r="BB1025335" s="38"/>
    </row>
    <row r="1025336" spans="54:54" ht="15.75" customHeight="1" x14ac:dyDescent="0.3">
      <c r="BB1025336" s="38"/>
    </row>
    <row r="1025337" spans="54:54" ht="15.75" customHeight="1" x14ac:dyDescent="0.3">
      <c r="BB1025337" s="38"/>
    </row>
    <row r="1025338" spans="54:54" ht="15.75" customHeight="1" x14ac:dyDescent="0.3">
      <c r="BB1025338" s="38"/>
    </row>
    <row r="1025339" spans="54:54" ht="15.75" customHeight="1" x14ac:dyDescent="0.3">
      <c r="BB1025339" s="38"/>
    </row>
    <row r="1025340" spans="54:54" ht="15.75" customHeight="1" x14ac:dyDescent="0.3">
      <c r="BB1025340" s="38"/>
    </row>
    <row r="1025341" spans="54:54" ht="15.75" customHeight="1" x14ac:dyDescent="0.3">
      <c r="BB1025341" s="38"/>
    </row>
    <row r="1025342" spans="54:54" ht="15.75" customHeight="1" x14ac:dyDescent="0.3">
      <c r="BB1025342" s="38"/>
    </row>
    <row r="1025343" spans="54:54" ht="15.75" customHeight="1" x14ac:dyDescent="0.3">
      <c r="BB1025343" s="38"/>
    </row>
    <row r="1025344" spans="54:54" ht="15.75" customHeight="1" x14ac:dyDescent="0.3">
      <c r="BB1025344" s="38"/>
    </row>
    <row r="1025345" spans="54:54" ht="15.75" customHeight="1" x14ac:dyDescent="0.3">
      <c r="BB1025345" s="38"/>
    </row>
    <row r="1025346" spans="54:54" ht="15.75" customHeight="1" x14ac:dyDescent="0.3">
      <c r="BB1025346" s="38"/>
    </row>
    <row r="1025347" spans="54:54" ht="15.75" customHeight="1" x14ac:dyDescent="0.3">
      <c r="BB1025347" s="38"/>
    </row>
    <row r="1025348" spans="54:54" ht="15.75" customHeight="1" x14ac:dyDescent="0.3">
      <c r="BB1025348" s="38"/>
    </row>
    <row r="1025349" spans="54:54" ht="15.75" customHeight="1" x14ac:dyDescent="0.3">
      <c r="BB1025349" s="38"/>
    </row>
    <row r="1025350" spans="54:54" ht="15.75" customHeight="1" x14ac:dyDescent="0.3">
      <c r="BB1025350" s="38"/>
    </row>
    <row r="1025351" spans="54:54" ht="15.75" customHeight="1" x14ac:dyDescent="0.3">
      <c r="BB1025351" s="38"/>
    </row>
    <row r="1025352" spans="54:54" ht="15.75" customHeight="1" x14ac:dyDescent="0.3">
      <c r="BB1025352" s="38"/>
    </row>
    <row r="1025353" spans="54:54" ht="15.75" customHeight="1" x14ac:dyDescent="0.3">
      <c r="BB1025353" s="38"/>
    </row>
    <row r="1025354" spans="54:54" ht="15.75" customHeight="1" x14ac:dyDescent="0.3">
      <c r="BB1025354" s="38"/>
    </row>
    <row r="1025355" spans="54:54" ht="15.75" customHeight="1" x14ac:dyDescent="0.3">
      <c r="BB1025355" s="38"/>
    </row>
    <row r="1025356" spans="54:54" ht="15.75" customHeight="1" x14ac:dyDescent="0.3">
      <c r="BB1025356" s="38"/>
    </row>
    <row r="1025357" spans="54:54" ht="15.75" customHeight="1" x14ac:dyDescent="0.3">
      <c r="BB1025357" s="38"/>
    </row>
    <row r="1025358" spans="54:54" ht="15.75" customHeight="1" x14ac:dyDescent="0.3">
      <c r="BB1025358" s="38"/>
    </row>
    <row r="1025359" spans="54:54" ht="15.75" customHeight="1" x14ac:dyDescent="0.3">
      <c r="BB1025359" s="38"/>
    </row>
    <row r="1025360" spans="54:54" ht="15.75" customHeight="1" x14ac:dyDescent="0.3">
      <c r="BB1025360" s="38"/>
    </row>
    <row r="1025361" spans="54:54" ht="15.75" customHeight="1" x14ac:dyDescent="0.3">
      <c r="BB1025361" s="38"/>
    </row>
    <row r="1025362" spans="54:54" ht="15.75" customHeight="1" x14ac:dyDescent="0.3">
      <c r="BB1025362" s="38"/>
    </row>
    <row r="1025363" spans="54:54" ht="15.75" customHeight="1" x14ac:dyDescent="0.3">
      <c r="BB1025363" s="38"/>
    </row>
    <row r="1025364" spans="54:54" ht="15.75" customHeight="1" x14ac:dyDescent="0.3">
      <c r="BB1025364" s="38"/>
    </row>
    <row r="1025365" spans="54:54" ht="15.75" customHeight="1" x14ac:dyDescent="0.3">
      <c r="BB1025365" s="38"/>
    </row>
    <row r="1025366" spans="54:54" ht="15.75" customHeight="1" x14ac:dyDescent="0.3">
      <c r="BB1025366" s="38"/>
    </row>
    <row r="1025367" spans="54:54" ht="15.75" customHeight="1" x14ac:dyDescent="0.3">
      <c r="BB1025367" s="38"/>
    </row>
    <row r="1025368" spans="54:54" ht="15.75" customHeight="1" x14ac:dyDescent="0.3">
      <c r="BB1025368" s="38"/>
    </row>
    <row r="1025369" spans="54:54" ht="15.75" customHeight="1" x14ac:dyDescent="0.3">
      <c r="BB1025369" s="38"/>
    </row>
    <row r="1025370" spans="54:54" ht="15.75" customHeight="1" x14ac:dyDescent="0.3">
      <c r="BB1025370" s="38"/>
    </row>
    <row r="1025371" spans="54:54" ht="15.75" customHeight="1" x14ac:dyDescent="0.3">
      <c r="BB1025371" s="38"/>
    </row>
    <row r="1025372" spans="54:54" ht="15.75" customHeight="1" x14ac:dyDescent="0.3">
      <c r="BB1025372" s="38"/>
    </row>
    <row r="1025373" spans="54:54" ht="15.75" customHeight="1" x14ac:dyDescent="0.3">
      <c r="BB1025373" s="38"/>
    </row>
    <row r="1025374" spans="54:54" ht="15.75" customHeight="1" x14ac:dyDescent="0.3">
      <c r="BB1025374" s="38"/>
    </row>
    <row r="1025375" spans="54:54" ht="15.75" customHeight="1" x14ac:dyDescent="0.3">
      <c r="BB1025375" s="38"/>
    </row>
    <row r="1025376" spans="54:54" ht="15.75" customHeight="1" x14ac:dyDescent="0.3">
      <c r="BB1025376" s="38"/>
    </row>
    <row r="1025377" spans="54:54" ht="15.75" customHeight="1" x14ac:dyDescent="0.3">
      <c r="BB1025377" s="38"/>
    </row>
    <row r="1025378" spans="54:54" ht="15.75" customHeight="1" x14ac:dyDescent="0.3">
      <c r="BB1025378" s="38"/>
    </row>
    <row r="1025379" spans="54:54" ht="15.75" customHeight="1" x14ac:dyDescent="0.3">
      <c r="BB1025379" s="38"/>
    </row>
    <row r="1025380" spans="54:54" ht="15.75" customHeight="1" x14ac:dyDescent="0.3">
      <c r="BB1025380" s="38"/>
    </row>
    <row r="1025381" spans="54:54" ht="15.75" customHeight="1" x14ac:dyDescent="0.3">
      <c r="BB1025381" s="38"/>
    </row>
    <row r="1025382" spans="54:54" ht="15.75" customHeight="1" x14ac:dyDescent="0.3">
      <c r="BB1025382" s="38"/>
    </row>
    <row r="1025383" spans="54:54" ht="15.75" customHeight="1" x14ac:dyDescent="0.3">
      <c r="BB1025383" s="38"/>
    </row>
    <row r="1025384" spans="54:54" ht="15.75" customHeight="1" x14ac:dyDescent="0.3">
      <c r="BB1025384" s="38"/>
    </row>
    <row r="1025385" spans="54:54" ht="15.75" customHeight="1" x14ac:dyDescent="0.3">
      <c r="BB1025385" s="38"/>
    </row>
    <row r="1025386" spans="54:54" ht="15.75" customHeight="1" x14ac:dyDescent="0.3">
      <c r="BB1025386" s="38"/>
    </row>
    <row r="1025387" spans="54:54" ht="15.75" customHeight="1" x14ac:dyDescent="0.3">
      <c r="BB1025387" s="38"/>
    </row>
    <row r="1025388" spans="54:54" ht="15.75" customHeight="1" x14ac:dyDescent="0.3">
      <c r="BB1025388" s="38"/>
    </row>
    <row r="1025389" spans="54:54" ht="15.75" customHeight="1" x14ac:dyDescent="0.3">
      <c r="BB1025389" s="38"/>
    </row>
    <row r="1025390" spans="54:54" ht="15.75" customHeight="1" x14ac:dyDescent="0.3">
      <c r="BB1025390" s="38"/>
    </row>
    <row r="1025391" spans="54:54" ht="15.75" customHeight="1" x14ac:dyDescent="0.3">
      <c r="BB1025391" s="38"/>
    </row>
    <row r="1025392" spans="54:54" ht="15.75" customHeight="1" x14ac:dyDescent="0.3">
      <c r="BB1025392" s="38"/>
    </row>
    <row r="1025393" spans="54:54" ht="15.75" customHeight="1" x14ac:dyDescent="0.3">
      <c r="BB1025393" s="38"/>
    </row>
    <row r="1025394" spans="54:54" ht="15.75" customHeight="1" x14ac:dyDescent="0.3">
      <c r="BB1025394" s="38"/>
    </row>
    <row r="1025395" spans="54:54" ht="15.75" customHeight="1" x14ac:dyDescent="0.3">
      <c r="BB1025395" s="38"/>
    </row>
    <row r="1025396" spans="54:54" ht="15.75" customHeight="1" x14ac:dyDescent="0.3">
      <c r="BB1025396" s="38"/>
    </row>
    <row r="1025397" spans="54:54" ht="15.75" customHeight="1" x14ac:dyDescent="0.3">
      <c r="BB1025397" s="38"/>
    </row>
    <row r="1025398" spans="54:54" ht="15.75" customHeight="1" x14ac:dyDescent="0.3">
      <c r="BB1025398" s="38"/>
    </row>
    <row r="1025399" spans="54:54" ht="15.75" customHeight="1" x14ac:dyDescent="0.3">
      <c r="BB1025399" s="38"/>
    </row>
    <row r="1025400" spans="54:54" ht="15.75" customHeight="1" x14ac:dyDescent="0.3">
      <c r="BB1025400" s="38"/>
    </row>
    <row r="1025401" spans="54:54" ht="15.75" customHeight="1" x14ac:dyDescent="0.3">
      <c r="BB1025401" s="38"/>
    </row>
    <row r="1025402" spans="54:54" ht="15.75" customHeight="1" x14ac:dyDescent="0.3">
      <c r="BB1025402" s="38"/>
    </row>
    <row r="1025403" spans="54:54" ht="15.75" customHeight="1" x14ac:dyDescent="0.3">
      <c r="BB1025403" s="38"/>
    </row>
    <row r="1025404" spans="54:54" ht="15.75" customHeight="1" x14ac:dyDescent="0.3">
      <c r="BB1025404" s="38"/>
    </row>
    <row r="1025405" spans="54:54" ht="15.75" customHeight="1" x14ac:dyDescent="0.3">
      <c r="BB1025405" s="38"/>
    </row>
    <row r="1025406" spans="54:54" ht="15.75" customHeight="1" x14ac:dyDescent="0.3">
      <c r="BB1025406" s="38"/>
    </row>
    <row r="1025407" spans="54:54" ht="15.75" customHeight="1" x14ac:dyDescent="0.3">
      <c r="BB1025407" s="38"/>
    </row>
    <row r="1025408" spans="54:54" ht="15.75" customHeight="1" x14ac:dyDescent="0.3">
      <c r="BB1025408" s="38"/>
    </row>
    <row r="1025409" spans="54:54" ht="15.75" customHeight="1" x14ac:dyDescent="0.3">
      <c r="BB1025409" s="38"/>
    </row>
    <row r="1025410" spans="54:54" ht="15.75" customHeight="1" x14ac:dyDescent="0.3">
      <c r="BB1025410" s="38"/>
    </row>
    <row r="1025411" spans="54:54" ht="15.75" customHeight="1" x14ac:dyDescent="0.3">
      <c r="BB1025411" s="38"/>
    </row>
    <row r="1025412" spans="54:54" ht="15.75" customHeight="1" x14ac:dyDescent="0.3">
      <c r="BB1025412" s="38"/>
    </row>
    <row r="1025413" spans="54:54" ht="15.75" customHeight="1" x14ac:dyDescent="0.3">
      <c r="BB1025413" s="38"/>
    </row>
    <row r="1025414" spans="54:54" ht="15.75" customHeight="1" x14ac:dyDescent="0.3">
      <c r="BB1025414" s="38"/>
    </row>
    <row r="1025415" spans="54:54" ht="15.75" customHeight="1" x14ac:dyDescent="0.3">
      <c r="BB1025415" s="38"/>
    </row>
    <row r="1025416" spans="54:54" ht="15.75" customHeight="1" x14ac:dyDescent="0.3">
      <c r="BB1025416" s="38"/>
    </row>
    <row r="1025417" spans="54:54" ht="15.75" customHeight="1" x14ac:dyDescent="0.3">
      <c r="BB1025417" s="38"/>
    </row>
    <row r="1025418" spans="54:54" ht="15.75" customHeight="1" x14ac:dyDescent="0.3">
      <c r="BB1025418" s="38"/>
    </row>
    <row r="1025419" spans="54:54" ht="15.75" customHeight="1" x14ac:dyDescent="0.3">
      <c r="BB1025419" s="38"/>
    </row>
    <row r="1025420" spans="54:54" ht="15.75" customHeight="1" x14ac:dyDescent="0.3">
      <c r="BB1025420" s="38"/>
    </row>
    <row r="1025421" spans="54:54" ht="15.75" customHeight="1" x14ac:dyDescent="0.3">
      <c r="BB1025421" s="38"/>
    </row>
    <row r="1025422" spans="54:54" ht="15.75" customHeight="1" x14ac:dyDescent="0.3">
      <c r="BB1025422" s="38"/>
    </row>
    <row r="1025423" spans="54:54" ht="15.75" customHeight="1" x14ac:dyDescent="0.3">
      <c r="BB1025423" s="38"/>
    </row>
    <row r="1025424" spans="54:54" ht="15.75" customHeight="1" x14ac:dyDescent="0.3">
      <c r="BB1025424" s="38"/>
    </row>
    <row r="1025425" spans="54:54" ht="15.75" customHeight="1" x14ac:dyDescent="0.3">
      <c r="BB1025425" s="38"/>
    </row>
    <row r="1025426" spans="54:54" ht="15.75" customHeight="1" x14ac:dyDescent="0.3">
      <c r="BB1025426" s="38"/>
    </row>
    <row r="1025427" spans="54:54" ht="15.75" customHeight="1" x14ac:dyDescent="0.3">
      <c r="BB1025427" s="38"/>
    </row>
    <row r="1025428" spans="54:54" ht="15.75" customHeight="1" x14ac:dyDescent="0.3">
      <c r="BB1025428" s="38"/>
    </row>
    <row r="1025429" spans="54:54" ht="15.75" customHeight="1" x14ac:dyDescent="0.3">
      <c r="BB1025429" s="38"/>
    </row>
    <row r="1025430" spans="54:54" ht="15.75" customHeight="1" x14ac:dyDescent="0.3">
      <c r="BB1025430" s="38"/>
    </row>
    <row r="1025431" spans="54:54" ht="15.75" customHeight="1" x14ac:dyDescent="0.3">
      <c r="BB1025431" s="38"/>
    </row>
    <row r="1025432" spans="54:54" ht="15.75" customHeight="1" x14ac:dyDescent="0.3">
      <c r="BB1025432" s="38"/>
    </row>
    <row r="1025433" spans="54:54" ht="15.75" customHeight="1" x14ac:dyDescent="0.3">
      <c r="BB1025433" s="38"/>
    </row>
    <row r="1025434" spans="54:54" ht="15.75" customHeight="1" x14ac:dyDescent="0.3">
      <c r="BB1025434" s="38"/>
    </row>
    <row r="1025435" spans="54:54" ht="15.75" customHeight="1" x14ac:dyDescent="0.3">
      <c r="BB1025435" s="38"/>
    </row>
    <row r="1025436" spans="54:54" ht="15.75" customHeight="1" x14ac:dyDescent="0.3">
      <c r="BB1025436" s="38"/>
    </row>
    <row r="1025437" spans="54:54" ht="15.75" customHeight="1" x14ac:dyDescent="0.3">
      <c r="BB1025437" s="38"/>
    </row>
    <row r="1025438" spans="54:54" ht="15.75" customHeight="1" x14ac:dyDescent="0.3">
      <c r="BB1025438" s="38"/>
    </row>
    <row r="1025439" spans="54:54" ht="15.75" customHeight="1" x14ac:dyDescent="0.3">
      <c r="BB1025439" s="38"/>
    </row>
    <row r="1025440" spans="54:54" ht="15.75" customHeight="1" x14ac:dyDescent="0.3">
      <c r="BB1025440" s="38"/>
    </row>
    <row r="1025441" spans="54:54" ht="15.75" customHeight="1" x14ac:dyDescent="0.3">
      <c r="BB1025441" s="38"/>
    </row>
    <row r="1025442" spans="54:54" ht="15.75" customHeight="1" x14ac:dyDescent="0.3">
      <c r="BB1025442" s="38"/>
    </row>
    <row r="1025443" spans="54:54" ht="15.75" customHeight="1" x14ac:dyDescent="0.3">
      <c r="BB1025443" s="38"/>
    </row>
    <row r="1025444" spans="54:54" ht="15.75" customHeight="1" x14ac:dyDescent="0.3">
      <c r="BB1025444" s="38"/>
    </row>
    <row r="1025445" spans="54:54" ht="15.75" customHeight="1" x14ac:dyDescent="0.3">
      <c r="BB1025445" s="38"/>
    </row>
    <row r="1025446" spans="54:54" ht="15.75" customHeight="1" x14ac:dyDescent="0.3">
      <c r="BB1025446" s="38"/>
    </row>
    <row r="1025447" spans="54:54" ht="15.75" customHeight="1" x14ac:dyDescent="0.3">
      <c r="BB1025447" s="38"/>
    </row>
    <row r="1025448" spans="54:54" ht="15.75" customHeight="1" x14ac:dyDescent="0.3">
      <c r="BB1025448" s="38"/>
    </row>
    <row r="1025449" spans="54:54" ht="15.75" customHeight="1" x14ac:dyDescent="0.3">
      <c r="BB1025449" s="38"/>
    </row>
    <row r="1025450" spans="54:54" ht="15.75" customHeight="1" x14ac:dyDescent="0.3">
      <c r="BB1025450" s="38"/>
    </row>
    <row r="1025451" spans="54:54" ht="15.75" customHeight="1" x14ac:dyDescent="0.3">
      <c r="BB1025451" s="38"/>
    </row>
    <row r="1025452" spans="54:54" ht="15.75" customHeight="1" x14ac:dyDescent="0.3">
      <c r="BB1025452" s="38"/>
    </row>
    <row r="1025453" spans="54:54" ht="15.75" customHeight="1" x14ac:dyDescent="0.3">
      <c r="BB1025453" s="38"/>
    </row>
    <row r="1025454" spans="54:54" ht="15.75" customHeight="1" x14ac:dyDescent="0.3">
      <c r="BB1025454" s="38"/>
    </row>
    <row r="1025455" spans="54:54" ht="15.75" customHeight="1" x14ac:dyDescent="0.3">
      <c r="BB1025455" s="38"/>
    </row>
    <row r="1025456" spans="54:54" ht="15.75" customHeight="1" x14ac:dyDescent="0.3">
      <c r="BB1025456" s="38"/>
    </row>
    <row r="1025457" spans="54:54" ht="15.75" customHeight="1" x14ac:dyDescent="0.3">
      <c r="BB1025457" s="38"/>
    </row>
    <row r="1025458" spans="54:54" ht="15.75" customHeight="1" x14ac:dyDescent="0.3">
      <c r="BB1025458" s="38"/>
    </row>
    <row r="1025459" spans="54:54" ht="15.75" customHeight="1" x14ac:dyDescent="0.3">
      <c r="BB1025459" s="38"/>
    </row>
    <row r="1025460" spans="54:54" ht="15.75" customHeight="1" x14ac:dyDescent="0.3">
      <c r="BB1025460" s="38"/>
    </row>
    <row r="1025461" spans="54:54" ht="15.75" customHeight="1" x14ac:dyDescent="0.3">
      <c r="BB1025461" s="38"/>
    </row>
    <row r="1025462" spans="54:54" ht="15.75" customHeight="1" x14ac:dyDescent="0.3">
      <c r="BB1025462" s="38"/>
    </row>
    <row r="1025463" spans="54:54" ht="15.75" customHeight="1" x14ac:dyDescent="0.3">
      <c r="BB1025463" s="38"/>
    </row>
    <row r="1025464" spans="54:54" ht="15.75" customHeight="1" x14ac:dyDescent="0.3">
      <c r="BB1025464" s="38"/>
    </row>
    <row r="1025465" spans="54:54" ht="15.75" customHeight="1" x14ac:dyDescent="0.3">
      <c r="BB1025465" s="38"/>
    </row>
    <row r="1025466" spans="54:54" ht="15.75" customHeight="1" x14ac:dyDescent="0.3">
      <c r="BB1025466" s="38"/>
    </row>
    <row r="1025467" spans="54:54" ht="15.75" customHeight="1" x14ac:dyDescent="0.3">
      <c r="BB1025467" s="38"/>
    </row>
    <row r="1025468" spans="54:54" ht="15.75" customHeight="1" x14ac:dyDescent="0.3">
      <c r="BB1025468" s="38"/>
    </row>
    <row r="1025469" spans="54:54" ht="15.75" customHeight="1" x14ac:dyDescent="0.3">
      <c r="BB1025469" s="38"/>
    </row>
    <row r="1025470" spans="54:54" ht="15.75" customHeight="1" x14ac:dyDescent="0.3">
      <c r="BB1025470" s="38"/>
    </row>
    <row r="1025471" spans="54:54" ht="15.75" customHeight="1" x14ac:dyDescent="0.3">
      <c r="BB1025471" s="38"/>
    </row>
    <row r="1025472" spans="54:54" ht="15.75" customHeight="1" x14ac:dyDescent="0.3">
      <c r="BB1025472" s="38"/>
    </row>
    <row r="1025473" spans="54:54" ht="15.75" customHeight="1" x14ac:dyDescent="0.3">
      <c r="BB1025473" s="38"/>
    </row>
    <row r="1025474" spans="54:54" ht="15.75" customHeight="1" x14ac:dyDescent="0.3">
      <c r="BB1025474" s="38"/>
    </row>
    <row r="1025475" spans="54:54" ht="15.75" customHeight="1" x14ac:dyDescent="0.3">
      <c r="BB1025475" s="38"/>
    </row>
    <row r="1025476" spans="54:54" ht="15.75" customHeight="1" x14ac:dyDescent="0.3">
      <c r="BB1025476" s="38"/>
    </row>
    <row r="1025477" spans="54:54" ht="15.75" customHeight="1" x14ac:dyDescent="0.3">
      <c r="BB1025477" s="38"/>
    </row>
    <row r="1025478" spans="54:54" ht="15.75" customHeight="1" x14ac:dyDescent="0.3">
      <c r="BB1025478" s="38"/>
    </row>
    <row r="1025479" spans="54:54" ht="15.75" customHeight="1" x14ac:dyDescent="0.3">
      <c r="BB1025479" s="38"/>
    </row>
    <row r="1025480" spans="54:54" ht="15.75" customHeight="1" x14ac:dyDescent="0.3">
      <c r="BB1025480" s="38"/>
    </row>
    <row r="1025481" spans="54:54" ht="15.75" customHeight="1" x14ac:dyDescent="0.3">
      <c r="BB1025481" s="38"/>
    </row>
    <row r="1025482" spans="54:54" ht="15.75" customHeight="1" x14ac:dyDescent="0.3">
      <c r="BB1025482" s="38"/>
    </row>
    <row r="1025483" spans="54:54" ht="15.75" customHeight="1" x14ac:dyDescent="0.3">
      <c r="BB1025483" s="38"/>
    </row>
    <row r="1025484" spans="54:54" ht="15.75" customHeight="1" x14ac:dyDescent="0.3">
      <c r="BB1025484" s="38"/>
    </row>
    <row r="1025485" spans="54:54" ht="15.75" customHeight="1" x14ac:dyDescent="0.3">
      <c r="BB1025485" s="38"/>
    </row>
    <row r="1025486" spans="54:54" ht="15.75" customHeight="1" x14ac:dyDescent="0.3">
      <c r="BB1025486" s="38"/>
    </row>
    <row r="1025487" spans="54:54" ht="15.75" customHeight="1" x14ac:dyDescent="0.3">
      <c r="BB1025487" s="38"/>
    </row>
    <row r="1025488" spans="54:54" ht="15.75" customHeight="1" x14ac:dyDescent="0.3">
      <c r="BB1025488" s="38"/>
    </row>
    <row r="1025489" spans="54:54" ht="15.75" customHeight="1" x14ac:dyDescent="0.3">
      <c r="BB1025489" s="38"/>
    </row>
    <row r="1025490" spans="54:54" ht="15.75" customHeight="1" x14ac:dyDescent="0.3">
      <c r="BB1025490" s="38"/>
    </row>
    <row r="1025491" spans="54:54" ht="15.75" customHeight="1" x14ac:dyDescent="0.3">
      <c r="BB1025491" s="38"/>
    </row>
    <row r="1025492" spans="54:54" ht="15.75" customHeight="1" x14ac:dyDescent="0.3">
      <c r="BB1025492" s="38"/>
    </row>
    <row r="1025493" spans="54:54" ht="15.75" customHeight="1" x14ac:dyDescent="0.3">
      <c r="BB1025493" s="38"/>
    </row>
    <row r="1025494" spans="54:54" ht="15.75" customHeight="1" x14ac:dyDescent="0.3">
      <c r="BB1025494" s="38"/>
    </row>
    <row r="1025495" spans="54:54" ht="15.75" customHeight="1" x14ac:dyDescent="0.3">
      <c r="BB1025495" s="38"/>
    </row>
    <row r="1025496" spans="54:54" ht="15.75" customHeight="1" x14ac:dyDescent="0.3">
      <c r="BB1025496" s="38"/>
    </row>
    <row r="1025497" spans="54:54" ht="15.75" customHeight="1" x14ac:dyDescent="0.3">
      <c r="BB1025497" s="38"/>
    </row>
    <row r="1025498" spans="54:54" ht="15.75" customHeight="1" x14ac:dyDescent="0.3">
      <c r="BB1025498" s="38"/>
    </row>
    <row r="1025499" spans="54:54" ht="15.75" customHeight="1" x14ac:dyDescent="0.3">
      <c r="BB1025499" s="38"/>
    </row>
    <row r="1025500" spans="54:54" ht="15.75" customHeight="1" x14ac:dyDescent="0.3">
      <c r="BB1025500" s="38"/>
    </row>
    <row r="1025501" spans="54:54" ht="15.75" customHeight="1" x14ac:dyDescent="0.3">
      <c r="BB1025501" s="38"/>
    </row>
    <row r="1025502" spans="54:54" ht="15.75" customHeight="1" x14ac:dyDescent="0.3">
      <c r="BB1025502" s="38"/>
    </row>
    <row r="1025503" spans="54:54" ht="15.75" customHeight="1" x14ac:dyDescent="0.3">
      <c r="BB1025503" s="38"/>
    </row>
    <row r="1025504" spans="54:54" ht="15.75" customHeight="1" x14ac:dyDescent="0.3">
      <c r="BB1025504" s="38"/>
    </row>
    <row r="1025505" spans="54:54" ht="15.75" customHeight="1" x14ac:dyDescent="0.3">
      <c r="BB1025505" s="38"/>
    </row>
    <row r="1025506" spans="54:54" ht="15.75" customHeight="1" x14ac:dyDescent="0.3">
      <c r="BB1025506" s="38"/>
    </row>
    <row r="1025507" spans="54:54" ht="15.75" customHeight="1" x14ac:dyDescent="0.3">
      <c r="BB1025507" s="38"/>
    </row>
    <row r="1025508" spans="54:54" ht="15.75" customHeight="1" x14ac:dyDescent="0.3">
      <c r="BB1025508" s="38"/>
    </row>
    <row r="1025509" spans="54:54" ht="15.75" customHeight="1" x14ac:dyDescent="0.3">
      <c r="BB1025509" s="38"/>
    </row>
    <row r="1025510" spans="54:54" ht="15.75" customHeight="1" x14ac:dyDescent="0.3">
      <c r="BB1025510" s="38"/>
    </row>
    <row r="1025511" spans="54:54" ht="15.75" customHeight="1" x14ac:dyDescent="0.3">
      <c r="BB1025511" s="38"/>
    </row>
    <row r="1025512" spans="54:54" ht="15.75" customHeight="1" x14ac:dyDescent="0.3">
      <c r="BB1025512" s="38"/>
    </row>
    <row r="1025513" spans="54:54" ht="15.75" customHeight="1" x14ac:dyDescent="0.3">
      <c r="BB1025513" s="38"/>
    </row>
    <row r="1025514" spans="54:54" ht="15.75" customHeight="1" x14ac:dyDescent="0.3">
      <c r="BB1025514" s="38"/>
    </row>
    <row r="1025515" spans="54:54" ht="15.75" customHeight="1" x14ac:dyDescent="0.3">
      <c r="BB1025515" s="38"/>
    </row>
    <row r="1025516" spans="54:54" ht="15.75" customHeight="1" x14ac:dyDescent="0.3">
      <c r="BB1025516" s="38"/>
    </row>
    <row r="1025517" spans="54:54" ht="15.75" customHeight="1" x14ac:dyDescent="0.3">
      <c r="BB1025517" s="38"/>
    </row>
    <row r="1025518" spans="54:54" ht="15.75" customHeight="1" x14ac:dyDescent="0.3">
      <c r="BB1025518" s="38"/>
    </row>
    <row r="1025519" spans="54:54" ht="15.75" customHeight="1" x14ac:dyDescent="0.3">
      <c r="BB1025519" s="38"/>
    </row>
    <row r="1025520" spans="54:54" ht="15.75" customHeight="1" x14ac:dyDescent="0.3">
      <c r="BB1025520" s="38"/>
    </row>
    <row r="1025521" spans="54:54" ht="15.75" customHeight="1" x14ac:dyDescent="0.3">
      <c r="BB1025521" s="38"/>
    </row>
    <row r="1025522" spans="54:54" ht="15.75" customHeight="1" x14ac:dyDescent="0.3">
      <c r="BB1025522" s="38"/>
    </row>
    <row r="1025523" spans="54:54" ht="15.75" customHeight="1" x14ac:dyDescent="0.3">
      <c r="BB1025523" s="38"/>
    </row>
    <row r="1025524" spans="54:54" ht="15.75" customHeight="1" x14ac:dyDescent="0.3">
      <c r="BB1025524" s="38"/>
    </row>
    <row r="1025525" spans="54:54" ht="15.75" customHeight="1" x14ac:dyDescent="0.3">
      <c r="BB1025525" s="38"/>
    </row>
    <row r="1025526" spans="54:54" ht="15.75" customHeight="1" x14ac:dyDescent="0.3">
      <c r="BB1025526" s="38"/>
    </row>
    <row r="1025527" spans="54:54" ht="15.75" customHeight="1" x14ac:dyDescent="0.3">
      <c r="BB1025527" s="38"/>
    </row>
    <row r="1025528" spans="54:54" ht="15.75" customHeight="1" x14ac:dyDescent="0.3">
      <c r="BB1025528" s="38"/>
    </row>
    <row r="1025529" spans="54:54" ht="15.75" customHeight="1" x14ac:dyDescent="0.3">
      <c r="BB1025529" s="38"/>
    </row>
    <row r="1025530" spans="54:54" ht="15.75" customHeight="1" x14ac:dyDescent="0.3">
      <c r="BB1025530" s="38"/>
    </row>
    <row r="1025531" spans="54:54" ht="15.75" customHeight="1" x14ac:dyDescent="0.3">
      <c r="BB1025531" s="38"/>
    </row>
    <row r="1025532" spans="54:54" ht="15.75" customHeight="1" x14ac:dyDescent="0.3">
      <c r="BB1025532" s="38"/>
    </row>
    <row r="1025533" spans="54:54" ht="15.75" customHeight="1" x14ac:dyDescent="0.3">
      <c r="BB1025533" s="38"/>
    </row>
    <row r="1025534" spans="54:54" ht="15.75" customHeight="1" x14ac:dyDescent="0.3">
      <c r="BB1025534" s="38"/>
    </row>
    <row r="1025535" spans="54:54" ht="15.75" customHeight="1" x14ac:dyDescent="0.3">
      <c r="BB1025535" s="38"/>
    </row>
    <row r="1025536" spans="54:54" ht="15.75" customHeight="1" x14ac:dyDescent="0.3">
      <c r="BB1025536" s="38"/>
    </row>
    <row r="1025537" spans="54:54" ht="15.75" customHeight="1" x14ac:dyDescent="0.3">
      <c r="BB1025537" s="38"/>
    </row>
    <row r="1025538" spans="54:54" ht="15.75" customHeight="1" x14ac:dyDescent="0.3">
      <c r="BB1025538" s="38"/>
    </row>
    <row r="1025539" spans="54:54" ht="15.75" customHeight="1" x14ac:dyDescent="0.3">
      <c r="BB1025539" s="38"/>
    </row>
    <row r="1025540" spans="54:54" ht="15.75" customHeight="1" x14ac:dyDescent="0.3">
      <c r="BB1025540" s="38"/>
    </row>
    <row r="1025541" spans="54:54" ht="15.75" customHeight="1" x14ac:dyDescent="0.3">
      <c r="BB1025541" s="38"/>
    </row>
    <row r="1025542" spans="54:54" ht="15.75" customHeight="1" x14ac:dyDescent="0.3">
      <c r="BB1025542" s="38"/>
    </row>
    <row r="1025543" spans="54:54" ht="15.75" customHeight="1" x14ac:dyDescent="0.3">
      <c r="BB1025543" s="38"/>
    </row>
    <row r="1025544" spans="54:54" ht="15.75" customHeight="1" x14ac:dyDescent="0.3">
      <c r="BB1025544" s="38"/>
    </row>
    <row r="1025545" spans="54:54" ht="15.75" customHeight="1" x14ac:dyDescent="0.3">
      <c r="BB1025545" s="38"/>
    </row>
    <row r="1025546" spans="54:54" ht="15.75" customHeight="1" x14ac:dyDescent="0.3">
      <c r="BB1025546" s="38"/>
    </row>
    <row r="1025547" spans="54:54" ht="15.75" customHeight="1" x14ac:dyDescent="0.3">
      <c r="BB1025547" s="38"/>
    </row>
    <row r="1025548" spans="54:54" ht="15.75" customHeight="1" x14ac:dyDescent="0.3">
      <c r="BB1025548" s="38"/>
    </row>
    <row r="1025549" spans="54:54" ht="15.75" customHeight="1" x14ac:dyDescent="0.3">
      <c r="BB1025549" s="38"/>
    </row>
    <row r="1025550" spans="54:54" ht="15.75" customHeight="1" x14ac:dyDescent="0.3">
      <c r="BB1025550" s="38"/>
    </row>
    <row r="1025551" spans="54:54" ht="15.75" customHeight="1" x14ac:dyDescent="0.3">
      <c r="BB1025551" s="38"/>
    </row>
    <row r="1025552" spans="54:54" ht="15.75" customHeight="1" x14ac:dyDescent="0.3">
      <c r="BB1025552" s="38"/>
    </row>
    <row r="1025553" spans="54:54" ht="15.75" customHeight="1" x14ac:dyDescent="0.3">
      <c r="BB1025553" s="38"/>
    </row>
    <row r="1025554" spans="54:54" ht="15.75" customHeight="1" x14ac:dyDescent="0.3">
      <c r="BB1025554" s="38"/>
    </row>
    <row r="1025555" spans="54:54" ht="15.75" customHeight="1" x14ac:dyDescent="0.3">
      <c r="BB1025555" s="38"/>
    </row>
    <row r="1025556" spans="54:54" ht="15.75" customHeight="1" x14ac:dyDescent="0.3">
      <c r="BB1025556" s="38"/>
    </row>
    <row r="1025557" spans="54:54" ht="15.75" customHeight="1" x14ac:dyDescent="0.3">
      <c r="BB1025557" s="38"/>
    </row>
    <row r="1025558" spans="54:54" ht="15.75" customHeight="1" x14ac:dyDescent="0.3">
      <c r="BB1025558" s="38"/>
    </row>
    <row r="1025559" spans="54:54" ht="15.75" customHeight="1" x14ac:dyDescent="0.3">
      <c r="BB1025559" s="38"/>
    </row>
    <row r="1025560" spans="54:54" ht="15.75" customHeight="1" x14ac:dyDescent="0.3">
      <c r="BB1025560" s="38"/>
    </row>
    <row r="1025561" spans="54:54" ht="15.75" customHeight="1" x14ac:dyDescent="0.3">
      <c r="BB1025561" s="38"/>
    </row>
    <row r="1025562" spans="54:54" ht="15.75" customHeight="1" x14ac:dyDescent="0.3">
      <c r="BB1025562" s="38"/>
    </row>
    <row r="1025563" spans="54:54" ht="15.75" customHeight="1" x14ac:dyDescent="0.3">
      <c r="BB1025563" s="38"/>
    </row>
    <row r="1025564" spans="54:54" ht="15.75" customHeight="1" x14ac:dyDescent="0.3">
      <c r="BB1025564" s="38"/>
    </row>
    <row r="1025565" spans="54:54" ht="15.75" customHeight="1" x14ac:dyDescent="0.3">
      <c r="BB1025565" s="38"/>
    </row>
    <row r="1025566" spans="54:54" ht="15.75" customHeight="1" x14ac:dyDescent="0.3">
      <c r="BB1025566" s="38"/>
    </row>
    <row r="1025567" spans="54:54" ht="15.75" customHeight="1" x14ac:dyDescent="0.3">
      <c r="BB1025567" s="38"/>
    </row>
    <row r="1025568" spans="54:54" ht="15.75" customHeight="1" x14ac:dyDescent="0.3">
      <c r="BB1025568" s="38"/>
    </row>
    <row r="1025569" spans="54:54" ht="15.75" customHeight="1" x14ac:dyDescent="0.3">
      <c r="BB1025569" s="38"/>
    </row>
    <row r="1025570" spans="54:54" ht="15.75" customHeight="1" x14ac:dyDescent="0.3">
      <c r="BB1025570" s="38"/>
    </row>
    <row r="1025571" spans="54:54" ht="15.75" customHeight="1" x14ac:dyDescent="0.3">
      <c r="BB1025571" s="38"/>
    </row>
    <row r="1025572" spans="54:54" ht="15.75" customHeight="1" x14ac:dyDescent="0.3">
      <c r="BB1025572" s="38"/>
    </row>
    <row r="1025573" spans="54:54" ht="15.75" customHeight="1" x14ac:dyDescent="0.3">
      <c r="BB1025573" s="38"/>
    </row>
    <row r="1025574" spans="54:54" ht="15.75" customHeight="1" x14ac:dyDescent="0.3">
      <c r="BB1025574" s="38"/>
    </row>
    <row r="1025575" spans="54:54" ht="15.75" customHeight="1" x14ac:dyDescent="0.3">
      <c r="BB1025575" s="38"/>
    </row>
    <row r="1025576" spans="54:54" ht="15.75" customHeight="1" x14ac:dyDescent="0.3">
      <c r="BB1025576" s="38"/>
    </row>
    <row r="1025577" spans="54:54" ht="15.75" customHeight="1" x14ac:dyDescent="0.3">
      <c r="BB1025577" s="38"/>
    </row>
    <row r="1025578" spans="54:54" ht="15.75" customHeight="1" x14ac:dyDescent="0.3">
      <c r="BB1025578" s="38"/>
    </row>
    <row r="1025579" spans="54:54" ht="15.75" customHeight="1" x14ac:dyDescent="0.3">
      <c r="BB1025579" s="38"/>
    </row>
    <row r="1025580" spans="54:54" ht="15.75" customHeight="1" x14ac:dyDescent="0.3">
      <c r="BB1025580" s="38"/>
    </row>
    <row r="1025581" spans="54:54" ht="15.75" customHeight="1" x14ac:dyDescent="0.3">
      <c r="BB1025581" s="38"/>
    </row>
    <row r="1025582" spans="54:54" ht="15.75" customHeight="1" x14ac:dyDescent="0.3">
      <c r="BB1025582" s="38"/>
    </row>
    <row r="1025583" spans="54:54" ht="15.75" customHeight="1" x14ac:dyDescent="0.3">
      <c r="BB1025583" s="38"/>
    </row>
    <row r="1025584" spans="54:54" ht="15.75" customHeight="1" x14ac:dyDescent="0.3">
      <c r="BB1025584" s="38"/>
    </row>
    <row r="1025585" spans="54:54" ht="15.75" customHeight="1" x14ac:dyDescent="0.3">
      <c r="BB1025585" s="38"/>
    </row>
    <row r="1025586" spans="54:54" ht="15.75" customHeight="1" x14ac:dyDescent="0.3">
      <c r="BB1025586" s="38"/>
    </row>
    <row r="1025587" spans="54:54" ht="15.75" customHeight="1" x14ac:dyDescent="0.3">
      <c r="BB1025587" s="38"/>
    </row>
    <row r="1025588" spans="54:54" ht="15.75" customHeight="1" x14ac:dyDescent="0.3">
      <c r="BB1025588" s="38"/>
    </row>
    <row r="1025589" spans="54:54" ht="15.75" customHeight="1" x14ac:dyDescent="0.3">
      <c r="BB1025589" s="38"/>
    </row>
    <row r="1025590" spans="54:54" ht="15.75" customHeight="1" x14ac:dyDescent="0.3">
      <c r="BB1025590" s="38"/>
    </row>
    <row r="1025591" spans="54:54" ht="15.75" customHeight="1" x14ac:dyDescent="0.3">
      <c r="BB1025591" s="38"/>
    </row>
    <row r="1025592" spans="54:54" ht="15.75" customHeight="1" x14ac:dyDescent="0.3">
      <c r="BB1025592" s="38"/>
    </row>
    <row r="1025593" spans="54:54" ht="15.75" customHeight="1" x14ac:dyDescent="0.3">
      <c r="BB1025593" s="38"/>
    </row>
    <row r="1025594" spans="54:54" ht="15.75" customHeight="1" x14ac:dyDescent="0.3">
      <c r="BB1025594" s="38"/>
    </row>
    <row r="1025595" spans="54:54" ht="15.75" customHeight="1" x14ac:dyDescent="0.3">
      <c r="BB1025595" s="38"/>
    </row>
    <row r="1025596" spans="54:54" ht="15.75" customHeight="1" x14ac:dyDescent="0.3">
      <c r="BB1025596" s="38"/>
    </row>
    <row r="1025597" spans="54:54" ht="15.75" customHeight="1" x14ac:dyDescent="0.3">
      <c r="BB1025597" s="38"/>
    </row>
    <row r="1025598" spans="54:54" ht="15.75" customHeight="1" x14ac:dyDescent="0.3">
      <c r="BB1025598" s="38"/>
    </row>
    <row r="1025599" spans="54:54" ht="15.75" customHeight="1" x14ac:dyDescent="0.3">
      <c r="BB1025599" s="38"/>
    </row>
    <row r="1025600" spans="54:54" ht="15.75" customHeight="1" x14ac:dyDescent="0.3">
      <c r="BB1025600" s="38"/>
    </row>
    <row r="1025601" spans="54:54" ht="15.75" customHeight="1" x14ac:dyDescent="0.3">
      <c r="BB1025601" s="38"/>
    </row>
    <row r="1025602" spans="54:54" ht="15.75" customHeight="1" x14ac:dyDescent="0.3">
      <c r="BB1025602" s="38"/>
    </row>
    <row r="1025603" spans="54:54" ht="15.75" customHeight="1" x14ac:dyDescent="0.3">
      <c r="BB1025603" s="38"/>
    </row>
    <row r="1025604" spans="54:54" ht="15.75" customHeight="1" x14ac:dyDescent="0.3">
      <c r="BB1025604" s="38"/>
    </row>
    <row r="1025605" spans="54:54" ht="15.75" customHeight="1" x14ac:dyDescent="0.3">
      <c r="BB1025605" s="38"/>
    </row>
    <row r="1025606" spans="54:54" ht="15.75" customHeight="1" x14ac:dyDescent="0.3">
      <c r="BB1025606" s="38"/>
    </row>
    <row r="1025607" spans="54:54" ht="15.75" customHeight="1" x14ac:dyDescent="0.3">
      <c r="BB1025607" s="38"/>
    </row>
    <row r="1025608" spans="54:54" ht="15.75" customHeight="1" x14ac:dyDescent="0.3">
      <c r="BB1025608" s="38"/>
    </row>
    <row r="1025609" spans="54:54" ht="15.75" customHeight="1" x14ac:dyDescent="0.3">
      <c r="BB1025609" s="38"/>
    </row>
    <row r="1025610" spans="54:54" ht="15.75" customHeight="1" x14ac:dyDescent="0.3">
      <c r="BB1025610" s="38"/>
    </row>
    <row r="1025611" spans="54:54" ht="15.75" customHeight="1" x14ac:dyDescent="0.3">
      <c r="BB1025611" s="38"/>
    </row>
    <row r="1025612" spans="54:54" ht="15.75" customHeight="1" x14ac:dyDescent="0.3">
      <c r="BB1025612" s="38"/>
    </row>
    <row r="1025613" spans="54:54" ht="15.75" customHeight="1" x14ac:dyDescent="0.3">
      <c r="BB1025613" s="38"/>
    </row>
    <row r="1025614" spans="54:54" ht="15.75" customHeight="1" x14ac:dyDescent="0.3">
      <c r="BB1025614" s="38"/>
    </row>
    <row r="1025615" spans="54:54" ht="15.75" customHeight="1" x14ac:dyDescent="0.3">
      <c r="BB1025615" s="38"/>
    </row>
    <row r="1025616" spans="54:54" ht="15.75" customHeight="1" x14ac:dyDescent="0.3">
      <c r="BB1025616" s="38"/>
    </row>
    <row r="1025617" spans="54:54" ht="15.75" customHeight="1" x14ac:dyDescent="0.3">
      <c r="BB1025617" s="38"/>
    </row>
    <row r="1025618" spans="54:54" ht="15.75" customHeight="1" x14ac:dyDescent="0.3">
      <c r="BB1025618" s="38"/>
    </row>
    <row r="1025619" spans="54:54" ht="15.75" customHeight="1" x14ac:dyDescent="0.3">
      <c r="BB1025619" s="38"/>
    </row>
    <row r="1025620" spans="54:54" ht="15.75" customHeight="1" x14ac:dyDescent="0.3">
      <c r="BB1025620" s="38"/>
    </row>
    <row r="1025621" spans="54:54" ht="15.75" customHeight="1" x14ac:dyDescent="0.3">
      <c r="BB1025621" s="38"/>
    </row>
    <row r="1025622" spans="54:54" ht="15.75" customHeight="1" x14ac:dyDescent="0.3">
      <c r="BB1025622" s="38"/>
    </row>
    <row r="1025623" spans="54:54" ht="15.75" customHeight="1" x14ac:dyDescent="0.3">
      <c r="BB1025623" s="38"/>
    </row>
    <row r="1025624" spans="54:54" ht="15.75" customHeight="1" x14ac:dyDescent="0.3">
      <c r="BB1025624" s="38"/>
    </row>
    <row r="1025625" spans="54:54" ht="15.75" customHeight="1" x14ac:dyDescent="0.3">
      <c r="BB1025625" s="38"/>
    </row>
    <row r="1025626" spans="54:54" ht="15.75" customHeight="1" x14ac:dyDescent="0.3">
      <c r="BB1025626" s="38"/>
    </row>
    <row r="1025627" spans="54:54" ht="15.75" customHeight="1" x14ac:dyDescent="0.3">
      <c r="BB1025627" s="38"/>
    </row>
    <row r="1025628" spans="54:54" ht="15.75" customHeight="1" x14ac:dyDescent="0.3">
      <c r="BB1025628" s="38"/>
    </row>
    <row r="1025629" spans="54:54" ht="15.75" customHeight="1" x14ac:dyDescent="0.3">
      <c r="BB1025629" s="38"/>
    </row>
    <row r="1025630" spans="54:54" ht="15.75" customHeight="1" x14ac:dyDescent="0.3">
      <c r="BB1025630" s="38"/>
    </row>
    <row r="1025631" spans="54:54" ht="15.75" customHeight="1" x14ac:dyDescent="0.3">
      <c r="BB1025631" s="38"/>
    </row>
    <row r="1025632" spans="54:54" ht="15.75" customHeight="1" x14ac:dyDescent="0.3">
      <c r="BB1025632" s="38"/>
    </row>
    <row r="1025633" spans="54:54" ht="15.75" customHeight="1" x14ac:dyDescent="0.3">
      <c r="BB1025633" s="38"/>
    </row>
    <row r="1025634" spans="54:54" ht="15.75" customHeight="1" x14ac:dyDescent="0.3">
      <c r="BB1025634" s="38"/>
    </row>
    <row r="1025635" spans="54:54" ht="15.75" customHeight="1" x14ac:dyDescent="0.3">
      <c r="BB1025635" s="38"/>
    </row>
    <row r="1025636" spans="54:54" ht="15.75" customHeight="1" x14ac:dyDescent="0.3">
      <c r="BB1025636" s="38"/>
    </row>
    <row r="1025637" spans="54:54" ht="15.75" customHeight="1" x14ac:dyDescent="0.3">
      <c r="BB1025637" s="38"/>
    </row>
    <row r="1025638" spans="54:54" ht="15.75" customHeight="1" x14ac:dyDescent="0.3">
      <c r="BB1025638" s="38"/>
    </row>
    <row r="1025639" spans="54:54" ht="15.75" customHeight="1" x14ac:dyDescent="0.3">
      <c r="BB1025639" s="38"/>
    </row>
    <row r="1025640" spans="54:54" ht="15.75" customHeight="1" x14ac:dyDescent="0.3">
      <c r="BB1025640" s="38"/>
    </row>
    <row r="1025641" spans="54:54" ht="15.75" customHeight="1" x14ac:dyDescent="0.3">
      <c r="BB1025641" s="38"/>
    </row>
    <row r="1025642" spans="54:54" ht="15.75" customHeight="1" x14ac:dyDescent="0.3">
      <c r="BB1025642" s="38"/>
    </row>
    <row r="1025643" spans="54:54" ht="15.75" customHeight="1" x14ac:dyDescent="0.3">
      <c r="BB1025643" s="38"/>
    </row>
    <row r="1025644" spans="54:54" ht="15.75" customHeight="1" x14ac:dyDescent="0.3">
      <c r="BB1025644" s="38"/>
    </row>
    <row r="1025645" spans="54:54" ht="15.75" customHeight="1" x14ac:dyDescent="0.3">
      <c r="BB1025645" s="38"/>
    </row>
    <row r="1025646" spans="54:54" ht="15.75" customHeight="1" x14ac:dyDescent="0.3">
      <c r="BB1025646" s="38"/>
    </row>
    <row r="1025647" spans="54:54" ht="15.75" customHeight="1" x14ac:dyDescent="0.3">
      <c r="BB1025647" s="38"/>
    </row>
    <row r="1025648" spans="54:54" ht="15.75" customHeight="1" x14ac:dyDescent="0.3">
      <c r="BB1025648" s="38"/>
    </row>
    <row r="1025649" spans="54:54" ht="15.75" customHeight="1" x14ac:dyDescent="0.3">
      <c r="BB1025649" s="38"/>
    </row>
    <row r="1025650" spans="54:54" ht="15.75" customHeight="1" x14ac:dyDescent="0.3">
      <c r="BB1025650" s="38"/>
    </row>
    <row r="1025651" spans="54:54" ht="15.75" customHeight="1" x14ac:dyDescent="0.3">
      <c r="BB1025651" s="38"/>
    </row>
    <row r="1025652" spans="54:54" ht="15.75" customHeight="1" x14ac:dyDescent="0.3">
      <c r="BB1025652" s="38"/>
    </row>
    <row r="1025653" spans="54:54" ht="15.75" customHeight="1" x14ac:dyDescent="0.3">
      <c r="BB1025653" s="38"/>
    </row>
    <row r="1025654" spans="54:54" ht="15.75" customHeight="1" x14ac:dyDescent="0.3">
      <c r="BB1025654" s="38"/>
    </row>
    <row r="1025655" spans="54:54" ht="15.75" customHeight="1" x14ac:dyDescent="0.3">
      <c r="BB1025655" s="38"/>
    </row>
    <row r="1025656" spans="54:54" ht="15.75" customHeight="1" x14ac:dyDescent="0.3">
      <c r="BB1025656" s="38"/>
    </row>
    <row r="1025657" spans="54:54" ht="15.75" customHeight="1" x14ac:dyDescent="0.3">
      <c r="BB1025657" s="38"/>
    </row>
    <row r="1025658" spans="54:54" ht="15.75" customHeight="1" x14ac:dyDescent="0.3">
      <c r="BB1025658" s="38"/>
    </row>
    <row r="1025659" spans="54:54" ht="15.75" customHeight="1" x14ac:dyDescent="0.3">
      <c r="BB1025659" s="38"/>
    </row>
    <row r="1025660" spans="54:54" ht="15.75" customHeight="1" x14ac:dyDescent="0.3">
      <c r="BB1025660" s="38"/>
    </row>
    <row r="1025661" spans="54:54" ht="15.75" customHeight="1" x14ac:dyDescent="0.3">
      <c r="BB1025661" s="38"/>
    </row>
    <row r="1025662" spans="54:54" ht="15.75" customHeight="1" x14ac:dyDescent="0.3">
      <c r="BB1025662" s="38"/>
    </row>
    <row r="1025663" spans="54:54" ht="15.75" customHeight="1" x14ac:dyDescent="0.3">
      <c r="BB1025663" s="38"/>
    </row>
    <row r="1025664" spans="54:54" ht="15.75" customHeight="1" x14ac:dyDescent="0.3">
      <c r="BB1025664" s="38"/>
    </row>
    <row r="1025665" spans="54:54" ht="15.75" customHeight="1" x14ac:dyDescent="0.3">
      <c r="BB1025665" s="38"/>
    </row>
    <row r="1025666" spans="54:54" ht="15.75" customHeight="1" x14ac:dyDescent="0.3">
      <c r="BB1025666" s="38"/>
    </row>
    <row r="1025667" spans="54:54" ht="15.75" customHeight="1" x14ac:dyDescent="0.3">
      <c r="BB1025667" s="38"/>
    </row>
    <row r="1025668" spans="54:54" ht="15.75" customHeight="1" x14ac:dyDescent="0.3">
      <c r="BB1025668" s="38"/>
    </row>
    <row r="1025669" spans="54:54" ht="15.75" customHeight="1" x14ac:dyDescent="0.3">
      <c r="BB1025669" s="38"/>
    </row>
    <row r="1025670" spans="54:54" ht="15.75" customHeight="1" x14ac:dyDescent="0.3">
      <c r="BB1025670" s="38"/>
    </row>
    <row r="1025671" spans="54:54" ht="15.75" customHeight="1" x14ac:dyDescent="0.3">
      <c r="BB1025671" s="38"/>
    </row>
    <row r="1025672" spans="54:54" ht="15.75" customHeight="1" x14ac:dyDescent="0.3">
      <c r="BB1025672" s="38"/>
    </row>
    <row r="1025673" spans="54:54" ht="15.75" customHeight="1" x14ac:dyDescent="0.3">
      <c r="BB1025673" s="38"/>
    </row>
    <row r="1025674" spans="54:54" ht="15.75" customHeight="1" x14ac:dyDescent="0.3">
      <c r="BB1025674" s="38"/>
    </row>
    <row r="1025675" spans="54:54" ht="15.75" customHeight="1" x14ac:dyDescent="0.3">
      <c r="BB1025675" s="38"/>
    </row>
    <row r="1025676" spans="54:54" ht="15.75" customHeight="1" x14ac:dyDescent="0.3">
      <c r="BB1025676" s="38"/>
    </row>
    <row r="1025677" spans="54:54" ht="15.75" customHeight="1" x14ac:dyDescent="0.3">
      <c r="BB1025677" s="38"/>
    </row>
    <row r="1025678" spans="54:54" ht="15.75" customHeight="1" x14ac:dyDescent="0.3">
      <c r="BB1025678" s="38"/>
    </row>
    <row r="1025679" spans="54:54" ht="15.75" customHeight="1" x14ac:dyDescent="0.3">
      <c r="BB1025679" s="38"/>
    </row>
    <row r="1025680" spans="54:54" ht="15.75" customHeight="1" x14ac:dyDescent="0.3">
      <c r="BB1025680" s="38"/>
    </row>
    <row r="1025681" spans="54:54" ht="15.75" customHeight="1" x14ac:dyDescent="0.3">
      <c r="BB1025681" s="38"/>
    </row>
    <row r="1025682" spans="54:54" ht="15.75" customHeight="1" x14ac:dyDescent="0.3">
      <c r="BB1025682" s="38"/>
    </row>
    <row r="1025683" spans="54:54" ht="15.75" customHeight="1" x14ac:dyDescent="0.3">
      <c r="BB1025683" s="38"/>
    </row>
    <row r="1025684" spans="54:54" ht="15.75" customHeight="1" x14ac:dyDescent="0.3">
      <c r="BB1025684" s="38"/>
    </row>
    <row r="1025685" spans="54:54" ht="15.75" customHeight="1" x14ac:dyDescent="0.3">
      <c r="BB1025685" s="38"/>
    </row>
    <row r="1025686" spans="54:54" ht="15.75" customHeight="1" x14ac:dyDescent="0.3">
      <c r="BB1025686" s="38"/>
    </row>
    <row r="1025687" spans="54:54" ht="15.75" customHeight="1" x14ac:dyDescent="0.3">
      <c r="BB1025687" s="38"/>
    </row>
    <row r="1025688" spans="54:54" ht="15.75" customHeight="1" x14ac:dyDescent="0.3">
      <c r="BB1025688" s="38"/>
    </row>
    <row r="1025689" spans="54:54" ht="15.75" customHeight="1" x14ac:dyDescent="0.3">
      <c r="BB1025689" s="38"/>
    </row>
    <row r="1025690" spans="54:54" ht="15.75" customHeight="1" x14ac:dyDescent="0.3">
      <c r="BB1025690" s="38"/>
    </row>
    <row r="1025691" spans="54:54" ht="15.75" customHeight="1" x14ac:dyDescent="0.3">
      <c r="BB1025691" s="38"/>
    </row>
    <row r="1025692" spans="54:54" ht="15.75" customHeight="1" x14ac:dyDescent="0.3">
      <c r="BB1025692" s="38"/>
    </row>
    <row r="1025693" spans="54:54" ht="15.75" customHeight="1" x14ac:dyDescent="0.3">
      <c r="BB1025693" s="38"/>
    </row>
    <row r="1025694" spans="54:54" ht="15.75" customHeight="1" x14ac:dyDescent="0.3">
      <c r="BB1025694" s="38"/>
    </row>
    <row r="1025695" spans="54:54" ht="15.75" customHeight="1" x14ac:dyDescent="0.3">
      <c r="BB1025695" s="38"/>
    </row>
    <row r="1025696" spans="54:54" ht="15.75" customHeight="1" x14ac:dyDescent="0.3">
      <c r="BB1025696" s="38"/>
    </row>
    <row r="1025697" spans="54:54" ht="15.75" customHeight="1" x14ac:dyDescent="0.3">
      <c r="BB1025697" s="38"/>
    </row>
    <row r="1025698" spans="54:54" ht="15.75" customHeight="1" x14ac:dyDescent="0.3">
      <c r="BB1025698" s="38"/>
    </row>
    <row r="1025699" spans="54:54" ht="15.75" customHeight="1" x14ac:dyDescent="0.3">
      <c r="BB1025699" s="38"/>
    </row>
    <row r="1025700" spans="54:54" ht="15.75" customHeight="1" x14ac:dyDescent="0.3">
      <c r="BB1025700" s="38"/>
    </row>
    <row r="1025701" spans="54:54" ht="15.75" customHeight="1" x14ac:dyDescent="0.3">
      <c r="BB1025701" s="38"/>
    </row>
    <row r="1025702" spans="54:54" ht="15.75" customHeight="1" x14ac:dyDescent="0.3">
      <c r="BB1025702" s="38"/>
    </row>
    <row r="1025703" spans="54:54" ht="15.75" customHeight="1" x14ac:dyDescent="0.3">
      <c r="BB1025703" s="38"/>
    </row>
    <row r="1025704" spans="54:54" ht="15.75" customHeight="1" x14ac:dyDescent="0.3">
      <c r="BB1025704" s="38"/>
    </row>
    <row r="1025705" spans="54:54" ht="15.75" customHeight="1" x14ac:dyDescent="0.3">
      <c r="BB1025705" s="38"/>
    </row>
    <row r="1025706" spans="54:54" ht="15.75" customHeight="1" x14ac:dyDescent="0.3">
      <c r="BB1025706" s="38"/>
    </row>
    <row r="1025707" spans="54:54" ht="15.75" customHeight="1" x14ac:dyDescent="0.3">
      <c r="BB1025707" s="38"/>
    </row>
    <row r="1025708" spans="54:54" ht="15.75" customHeight="1" x14ac:dyDescent="0.3">
      <c r="BB1025708" s="38"/>
    </row>
    <row r="1025709" spans="54:54" ht="15.75" customHeight="1" x14ac:dyDescent="0.3">
      <c r="BB1025709" s="38"/>
    </row>
    <row r="1025710" spans="54:54" ht="15.75" customHeight="1" x14ac:dyDescent="0.3">
      <c r="BB1025710" s="38"/>
    </row>
    <row r="1025711" spans="54:54" ht="15.75" customHeight="1" x14ac:dyDescent="0.3">
      <c r="BB1025711" s="38"/>
    </row>
    <row r="1025712" spans="54:54" ht="15.75" customHeight="1" x14ac:dyDescent="0.3">
      <c r="BB1025712" s="38"/>
    </row>
    <row r="1025713" spans="54:54" ht="15.75" customHeight="1" x14ac:dyDescent="0.3">
      <c r="BB1025713" s="38"/>
    </row>
    <row r="1025714" spans="54:54" ht="15.75" customHeight="1" x14ac:dyDescent="0.3">
      <c r="BB1025714" s="38"/>
    </row>
    <row r="1025715" spans="54:54" ht="15.75" customHeight="1" x14ac:dyDescent="0.3">
      <c r="BB1025715" s="38"/>
    </row>
    <row r="1025716" spans="54:54" ht="15.75" customHeight="1" x14ac:dyDescent="0.3">
      <c r="BB1025716" s="38"/>
    </row>
    <row r="1025717" spans="54:54" ht="15.75" customHeight="1" x14ac:dyDescent="0.3">
      <c r="BB1025717" s="38"/>
    </row>
    <row r="1025718" spans="54:54" ht="15.75" customHeight="1" x14ac:dyDescent="0.3">
      <c r="BB1025718" s="38"/>
    </row>
    <row r="1025719" spans="54:54" ht="15.75" customHeight="1" x14ac:dyDescent="0.3">
      <c r="BB1025719" s="38"/>
    </row>
    <row r="1025720" spans="54:54" ht="15.75" customHeight="1" x14ac:dyDescent="0.3">
      <c r="BB1025720" s="38"/>
    </row>
    <row r="1025721" spans="54:54" ht="15.75" customHeight="1" x14ac:dyDescent="0.3">
      <c r="BB1025721" s="38"/>
    </row>
    <row r="1025722" spans="54:54" ht="15.75" customHeight="1" x14ac:dyDescent="0.3">
      <c r="BB1025722" s="38"/>
    </row>
    <row r="1025723" spans="54:54" ht="15.75" customHeight="1" x14ac:dyDescent="0.3">
      <c r="BB1025723" s="38"/>
    </row>
    <row r="1025724" spans="54:54" ht="15.75" customHeight="1" x14ac:dyDescent="0.3">
      <c r="BB1025724" s="38"/>
    </row>
    <row r="1025725" spans="54:54" ht="15.75" customHeight="1" x14ac:dyDescent="0.3">
      <c r="BB1025725" s="38"/>
    </row>
    <row r="1025726" spans="54:54" ht="15.75" customHeight="1" x14ac:dyDescent="0.3">
      <c r="BB1025726" s="38"/>
    </row>
    <row r="1025727" spans="54:54" ht="15.75" customHeight="1" x14ac:dyDescent="0.3">
      <c r="BB1025727" s="38"/>
    </row>
    <row r="1025728" spans="54:54" ht="15.75" customHeight="1" x14ac:dyDescent="0.3">
      <c r="BB1025728" s="38"/>
    </row>
    <row r="1025729" spans="54:54" ht="15.75" customHeight="1" x14ac:dyDescent="0.3">
      <c r="BB1025729" s="38"/>
    </row>
    <row r="1025730" spans="54:54" ht="15.75" customHeight="1" x14ac:dyDescent="0.3">
      <c r="BB1025730" s="38"/>
    </row>
    <row r="1025731" spans="54:54" ht="15.75" customHeight="1" x14ac:dyDescent="0.3">
      <c r="BB1025731" s="38"/>
    </row>
    <row r="1025732" spans="54:54" ht="15.75" customHeight="1" x14ac:dyDescent="0.3">
      <c r="BB1025732" s="38"/>
    </row>
    <row r="1025733" spans="54:54" ht="15.75" customHeight="1" x14ac:dyDescent="0.3">
      <c r="BB1025733" s="38"/>
    </row>
    <row r="1025734" spans="54:54" ht="15.75" customHeight="1" x14ac:dyDescent="0.3">
      <c r="BB1025734" s="38"/>
    </row>
    <row r="1025735" spans="54:54" ht="15.75" customHeight="1" x14ac:dyDescent="0.3">
      <c r="BB1025735" s="38"/>
    </row>
    <row r="1025736" spans="54:54" ht="15.75" customHeight="1" x14ac:dyDescent="0.3">
      <c r="BB1025736" s="38"/>
    </row>
    <row r="1025737" spans="54:54" ht="15.75" customHeight="1" x14ac:dyDescent="0.3">
      <c r="BB1025737" s="38"/>
    </row>
    <row r="1025738" spans="54:54" ht="15.75" customHeight="1" x14ac:dyDescent="0.3">
      <c r="BB1025738" s="38"/>
    </row>
    <row r="1025739" spans="54:54" ht="15.75" customHeight="1" x14ac:dyDescent="0.3">
      <c r="BB1025739" s="38"/>
    </row>
    <row r="1025740" spans="54:54" ht="15.75" customHeight="1" x14ac:dyDescent="0.3">
      <c r="BB1025740" s="38"/>
    </row>
    <row r="1025741" spans="54:54" ht="15.75" customHeight="1" x14ac:dyDescent="0.3">
      <c r="BB1025741" s="38"/>
    </row>
    <row r="1025742" spans="54:54" ht="15.75" customHeight="1" x14ac:dyDescent="0.3">
      <c r="BB1025742" s="38"/>
    </row>
    <row r="1025743" spans="54:54" ht="15.75" customHeight="1" x14ac:dyDescent="0.3">
      <c r="BB1025743" s="38"/>
    </row>
    <row r="1025744" spans="54:54" ht="15.75" customHeight="1" x14ac:dyDescent="0.3">
      <c r="BB1025744" s="38"/>
    </row>
    <row r="1025745" spans="54:54" ht="15.75" customHeight="1" x14ac:dyDescent="0.3">
      <c r="BB1025745" s="38"/>
    </row>
    <row r="1025746" spans="54:54" ht="15.75" customHeight="1" x14ac:dyDescent="0.3">
      <c r="BB1025746" s="38"/>
    </row>
    <row r="1025747" spans="54:54" ht="15.75" customHeight="1" x14ac:dyDescent="0.3">
      <c r="BB1025747" s="38"/>
    </row>
    <row r="1025748" spans="54:54" ht="15.75" customHeight="1" x14ac:dyDescent="0.3">
      <c r="BB1025748" s="38"/>
    </row>
    <row r="1025749" spans="54:54" ht="15.75" customHeight="1" x14ac:dyDescent="0.3">
      <c r="BB1025749" s="38"/>
    </row>
    <row r="1025750" spans="54:54" ht="15.75" customHeight="1" x14ac:dyDescent="0.3">
      <c r="BB1025750" s="38"/>
    </row>
    <row r="1025751" spans="54:54" ht="15.75" customHeight="1" x14ac:dyDescent="0.3">
      <c r="BB1025751" s="38"/>
    </row>
    <row r="1025752" spans="54:54" ht="15.75" customHeight="1" x14ac:dyDescent="0.3">
      <c r="BB1025752" s="38"/>
    </row>
    <row r="1025753" spans="54:54" ht="15.75" customHeight="1" x14ac:dyDescent="0.3">
      <c r="BB1025753" s="38"/>
    </row>
    <row r="1025754" spans="54:54" ht="15.75" customHeight="1" x14ac:dyDescent="0.3">
      <c r="BB1025754" s="38"/>
    </row>
    <row r="1025755" spans="54:54" ht="15.75" customHeight="1" x14ac:dyDescent="0.3">
      <c r="BB1025755" s="38"/>
    </row>
    <row r="1025756" spans="54:54" ht="15.75" customHeight="1" x14ac:dyDescent="0.3">
      <c r="BB1025756" s="38"/>
    </row>
    <row r="1025757" spans="54:54" ht="15.75" customHeight="1" x14ac:dyDescent="0.3">
      <c r="BB1025757" s="38"/>
    </row>
    <row r="1025758" spans="54:54" ht="15.75" customHeight="1" x14ac:dyDescent="0.3">
      <c r="BB1025758" s="38"/>
    </row>
    <row r="1025759" spans="54:54" ht="15.75" customHeight="1" x14ac:dyDescent="0.3">
      <c r="BB1025759" s="38"/>
    </row>
    <row r="1025760" spans="54:54" ht="15.75" customHeight="1" x14ac:dyDescent="0.3">
      <c r="BB1025760" s="38"/>
    </row>
    <row r="1025761" spans="54:54" ht="15.75" customHeight="1" x14ac:dyDescent="0.3">
      <c r="BB1025761" s="38"/>
    </row>
    <row r="1025762" spans="54:54" ht="15.75" customHeight="1" x14ac:dyDescent="0.3">
      <c r="BB1025762" s="38"/>
    </row>
    <row r="1025763" spans="54:54" ht="15.75" customHeight="1" x14ac:dyDescent="0.3">
      <c r="BB1025763" s="38"/>
    </row>
    <row r="1025764" spans="54:54" ht="15.75" customHeight="1" x14ac:dyDescent="0.3">
      <c r="BB1025764" s="38"/>
    </row>
    <row r="1025765" spans="54:54" ht="15.75" customHeight="1" x14ac:dyDescent="0.3">
      <c r="BB1025765" s="38"/>
    </row>
    <row r="1025766" spans="54:54" ht="15.75" customHeight="1" x14ac:dyDescent="0.3">
      <c r="BB1025766" s="38"/>
    </row>
    <row r="1025767" spans="54:54" ht="15.75" customHeight="1" x14ac:dyDescent="0.3">
      <c r="BB1025767" s="38"/>
    </row>
    <row r="1025768" spans="54:54" ht="15.75" customHeight="1" x14ac:dyDescent="0.3">
      <c r="BB1025768" s="38"/>
    </row>
    <row r="1025769" spans="54:54" ht="15.75" customHeight="1" x14ac:dyDescent="0.3">
      <c r="BB1025769" s="38"/>
    </row>
    <row r="1025770" spans="54:54" ht="15.75" customHeight="1" x14ac:dyDescent="0.3">
      <c r="BB1025770" s="38"/>
    </row>
    <row r="1025771" spans="54:54" ht="15.75" customHeight="1" x14ac:dyDescent="0.3">
      <c r="BB1025771" s="38"/>
    </row>
    <row r="1025772" spans="54:54" ht="15.75" customHeight="1" x14ac:dyDescent="0.3">
      <c r="BB1025772" s="38"/>
    </row>
    <row r="1025773" spans="54:54" ht="15.75" customHeight="1" x14ac:dyDescent="0.3">
      <c r="BB1025773" s="38"/>
    </row>
    <row r="1025774" spans="54:54" ht="15.75" customHeight="1" x14ac:dyDescent="0.3">
      <c r="BB1025774" s="38"/>
    </row>
    <row r="1025775" spans="54:54" ht="15.75" customHeight="1" x14ac:dyDescent="0.3">
      <c r="BB1025775" s="38"/>
    </row>
    <row r="1025776" spans="54:54" ht="15.75" customHeight="1" x14ac:dyDescent="0.3">
      <c r="BB1025776" s="38"/>
    </row>
    <row r="1025777" spans="54:54" ht="15.75" customHeight="1" x14ac:dyDescent="0.3">
      <c r="BB1025777" s="38"/>
    </row>
    <row r="1025778" spans="54:54" ht="15.75" customHeight="1" x14ac:dyDescent="0.3">
      <c r="BB1025778" s="38"/>
    </row>
    <row r="1025779" spans="54:54" ht="15.75" customHeight="1" x14ac:dyDescent="0.3">
      <c r="BB1025779" s="38"/>
    </row>
    <row r="1025780" spans="54:54" ht="15.75" customHeight="1" x14ac:dyDescent="0.3">
      <c r="BB1025780" s="38"/>
    </row>
    <row r="1025781" spans="54:54" ht="15.75" customHeight="1" x14ac:dyDescent="0.3">
      <c r="BB1025781" s="38"/>
    </row>
    <row r="1025782" spans="54:54" ht="15.75" customHeight="1" x14ac:dyDescent="0.3">
      <c r="BB1025782" s="38"/>
    </row>
    <row r="1025783" spans="54:54" ht="15.75" customHeight="1" x14ac:dyDescent="0.3">
      <c r="BB1025783" s="38"/>
    </row>
    <row r="1025784" spans="54:54" ht="15.75" customHeight="1" x14ac:dyDescent="0.3">
      <c r="BB1025784" s="38"/>
    </row>
    <row r="1025785" spans="54:54" ht="15.75" customHeight="1" x14ac:dyDescent="0.3">
      <c r="BB1025785" s="38"/>
    </row>
    <row r="1025786" spans="54:54" ht="15.75" customHeight="1" x14ac:dyDescent="0.3">
      <c r="BB1025786" s="38"/>
    </row>
    <row r="1025787" spans="54:54" ht="15.75" customHeight="1" x14ac:dyDescent="0.3">
      <c r="BB1025787" s="38"/>
    </row>
    <row r="1025788" spans="54:54" ht="15.75" customHeight="1" x14ac:dyDescent="0.3">
      <c r="BB1025788" s="38"/>
    </row>
    <row r="1025789" spans="54:54" ht="15.75" customHeight="1" x14ac:dyDescent="0.3">
      <c r="BB1025789" s="38"/>
    </row>
    <row r="1025790" spans="54:54" ht="15.75" customHeight="1" x14ac:dyDescent="0.3">
      <c r="BB1025790" s="38"/>
    </row>
    <row r="1025791" spans="54:54" ht="15.75" customHeight="1" x14ac:dyDescent="0.3">
      <c r="BB1025791" s="38"/>
    </row>
    <row r="1025792" spans="54:54" ht="15.75" customHeight="1" x14ac:dyDescent="0.3">
      <c r="BB1025792" s="38"/>
    </row>
    <row r="1025793" spans="54:54" ht="15.75" customHeight="1" x14ac:dyDescent="0.3">
      <c r="BB1025793" s="38"/>
    </row>
    <row r="1025794" spans="54:54" ht="15.75" customHeight="1" x14ac:dyDescent="0.3">
      <c r="BB1025794" s="38"/>
    </row>
    <row r="1025795" spans="54:54" ht="15.75" customHeight="1" x14ac:dyDescent="0.3">
      <c r="BB1025795" s="38"/>
    </row>
    <row r="1025796" spans="54:54" ht="15.75" customHeight="1" x14ac:dyDescent="0.3">
      <c r="BB1025796" s="38"/>
    </row>
    <row r="1025797" spans="54:54" ht="15.75" customHeight="1" x14ac:dyDescent="0.3">
      <c r="BB1025797" s="38"/>
    </row>
    <row r="1025798" spans="54:54" ht="15.75" customHeight="1" x14ac:dyDescent="0.3">
      <c r="BB1025798" s="38"/>
    </row>
    <row r="1025799" spans="54:54" ht="15.75" customHeight="1" x14ac:dyDescent="0.3">
      <c r="BB1025799" s="38"/>
    </row>
    <row r="1025800" spans="54:54" ht="15.75" customHeight="1" x14ac:dyDescent="0.3">
      <c r="BB1025800" s="38"/>
    </row>
    <row r="1025801" spans="54:54" ht="15.75" customHeight="1" x14ac:dyDescent="0.3">
      <c r="BB1025801" s="38"/>
    </row>
    <row r="1025802" spans="54:54" ht="15.75" customHeight="1" x14ac:dyDescent="0.3">
      <c r="BB1025802" s="38"/>
    </row>
    <row r="1025803" spans="54:54" ht="15.75" customHeight="1" x14ac:dyDescent="0.3">
      <c r="BB1025803" s="38"/>
    </row>
    <row r="1025804" spans="54:54" ht="15.75" customHeight="1" x14ac:dyDescent="0.3">
      <c r="BB1025804" s="38"/>
    </row>
    <row r="1025805" spans="54:54" ht="15.75" customHeight="1" x14ac:dyDescent="0.3">
      <c r="BB1025805" s="38"/>
    </row>
    <row r="1025806" spans="54:54" ht="15.75" customHeight="1" x14ac:dyDescent="0.3">
      <c r="BB1025806" s="38"/>
    </row>
    <row r="1025807" spans="54:54" ht="15.75" customHeight="1" x14ac:dyDescent="0.3">
      <c r="BB1025807" s="38"/>
    </row>
    <row r="1025808" spans="54:54" ht="15.75" customHeight="1" x14ac:dyDescent="0.3">
      <c r="BB1025808" s="38"/>
    </row>
    <row r="1025809" spans="54:54" ht="15.75" customHeight="1" x14ac:dyDescent="0.3">
      <c r="BB1025809" s="38"/>
    </row>
    <row r="1025810" spans="54:54" ht="15.75" customHeight="1" x14ac:dyDescent="0.3">
      <c r="BB1025810" s="38"/>
    </row>
    <row r="1025811" spans="54:54" ht="15.75" customHeight="1" x14ac:dyDescent="0.3">
      <c r="BB1025811" s="38"/>
    </row>
    <row r="1025812" spans="54:54" ht="15.75" customHeight="1" x14ac:dyDescent="0.3">
      <c r="BB1025812" s="38"/>
    </row>
    <row r="1025813" spans="54:54" ht="15.75" customHeight="1" x14ac:dyDescent="0.3">
      <c r="BB1025813" s="38"/>
    </row>
    <row r="1025814" spans="54:54" ht="15.75" customHeight="1" x14ac:dyDescent="0.3">
      <c r="BB1025814" s="38"/>
    </row>
    <row r="1025815" spans="54:54" ht="15.75" customHeight="1" x14ac:dyDescent="0.3">
      <c r="BB1025815" s="38"/>
    </row>
    <row r="1025816" spans="54:54" ht="15.75" customHeight="1" x14ac:dyDescent="0.3">
      <c r="BB1025816" s="38"/>
    </row>
    <row r="1025817" spans="54:54" ht="15.75" customHeight="1" x14ac:dyDescent="0.3">
      <c r="BB1025817" s="38"/>
    </row>
    <row r="1025818" spans="54:54" ht="15.75" customHeight="1" x14ac:dyDescent="0.3">
      <c r="BB1025818" s="38"/>
    </row>
    <row r="1025819" spans="54:54" ht="15.75" customHeight="1" x14ac:dyDescent="0.3">
      <c r="BB1025819" s="38"/>
    </row>
    <row r="1025820" spans="54:54" ht="15.75" customHeight="1" x14ac:dyDescent="0.3">
      <c r="BB1025820" s="38"/>
    </row>
    <row r="1025821" spans="54:54" ht="15.75" customHeight="1" x14ac:dyDescent="0.3">
      <c r="BB1025821" s="38"/>
    </row>
    <row r="1025822" spans="54:54" ht="15.75" customHeight="1" x14ac:dyDescent="0.3">
      <c r="BB1025822" s="38"/>
    </row>
    <row r="1025823" spans="54:54" ht="15.75" customHeight="1" x14ac:dyDescent="0.3">
      <c r="BB1025823" s="38"/>
    </row>
    <row r="1025824" spans="54:54" ht="15.75" customHeight="1" x14ac:dyDescent="0.3">
      <c r="BB1025824" s="38"/>
    </row>
    <row r="1025825" spans="54:54" ht="15.75" customHeight="1" x14ac:dyDescent="0.3">
      <c r="BB1025825" s="38"/>
    </row>
    <row r="1025826" spans="54:54" ht="15.75" customHeight="1" x14ac:dyDescent="0.3">
      <c r="BB1025826" s="38"/>
    </row>
    <row r="1025827" spans="54:54" ht="15.75" customHeight="1" x14ac:dyDescent="0.3">
      <c r="BB1025827" s="38"/>
    </row>
    <row r="1025828" spans="54:54" ht="15.75" customHeight="1" x14ac:dyDescent="0.3">
      <c r="BB1025828" s="38"/>
    </row>
    <row r="1025829" spans="54:54" ht="15.75" customHeight="1" x14ac:dyDescent="0.3">
      <c r="BB1025829" s="38"/>
    </row>
    <row r="1025830" spans="54:54" ht="15.75" customHeight="1" x14ac:dyDescent="0.3">
      <c r="BB1025830" s="38"/>
    </row>
    <row r="1025831" spans="54:54" ht="15.75" customHeight="1" x14ac:dyDescent="0.3">
      <c r="BB1025831" s="38"/>
    </row>
    <row r="1025832" spans="54:54" ht="15.75" customHeight="1" x14ac:dyDescent="0.3">
      <c r="BB1025832" s="38"/>
    </row>
    <row r="1025833" spans="54:54" ht="15.75" customHeight="1" x14ac:dyDescent="0.3">
      <c r="BB1025833" s="38"/>
    </row>
    <row r="1025834" spans="54:54" ht="15.75" customHeight="1" x14ac:dyDescent="0.3">
      <c r="BB1025834" s="38"/>
    </row>
    <row r="1025835" spans="54:54" ht="15.75" customHeight="1" x14ac:dyDescent="0.3">
      <c r="BB1025835" s="38"/>
    </row>
    <row r="1025836" spans="54:54" ht="15.75" customHeight="1" x14ac:dyDescent="0.3">
      <c r="BB1025836" s="38"/>
    </row>
    <row r="1025837" spans="54:54" ht="15.75" customHeight="1" x14ac:dyDescent="0.3">
      <c r="BB1025837" s="38"/>
    </row>
    <row r="1025838" spans="54:54" ht="15.75" customHeight="1" x14ac:dyDescent="0.3">
      <c r="BB1025838" s="38"/>
    </row>
    <row r="1025839" spans="54:54" ht="15.75" customHeight="1" x14ac:dyDescent="0.3">
      <c r="BB1025839" s="38"/>
    </row>
    <row r="1025840" spans="54:54" ht="15.75" customHeight="1" x14ac:dyDescent="0.3">
      <c r="BB1025840" s="38"/>
    </row>
    <row r="1025841" spans="54:54" ht="15.75" customHeight="1" x14ac:dyDescent="0.3">
      <c r="BB1025841" s="38"/>
    </row>
    <row r="1025842" spans="54:54" ht="15.75" customHeight="1" x14ac:dyDescent="0.3">
      <c r="BB1025842" s="38"/>
    </row>
    <row r="1025843" spans="54:54" ht="15.75" customHeight="1" x14ac:dyDescent="0.3">
      <c r="BB1025843" s="38"/>
    </row>
    <row r="1025844" spans="54:54" ht="15.75" customHeight="1" x14ac:dyDescent="0.3">
      <c r="BB1025844" s="38"/>
    </row>
    <row r="1025845" spans="54:54" ht="15.75" customHeight="1" x14ac:dyDescent="0.3">
      <c r="BB1025845" s="38"/>
    </row>
    <row r="1025846" spans="54:54" ht="15.75" customHeight="1" x14ac:dyDescent="0.3">
      <c r="BB1025846" s="38"/>
    </row>
    <row r="1025847" spans="54:54" ht="15.75" customHeight="1" x14ac:dyDescent="0.3">
      <c r="BB1025847" s="38"/>
    </row>
    <row r="1025848" spans="54:54" ht="15.75" customHeight="1" x14ac:dyDescent="0.3">
      <c r="BB1025848" s="38"/>
    </row>
    <row r="1025849" spans="54:54" ht="15.75" customHeight="1" x14ac:dyDescent="0.3">
      <c r="BB1025849" s="38"/>
    </row>
    <row r="1025850" spans="54:54" ht="15.75" customHeight="1" x14ac:dyDescent="0.3">
      <c r="BB1025850" s="38"/>
    </row>
    <row r="1025851" spans="54:54" ht="15.75" customHeight="1" x14ac:dyDescent="0.3">
      <c r="BB1025851" s="38"/>
    </row>
    <row r="1025852" spans="54:54" ht="15.75" customHeight="1" x14ac:dyDescent="0.3">
      <c r="BB1025852" s="38"/>
    </row>
    <row r="1025853" spans="54:54" ht="15.75" customHeight="1" x14ac:dyDescent="0.3">
      <c r="BB1025853" s="38"/>
    </row>
    <row r="1025854" spans="54:54" ht="15.75" customHeight="1" x14ac:dyDescent="0.3">
      <c r="BB1025854" s="38"/>
    </row>
    <row r="1025855" spans="54:54" ht="15.75" customHeight="1" x14ac:dyDescent="0.3">
      <c r="BB1025855" s="38"/>
    </row>
    <row r="1025856" spans="54:54" ht="15.75" customHeight="1" x14ac:dyDescent="0.3">
      <c r="BB1025856" s="38"/>
    </row>
    <row r="1025857" spans="54:54" ht="15.75" customHeight="1" x14ac:dyDescent="0.3">
      <c r="BB1025857" s="38"/>
    </row>
    <row r="1025858" spans="54:54" ht="15.75" customHeight="1" x14ac:dyDescent="0.3">
      <c r="BB1025858" s="38"/>
    </row>
    <row r="1025859" spans="54:54" ht="15.75" customHeight="1" x14ac:dyDescent="0.3">
      <c r="BB1025859" s="38"/>
    </row>
    <row r="1025860" spans="54:54" ht="15.75" customHeight="1" x14ac:dyDescent="0.3">
      <c r="BB1025860" s="38"/>
    </row>
    <row r="1025861" spans="54:54" ht="15.75" customHeight="1" x14ac:dyDescent="0.3">
      <c r="BB1025861" s="38"/>
    </row>
    <row r="1025862" spans="54:54" ht="15.75" customHeight="1" x14ac:dyDescent="0.3">
      <c r="BB1025862" s="38"/>
    </row>
    <row r="1025863" spans="54:54" ht="15.75" customHeight="1" x14ac:dyDescent="0.3">
      <c r="BB1025863" s="38"/>
    </row>
    <row r="1025864" spans="54:54" ht="15.75" customHeight="1" x14ac:dyDescent="0.3">
      <c r="BB1025864" s="38"/>
    </row>
    <row r="1025865" spans="54:54" ht="15.75" customHeight="1" x14ac:dyDescent="0.3">
      <c r="BB1025865" s="38"/>
    </row>
    <row r="1025866" spans="54:54" ht="15.75" customHeight="1" x14ac:dyDescent="0.3">
      <c r="BB1025866" s="38"/>
    </row>
    <row r="1025867" spans="54:54" ht="15.75" customHeight="1" x14ac:dyDescent="0.3">
      <c r="BB1025867" s="38"/>
    </row>
    <row r="1025868" spans="54:54" ht="15.75" customHeight="1" x14ac:dyDescent="0.3">
      <c r="BB1025868" s="38"/>
    </row>
    <row r="1025869" spans="54:54" ht="15.75" customHeight="1" x14ac:dyDescent="0.3">
      <c r="BB1025869" s="38"/>
    </row>
    <row r="1025870" spans="54:54" ht="15.75" customHeight="1" x14ac:dyDescent="0.3">
      <c r="BB1025870" s="38"/>
    </row>
    <row r="1025871" spans="54:54" ht="15.75" customHeight="1" x14ac:dyDescent="0.3">
      <c r="BB1025871" s="38"/>
    </row>
    <row r="1025872" spans="54:54" ht="15.75" customHeight="1" x14ac:dyDescent="0.3">
      <c r="BB1025872" s="38"/>
    </row>
    <row r="1025873" spans="54:54" ht="15.75" customHeight="1" x14ac:dyDescent="0.3">
      <c r="BB1025873" s="38"/>
    </row>
    <row r="1025874" spans="54:54" ht="15.75" customHeight="1" x14ac:dyDescent="0.3">
      <c r="BB1025874" s="38"/>
    </row>
    <row r="1025875" spans="54:54" ht="15.75" customHeight="1" x14ac:dyDescent="0.3">
      <c r="BB1025875" s="38"/>
    </row>
    <row r="1025876" spans="54:54" ht="15.75" customHeight="1" x14ac:dyDescent="0.3">
      <c r="BB1025876" s="38"/>
    </row>
    <row r="1025877" spans="54:54" ht="15.75" customHeight="1" x14ac:dyDescent="0.3">
      <c r="BB1025877" s="38"/>
    </row>
    <row r="1025878" spans="54:54" ht="15.75" customHeight="1" x14ac:dyDescent="0.3">
      <c r="BB1025878" s="38"/>
    </row>
    <row r="1025879" spans="54:54" ht="15.75" customHeight="1" x14ac:dyDescent="0.3">
      <c r="BB1025879" s="38"/>
    </row>
    <row r="1025880" spans="54:54" ht="15.75" customHeight="1" x14ac:dyDescent="0.3">
      <c r="BB1025880" s="38"/>
    </row>
    <row r="1025881" spans="54:54" ht="15.75" customHeight="1" x14ac:dyDescent="0.3">
      <c r="BB1025881" s="38"/>
    </row>
    <row r="1025882" spans="54:54" ht="15.75" customHeight="1" x14ac:dyDescent="0.3">
      <c r="BB1025882" s="38"/>
    </row>
    <row r="1025883" spans="54:54" ht="15.75" customHeight="1" x14ac:dyDescent="0.3">
      <c r="BB1025883" s="38"/>
    </row>
    <row r="1025884" spans="54:54" ht="15.75" customHeight="1" x14ac:dyDescent="0.3">
      <c r="BB1025884" s="38"/>
    </row>
    <row r="1025885" spans="54:54" ht="15.75" customHeight="1" x14ac:dyDescent="0.3">
      <c r="BB1025885" s="38"/>
    </row>
    <row r="1025886" spans="54:54" ht="15.75" customHeight="1" x14ac:dyDescent="0.3">
      <c r="BB1025886" s="38"/>
    </row>
    <row r="1025887" spans="54:54" ht="15.75" customHeight="1" x14ac:dyDescent="0.3">
      <c r="BB1025887" s="38"/>
    </row>
    <row r="1025888" spans="54:54" ht="15.75" customHeight="1" x14ac:dyDescent="0.3">
      <c r="BB1025888" s="38"/>
    </row>
    <row r="1025889" spans="54:54" ht="15.75" customHeight="1" x14ac:dyDescent="0.3">
      <c r="BB1025889" s="38"/>
    </row>
    <row r="1025890" spans="54:54" ht="15.75" customHeight="1" x14ac:dyDescent="0.3">
      <c r="BB1025890" s="38"/>
    </row>
    <row r="1025891" spans="54:54" ht="15.75" customHeight="1" x14ac:dyDescent="0.3">
      <c r="BB1025891" s="38"/>
    </row>
    <row r="1025892" spans="54:54" ht="15.75" customHeight="1" x14ac:dyDescent="0.3">
      <c r="BB1025892" s="38"/>
    </row>
    <row r="1025893" spans="54:54" ht="15.75" customHeight="1" x14ac:dyDescent="0.3">
      <c r="BB1025893" s="38"/>
    </row>
    <row r="1025894" spans="54:54" ht="15.75" customHeight="1" x14ac:dyDescent="0.3">
      <c r="BB1025894" s="38"/>
    </row>
    <row r="1025895" spans="54:54" ht="15.75" customHeight="1" x14ac:dyDescent="0.3">
      <c r="BB1025895" s="38"/>
    </row>
    <row r="1025896" spans="54:54" ht="15.75" customHeight="1" x14ac:dyDescent="0.3">
      <c r="BB1025896" s="38"/>
    </row>
    <row r="1025897" spans="54:54" ht="15.75" customHeight="1" x14ac:dyDescent="0.3">
      <c r="BB1025897" s="38"/>
    </row>
    <row r="1025898" spans="54:54" ht="15.75" customHeight="1" x14ac:dyDescent="0.3">
      <c r="BB1025898" s="38"/>
    </row>
    <row r="1025899" spans="54:54" ht="15.75" customHeight="1" x14ac:dyDescent="0.3">
      <c r="BB1025899" s="38"/>
    </row>
    <row r="1025900" spans="54:54" ht="15.75" customHeight="1" x14ac:dyDescent="0.3">
      <c r="BB1025900" s="38"/>
    </row>
    <row r="1025901" spans="54:54" ht="15.75" customHeight="1" x14ac:dyDescent="0.3">
      <c r="BB1025901" s="38"/>
    </row>
    <row r="1025902" spans="54:54" ht="15.75" customHeight="1" x14ac:dyDescent="0.3">
      <c r="BB1025902" s="38"/>
    </row>
    <row r="1025903" spans="54:54" ht="15.75" customHeight="1" x14ac:dyDescent="0.3">
      <c r="BB1025903" s="38"/>
    </row>
    <row r="1025904" spans="54:54" ht="15.75" customHeight="1" x14ac:dyDescent="0.3">
      <c r="BB1025904" s="38"/>
    </row>
    <row r="1025905" spans="54:54" ht="15.75" customHeight="1" x14ac:dyDescent="0.3">
      <c r="BB1025905" s="38"/>
    </row>
    <row r="1025906" spans="54:54" ht="15.75" customHeight="1" x14ac:dyDescent="0.3">
      <c r="BB1025906" s="38"/>
    </row>
    <row r="1025907" spans="54:54" ht="15.75" customHeight="1" x14ac:dyDescent="0.3">
      <c r="BB1025907" s="38"/>
    </row>
    <row r="1025908" spans="54:54" ht="15.75" customHeight="1" x14ac:dyDescent="0.3">
      <c r="BB1025908" s="38"/>
    </row>
    <row r="1025909" spans="54:54" ht="15.75" customHeight="1" x14ac:dyDescent="0.3">
      <c r="BB1025909" s="38"/>
    </row>
    <row r="1025910" spans="54:54" ht="15.75" customHeight="1" x14ac:dyDescent="0.3">
      <c r="BB1025910" s="38"/>
    </row>
    <row r="1025911" spans="54:54" ht="15.75" customHeight="1" x14ac:dyDescent="0.3">
      <c r="BB1025911" s="38"/>
    </row>
    <row r="1025912" spans="54:54" ht="15.75" customHeight="1" x14ac:dyDescent="0.3">
      <c r="BB1025912" s="38"/>
    </row>
    <row r="1025913" spans="54:54" ht="15.75" customHeight="1" x14ac:dyDescent="0.3">
      <c r="BB1025913" s="38"/>
    </row>
    <row r="1025914" spans="54:54" ht="15.75" customHeight="1" x14ac:dyDescent="0.3">
      <c r="BB1025914" s="38"/>
    </row>
    <row r="1025915" spans="54:54" ht="15.75" customHeight="1" x14ac:dyDescent="0.3">
      <c r="BB1025915" s="38"/>
    </row>
    <row r="1025916" spans="54:54" ht="15.75" customHeight="1" x14ac:dyDescent="0.3">
      <c r="BB1025916" s="38"/>
    </row>
    <row r="1025917" spans="54:54" ht="15.75" customHeight="1" x14ac:dyDescent="0.3">
      <c r="BB1025917" s="38"/>
    </row>
    <row r="1025918" spans="54:54" ht="15.75" customHeight="1" x14ac:dyDescent="0.3">
      <c r="BB1025918" s="38"/>
    </row>
    <row r="1025919" spans="54:54" ht="15.75" customHeight="1" x14ac:dyDescent="0.3">
      <c r="BB1025919" s="38"/>
    </row>
    <row r="1025920" spans="54:54" ht="15.75" customHeight="1" x14ac:dyDescent="0.3">
      <c r="BB1025920" s="38"/>
    </row>
    <row r="1025921" spans="54:54" ht="15.75" customHeight="1" x14ac:dyDescent="0.3">
      <c r="BB1025921" s="38"/>
    </row>
    <row r="1025922" spans="54:54" ht="15.75" customHeight="1" x14ac:dyDescent="0.3">
      <c r="BB1025922" s="38"/>
    </row>
    <row r="1025923" spans="54:54" ht="15.75" customHeight="1" x14ac:dyDescent="0.3">
      <c r="BB1025923" s="38"/>
    </row>
    <row r="1025924" spans="54:54" ht="15.75" customHeight="1" x14ac:dyDescent="0.3">
      <c r="BB1025924" s="38"/>
    </row>
    <row r="1025925" spans="54:54" ht="15.75" customHeight="1" x14ac:dyDescent="0.3">
      <c r="BB1025925" s="38"/>
    </row>
    <row r="1025926" spans="54:54" ht="15.75" customHeight="1" x14ac:dyDescent="0.3">
      <c r="BB1025926" s="38"/>
    </row>
    <row r="1025927" spans="54:54" ht="15.75" customHeight="1" x14ac:dyDescent="0.3">
      <c r="BB1025927" s="38"/>
    </row>
    <row r="1025928" spans="54:54" ht="15.75" customHeight="1" x14ac:dyDescent="0.3">
      <c r="BB1025928" s="38"/>
    </row>
    <row r="1025929" spans="54:54" ht="15.75" customHeight="1" x14ac:dyDescent="0.3">
      <c r="BB1025929" s="38"/>
    </row>
    <row r="1025930" spans="54:54" ht="15.75" customHeight="1" x14ac:dyDescent="0.3">
      <c r="BB1025930" s="38"/>
    </row>
    <row r="1025931" spans="54:54" ht="15.75" customHeight="1" x14ac:dyDescent="0.3">
      <c r="BB1025931" s="38"/>
    </row>
    <row r="1025932" spans="54:54" ht="15.75" customHeight="1" x14ac:dyDescent="0.3">
      <c r="BB1025932" s="38"/>
    </row>
    <row r="1025933" spans="54:54" ht="15.75" customHeight="1" x14ac:dyDescent="0.3">
      <c r="BB1025933" s="38"/>
    </row>
    <row r="1025934" spans="54:54" ht="15.75" customHeight="1" x14ac:dyDescent="0.3">
      <c r="BB1025934" s="38"/>
    </row>
    <row r="1025935" spans="54:54" ht="15.75" customHeight="1" x14ac:dyDescent="0.3">
      <c r="BB1025935" s="38"/>
    </row>
    <row r="1025936" spans="54:54" ht="15.75" customHeight="1" x14ac:dyDescent="0.3">
      <c r="BB1025936" s="38"/>
    </row>
    <row r="1025937" spans="54:54" ht="15.75" customHeight="1" x14ac:dyDescent="0.3">
      <c r="BB1025937" s="38"/>
    </row>
    <row r="1025938" spans="54:54" ht="15.75" customHeight="1" x14ac:dyDescent="0.3">
      <c r="BB1025938" s="38"/>
    </row>
    <row r="1025939" spans="54:54" ht="15.75" customHeight="1" x14ac:dyDescent="0.3">
      <c r="BB1025939" s="38"/>
    </row>
    <row r="1025940" spans="54:54" ht="15.75" customHeight="1" x14ac:dyDescent="0.3">
      <c r="BB1025940" s="38"/>
    </row>
    <row r="1025941" spans="54:54" ht="15.75" customHeight="1" x14ac:dyDescent="0.3">
      <c r="BB1025941" s="38"/>
    </row>
    <row r="1025942" spans="54:54" ht="15.75" customHeight="1" x14ac:dyDescent="0.3">
      <c r="BB1025942" s="38"/>
    </row>
    <row r="1025943" spans="54:54" ht="15.75" customHeight="1" x14ac:dyDescent="0.3">
      <c r="BB1025943" s="38"/>
    </row>
    <row r="1025944" spans="54:54" ht="15.75" customHeight="1" x14ac:dyDescent="0.3">
      <c r="BB1025944" s="38"/>
    </row>
    <row r="1025945" spans="54:54" ht="15.75" customHeight="1" x14ac:dyDescent="0.3">
      <c r="BB1025945" s="38"/>
    </row>
    <row r="1025946" spans="54:54" ht="15.75" customHeight="1" x14ac:dyDescent="0.3">
      <c r="BB1025946" s="38"/>
    </row>
    <row r="1025947" spans="54:54" ht="15.75" customHeight="1" x14ac:dyDescent="0.3">
      <c r="BB1025947" s="38"/>
    </row>
    <row r="1025948" spans="54:54" ht="15.75" customHeight="1" x14ac:dyDescent="0.3">
      <c r="BB1025948" s="38"/>
    </row>
    <row r="1025949" spans="54:54" ht="15.75" customHeight="1" x14ac:dyDescent="0.3">
      <c r="BB1025949" s="38"/>
    </row>
    <row r="1025950" spans="54:54" ht="15.75" customHeight="1" x14ac:dyDescent="0.3">
      <c r="BB1025950" s="38"/>
    </row>
    <row r="1025951" spans="54:54" ht="15.75" customHeight="1" x14ac:dyDescent="0.3">
      <c r="BB1025951" s="38"/>
    </row>
    <row r="1025952" spans="54:54" ht="15.75" customHeight="1" x14ac:dyDescent="0.3">
      <c r="BB1025952" s="38"/>
    </row>
    <row r="1025953" spans="54:54" ht="15.75" customHeight="1" x14ac:dyDescent="0.3">
      <c r="BB1025953" s="38"/>
    </row>
    <row r="1025954" spans="54:54" ht="15.75" customHeight="1" x14ac:dyDescent="0.3">
      <c r="BB1025954" s="38"/>
    </row>
    <row r="1025955" spans="54:54" ht="15.75" customHeight="1" x14ac:dyDescent="0.3">
      <c r="BB1025955" s="38"/>
    </row>
    <row r="1025956" spans="54:54" ht="15.75" customHeight="1" x14ac:dyDescent="0.3">
      <c r="BB1025956" s="38"/>
    </row>
    <row r="1025957" spans="54:54" ht="15.75" customHeight="1" x14ac:dyDescent="0.3">
      <c r="BB1025957" s="38"/>
    </row>
    <row r="1025958" spans="54:54" ht="15.75" customHeight="1" x14ac:dyDescent="0.3">
      <c r="BB1025958" s="38"/>
    </row>
    <row r="1025959" spans="54:54" ht="15.75" customHeight="1" x14ac:dyDescent="0.3">
      <c r="BB1025959" s="38"/>
    </row>
    <row r="1025960" spans="54:54" ht="15.75" customHeight="1" x14ac:dyDescent="0.3">
      <c r="BB1025960" s="38"/>
    </row>
    <row r="1025961" spans="54:54" ht="15.75" customHeight="1" x14ac:dyDescent="0.3">
      <c r="BB1025961" s="38"/>
    </row>
    <row r="1025962" spans="54:54" ht="15.75" customHeight="1" x14ac:dyDescent="0.3">
      <c r="BB1025962" s="38"/>
    </row>
    <row r="1025963" spans="54:54" ht="15.75" customHeight="1" x14ac:dyDescent="0.3">
      <c r="BB1025963" s="38"/>
    </row>
    <row r="1025964" spans="54:54" ht="15.75" customHeight="1" x14ac:dyDescent="0.3">
      <c r="BB1025964" s="38"/>
    </row>
    <row r="1025965" spans="54:54" ht="15.75" customHeight="1" x14ac:dyDescent="0.3">
      <c r="BB1025965" s="38"/>
    </row>
    <row r="1025966" spans="54:54" ht="15.75" customHeight="1" x14ac:dyDescent="0.3">
      <c r="BB1025966" s="38"/>
    </row>
    <row r="1025967" spans="54:54" ht="15.75" customHeight="1" x14ac:dyDescent="0.3">
      <c r="BB1025967" s="38"/>
    </row>
    <row r="1025968" spans="54:54" ht="15.75" customHeight="1" x14ac:dyDescent="0.3">
      <c r="BB1025968" s="38"/>
    </row>
    <row r="1025969" spans="54:54" ht="15.75" customHeight="1" x14ac:dyDescent="0.3">
      <c r="BB1025969" s="38"/>
    </row>
    <row r="1025970" spans="54:54" ht="15.75" customHeight="1" x14ac:dyDescent="0.3">
      <c r="BB1025970" s="38"/>
    </row>
    <row r="1025971" spans="54:54" ht="15.75" customHeight="1" x14ac:dyDescent="0.3">
      <c r="BB1025971" s="38"/>
    </row>
    <row r="1025972" spans="54:54" ht="15.75" customHeight="1" x14ac:dyDescent="0.3">
      <c r="BB1025972" s="38"/>
    </row>
    <row r="1025973" spans="54:54" ht="15.75" customHeight="1" x14ac:dyDescent="0.3">
      <c r="BB1025973" s="38"/>
    </row>
    <row r="1025974" spans="54:54" ht="15.75" customHeight="1" x14ac:dyDescent="0.3">
      <c r="BB1025974" s="38"/>
    </row>
    <row r="1025975" spans="54:54" ht="15.75" customHeight="1" x14ac:dyDescent="0.3">
      <c r="BB1025975" s="38"/>
    </row>
    <row r="1025976" spans="54:54" ht="15.75" customHeight="1" x14ac:dyDescent="0.3">
      <c r="BB1025976" s="38"/>
    </row>
    <row r="1025977" spans="54:54" ht="15.75" customHeight="1" x14ac:dyDescent="0.3">
      <c r="BB1025977" s="38"/>
    </row>
    <row r="1025978" spans="54:54" ht="15.75" customHeight="1" x14ac:dyDescent="0.3">
      <c r="BB1025978" s="38"/>
    </row>
    <row r="1025979" spans="54:54" ht="15.75" customHeight="1" x14ac:dyDescent="0.3">
      <c r="BB1025979" s="38"/>
    </row>
    <row r="1025980" spans="54:54" ht="15.75" customHeight="1" x14ac:dyDescent="0.3">
      <c r="BB1025980" s="38"/>
    </row>
    <row r="1025981" spans="54:54" ht="15.75" customHeight="1" x14ac:dyDescent="0.3">
      <c r="BB1025981" s="38"/>
    </row>
    <row r="1025982" spans="54:54" ht="15.75" customHeight="1" x14ac:dyDescent="0.3">
      <c r="BB1025982" s="38"/>
    </row>
    <row r="1025983" spans="54:54" ht="15.75" customHeight="1" x14ac:dyDescent="0.3">
      <c r="BB1025983" s="38"/>
    </row>
    <row r="1025984" spans="54:54" ht="15.75" customHeight="1" x14ac:dyDescent="0.3">
      <c r="BB1025984" s="38"/>
    </row>
    <row r="1025985" spans="54:54" ht="15.75" customHeight="1" x14ac:dyDescent="0.3">
      <c r="BB1025985" s="38"/>
    </row>
    <row r="1025986" spans="54:54" ht="15.75" customHeight="1" x14ac:dyDescent="0.3">
      <c r="BB1025986" s="38"/>
    </row>
    <row r="1025987" spans="54:54" ht="15.75" customHeight="1" x14ac:dyDescent="0.3">
      <c r="BB1025987" s="38"/>
    </row>
    <row r="1025988" spans="54:54" ht="15.75" customHeight="1" x14ac:dyDescent="0.3">
      <c r="BB1025988" s="38"/>
    </row>
    <row r="1025989" spans="54:54" ht="15.75" customHeight="1" x14ac:dyDescent="0.3">
      <c r="BB1025989" s="38"/>
    </row>
    <row r="1025990" spans="54:54" ht="15.75" customHeight="1" x14ac:dyDescent="0.3">
      <c r="BB1025990" s="38"/>
    </row>
    <row r="1025991" spans="54:54" ht="15.75" customHeight="1" x14ac:dyDescent="0.3">
      <c r="BB1025991" s="38"/>
    </row>
    <row r="1025992" spans="54:54" ht="15.75" customHeight="1" x14ac:dyDescent="0.3">
      <c r="BB1025992" s="38"/>
    </row>
    <row r="1025993" spans="54:54" ht="15.75" customHeight="1" x14ac:dyDescent="0.3">
      <c r="BB1025993" s="38"/>
    </row>
    <row r="1025994" spans="54:54" ht="15.75" customHeight="1" x14ac:dyDescent="0.3">
      <c r="BB1025994" s="38"/>
    </row>
    <row r="1025995" spans="54:54" ht="15.75" customHeight="1" x14ac:dyDescent="0.3">
      <c r="BB1025995" s="38"/>
    </row>
    <row r="1025996" spans="54:54" ht="15.75" customHeight="1" x14ac:dyDescent="0.3">
      <c r="BB1025996" s="38"/>
    </row>
    <row r="1025997" spans="54:54" ht="15.75" customHeight="1" x14ac:dyDescent="0.3">
      <c r="BB1025997" s="38"/>
    </row>
    <row r="1025998" spans="54:54" ht="15.75" customHeight="1" x14ac:dyDescent="0.3">
      <c r="BB1025998" s="38"/>
    </row>
    <row r="1025999" spans="54:54" ht="15.75" customHeight="1" x14ac:dyDescent="0.3">
      <c r="BB1025999" s="38"/>
    </row>
    <row r="1026000" spans="54:54" ht="15.75" customHeight="1" x14ac:dyDescent="0.3">
      <c r="BB1026000" s="38"/>
    </row>
    <row r="1026001" spans="54:54" ht="15.75" customHeight="1" x14ac:dyDescent="0.3">
      <c r="BB1026001" s="38"/>
    </row>
    <row r="1026002" spans="54:54" ht="15.75" customHeight="1" x14ac:dyDescent="0.3">
      <c r="BB1026002" s="38"/>
    </row>
    <row r="1026003" spans="54:54" ht="15.75" customHeight="1" x14ac:dyDescent="0.3">
      <c r="BB1026003" s="38"/>
    </row>
    <row r="1026004" spans="54:54" ht="15.75" customHeight="1" x14ac:dyDescent="0.3">
      <c r="BB1026004" s="38"/>
    </row>
    <row r="1026005" spans="54:54" ht="15.75" customHeight="1" x14ac:dyDescent="0.3">
      <c r="BB1026005" s="38"/>
    </row>
    <row r="1026006" spans="54:54" ht="15.75" customHeight="1" x14ac:dyDescent="0.3">
      <c r="BB1026006" s="38"/>
    </row>
    <row r="1026007" spans="54:54" ht="15.75" customHeight="1" x14ac:dyDescent="0.3">
      <c r="BB1026007" s="38"/>
    </row>
    <row r="1026008" spans="54:54" ht="15.75" customHeight="1" x14ac:dyDescent="0.3">
      <c r="BB1026008" s="38"/>
    </row>
    <row r="1026009" spans="54:54" ht="15.75" customHeight="1" x14ac:dyDescent="0.3">
      <c r="BB1026009" s="38"/>
    </row>
    <row r="1026010" spans="54:54" ht="15.75" customHeight="1" x14ac:dyDescent="0.3">
      <c r="BB1026010" s="38"/>
    </row>
    <row r="1026011" spans="54:54" ht="15.75" customHeight="1" x14ac:dyDescent="0.3">
      <c r="BB1026011" s="38"/>
    </row>
    <row r="1026012" spans="54:54" ht="15.75" customHeight="1" x14ac:dyDescent="0.3">
      <c r="BB1026012" s="38"/>
    </row>
    <row r="1026013" spans="54:54" ht="15.75" customHeight="1" x14ac:dyDescent="0.3">
      <c r="BB1026013" s="38"/>
    </row>
    <row r="1026014" spans="54:54" ht="15.75" customHeight="1" x14ac:dyDescent="0.3">
      <c r="BB1026014" s="38"/>
    </row>
    <row r="1026015" spans="54:54" ht="15.75" customHeight="1" x14ac:dyDescent="0.3">
      <c r="BB1026015" s="38"/>
    </row>
    <row r="1026016" spans="54:54" ht="15.75" customHeight="1" x14ac:dyDescent="0.3">
      <c r="BB1026016" s="38"/>
    </row>
    <row r="1026017" spans="54:54" ht="15.75" customHeight="1" x14ac:dyDescent="0.3">
      <c r="BB1026017" s="38"/>
    </row>
    <row r="1026018" spans="54:54" ht="15.75" customHeight="1" x14ac:dyDescent="0.3">
      <c r="BB1026018" s="38"/>
    </row>
    <row r="1026019" spans="54:54" ht="15.75" customHeight="1" x14ac:dyDescent="0.3">
      <c r="BB1026019" s="38"/>
    </row>
    <row r="1026020" spans="54:54" ht="15.75" customHeight="1" x14ac:dyDescent="0.3">
      <c r="BB1026020" s="38"/>
    </row>
    <row r="1026021" spans="54:54" ht="15.75" customHeight="1" x14ac:dyDescent="0.3">
      <c r="BB1026021" s="38"/>
    </row>
    <row r="1026022" spans="54:54" ht="15.75" customHeight="1" x14ac:dyDescent="0.3">
      <c r="BB1026022" s="38"/>
    </row>
    <row r="1026023" spans="54:54" ht="15.75" customHeight="1" x14ac:dyDescent="0.3">
      <c r="BB1026023" s="38"/>
    </row>
    <row r="1026024" spans="54:54" ht="15.75" customHeight="1" x14ac:dyDescent="0.3">
      <c r="BB1026024" s="38"/>
    </row>
    <row r="1026025" spans="54:54" ht="15.75" customHeight="1" x14ac:dyDescent="0.3">
      <c r="BB1026025" s="38"/>
    </row>
    <row r="1026026" spans="54:54" ht="15.75" customHeight="1" x14ac:dyDescent="0.3">
      <c r="BB1026026" s="38"/>
    </row>
    <row r="1026027" spans="54:54" ht="15.75" customHeight="1" x14ac:dyDescent="0.3">
      <c r="BB1026027" s="38"/>
    </row>
    <row r="1026028" spans="54:54" ht="15.75" customHeight="1" x14ac:dyDescent="0.3">
      <c r="BB1026028" s="38"/>
    </row>
    <row r="1026029" spans="54:54" ht="15.75" customHeight="1" x14ac:dyDescent="0.3">
      <c r="BB1026029" s="38"/>
    </row>
    <row r="1026030" spans="54:54" ht="15.75" customHeight="1" x14ac:dyDescent="0.3">
      <c r="BB1026030" s="38"/>
    </row>
    <row r="1026031" spans="54:54" ht="15.75" customHeight="1" x14ac:dyDescent="0.3">
      <c r="BB1026031" s="38"/>
    </row>
    <row r="1026032" spans="54:54" ht="15.75" customHeight="1" x14ac:dyDescent="0.3">
      <c r="BB1026032" s="38"/>
    </row>
    <row r="1026033" spans="54:54" ht="15.75" customHeight="1" x14ac:dyDescent="0.3">
      <c r="BB1026033" s="38"/>
    </row>
    <row r="1026034" spans="54:54" ht="15.75" customHeight="1" x14ac:dyDescent="0.3">
      <c r="BB1026034" s="38"/>
    </row>
    <row r="1026035" spans="54:54" ht="15.75" customHeight="1" x14ac:dyDescent="0.3">
      <c r="BB1026035" s="38"/>
    </row>
    <row r="1026036" spans="54:54" ht="15.75" customHeight="1" x14ac:dyDescent="0.3">
      <c r="BB1026036" s="38"/>
    </row>
    <row r="1026037" spans="54:54" ht="15.75" customHeight="1" x14ac:dyDescent="0.3">
      <c r="BB1026037" s="38"/>
    </row>
    <row r="1026038" spans="54:54" ht="15.75" customHeight="1" x14ac:dyDescent="0.3">
      <c r="BB1026038" s="38"/>
    </row>
    <row r="1026039" spans="54:54" ht="15.75" customHeight="1" x14ac:dyDescent="0.3">
      <c r="BB1026039" s="38"/>
    </row>
    <row r="1026040" spans="54:54" ht="15.75" customHeight="1" x14ac:dyDescent="0.3">
      <c r="BB1026040" s="38"/>
    </row>
    <row r="1026041" spans="54:54" ht="15.75" customHeight="1" x14ac:dyDescent="0.3">
      <c r="BB1026041" s="38"/>
    </row>
    <row r="1026042" spans="54:54" ht="15.75" customHeight="1" x14ac:dyDescent="0.3">
      <c r="BB1026042" s="38"/>
    </row>
    <row r="1026043" spans="54:54" ht="15.75" customHeight="1" x14ac:dyDescent="0.3">
      <c r="BB1026043" s="38"/>
    </row>
    <row r="1026044" spans="54:54" ht="15.75" customHeight="1" x14ac:dyDescent="0.3">
      <c r="BB1026044" s="38"/>
    </row>
    <row r="1026045" spans="54:54" ht="15.75" customHeight="1" x14ac:dyDescent="0.3">
      <c r="BB1026045" s="38"/>
    </row>
    <row r="1026046" spans="54:54" ht="15.75" customHeight="1" x14ac:dyDescent="0.3">
      <c r="BB1026046" s="38"/>
    </row>
    <row r="1026047" spans="54:54" ht="15.75" customHeight="1" x14ac:dyDescent="0.3">
      <c r="BB1026047" s="38"/>
    </row>
    <row r="1026048" spans="54:54" ht="15.75" customHeight="1" x14ac:dyDescent="0.3">
      <c r="BB1026048" s="38"/>
    </row>
    <row r="1026049" spans="54:54" ht="15.75" customHeight="1" x14ac:dyDescent="0.3">
      <c r="BB1026049" s="38"/>
    </row>
    <row r="1026050" spans="54:54" ht="15.75" customHeight="1" x14ac:dyDescent="0.3">
      <c r="BB1026050" s="38"/>
    </row>
    <row r="1026051" spans="54:54" ht="15.75" customHeight="1" x14ac:dyDescent="0.3">
      <c r="BB1026051" s="38"/>
    </row>
    <row r="1026052" spans="54:54" ht="15.75" customHeight="1" x14ac:dyDescent="0.3">
      <c r="BB1026052" s="38"/>
    </row>
    <row r="1026053" spans="54:54" ht="15.75" customHeight="1" x14ac:dyDescent="0.3">
      <c r="BB1026053" s="38"/>
    </row>
    <row r="1026054" spans="54:54" ht="15.75" customHeight="1" x14ac:dyDescent="0.3">
      <c r="BB1026054" s="38"/>
    </row>
    <row r="1026055" spans="54:54" ht="15.75" customHeight="1" x14ac:dyDescent="0.3">
      <c r="BB1026055" s="38"/>
    </row>
    <row r="1026056" spans="54:54" ht="15.75" customHeight="1" x14ac:dyDescent="0.3">
      <c r="BB1026056" s="38"/>
    </row>
    <row r="1026057" spans="54:54" ht="15.75" customHeight="1" x14ac:dyDescent="0.3">
      <c r="BB1026057" s="38"/>
    </row>
    <row r="1026058" spans="54:54" ht="15.75" customHeight="1" x14ac:dyDescent="0.3">
      <c r="BB1026058" s="38"/>
    </row>
    <row r="1026059" spans="54:54" ht="15.75" customHeight="1" x14ac:dyDescent="0.3">
      <c r="BB1026059" s="38"/>
    </row>
    <row r="1026060" spans="54:54" ht="15.75" customHeight="1" x14ac:dyDescent="0.3">
      <c r="BB1026060" s="38"/>
    </row>
    <row r="1026061" spans="54:54" ht="15.75" customHeight="1" x14ac:dyDescent="0.3">
      <c r="BB1026061" s="38"/>
    </row>
    <row r="1026062" spans="54:54" ht="15.75" customHeight="1" x14ac:dyDescent="0.3">
      <c r="BB1026062" s="38"/>
    </row>
    <row r="1026063" spans="54:54" ht="15.75" customHeight="1" x14ac:dyDescent="0.3">
      <c r="BB1026063" s="38"/>
    </row>
    <row r="1026064" spans="54:54" ht="15.75" customHeight="1" x14ac:dyDescent="0.3">
      <c r="BB1026064" s="38"/>
    </row>
    <row r="1026065" spans="54:54" ht="15.75" customHeight="1" x14ac:dyDescent="0.3">
      <c r="BB1026065" s="38"/>
    </row>
    <row r="1026066" spans="54:54" ht="15.75" customHeight="1" x14ac:dyDescent="0.3">
      <c r="BB1026066" s="38"/>
    </row>
    <row r="1026067" spans="54:54" ht="15.75" customHeight="1" x14ac:dyDescent="0.3">
      <c r="BB1026067" s="38"/>
    </row>
    <row r="1026068" spans="54:54" ht="15.75" customHeight="1" x14ac:dyDescent="0.3">
      <c r="BB1026068" s="38"/>
    </row>
    <row r="1026069" spans="54:54" ht="15.75" customHeight="1" x14ac:dyDescent="0.3">
      <c r="BB1026069" s="38"/>
    </row>
    <row r="1026070" spans="54:54" ht="15.75" customHeight="1" x14ac:dyDescent="0.3">
      <c r="BB1026070" s="38"/>
    </row>
    <row r="1026071" spans="54:54" ht="15.75" customHeight="1" x14ac:dyDescent="0.3">
      <c r="BB1026071" s="38"/>
    </row>
    <row r="1026072" spans="54:54" ht="15.75" customHeight="1" x14ac:dyDescent="0.3">
      <c r="BB1026072" s="38"/>
    </row>
    <row r="1026073" spans="54:54" ht="15.75" customHeight="1" x14ac:dyDescent="0.3">
      <c r="BB1026073" s="38"/>
    </row>
    <row r="1026074" spans="54:54" ht="15.75" customHeight="1" x14ac:dyDescent="0.3">
      <c r="BB1026074" s="38"/>
    </row>
    <row r="1026075" spans="54:54" ht="15.75" customHeight="1" x14ac:dyDescent="0.3">
      <c r="BB1026075" s="38"/>
    </row>
    <row r="1026076" spans="54:54" ht="15.75" customHeight="1" x14ac:dyDescent="0.3">
      <c r="BB1026076" s="38"/>
    </row>
    <row r="1026077" spans="54:54" ht="15.75" customHeight="1" x14ac:dyDescent="0.3">
      <c r="BB1026077" s="38"/>
    </row>
    <row r="1026078" spans="54:54" ht="15.75" customHeight="1" x14ac:dyDescent="0.3">
      <c r="BB1026078" s="38"/>
    </row>
    <row r="1026079" spans="54:54" ht="15.75" customHeight="1" x14ac:dyDescent="0.3">
      <c r="BB1026079" s="38"/>
    </row>
    <row r="1026080" spans="54:54" ht="15.75" customHeight="1" x14ac:dyDescent="0.3">
      <c r="BB1026080" s="38"/>
    </row>
    <row r="1026081" spans="54:54" ht="15.75" customHeight="1" x14ac:dyDescent="0.3">
      <c r="BB1026081" s="38"/>
    </row>
    <row r="1026082" spans="54:54" ht="15.75" customHeight="1" x14ac:dyDescent="0.3">
      <c r="BB1026082" s="38"/>
    </row>
    <row r="1026083" spans="54:54" ht="15.75" customHeight="1" x14ac:dyDescent="0.3">
      <c r="BB1026083" s="38"/>
    </row>
    <row r="1026084" spans="54:54" ht="15.75" customHeight="1" x14ac:dyDescent="0.3">
      <c r="BB1026084" s="38"/>
    </row>
    <row r="1026085" spans="54:54" ht="15.75" customHeight="1" x14ac:dyDescent="0.3">
      <c r="BB1026085" s="38"/>
    </row>
    <row r="1026086" spans="54:54" ht="15.75" customHeight="1" x14ac:dyDescent="0.3">
      <c r="BB1026086" s="38"/>
    </row>
    <row r="1026087" spans="54:54" ht="15.75" customHeight="1" x14ac:dyDescent="0.3">
      <c r="BB1026087" s="38"/>
    </row>
    <row r="1026088" spans="54:54" ht="15.75" customHeight="1" x14ac:dyDescent="0.3">
      <c r="BB1026088" s="38"/>
    </row>
    <row r="1026089" spans="54:54" ht="15.75" customHeight="1" x14ac:dyDescent="0.3">
      <c r="BB1026089" s="38"/>
    </row>
    <row r="1026090" spans="54:54" ht="15.75" customHeight="1" x14ac:dyDescent="0.3">
      <c r="BB1026090" s="38"/>
    </row>
    <row r="1026091" spans="54:54" ht="15.75" customHeight="1" x14ac:dyDescent="0.3">
      <c r="BB1026091" s="38"/>
    </row>
    <row r="1026092" spans="54:54" ht="15.75" customHeight="1" x14ac:dyDescent="0.3">
      <c r="BB1026092" s="38"/>
    </row>
    <row r="1026093" spans="54:54" ht="15.75" customHeight="1" x14ac:dyDescent="0.3">
      <c r="BB1026093" s="38"/>
    </row>
    <row r="1026094" spans="54:54" ht="15.75" customHeight="1" x14ac:dyDescent="0.3">
      <c r="BB1026094" s="38"/>
    </row>
    <row r="1026095" spans="54:54" ht="15.75" customHeight="1" x14ac:dyDescent="0.3">
      <c r="BB1026095" s="38"/>
    </row>
    <row r="1026096" spans="54:54" ht="15.75" customHeight="1" x14ac:dyDescent="0.3">
      <c r="BB1026096" s="38"/>
    </row>
    <row r="1026097" spans="54:54" ht="15.75" customHeight="1" x14ac:dyDescent="0.3">
      <c r="BB1026097" s="38"/>
    </row>
    <row r="1026098" spans="54:54" ht="15.75" customHeight="1" x14ac:dyDescent="0.3">
      <c r="BB1026098" s="38"/>
    </row>
    <row r="1026099" spans="54:54" ht="15.75" customHeight="1" x14ac:dyDescent="0.3">
      <c r="BB1026099" s="38"/>
    </row>
    <row r="1026100" spans="54:54" ht="15.75" customHeight="1" x14ac:dyDescent="0.3">
      <c r="BB1026100" s="38"/>
    </row>
    <row r="1026101" spans="54:54" ht="15.75" customHeight="1" x14ac:dyDescent="0.3">
      <c r="BB1026101" s="38"/>
    </row>
    <row r="1026102" spans="54:54" ht="15.75" customHeight="1" x14ac:dyDescent="0.3">
      <c r="BB1026102" s="38"/>
    </row>
    <row r="1026103" spans="54:54" ht="15.75" customHeight="1" x14ac:dyDescent="0.3">
      <c r="BB1026103" s="38"/>
    </row>
    <row r="1026104" spans="54:54" ht="15.75" customHeight="1" x14ac:dyDescent="0.3">
      <c r="BB1026104" s="38"/>
    </row>
    <row r="1026105" spans="54:54" ht="15.75" customHeight="1" x14ac:dyDescent="0.3">
      <c r="BB1026105" s="38"/>
    </row>
    <row r="1026106" spans="54:54" ht="15.75" customHeight="1" x14ac:dyDescent="0.3">
      <c r="BB1026106" s="38"/>
    </row>
    <row r="1026107" spans="54:54" ht="15.75" customHeight="1" x14ac:dyDescent="0.3">
      <c r="BB1026107" s="38"/>
    </row>
    <row r="1026108" spans="54:54" ht="15.75" customHeight="1" x14ac:dyDescent="0.3">
      <c r="BB1026108" s="38"/>
    </row>
    <row r="1026109" spans="54:54" ht="15.75" customHeight="1" x14ac:dyDescent="0.3">
      <c r="BB1026109" s="38"/>
    </row>
    <row r="1026110" spans="54:54" ht="15.75" customHeight="1" x14ac:dyDescent="0.3">
      <c r="BB1026110" s="38"/>
    </row>
    <row r="1026111" spans="54:54" ht="15.75" customHeight="1" x14ac:dyDescent="0.3">
      <c r="BB1026111" s="38"/>
    </row>
    <row r="1026112" spans="54:54" ht="15.75" customHeight="1" x14ac:dyDescent="0.3">
      <c r="BB1026112" s="38"/>
    </row>
    <row r="1026113" spans="54:54" ht="15.75" customHeight="1" x14ac:dyDescent="0.3">
      <c r="BB1026113" s="38"/>
    </row>
    <row r="1026114" spans="54:54" ht="15.75" customHeight="1" x14ac:dyDescent="0.3">
      <c r="BB1026114" s="38"/>
    </row>
    <row r="1026115" spans="54:54" ht="15.75" customHeight="1" x14ac:dyDescent="0.3">
      <c r="BB1026115" s="38"/>
    </row>
    <row r="1026116" spans="54:54" ht="15.75" customHeight="1" x14ac:dyDescent="0.3">
      <c r="BB1026116" s="38"/>
    </row>
    <row r="1026117" spans="54:54" ht="15.75" customHeight="1" x14ac:dyDescent="0.3">
      <c r="BB1026117" s="38"/>
    </row>
    <row r="1026118" spans="54:54" ht="15.75" customHeight="1" x14ac:dyDescent="0.3">
      <c r="BB1026118" s="38"/>
    </row>
    <row r="1026119" spans="54:54" ht="15.75" customHeight="1" x14ac:dyDescent="0.3">
      <c r="BB1026119" s="38"/>
    </row>
    <row r="1026120" spans="54:54" ht="15.75" customHeight="1" x14ac:dyDescent="0.3">
      <c r="BB1026120" s="38"/>
    </row>
    <row r="1026121" spans="54:54" ht="15.75" customHeight="1" x14ac:dyDescent="0.3">
      <c r="BB1026121" s="38"/>
    </row>
    <row r="1026122" spans="54:54" ht="15.75" customHeight="1" x14ac:dyDescent="0.3">
      <c r="BB1026122" s="38"/>
    </row>
    <row r="1026123" spans="54:54" ht="15.75" customHeight="1" x14ac:dyDescent="0.3">
      <c r="BB1026123" s="38"/>
    </row>
    <row r="1026124" spans="54:54" ht="15.75" customHeight="1" x14ac:dyDescent="0.3">
      <c r="BB1026124" s="38"/>
    </row>
    <row r="1026125" spans="54:54" ht="15.75" customHeight="1" x14ac:dyDescent="0.3">
      <c r="BB1026125" s="38"/>
    </row>
    <row r="1026126" spans="54:54" ht="15.75" customHeight="1" x14ac:dyDescent="0.3">
      <c r="BB1026126" s="38"/>
    </row>
    <row r="1026127" spans="54:54" ht="15.75" customHeight="1" x14ac:dyDescent="0.3">
      <c r="BB1026127" s="38"/>
    </row>
    <row r="1026128" spans="54:54" ht="15.75" customHeight="1" x14ac:dyDescent="0.3">
      <c r="BB1026128" s="38"/>
    </row>
    <row r="1026129" spans="54:54" ht="15.75" customHeight="1" x14ac:dyDescent="0.3">
      <c r="BB1026129" s="38"/>
    </row>
    <row r="1026130" spans="54:54" ht="15.75" customHeight="1" x14ac:dyDescent="0.3">
      <c r="BB1026130" s="38"/>
    </row>
    <row r="1026131" spans="54:54" ht="15.75" customHeight="1" x14ac:dyDescent="0.3">
      <c r="BB1026131" s="38"/>
    </row>
    <row r="1026132" spans="54:54" ht="15.75" customHeight="1" x14ac:dyDescent="0.3">
      <c r="BB1026132" s="38"/>
    </row>
    <row r="1026133" spans="54:54" ht="15.75" customHeight="1" x14ac:dyDescent="0.3">
      <c r="BB1026133" s="38"/>
    </row>
    <row r="1026134" spans="54:54" ht="15.75" customHeight="1" x14ac:dyDescent="0.3">
      <c r="BB1026134" s="38"/>
    </row>
    <row r="1026135" spans="54:54" ht="15.75" customHeight="1" x14ac:dyDescent="0.3">
      <c r="BB1026135" s="38"/>
    </row>
    <row r="1026136" spans="54:54" ht="15.75" customHeight="1" x14ac:dyDescent="0.3">
      <c r="BB1026136" s="38"/>
    </row>
    <row r="1026137" spans="54:54" ht="15.75" customHeight="1" x14ac:dyDescent="0.3">
      <c r="BB1026137" s="38"/>
    </row>
    <row r="1026138" spans="54:54" ht="15.75" customHeight="1" x14ac:dyDescent="0.3">
      <c r="BB1026138" s="38"/>
    </row>
    <row r="1026139" spans="54:54" ht="15.75" customHeight="1" x14ac:dyDescent="0.3">
      <c r="BB1026139" s="38"/>
    </row>
    <row r="1026140" spans="54:54" ht="15.75" customHeight="1" x14ac:dyDescent="0.3">
      <c r="BB1026140" s="38"/>
    </row>
    <row r="1026141" spans="54:54" ht="15.75" customHeight="1" x14ac:dyDescent="0.3">
      <c r="BB1026141" s="38"/>
    </row>
    <row r="1026142" spans="54:54" ht="15.75" customHeight="1" x14ac:dyDescent="0.3">
      <c r="BB1026142" s="38"/>
    </row>
    <row r="1026143" spans="54:54" ht="15.75" customHeight="1" x14ac:dyDescent="0.3">
      <c r="BB1026143" s="38"/>
    </row>
    <row r="1026144" spans="54:54" ht="15.75" customHeight="1" x14ac:dyDescent="0.3">
      <c r="BB1026144" s="38"/>
    </row>
    <row r="1026145" spans="54:54" ht="15.75" customHeight="1" x14ac:dyDescent="0.3">
      <c r="BB1026145" s="38"/>
    </row>
    <row r="1026146" spans="54:54" ht="15.75" customHeight="1" x14ac:dyDescent="0.3">
      <c r="BB1026146" s="38"/>
    </row>
    <row r="1026147" spans="54:54" ht="15.75" customHeight="1" x14ac:dyDescent="0.3">
      <c r="BB1026147" s="38"/>
    </row>
    <row r="1026148" spans="54:54" ht="15.75" customHeight="1" x14ac:dyDescent="0.3">
      <c r="BB1026148" s="38"/>
    </row>
    <row r="1026149" spans="54:54" ht="15.75" customHeight="1" x14ac:dyDescent="0.3">
      <c r="BB1026149" s="38"/>
    </row>
    <row r="1026150" spans="54:54" ht="15.75" customHeight="1" x14ac:dyDescent="0.3">
      <c r="BB1026150" s="38"/>
    </row>
    <row r="1026151" spans="54:54" ht="15.75" customHeight="1" x14ac:dyDescent="0.3">
      <c r="BB1026151" s="38"/>
    </row>
    <row r="1026152" spans="54:54" ht="15.75" customHeight="1" x14ac:dyDescent="0.3">
      <c r="BB1026152" s="38"/>
    </row>
    <row r="1026153" spans="54:54" ht="15.75" customHeight="1" x14ac:dyDescent="0.3">
      <c r="BB1026153" s="38"/>
    </row>
    <row r="1026154" spans="54:54" ht="15.75" customHeight="1" x14ac:dyDescent="0.3">
      <c r="BB1026154" s="38"/>
    </row>
    <row r="1026155" spans="54:54" ht="15.75" customHeight="1" x14ac:dyDescent="0.3">
      <c r="BB1026155" s="38"/>
    </row>
    <row r="1026156" spans="54:54" ht="15.75" customHeight="1" x14ac:dyDescent="0.3">
      <c r="BB1026156" s="38"/>
    </row>
    <row r="1026157" spans="54:54" ht="15.75" customHeight="1" x14ac:dyDescent="0.3">
      <c r="BB1026157" s="38"/>
    </row>
    <row r="1026158" spans="54:54" ht="15.75" customHeight="1" x14ac:dyDescent="0.3">
      <c r="BB1026158" s="38"/>
    </row>
    <row r="1026159" spans="54:54" ht="15.75" customHeight="1" x14ac:dyDescent="0.3">
      <c r="BB1026159" s="38"/>
    </row>
    <row r="1026160" spans="54:54" ht="15.75" customHeight="1" x14ac:dyDescent="0.3">
      <c r="BB1026160" s="38"/>
    </row>
    <row r="1026161" spans="54:54" ht="15.75" customHeight="1" x14ac:dyDescent="0.3">
      <c r="BB1026161" s="38"/>
    </row>
    <row r="1026162" spans="54:54" ht="15.75" customHeight="1" x14ac:dyDescent="0.3">
      <c r="BB1026162" s="38"/>
    </row>
    <row r="1026163" spans="54:54" ht="15.75" customHeight="1" x14ac:dyDescent="0.3">
      <c r="BB1026163" s="38"/>
    </row>
    <row r="1026164" spans="54:54" ht="15.75" customHeight="1" x14ac:dyDescent="0.3">
      <c r="BB1026164" s="38"/>
    </row>
    <row r="1026165" spans="54:54" ht="15.75" customHeight="1" x14ac:dyDescent="0.3">
      <c r="BB1026165" s="38"/>
    </row>
    <row r="1026166" spans="54:54" ht="15.75" customHeight="1" x14ac:dyDescent="0.3">
      <c r="BB1026166" s="38"/>
    </row>
    <row r="1026167" spans="54:54" ht="15.75" customHeight="1" x14ac:dyDescent="0.3">
      <c r="BB1026167" s="38"/>
    </row>
    <row r="1026168" spans="54:54" ht="15.75" customHeight="1" x14ac:dyDescent="0.3">
      <c r="BB1026168" s="38"/>
    </row>
    <row r="1026169" spans="54:54" ht="15.75" customHeight="1" x14ac:dyDescent="0.3">
      <c r="BB1026169" s="38"/>
    </row>
    <row r="1026170" spans="54:54" ht="15.75" customHeight="1" x14ac:dyDescent="0.3">
      <c r="BB1026170" s="38"/>
    </row>
    <row r="1026171" spans="54:54" ht="15.75" customHeight="1" x14ac:dyDescent="0.3">
      <c r="BB1026171" s="38"/>
    </row>
    <row r="1026172" spans="54:54" ht="15.75" customHeight="1" x14ac:dyDescent="0.3">
      <c r="BB1026172" s="38"/>
    </row>
    <row r="1026173" spans="54:54" ht="15.75" customHeight="1" x14ac:dyDescent="0.3">
      <c r="BB1026173" s="38"/>
    </row>
    <row r="1026174" spans="54:54" ht="15.75" customHeight="1" x14ac:dyDescent="0.3">
      <c r="BB1026174" s="38"/>
    </row>
    <row r="1026175" spans="54:54" ht="15.75" customHeight="1" x14ac:dyDescent="0.3">
      <c r="BB1026175" s="38"/>
    </row>
    <row r="1026176" spans="54:54" ht="15.75" customHeight="1" x14ac:dyDescent="0.3">
      <c r="BB1026176" s="38"/>
    </row>
    <row r="1026177" spans="54:54" ht="15.75" customHeight="1" x14ac:dyDescent="0.3">
      <c r="BB1026177" s="38"/>
    </row>
    <row r="1026178" spans="54:54" ht="15.75" customHeight="1" x14ac:dyDescent="0.3">
      <c r="BB1026178" s="38"/>
    </row>
    <row r="1026179" spans="54:54" ht="15.75" customHeight="1" x14ac:dyDescent="0.3">
      <c r="BB1026179" s="38"/>
    </row>
    <row r="1026180" spans="54:54" ht="15.75" customHeight="1" x14ac:dyDescent="0.3">
      <c r="BB1026180" s="38"/>
    </row>
    <row r="1026181" spans="54:54" ht="15.75" customHeight="1" x14ac:dyDescent="0.3">
      <c r="BB1026181" s="38"/>
    </row>
    <row r="1026182" spans="54:54" ht="15.75" customHeight="1" x14ac:dyDescent="0.3">
      <c r="BB1026182" s="38"/>
    </row>
    <row r="1026183" spans="54:54" ht="15.75" customHeight="1" x14ac:dyDescent="0.3">
      <c r="BB1026183" s="38"/>
    </row>
    <row r="1026184" spans="54:54" ht="15.75" customHeight="1" x14ac:dyDescent="0.3">
      <c r="BB1026184" s="38"/>
    </row>
    <row r="1026185" spans="54:54" ht="15.75" customHeight="1" x14ac:dyDescent="0.3">
      <c r="BB1026185" s="38"/>
    </row>
    <row r="1026186" spans="54:54" ht="15.75" customHeight="1" x14ac:dyDescent="0.3">
      <c r="BB1026186" s="38"/>
    </row>
    <row r="1026187" spans="54:54" ht="15.75" customHeight="1" x14ac:dyDescent="0.3">
      <c r="BB1026187" s="38"/>
    </row>
    <row r="1026188" spans="54:54" ht="15.75" customHeight="1" x14ac:dyDescent="0.3">
      <c r="BB1026188" s="38"/>
    </row>
    <row r="1026189" spans="54:54" ht="15.75" customHeight="1" x14ac:dyDescent="0.3">
      <c r="BB1026189" s="38"/>
    </row>
    <row r="1026190" spans="54:54" ht="15.75" customHeight="1" x14ac:dyDescent="0.3">
      <c r="BB1026190" s="38"/>
    </row>
    <row r="1026191" spans="54:54" ht="15.75" customHeight="1" x14ac:dyDescent="0.3">
      <c r="BB1026191" s="38"/>
    </row>
    <row r="1026192" spans="54:54" ht="15.75" customHeight="1" x14ac:dyDescent="0.3">
      <c r="BB1026192" s="38"/>
    </row>
    <row r="1026193" spans="54:54" ht="15.75" customHeight="1" x14ac:dyDescent="0.3">
      <c r="BB1026193" s="38"/>
    </row>
    <row r="1026194" spans="54:54" ht="15.75" customHeight="1" x14ac:dyDescent="0.3">
      <c r="BB1026194" s="38"/>
    </row>
    <row r="1026195" spans="54:54" ht="15.75" customHeight="1" x14ac:dyDescent="0.3">
      <c r="BB1026195" s="38"/>
    </row>
    <row r="1026196" spans="54:54" ht="15.75" customHeight="1" x14ac:dyDescent="0.3">
      <c r="BB1026196" s="38"/>
    </row>
    <row r="1026197" spans="54:54" ht="15.75" customHeight="1" x14ac:dyDescent="0.3">
      <c r="BB1026197" s="38"/>
    </row>
    <row r="1026198" spans="54:54" ht="15.75" customHeight="1" x14ac:dyDescent="0.3">
      <c r="BB1026198" s="38"/>
    </row>
    <row r="1026199" spans="54:54" ht="15.75" customHeight="1" x14ac:dyDescent="0.3">
      <c r="BB1026199" s="38"/>
    </row>
    <row r="1026200" spans="54:54" ht="15.75" customHeight="1" x14ac:dyDescent="0.3">
      <c r="BB1026200" s="38"/>
    </row>
    <row r="1026201" spans="54:54" ht="15.75" customHeight="1" x14ac:dyDescent="0.3">
      <c r="BB1026201" s="38"/>
    </row>
    <row r="1026202" spans="54:54" ht="15.75" customHeight="1" x14ac:dyDescent="0.3">
      <c r="BB1026202" s="38"/>
    </row>
    <row r="1026203" spans="54:54" ht="15.75" customHeight="1" x14ac:dyDescent="0.3">
      <c r="BB1026203" s="38"/>
    </row>
    <row r="1026204" spans="54:54" ht="15.75" customHeight="1" x14ac:dyDescent="0.3">
      <c r="BB1026204" s="38"/>
    </row>
    <row r="1026205" spans="54:54" ht="15.75" customHeight="1" x14ac:dyDescent="0.3">
      <c r="BB1026205" s="38"/>
    </row>
    <row r="1026206" spans="54:54" ht="15.75" customHeight="1" x14ac:dyDescent="0.3">
      <c r="BB1026206" s="38"/>
    </row>
    <row r="1026207" spans="54:54" ht="15.75" customHeight="1" x14ac:dyDescent="0.3">
      <c r="BB1026207" s="38"/>
    </row>
    <row r="1026208" spans="54:54" ht="15.75" customHeight="1" x14ac:dyDescent="0.3">
      <c r="BB1026208" s="38"/>
    </row>
    <row r="1026209" spans="54:54" ht="15.75" customHeight="1" x14ac:dyDescent="0.3">
      <c r="BB1026209" s="38"/>
    </row>
    <row r="1026210" spans="54:54" ht="15.75" customHeight="1" x14ac:dyDescent="0.3">
      <c r="BB1026210" s="38"/>
    </row>
    <row r="1026211" spans="54:54" ht="15.75" customHeight="1" x14ac:dyDescent="0.3">
      <c r="BB1026211" s="38"/>
    </row>
    <row r="1026212" spans="54:54" ht="15.75" customHeight="1" x14ac:dyDescent="0.3">
      <c r="BB1026212" s="38"/>
    </row>
    <row r="1026213" spans="54:54" ht="15.75" customHeight="1" x14ac:dyDescent="0.3">
      <c r="BB1026213" s="38"/>
    </row>
    <row r="1026214" spans="54:54" ht="15.75" customHeight="1" x14ac:dyDescent="0.3">
      <c r="BB1026214" s="38"/>
    </row>
    <row r="1026215" spans="54:54" ht="15.75" customHeight="1" x14ac:dyDescent="0.3">
      <c r="BB1026215" s="38"/>
    </row>
    <row r="1026216" spans="54:54" ht="15.75" customHeight="1" x14ac:dyDescent="0.3">
      <c r="BB1026216" s="38"/>
    </row>
    <row r="1026217" spans="54:54" ht="15.75" customHeight="1" x14ac:dyDescent="0.3">
      <c r="BB1026217" s="38"/>
    </row>
    <row r="1026218" spans="54:54" ht="15.75" customHeight="1" x14ac:dyDescent="0.3">
      <c r="BB1026218" s="38"/>
    </row>
    <row r="1026219" spans="54:54" ht="15.75" customHeight="1" x14ac:dyDescent="0.3">
      <c r="BB1026219" s="38"/>
    </row>
    <row r="1026220" spans="54:54" ht="15.75" customHeight="1" x14ac:dyDescent="0.3">
      <c r="BB1026220" s="38"/>
    </row>
    <row r="1026221" spans="54:54" ht="15.75" customHeight="1" x14ac:dyDescent="0.3">
      <c r="BB1026221" s="38"/>
    </row>
    <row r="1026222" spans="54:54" ht="15.75" customHeight="1" x14ac:dyDescent="0.3">
      <c r="BB1026222" s="38"/>
    </row>
    <row r="1026223" spans="54:54" ht="15.75" customHeight="1" x14ac:dyDescent="0.3">
      <c r="BB1026223" s="38"/>
    </row>
    <row r="1026224" spans="54:54" ht="15.75" customHeight="1" x14ac:dyDescent="0.3">
      <c r="BB1026224" s="38"/>
    </row>
    <row r="1026225" spans="54:54" ht="15.75" customHeight="1" x14ac:dyDescent="0.3">
      <c r="BB1026225" s="38"/>
    </row>
    <row r="1026226" spans="54:54" ht="15.75" customHeight="1" x14ac:dyDescent="0.3">
      <c r="BB1026226" s="38"/>
    </row>
    <row r="1026227" spans="54:54" ht="15.75" customHeight="1" x14ac:dyDescent="0.3">
      <c r="BB1026227" s="38"/>
    </row>
    <row r="1026228" spans="54:54" ht="15.75" customHeight="1" x14ac:dyDescent="0.3">
      <c r="BB1026228" s="38"/>
    </row>
    <row r="1026229" spans="54:54" ht="15.75" customHeight="1" x14ac:dyDescent="0.3">
      <c r="BB1026229" s="38"/>
    </row>
    <row r="1026230" spans="54:54" ht="15.75" customHeight="1" x14ac:dyDescent="0.3">
      <c r="BB1026230" s="38"/>
    </row>
    <row r="1026231" spans="54:54" ht="15.75" customHeight="1" x14ac:dyDescent="0.3">
      <c r="BB1026231" s="38"/>
    </row>
    <row r="1026232" spans="54:54" ht="15.75" customHeight="1" x14ac:dyDescent="0.3">
      <c r="BB1026232" s="38"/>
    </row>
    <row r="1026233" spans="54:54" ht="15.75" customHeight="1" x14ac:dyDescent="0.3">
      <c r="BB1026233" s="38"/>
    </row>
    <row r="1026234" spans="54:54" ht="15.75" customHeight="1" x14ac:dyDescent="0.3">
      <c r="BB1026234" s="38"/>
    </row>
    <row r="1026235" spans="54:54" ht="15.75" customHeight="1" x14ac:dyDescent="0.3">
      <c r="BB1026235" s="38"/>
    </row>
    <row r="1026236" spans="54:54" ht="15.75" customHeight="1" x14ac:dyDescent="0.3">
      <c r="BB1026236" s="38"/>
    </row>
    <row r="1026237" spans="54:54" ht="15.75" customHeight="1" x14ac:dyDescent="0.3">
      <c r="BB1026237" s="38"/>
    </row>
    <row r="1026238" spans="54:54" ht="15.75" customHeight="1" x14ac:dyDescent="0.3">
      <c r="BB1026238" s="38"/>
    </row>
    <row r="1026239" spans="54:54" ht="15.75" customHeight="1" x14ac:dyDescent="0.3">
      <c r="BB1026239" s="38"/>
    </row>
    <row r="1026240" spans="54:54" ht="15.75" customHeight="1" x14ac:dyDescent="0.3">
      <c r="BB1026240" s="38"/>
    </row>
    <row r="1026241" spans="54:54" ht="15.75" customHeight="1" x14ac:dyDescent="0.3">
      <c r="BB1026241" s="38"/>
    </row>
    <row r="1026242" spans="54:54" ht="15.75" customHeight="1" x14ac:dyDescent="0.3">
      <c r="BB1026242" s="38"/>
    </row>
    <row r="1026243" spans="54:54" ht="15.75" customHeight="1" x14ac:dyDescent="0.3">
      <c r="BB1026243" s="38"/>
    </row>
    <row r="1026244" spans="54:54" ht="15.75" customHeight="1" x14ac:dyDescent="0.3">
      <c r="BB1026244" s="38"/>
    </row>
    <row r="1026245" spans="54:54" ht="15.75" customHeight="1" x14ac:dyDescent="0.3">
      <c r="BB1026245" s="38"/>
    </row>
    <row r="1026246" spans="54:54" ht="15.75" customHeight="1" x14ac:dyDescent="0.3">
      <c r="BB1026246" s="38"/>
    </row>
    <row r="1026247" spans="54:54" ht="15.75" customHeight="1" x14ac:dyDescent="0.3">
      <c r="BB1026247" s="38"/>
    </row>
    <row r="1026248" spans="54:54" ht="15.75" customHeight="1" x14ac:dyDescent="0.3">
      <c r="BB1026248" s="38"/>
    </row>
    <row r="1026249" spans="54:54" ht="15.75" customHeight="1" x14ac:dyDescent="0.3">
      <c r="BB1026249" s="38"/>
    </row>
    <row r="1026250" spans="54:54" ht="15.75" customHeight="1" x14ac:dyDescent="0.3">
      <c r="BB1026250" s="38"/>
    </row>
    <row r="1026251" spans="54:54" ht="15.75" customHeight="1" x14ac:dyDescent="0.3">
      <c r="BB1026251" s="38"/>
    </row>
    <row r="1026252" spans="54:54" ht="15.75" customHeight="1" x14ac:dyDescent="0.3">
      <c r="BB1026252" s="38"/>
    </row>
    <row r="1026253" spans="54:54" ht="15.75" customHeight="1" x14ac:dyDescent="0.3">
      <c r="BB1026253" s="38"/>
    </row>
    <row r="1026254" spans="54:54" ht="15.75" customHeight="1" x14ac:dyDescent="0.3">
      <c r="BB1026254" s="38"/>
    </row>
    <row r="1026255" spans="54:54" ht="15.75" customHeight="1" x14ac:dyDescent="0.3">
      <c r="BB1026255" s="38"/>
    </row>
    <row r="1026256" spans="54:54" ht="15.75" customHeight="1" x14ac:dyDescent="0.3">
      <c r="BB1026256" s="38"/>
    </row>
    <row r="1026257" spans="54:54" ht="15.75" customHeight="1" x14ac:dyDescent="0.3">
      <c r="BB1026257" s="38"/>
    </row>
    <row r="1026258" spans="54:54" ht="15.75" customHeight="1" x14ac:dyDescent="0.3">
      <c r="BB1026258" s="38"/>
    </row>
    <row r="1026259" spans="54:54" ht="15.75" customHeight="1" x14ac:dyDescent="0.3">
      <c r="BB1026259" s="38"/>
    </row>
    <row r="1026260" spans="54:54" ht="15.75" customHeight="1" x14ac:dyDescent="0.3">
      <c r="BB1026260" s="38"/>
    </row>
    <row r="1026261" spans="54:54" ht="15.75" customHeight="1" x14ac:dyDescent="0.3">
      <c r="BB1026261" s="38"/>
    </row>
    <row r="1026262" spans="54:54" ht="15.75" customHeight="1" x14ac:dyDescent="0.3">
      <c r="BB1026262" s="38"/>
    </row>
    <row r="1026263" spans="54:54" ht="15.75" customHeight="1" x14ac:dyDescent="0.3">
      <c r="BB1026263" s="38"/>
    </row>
    <row r="1026264" spans="54:54" ht="15.75" customHeight="1" x14ac:dyDescent="0.3">
      <c r="BB1026264" s="38"/>
    </row>
    <row r="1026265" spans="54:54" ht="15.75" customHeight="1" x14ac:dyDescent="0.3">
      <c r="BB1026265" s="38"/>
    </row>
    <row r="1026266" spans="54:54" ht="15.75" customHeight="1" x14ac:dyDescent="0.3">
      <c r="BB1026266" s="38"/>
    </row>
    <row r="1026267" spans="54:54" ht="15.75" customHeight="1" x14ac:dyDescent="0.3">
      <c r="BB1026267" s="38"/>
    </row>
    <row r="1026268" spans="54:54" ht="15.75" customHeight="1" x14ac:dyDescent="0.3">
      <c r="BB1026268" s="38"/>
    </row>
    <row r="1026269" spans="54:54" ht="15.75" customHeight="1" x14ac:dyDescent="0.3">
      <c r="BB1026269" s="38"/>
    </row>
    <row r="1026270" spans="54:54" ht="15.75" customHeight="1" x14ac:dyDescent="0.3">
      <c r="BB1026270" s="38"/>
    </row>
    <row r="1026271" spans="54:54" ht="15.75" customHeight="1" x14ac:dyDescent="0.3">
      <c r="BB1026271" s="38"/>
    </row>
    <row r="1026272" spans="54:54" ht="15.75" customHeight="1" x14ac:dyDescent="0.3">
      <c r="BB1026272" s="38"/>
    </row>
    <row r="1026273" spans="54:54" ht="15.75" customHeight="1" x14ac:dyDescent="0.3">
      <c r="BB1026273" s="38"/>
    </row>
    <row r="1026274" spans="54:54" ht="15.75" customHeight="1" x14ac:dyDescent="0.3">
      <c r="BB1026274" s="38"/>
    </row>
    <row r="1026275" spans="54:54" ht="15.75" customHeight="1" x14ac:dyDescent="0.3">
      <c r="BB1026275" s="38"/>
    </row>
    <row r="1026276" spans="54:54" ht="15.75" customHeight="1" x14ac:dyDescent="0.3">
      <c r="BB1026276" s="38"/>
    </row>
    <row r="1026277" spans="54:54" ht="15.75" customHeight="1" x14ac:dyDescent="0.3">
      <c r="BB1026277" s="38"/>
    </row>
    <row r="1026278" spans="54:54" ht="15.75" customHeight="1" x14ac:dyDescent="0.3">
      <c r="BB1026278" s="38"/>
    </row>
    <row r="1026279" spans="54:54" ht="15.75" customHeight="1" x14ac:dyDescent="0.3">
      <c r="BB1026279" s="38"/>
    </row>
    <row r="1026280" spans="54:54" ht="15.75" customHeight="1" x14ac:dyDescent="0.3">
      <c r="BB1026280" s="38"/>
    </row>
    <row r="1026281" spans="54:54" ht="15.75" customHeight="1" x14ac:dyDescent="0.3">
      <c r="BB1026281" s="38"/>
    </row>
    <row r="1026282" spans="54:54" ht="15.75" customHeight="1" x14ac:dyDescent="0.3">
      <c r="BB1026282" s="38"/>
    </row>
    <row r="1026283" spans="54:54" ht="15.75" customHeight="1" x14ac:dyDescent="0.3">
      <c r="BB1026283" s="38"/>
    </row>
    <row r="1026284" spans="54:54" ht="15.75" customHeight="1" x14ac:dyDescent="0.3">
      <c r="BB1026284" s="38"/>
    </row>
    <row r="1026285" spans="54:54" ht="15.75" customHeight="1" x14ac:dyDescent="0.3">
      <c r="BB1026285" s="38"/>
    </row>
    <row r="1026286" spans="54:54" ht="15.75" customHeight="1" x14ac:dyDescent="0.3">
      <c r="BB1026286" s="38"/>
    </row>
    <row r="1026287" spans="54:54" ht="15.75" customHeight="1" x14ac:dyDescent="0.3">
      <c r="BB1026287" s="38"/>
    </row>
    <row r="1026288" spans="54:54" ht="15.75" customHeight="1" x14ac:dyDescent="0.3">
      <c r="BB1026288" s="38"/>
    </row>
    <row r="1026289" spans="54:54" ht="15.75" customHeight="1" x14ac:dyDescent="0.3">
      <c r="BB1026289" s="38"/>
    </row>
    <row r="1026290" spans="54:54" ht="15.75" customHeight="1" x14ac:dyDescent="0.3">
      <c r="BB1026290" s="38"/>
    </row>
    <row r="1026291" spans="54:54" ht="15.75" customHeight="1" x14ac:dyDescent="0.3">
      <c r="BB1026291" s="38"/>
    </row>
    <row r="1026292" spans="54:54" ht="15.75" customHeight="1" x14ac:dyDescent="0.3">
      <c r="BB1026292" s="38"/>
    </row>
    <row r="1026293" spans="54:54" ht="15.75" customHeight="1" x14ac:dyDescent="0.3">
      <c r="BB1026293" s="38"/>
    </row>
    <row r="1026294" spans="54:54" ht="15.75" customHeight="1" x14ac:dyDescent="0.3">
      <c r="BB1026294" s="38"/>
    </row>
    <row r="1026295" spans="54:54" ht="15.75" customHeight="1" x14ac:dyDescent="0.3">
      <c r="BB1026295" s="38"/>
    </row>
    <row r="1026296" spans="54:54" ht="15.75" customHeight="1" x14ac:dyDescent="0.3">
      <c r="BB1026296" s="38"/>
    </row>
    <row r="1026297" spans="54:54" ht="15.75" customHeight="1" x14ac:dyDescent="0.3">
      <c r="BB1026297" s="38"/>
    </row>
    <row r="1026298" spans="54:54" ht="15.75" customHeight="1" x14ac:dyDescent="0.3">
      <c r="BB1026298" s="38"/>
    </row>
    <row r="1026299" spans="54:54" ht="15.75" customHeight="1" x14ac:dyDescent="0.3">
      <c r="BB1026299" s="38"/>
    </row>
    <row r="1026300" spans="54:54" ht="15.75" customHeight="1" x14ac:dyDescent="0.3">
      <c r="BB1026300" s="38"/>
    </row>
    <row r="1026301" spans="54:54" ht="15.75" customHeight="1" x14ac:dyDescent="0.3">
      <c r="BB1026301" s="38"/>
    </row>
    <row r="1026302" spans="54:54" ht="15.75" customHeight="1" x14ac:dyDescent="0.3">
      <c r="BB1026302" s="38"/>
    </row>
    <row r="1026303" spans="54:54" ht="15.75" customHeight="1" x14ac:dyDescent="0.3">
      <c r="BB1026303" s="38"/>
    </row>
    <row r="1026304" spans="54:54" ht="15.75" customHeight="1" x14ac:dyDescent="0.3">
      <c r="BB1026304" s="38"/>
    </row>
    <row r="1026305" spans="54:54" ht="15.75" customHeight="1" x14ac:dyDescent="0.3">
      <c r="BB1026305" s="38"/>
    </row>
    <row r="1026306" spans="54:54" ht="15.75" customHeight="1" x14ac:dyDescent="0.3">
      <c r="BB1026306" s="38"/>
    </row>
    <row r="1026307" spans="54:54" ht="15.75" customHeight="1" x14ac:dyDescent="0.3">
      <c r="BB1026307" s="38"/>
    </row>
    <row r="1026308" spans="54:54" ht="15.75" customHeight="1" x14ac:dyDescent="0.3">
      <c r="BB1026308" s="38"/>
    </row>
    <row r="1026309" spans="54:54" ht="15.75" customHeight="1" x14ac:dyDescent="0.3">
      <c r="BB1026309" s="38"/>
    </row>
    <row r="1026310" spans="54:54" ht="15.75" customHeight="1" x14ac:dyDescent="0.3">
      <c r="BB1026310" s="38"/>
    </row>
    <row r="1026311" spans="54:54" ht="15.75" customHeight="1" x14ac:dyDescent="0.3">
      <c r="BB1026311" s="38"/>
    </row>
    <row r="1026312" spans="54:54" ht="15.75" customHeight="1" x14ac:dyDescent="0.3">
      <c r="BB1026312" s="38"/>
    </row>
    <row r="1026313" spans="54:54" ht="15.75" customHeight="1" x14ac:dyDescent="0.3">
      <c r="BB1026313" s="38"/>
    </row>
    <row r="1026314" spans="54:54" ht="15.75" customHeight="1" x14ac:dyDescent="0.3">
      <c r="BB1026314" s="38"/>
    </row>
    <row r="1026315" spans="54:54" ht="15.75" customHeight="1" x14ac:dyDescent="0.3">
      <c r="BB1026315" s="38"/>
    </row>
    <row r="1026316" spans="54:54" ht="15.75" customHeight="1" x14ac:dyDescent="0.3">
      <c r="BB1026316" s="38"/>
    </row>
    <row r="1026317" spans="54:54" ht="15.75" customHeight="1" x14ac:dyDescent="0.3">
      <c r="BB1026317" s="38"/>
    </row>
    <row r="1026318" spans="54:54" ht="15.75" customHeight="1" x14ac:dyDescent="0.3">
      <c r="BB1026318" s="38"/>
    </row>
    <row r="1026319" spans="54:54" ht="15.75" customHeight="1" x14ac:dyDescent="0.3">
      <c r="BB1026319" s="38"/>
    </row>
    <row r="1026320" spans="54:54" ht="15.75" customHeight="1" x14ac:dyDescent="0.3">
      <c r="BB1026320" s="38"/>
    </row>
    <row r="1026321" spans="54:54" ht="15.75" customHeight="1" x14ac:dyDescent="0.3">
      <c r="BB1026321" s="38"/>
    </row>
    <row r="1026322" spans="54:54" ht="15.75" customHeight="1" x14ac:dyDescent="0.3">
      <c r="BB1026322" s="38"/>
    </row>
    <row r="1026323" spans="54:54" ht="15.75" customHeight="1" x14ac:dyDescent="0.3">
      <c r="BB1026323" s="38"/>
    </row>
    <row r="1026324" spans="54:54" ht="15.75" customHeight="1" x14ac:dyDescent="0.3">
      <c r="BB1026324" s="38"/>
    </row>
    <row r="1026325" spans="54:54" ht="15.75" customHeight="1" x14ac:dyDescent="0.3">
      <c r="BB1026325" s="38"/>
    </row>
    <row r="1026326" spans="54:54" ht="15.75" customHeight="1" x14ac:dyDescent="0.3">
      <c r="BB1026326" s="38"/>
    </row>
    <row r="1026327" spans="54:54" ht="15.75" customHeight="1" x14ac:dyDescent="0.3">
      <c r="BB1026327" s="38"/>
    </row>
    <row r="1026328" spans="54:54" ht="15.75" customHeight="1" x14ac:dyDescent="0.3">
      <c r="BB1026328" s="38"/>
    </row>
    <row r="1026329" spans="54:54" ht="15.75" customHeight="1" x14ac:dyDescent="0.3">
      <c r="BB1026329" s="38"/>
    </row>
    <row r="1026330" spans="54:54" ht="15.75" customHeight="1" x14ac:dyDescent="0.3">
      <c r="BB1026330" s="38"/>
    </row>
    <row r="1026331" spans="54:54" ht="15.75" customHeight="1" x14ac:dyDescent="0.3">
      <c r="BB1026331" s="38"/>
    </row>
    <row r="1026332" spans="54:54" ht="15.75" customHeight="1" x14ac:dyDescent="0.3">
      <c r="BB1026332" s="38"/>
    </row>
    <row r="1026333" spans="54:54" ht="15.75" customHeight="1" x14ac:dyDescent="0.3">
      <c r="BB1026333" s="38"/>
    </row>
    <row r="1026334" spans="54:54" ht="15.75" customHeight="1" x14ac:dyDescent="0.3">
      <c r="BB1026334" s="38"/>
    </row>
    <row r="1026335" spans="54:54" ht="15.75" customHeight="1" x14ac:dyDescent="0.3">
      <c r="BB1026335" s="38"/>
    </row>
    <row r="1026336" spans="54:54" ht="15.75" customHeight="1" x14ac:dyDescent="0.3">
      <c r="BB1026336" s="38"/>
    </row>
    <row r="1026337" spans="54:54" ht="15.75" customHeight="1" x14ac:dyDescent="0.3">
      <c r="BB1026337" s="38"/>
    </row>
    <row r="1026338" spans="54:54" ht="15.75" customHeight="1" x14ac:dyDescent="0.3">
      <c r="BB1026338" s="38"/>
    </row>
    <row r="1026339" spans="54:54" ht="15.75" customHeight="1" x14ac:dyDescent="0.3">
      <c r="BB1026339" s="38"/>
    </row>
    <row r="1026340" spans="54:54" ht="15.75" customHeight="1" x14ac:dyDescent="0.3">
      <c r="BB1026340" s="38"/>
    </row>
    <row r="1026341" spans="54:54" ht="15.75" customHeight="1" x14ac:dyDescent="0.3">
      <c r="BB1026341" s="38"/>
    </row>
    <row r="1026342" spans="54:54" ht="15.75" customHeight="1" x14ac:dyDescent="0.3">
      <c r="BB1026342" s="38"/>
    </row>
    <row r="1026343" spans="54:54" ht="15.75" customHeight="1" x14ac:dyDescent="0.3">
      <c r="BB1026343" s="38"/>
    </row>
    <row r="1026344" spans="54:54" ht="15.75" customHeight="1" x14ac:dyDescent="0.3">
      <c r="BB1026344" s="38"/>
    </row>
    <row r="1026345" spans="54:54" ht="15.75" customHeight="1" x14ac:dyDescent="0.3">
      <c r="BB1026345" s="38"/>
    </row>
    <row r="1026346" spans="54:54" ht="15.75" customHeight="1" x14ac:dyDescent="0.3">
      <c r="BB1026346" s="38"/>
    </row>
    <row r="1026347" spans="54:54" ht="15.75" customHeight="1" x14ac:dyDescent="0.3">
      <c r="BB1026347" s="38"/>
    </row>
    <row r="1026348" spans="54:54" ht="15.75" customHeight="1" x14ac:dyDescent="0.3">
      <c r="BB1026348" s="38"/>
    </row>
    <row r="1026349" spans="54:54" ht="15.75" customHeight="1" x14ac:dyDescent="0.3">
      <c r="BB1026349" s="38"/>
    </row>
    <row r="1026350" spans="54:54" ht="15.75" customHeight="1" x14ac:dyDescent="0.3">
      <c r="BB1026350" s="38"/>
    </row>
    <row r="1026351" spans="54:54" ht="15.75" customHeight="1" x14ac:dyDescent="0.3">
      <c r="BB1026351" s="38"/>
    </row>
    <row r="1026352" spans="54:54" ht="15.75" customHeight="1" x14ac:dyDescent="0.3">
      <c r="BB1026352" s="38"/>
    </row>
    <row r="1026353" spans="54:54" ht="15.75" customHeight="1" x14ac:dyDescent="0.3">
      <c r="BB1026353" s="38"/>
    </row>
    <row r="1026354" spans="54:54" ht="15.75" customHeight="1" x14ac:dyDescent="0.3">
      <c r="BB1026354" s="38"/>
    </row>
    <row r="1026355" spans="54:54" ht="15.75" customHeight="1" x14ac:dyDescent="0.3">
      <c r="BB1026355" s="38"/>
    </row>
    <row r="1026356" spans="54:54" ht="15.75" customHeight="1" x14ac:dyDescent="0.3">
      <c r="BB1026356" s="38"/>
    </row>
    <row r="1026357" spans="54:54" ht="15.75" customHeight="1" x14ac:dyDescent="0.3">
      <c r="BB1026357" s="38"/>
    </row>
    <row r="1026358" spans="54:54" ht="15.75" customHeight="1" x14ac:dyDescent="0.3">
      <c r="BB1026358" s="38"/>
    </row>
    <row r="1026359" spans="54:54" ht="15.75" customHeight="1" x14ac:dyDescent="0.3">
      <c r="BB1026359" s="38"/>
    </row>
    <row r="1026360" spans="54:54" ht="15.75" customHeight="1" x14ac:dyDescent="0.3">
      <c r="BB1026360" s="38"/>
    </row>
    <row r="1026361" spans="54:54" ht="15.75" customHeight="1" x14ac:dyDescent="0.3">
      <c r="BB1026361" s="38"/>
    </row>
    <row r="1026362" spans="54:54" ht="15.75" customHeight="1" x14ac:dyDescent="0.3">
      <c r="BB1026362" s="38"/>
    </row>
    <row r="1026363" spans="54:54" ht="15.75" customHeight="1" x14ac:dyDescent="0.3">
      <c r="BB1026363" s="38"/>
    </row>
    <row r="1026364" spans="54:54" ht="15.75" customHeight="1" x14ac:dyDescent="0.3">
      <c r="BB1026364" s="38"/>
    </row>
    <row r="1026365" spans="54:54" ht="15.75" customHeight="1" x14ac:dyDescent="0.3">
      <c r="BB1026365" s="38"/>
    </row>
    <row r="1026366" spans="54:54" ht="15.75" customHeight="1" x14ac:dyDescent="0.3">
      <c r="BB1026366" s="38"/>
    </row>
    <row r="1026367" spans="54:54" ht="15.75" customHeight="1" x14ac:dyDescent="0.3">
      <c r="BB1026367" s="38"/>
    </row>
    <row r="1026368" spans="54:54" ht="15.75" customHeight="1" x14ac:dyDescent="0.3">
      <c r="BB1026368" s="38"/>
    </row>
    <row r="1026369" spans="54:54" ht="15.75" customHeight="1" x14ac:dyDescent="0.3">
      <c r="BB1026369" s="38"/>
    </row>
    <row r="1026370" spans="54:54" ht="15.75" customHeight="1" x14ac:dyDescent="0.3">
      <c r="BB1026370" s="38"/>
    </row>
    <row r="1026371" spans="54:54" ht="15.75" customHeight="1" x14ac:dyDescent="0.3">
      <c r="BB1026371" s="38"/>
    </row>
    <row r="1026372" spans="54:54" ht="15.75" customHeight="1" x14ac:dyDescent="0.3">
      <c r="BB1026372" s="38"/>
    </row>
    <row r="1026373" spans="54:54" ht="15.75" customHeight="1" x14ac:dyDescent="0.3">
      <c r="BB1026373" s="38"/>
    </row>
    <row r="1026374" spans="54:54" ht="15.75" customHeight="1" x14ac:dyDescent="0.3">
      <c r="BB1026374" s="38"/>
    </row>
    <row r="1026375" spans="54:54" ht="15.75" customHeight="1" x14ac:dyDescent="0.3">
      <c r="BB1026375" s="38"/>
    </row>
    <row r="1026376" spans="54:54" ht="15.75" customHeight="1" x14ac:dyDescent="0.3">
      <c r="BB1026376" s="38"/>
    </row>
    <row r="1026377" spans="54:54" ht="15.75" customHeight="1" x14ac:dyDescent="0.3">
      <c r="BB1026377" s="38"/>
    </row>
    <row r="1026378" spans="54:54" ht="15.75" customHeight="1" x14ac:dyDescent="0.3">
      <c r="BB1026378" s="38"/>
    </row>
    <row r="1026379" spans="54:54" ht="15.75" customHeight="1" x14ac:dyDescent="0.3">
      <c r="BB1026379" s="38"/>
    </row>
    <row r="1026380" spans="54:54" ht="15.75" customHeight="1" x14ac:dyDescent="0.3">
      <c r="BB1026380" s="38"/>
    </row>
    <row r="1026381" spans="54:54" ht="15.75" customHeight="1" x14ac:dyDescent="0.3">
      <c r="BB1026381" s="38"/>
    </row>
    <row r="1026382" spans="54:54" ht="15.75" customHeight="1" x14ac:dyDescent="0.3">
      <c r="BB1026382" s="38"/>
    </row>
    <row r="1026383" spans="54:54" ht="15.75" customHeight="1" x14ac:dyDescent="0.3">
      <c r="BB1026383" s="38"/>
    </row>
    <row r="1026384" spans="54:54" ht="15.75" customHeight="1" x14ac:dyDescent="0.3">
      <c r="BB1026384" s="38"/>
    </row>
    <row r="1026385" spans="54:54" ht="15.75" customHeight="1" x14ac:dyDescent="0.3">
      <c r="BB1026385" s="38"/>
    </row>
    <row r="1026386" spans="54:54" ht="15.75" customHeight="1" x14ac:dyDescent="0.3">
      <c r="BB1026386" s="38"/>
    </row>
    <row r="1026387" spans="54:54" ht="15.75" customHeight="1" x14ac:dyDescent="0.3">
      <c r="BB1026387" s="38"/>
    </row>
    <row r="1026388" spans="54:54" ht="15.75" customHeight="1" x14ac:dyDescent="0.3">
      <c r="BB1026388" s="38"/>
    </row>
    <row r="1026389" spans="54:54" ht="15.75" customHeight="1" x14ac:dyDescent="0.3">
      <c r="BB1026389" s="38"/>
    </row>
    <row r="1026390" spans="54:54" ht="15.75" customHeight="1" x14ac:dyDescent="0.3">
      <c r="BB1026390" s="38"/>
    </row>
    <row r="1026391" spans="54:54" ht="15.75" customHeight="1" x14ac:dyDescent="0.3">
      <c r="BB1026391" s="38"/>
    </row>
    <row r="1026392" spans="54:54" ht="15.75" customHeight="1" x14ac:dyDescent="0.3">
      <c r="BB1026392" s="38"/>
    </row>
    <row r="1026393" spans="54:54" ht="15.75" customHeight="1" x14ac:dyDescent="0.3">
      <c r="BB1026393" s="38"/>
    </row>
    <row r="1026394" spans="54:54" ht="15.75" customHeight="1" x14ac:dyDescent="0.3">
      <c r="BB1026394" s="38"/>
    </row>
    <row r="1026395" spans="54:54" ht="15.75" customHeight="1" x14ac:dyDescent="0.3">
      <c r="BB1026395" s="38"/>
    </row>
    <row r="1026396" spans="54:54" ht="15.75" customHeight="1" x14ac:dyDescent="0.3">
      <c r="BB1026396" s="38"/>
    </row>
    <row r="1026397" spans="54:54" ht="15.75" customHeight="1" x14ac:dyDescent="0.3">
      <c r="BB1026397" s="38"/>
    </row>
    <row r="1026398" spans="54:54" ht="15.75" customHeight="1" x14ac:dyDescent="0.3">
      <c r="BB1026398" s="38"/>
    </row>
    <row r="1026399" spans="54:54" ht="15.75" customHeight="1" x14ac:dyDescent="0.3">
      <c r="BB1026399" s="38"/>
    </row>
    <row r="1026400" spans="54:54" ht="15.75" customHeight="1" x14ac:dyDescent="0.3">
      <c r="BB1026400" s="38"/>
    </row>
    <row r="1026401" spans="54:54" ht="15.75" customHeight="1" x14ac:dyDescent="0.3">
      <c r="BB1026401" s="38"/>
    </row>
    <row r="1026402" spans="54:54" ht="15.75" customHeight="1" x14ac:dyDescent="0.3">
      <c r="BB1026402" s="38"/>
    </row>
    <row r="1026403" spans="54:54" ht="15.75" customHeight="1" x14ac:dyDescent="0.3">
      <c r="BB1026403" s="38"/>
    </row>
    <row r="1026404" spans="54:54" ht="15.75" customHeight="1" x14ac:dyDescent="0.3">
      <c r="BB1026404" s="38"/>
    </row>
    <row r="1026405" spans="54:54" ht="15.75" customHeight="1" x14ac:dyDescent="0.3">
      <c r="BB1026405" s="38"/>
    </row>
    <row r="1026406" spans="54:54" ht="15.75" customHeight="1" x14ac:dyDescent="0.3">
      <c r="BB1026406" s="38"/>
    </row>
    <row r="1026407" spans="54:54" ht="15.75" customHeight="1" x14ac:dyDescent="0.3">
      <c r="BB1026407" s="38"/>
    </row>
    <row r="1026408" spans="54:54" ht="15.75" customHeight="1" x14ac:dyDescent="0.3">
      <c r="BB1026408" s="38"/>
    </row>
    <row r="1026409" spans="54:54" ht="15.75" customHeight="1" x14ac:dyDescent="0.3">
      <c r="BB1026409" s="38"/>
    </row>
    <row r="1026410" spans="54:54" ht="15.75" customHeight="1" x14ac:dyDescent="0.3">
      <c r="BB1026410" s="38"/>
    </row>
    <row r="1026411" spans="54:54" ht="15.75" customHeight="1" x14ac:dyDescent="0.3">
      <c r="BB1026411" s="38"/>
    </row>
    <row r="1026412" spans="54:54" ht="15.75" customHeight="1" x14ac:dyDescent="0.3">
      <c r="BB1026412" s="38"/>
    </row>
    <row r="1026413" spans="54:54" ht="15.75" customHeight="1" x14ac:dyDescent="0.3">
      <c r="BB1026413" s="38"/>
    </row>
    <row r="1026414" spans="54:54" ht="15.75" customHeight="1" x14ac:dyDescent="0.3">
      <c r="BB1026414" s="38"/>
    </row>
    <row r="1026415" spans="54:54" ht="15.75" customHeight="1" x14ac:dyDescent="0.3">
      <c r="BB1026415" s="38"/>
    </row>
    <row r="1026416" spans="54:54" ht="15.75" customHeight="1" x14ac:dyDescent="0.3">
      <c r="BB1026416" s="38"/>
    </row>
    <row r="1026417" spans="54:54" ht="15.75" customHeight="1" x14ac:dyDescent="0.3">
      <c r="BB1026417" s="38"/>
    </row>
    <row r="1026418" spans="54:54" ht="15.75" customHeight="1" x14ac:dyDescent="0.3">
      <c r="BB1026418" s="38"/>
    </row>
    <row r="1026419" spans="54:54" ht="15.75" customHeight="1" x14ac:dyDescent="0.3">
      <c r="BB1026419" s="38"/>
    </row>
    <row r="1026420" spans="54:54" ht="15.75" customHeight="1" x14ac:dyDescent="0.3">
      <c r="BB1026420" s="38"/>
    </row>
    <row r="1026421" spans="54:54" ht="15.75" customHeight="1" x14ac:dyDescent="0.3">
      <c r="BB1026421" s="38"/>
    </row>
    <row r="1026422" spans="54:54" ht="15.75" customHeight="1" x14ac:dyDescent="0.3">
      <c r="BB1026422" s="38"/>
    </row>
    <row r="1026423" spans="54:54" ht="15.75" customHeight="1" x14ac:dyDescent="0.3">
      <c r="BB1026423" s="38"/>
    </row>
    <row r="1026424" spans="54:54" ht="15.75" customHeight="1" x14ac:dyDescent="0.3">
      <c r="BB1026424" s="38"/>
    </row>
    <row r="1026425" spans="54:54" ht="15.75" customHeight="1" x14ac:dyDescent="0.3">
      <c r="BB1026425" s="38"/>
    </row>
    <row r="1026426" spans="54:54" ht="15.75" customHeight="1" x14ac:dyDescent="0.3">
      <c r="BB1026426" s="38"/>
    </row>
    <row r="1026427" spans="54:54" ht="15.75" customHeight="1" x14ac:dyDescent="0.3">
      <c r="BB1026427" s="38"/>
    </row>
    <row r="1026428" spans="54:54" ht="15.75" customHeight="1" x14ac:dyDescent="0.3">
      <c r="BB1026428" s="38"/>
    </row>
    <row r="1026429" spans="54:54" ht="15.75" customHeight="1" x14ac:dyDescent="0.3">
      <c r="BB1026429" s="38"/>
    </row>
    <row r="1026430" spans="54:54" ht="15.75" customHeight="1" x14ac:dyDescent="0.3">
      <c r="BB1026430" s="38"/>
    </row>
    <row r="1026431" spans="54:54" ht="15.75" customHeight="1" x14ac:dyDescent="0.3">
      <c r="BB1026431" s="38"/>
    </row>
    <row r="1026432" spans="54:54" ht="15.75" customHeight="1" x14ac:dyDescent="0.3">
      <c r="BB1026432" s="38"/>
    </row>
    <row r="1026433" spans="54:54" ht="15.75" customHeight="1" x14ac:dyDescent="0.3">
      <c r="BB1026433" s="38"/>
    </row>
    <row r="1026434" spans="54:54" ht="15.75" customHeight="1" x14ac:dyDescent="0.3">
      <c r="BB1026434" s="38"/>
    </row>
    <row r="1026435" spans="54:54" ht="15.75" customHeight="1" x14ac:dyDescent="0.3">
      <c r="BB1026435" s="38"/>
    </row>
    <row r="1026436" spans="54:54" ht="15.75" customHeight="1" x14ac:dyDescent="0.3">
      <c r="BB1026436" s="38"/>
    </row>
    <row r="1026437" spans="54:54" ht="15.75" customHeight="1" x14ac:dyDescent="0.3">
      <c r="BB1026437" s="38"/>
    </row>
    <row r="1026438" spans="54:54" ht="15.75" customHeight="1" x14ac:dyDescent="0.3">
      <c r="BB1026438" s="38"/>
    </row>
    <row r="1026439" spans="54:54" ht="15.75" customHeight="1" x14ac:dyDescent="0.3">
      <c r="BB1026439" s="38"/>
    </row>
    <row r="1026440" spans="54:54" ht="15.75" customHeight="1" x14ac:dyDescent="0.3">
      <c r="BB1026440" s="38"/>
    </row>
    <row r="1026441" spans="54:54" ht="15.75" customHeight="1" x14ac:dyDescent="0.3">
      <c r="BB1026441" s="38"/>
    </row>
    <row r="1026442" spans="54:54" ht="15.75" customHeight="1" x14ac:dyDescent="0.3">
      <c r="BB1026442" s="38"/>
    </row>
    <row r="1026443" spans="54:54" ht="15.75" customHeight="1" x14ac:dyDescent="0.3">
      <c r="BB1026443" s="38"/>
    </row>
    <row r="1026444" spans="54:54" ht="15.75" customHeight="1" x14ac:dyDescent="0.3">
      <c r="BB1026444" s="38"/>
    </row>
    <row r="1026445" spans="54:54" ht="15.75" customHeight="1" x14ac:dyDescent="0.3">
      <c r="BB1026445" s="38"/>
    </row>
    <row r="1026446" spans="54:54" ht="15.75" customHeight="1" x14ac:dyDescent="0.3">
      <c r="BB1026446" s="38"/>
    </row>
    <row r="1026447" spans="54:54" ht="15.75" customHeight="1" x14ac:dyDescent="0.3">
      <c r="BB1026447" s="38"/>
    </row>
    <row r="1026448" spans="54:54" ht="15.75" customHeight="1" x14ac:dyDescent="0.3">
      <c r="BB1026448" s="38"/>
    </row>
    <row r="1026449" spans="54:54" ht="15.75" customHeight="1" x14ac:dyDescent="0.3">
      <c r="BB1026449" s="38"/>
    </row>
    <row r="1026450" spans="54:54" ht="15.75" customHeight="1" x14ac:dyDescent="0.3">
      <c r="BB1026450" s="38"/>
    </row>
    <row r="1026451" spans="54:54" ht="15.75" customHeight="1" x14ac:dyDescent="0.3">
      <c r="BB1026451" s="38"/>
    </row>
    <row r="1026452" spans="54:54" ht="15.75" customHeight="1" x14ac:dyDescent="0.3">
      <c r="BB1026452" s="38"/>
    </row>
    <row r="1026453" spans="54:54" ht="15.75" customHeight="1" x14ac:dyDescent="0.3">
      <c r="BB1026453" s="38"/>
    </row>
    <row r="1026454" spans="54:54" ht="15.75" customHeight="1" x14ac:dyDescent="0.3">
      <c r="BB1026454" s="38"/>
    </row>
    <row r="1026455" spans="54:54" ht="15.75" customHeight="1" x14ac:dyDescent="0.3">
      <c r="BB1026455" s="38"/>
    </row>
    <row r="1026456" spans="54:54" ht="15.75" customHeight="1" x14ac:dyDescent="0.3">
      <c r="BB1026456" s="38"/>
    </row>
    <row r="1026457" spans="54:54" ht="15.75" customHeight="1" x14ac:dyDescent="0.3">
      <c r="BB1026457" s="38"/>
    </row>
    <row r="1026458" spans="54:54" ht="15.75" customHeight="1" x14ac:dyDescent="0.3">
      <c r="BB1026458" s="38"/>
    </row>
    <row r="1026459" spans="54:54" ht="15.75" customHeight="1" x14ac:dyDescent="0.3">
      <c r="BB1026459" s="38"/>
    </row>
    <row r="1026460" spans="54:54" ht="15.75" customHeight="1" x14ac:dyDescent="0.3">
      <c r="BB1026460" s="38"/>
    </row>
    <row r="1026461" spans="54:54" ht="15.75" customHeight="1" x14ac:dyDescent="0.3">
      <c r="BB1026461" s="38"/>
    </row>
    <row r="1026462" spans="54:54" ht="15.75" customHeight="1" x14ac:dyDescent="0.3">
      <c r="BB1026462" s="38"/>
    </row>
    <row r="1026463" spans="54:54" ht="15.75" customHeight="1" x14ac:dyDescent="0.3">
      <c r="BB1026463" s="38"/>
    </row>
    <row r="1026464" spans="54:54" ht="15.75" customHeight="1" x14ac:dyDescent="0.3">
      <c r="BB1026464" s="38"/>
    </row>
    <row r="1026465" spans="54:54" ht="15.75" customHeight="1" x14ac:dyDescent="0.3">
      <c r="BB1026465" s="38"/>
    </row>
    <row r="1026466" spans="54:54" ht="15.75" customHeight="1" x14ac:dyDescent="0.3">
      <c r="BB1026466" s="38"/>
    </row>
    <row r="1026467" spans="54:54" ht="15.75" customHeight="1" x14ac:dyDescent="0.3">
      <c r="BB1026467" s="38"/>
    </row>
    <row r="1026468" spans="54:54" ht="15.75" customHeight="1" x14ac:dyDescent="0.3">
      <c r="BB1026468" s="38"/>
    </row>
    <row r="1026469" spans="54:54" ht="15.75" customHeight="1" x14ac:dyDescent="0.3">
      <c r="BB1026469" s="38"/>
    </row>
    <row r="1026470" spans="54:54" ht="15.75" customHeight="1" x14ac:dyDescent="0.3">
      <c r="BB1026470" s="38"/>
    </row>
    <row r="1026471" spans="54:54" ht="15.75" customHeight="1" x14ac:dyDescent="0.3">
      <c r="BB1026471" s="38"/>
    </row>
    <row r="1026472" spans="54:54" ht="15.75" customHeight="1" x14ac:dyDescent="0.3">
      <c r="BB1026472" s="38"/>
    </row>
    <row r="1026473" spans="54:54" ht="15.75" customHeight="1" x14ac:dyDescent="0.3">
      <c r="BB1026473" s="38"/>
    </row>
    <row r="1026474" spans="54:54" ht="15.75" customHeight="1" x14ac:dyDescent="0.3">
      <c r="BB1026474" s="38"/>
    </row>
    <row r="1026475" spans="54:54" ht="15.75" customHeight="1" x14ac:dyDescent="0.3">
      <c r="BB1026475" s="38"/>
    </row>
    <row r="1026476" spans="54:54" ht="15.75" customHeight="1" x14ac:dyDescent="0.3">
      <c r="BB1026476" s="38"/>
    </row>
    <row r="1026477" spans="54:54" ht="15.75" customHeight="1" x14ac:dyDescent="0.3">
      <c r="BB1026477" s="38"/>
    </row>
    <row r="1026478" spans="54:54" ht="15.75" customHeight="1" x14ac:dyDescent="0.3">
      <c r="BB1026478" s="38"/>
    </row>
    <row r="1026479" spans="54:54" ht="15.75" customHeight="1" x14ac:dyDescent="0.3">
      <c r="BB1026479" s="38"/>
    </row>
    <row r="1026480" spans="54:54" ht="15.75" customHeight="1" x14ac:dyDescent="0.3">
      <c r="BB1026480" s="38"/>
    </row>
    <row r="1026481" spans="54:54" ht="15.75" customHeight="1" x14ac:dyDescent="0.3">
      <c r="BB1026481" s="38"/>
    </row>
    <row r="1026482" spans="54:54" ht="15.75" customHeight="1" x14ac:dyDescent="0.3">
      <c r="BB1026482" s="38"/>
    </row>
    <row r="1026483" spans="54:54" ht="15.75" customHeight="1" x14ac:dyDescent="0.3">
      <c r="BB1026483" s="38"/>
    </row>
    <row r="1026484" spans="54:54" ht="15.75" customHeight="1" x14ac:dyDescent="0.3">
      <c r="BB1026484" s="38"/>
    </row>
    <row r="1026485" spans="54:54" ht="15.75" customHeight="1" x14ac:dyDescent="0.3">
      <c r="BB1026485" s="38"/>
    </row>
    <row r="1026486" spans="54:54" ht="15.75" customHeight="1" x14ac:dyDescent="0.3">
      <c r="BB1026486" s="38"/>
    </row>
    <row r="1026487" spans="54:54" ht="15.75" customHeight="1" x14ac:dyDescent="0.3">
      <c r="BB1026487" s="38"/>
    </row>
    <row r="1026488" spans="54:54" ht="15.75" customHeight="1" x14ac:dyDescent="0.3">
      <c r="BB1026488" s="38"/>
    </row>
    <row r="1026489" spans="54:54" ht="15.75" customHeight="1" x14ac:dyDescent="0.3">
      <c r="BB1026489" s="38"/>
    </row>
    <row r="1026490" spans="54:54" ht="15.75" customHeight="1" x14ac:dyDescent="0.3">
      <c r="BB1026490" s="38"/>
    </row>
    <row r="1026491" spans="54:54" ht="15.75" customHeight="1" x14ac:dyDescent="0.3">
      <c r="BB1026491" s="38"/>
    </row>
    <row r="1026492" spans="54:54" ht="15.75" customHeight="1" x14ac:dyDescent="0.3">
      <c r="BB1026492" s="38"/>
    </row>
    <row r="1026493" spans="54:54" ht="15.75" customHeight="1" x14ac:dyDescent="0.3">
      <c r="BB1026493" s="38"/>
    </row>
    <row r="1026494" spans="54:54" ht="15.75" customHeight="1" x14ac:dyDescent="0.3">
      <c r="BB1026494" s="38"/>
    </row>
    <row r="1026495" spans="54:54" ht="15.75" customHeight="1" x14ac:dyDescent="0.3">
      <c r="BB1026495" s="38"/>
    </row>
    <row r="1026496" spans="54:54" ht="15.75" customHeight="1" x14ac:dyDescent="0.3">
      <c r="BB1026496" s="38"/>
    </row>
    <row r="1026497" spans="54:54" ht="15.75" customHeight="1" x14ac:dyDescent="0.3">
      <c r="BB1026497" s="38"/>
    </row>
    <row r="1026498" spans="54:54" ht="15.75" customHeight="1" x14ac:dyDescent="0.3">
      <c r="BB1026498" s="38"/>
    </row>
    <row r="1026499" spans="54:54" ht="15.75" customHeight="1" x14ac:dyDescent="0.3">
      <c r="BB1026499" s="38"/>
    </row>
    <row r="1026500" spans="54:54" ht="15.75" customHeight="1" x14ac:dyDescent="0.3">
      <c r="BB1026500" s="38"/>
    </row>
    <row r="1026501" spans="54:54" ht="15.75" customHeight="1" x14ac:dyDescent="0.3">
      <c r="BB1026501" s="38"/>
    </row>
    <row r="1026502" spans="54:54" ht="15.75" customHeight="1" x14ac:dyDescent="0.3">
      <c r="BB1026502" s="38"/>
    </row>
    <row r="1026503" spans="54:54" ht="15.75" customHeight="1" x14ac:dyDescent="0.3">
      <c r="BB1026503" s="38"/>
    </row>
    <row r="1026504" spans="54:54" ht="15.75" customHeight="1" x14ac:dyDescent="0.3">
      <c r="BB1026504" s="38"/>
    </row>
    <row r="1026505" spans="54:54" ht="15.75" customHeight="1" x14ac:dyDescent="0.3">
      <c r="BB1026505" s="38"/>
    </row>
    <row r="1026506" spans="54:54" ht="15.75" customHeight="1" x14ac:dyDescent="0.3">
      <c r="BB1026506" s="38"/>
    </row>
    <row r="1026507" spans="54:54" ht="15.75" customHeight="1" x14ac:dyDescent="0.3">
      <c r="BB1026507" s="38"/>
    </row>
    <row r="1026508" spans="54:54" ht="15.75" customHeight="1" x14ac:dyDescent="0.3">
      <c r="BB1026508" s="38"/>
    </row>
    <row r="1026509" spans="54:54" ht="15.75" customHeight="1" x14ac:dyDescent="0.3">
      <c r="BB1026509" s="38"/>
    </row>
    <row r="1026510" spans="54:54" ht="15.75" customHeight="1" x14ac:dyDescent="0.3">
      <c r="BB1026510" s="38"/>
    </row>
    <row r="1026511" spans="54:54" ht="15.75" customHeight="1" x14ac:dyDescent="0.3">
      <c r="BB1026511" s="38"/>
    </row>
    <row r="1026512" spans="54:54" ht="15.75" customHeight="1" x14ac:dyDescent="0.3">
      <c r="BB1026512" s="38"/>
    </row>
    <row r="1026513" spans="54:54" ht="15.75" customHeight="1" x14ac:dyDescent="0.3">
      <c r="BB1026513" s="38"/>
    </row>
    <row r="1026514" spans="54:54" ht="15.75" customHeight="1" x14ac:dyDescent="0.3">
      <c r="BB1026514" s="38"/>
    </row>
    <row r="1026515" spans="54:54" ht="15.75" customHeight="1" x14ac:dyDescent="0.3">
      <c r="BB1026515" s="38"/>
    </row>
    <row r="1026516" spans="54:54" ht="15.75" customHeight="1" x14ac:dyDescent="0.3">
      <c r="BB1026516" s="38"/>
    </row>
    <row r="1026517" spans="54:54" ht="15.75" customHeight="1" x14ac:dyDescent="0.3">
      <c r="BB1026517" s="38"/>
    </row>
    <row r="1026518" spans="54:54" ht="15.75" customHeight="1" x14ac:dyDescent="0.3">
      <c r="BB1026518" s="38"/>
    </row>
    <row r="1026519" spans="54:54" ht="15.75" customHeight="1" x14ac:dyDescent="0.3">
      <c r="BB1026519" s="38"/>
    </row>
    <row r="1026520" spans="54:54" ht="15.75" customHeight="1" x14ac:dyDescent="0.3">
      <c r="BB1026520" s="38"/>
    </row>
    <row r="1026521" spans="54:54" ht="15.75" customHeight="1" x14ac:dyDescent="0.3">
      <c r="BB1026521" s="38"/>
    </row>
    <row r="1026522" spans="54:54" ht="15.75" customHeight="1" x14ac:dyDescent="0.3">
      <c r="BB1026522" s="38"/>
    </row>
    <row r="1026523" spans="54:54" ht="15.75" customHeight="1" x14ac:dyDescent="0.3">
      <c r="BB1026523" s="38"/>
    </row>
    <row r="1026524" spans="54:54" ht="15.75" customHeight="1" x14ac:dyDescent="0.3">
      <c r="BB1026524" s="38"/>
    </row>
    <row r="1026525" spans="54:54" ht="15.75" customHeight="1" x14ac:dyDescent="0.3">
      <c r="BB1026525" s="38"/>
    </row>
    <row r="1026526" spans="54:54" ht="15.75" customHeight="1" x14ac:dyDescent="0.3">
      <c r="BB1026526" s="38"/>
    </row>
    <row r="1026527" spans="54:54" ht="15.75" customHeight="1" x14ac:dyDescent="0.3">
      <c r="BB1026527" s="38"/>
    </row>
    <row r="1026528" spans="54:54" ht="15.75" customHeight="1" x14ac:dyDescent="0.3">
      <c r="BB1026528" s="38"/>
    </row>
    <row r="1026529" spans="54:54" ht="15.75" customHeight="1" x14ac:dyDescent="0.3">
      <c r="BB1026529" s="38"/>
    </row>
    <row r="1026530" spans="54:54" ht="15.75" customHeight="1" x14ac:dyDescent="0.3">
      <c r="BB1026530" s="38"/>
    </row>
    <row r="1026531" spans="54:54" ht="15.75" customHeight="1" x14ac:dyDescent="0.3">
      <c r="BB1026531" s="38"/>
    </row>
    <row r="1026532" spans="54:54" ht="15.75" customHeight="1" x14ac:dyDescent="0.3">
      <c r="BB1026532" s="38"/>
    </row>
    <row r="1026533" spans="54:54" ht="15.75" customHeight="1" x14ac:dyDescent="0.3">
      <c r="BB1026533" s="38"/>
    </row>
    <row r="1026534" spans="54:54" ht="15.75" customHeight="1" x14ac:dyDescent="0.3">
      <c r="BB1026534" s="38"/>
    </row>
    <row r="1026535" spans="54:54" ht="15.75" customHeight="1" x14ac:dyDescent="0.3">
      <c r="BB1026535" s="38"/>
    </row>
    <row r="1026536" spans="54:54" ht="15.75" customHeight="1" x14ac:dyDescent="0.3">
      <c r="BB1026536" s="38"/>
    </row>
    <row r="1026537" spans="54:54" ht="15.75" customHeight="1" x14ac:dyDescent="0.3">
      <c r="BB1026537" s="38"/>
    </row>
    <row r="1026538" spans="54:54" ht="15.75" customHeight="1" x14ac:dyDescent="0.3">
      <c r="BB1026538" s="38"/>
    </row>
    <row r="1026539" spans="54:54" ht="15.75" customHeight="1" x14ac:dyDescent="0.3">
      <c r="BB1026539" s="38"/>
    </row>
    <row r="1026540" spans="54:54" ht="15.75" customHeight="1" x14ac:dyDescent="0.3">
      <c r="BB1026540" s="38"/>
    </row>
    <row r="1026541" spans="54:54" ht="15.75" customHeight="1" x14ac:dyDescent="0.3">
      <c r="BB1026541" s="38"/>
    </row>
    <row r="1026542" spans="54:54" ht="15.75" customHeight="1" x14ac:dyDescent="0.3">
      <c r="BB1026542" s="38"/>
    </row>
    <row r="1026543" spans="54:54" ht="15.75" customHeight="1" x14ac:dyDescent="0.3">
      <c r="BB1026543" s="38"/>
    </row>
    <row r="1026544" spans="54:54" ht="15.75" customHeight="1" x14ac:dyDescent="0.3">
      <c r="BB1026544" s="38"/>
    </row>
    <row r="1026545" spans="54:54" ht="15.75" customHeight="1" x14ac:dyDescent="0.3">
      <c r="BB1026545" s="38"/>
    </row>
    <row r="1026546" spans="54:54" ht="15.75" customHeight="1" x14ac:dyDescent="0.3">
      <c r="BB1026546" s="38"/>
    </row>
    <row r="1026547" spans="54:54" ht="15.75" customHeight="1" x14ac:dyDescent="0.3">
      <c r="BB1026547" s="38"/>
    </row>
    <row r="1026548" spans="54:54" ht="15.75" customHeight="1" x14ac:dyDescent="0.3">
      <c r="BB1026548" s="38"/>
    </row>
    <row r="1026549" spans="54:54" ht="15.75" customHeight="1" x14ac:dyDescent="0.3">
      <c r="BB1026549" s="38"/>
    </row>
    <row r="1026550" spans="54:54" ht="15.75" customHeight="1" x14ac:dyDescent="0.3">
      <c r="BB1026550" s="38"/>
    </row>
    <row r="1026551" spans="54:54" ht="15.75" customHeight="1" x14ac:dyDescent="0.3">
      <c r="BB1026551" s="38"/>
    </row>
    <row r="1026552" spans="54:54" ht="15.75" customHeight="1" x14ac:dyDescent="0.3">
      <c r="BB1026552" s="38"/>
    </row>
    <row r="1026553" spans="54:54" ht="15.75" customHeight="1" x14ac:dyDescent="0.3">
      <c r="BB1026553" s="38"/>
    </row>
    <row r="1026554" spans="54:54" ht="15.75" customHeight="1" x14ac:dyDescent="0.3">
      <c r="BB1026554" s="38"/>
    </row>
    <row r="1026555" spans="54:54" ht="15.75" customHeight="1" x14ac:dyDescent="0.3">
      <c r="BB1026555" s="38"/>
    </row>
    <row r="1026556" spans="54:54" ht="15.75" customHeight="1" x14ac:dyDescent="0.3">
      <c r="BB1026556" s="38"/>
    </row>
    <row r="1026557" spans="54:54" ht="15.75" customHeight="1" x14ac:dyDescent="0.3">
      <c r="BB1026557" s="38"/>
    </row>
    <row r="1026558" spans="54:54" ht="15.75" customHeight="1" x14ac:dyDescent="0.3">
      <c r="BB1026558" s="38"/>
    </row>
    <row r="1026559" spans="54:54" ht="15.75" customHeight="1" x14ac:dyDescent="0.3">
      <c r="BB1026559" s="38"/>
    </row>
    <row r="1026560" spans="54:54" ht="15.75" customHeight="1" x14ac:dyDescent="0.3">
      <c r="BB1026560" s="38"/>
    </row>
    <row r="1026561" spans="54:54" ht="15.75" customHeight="1" x14ac:dyDescent="0.3">
      <c r="BB1026561" s="38"/>
    </row>
    <row r="1026562" spans="54:54" ht="15.75" customHeight="1" x14ac:dyDescent="0.3">
      <c r="BB1026562" s="38"/>
    </row>
    <row r="1026563" spans="54:54" ht="15.75" customHeight="1" x14ac:dyDescent="0.3">
      <c r="BB1026563" s="38"/>
    </row>
    <row r="1026564" spans="54:54" ht="15.75" customHeight="1" x14ac:dyDescent="0.3">
      <c r="BB1026564" s="38"/>
    </row>
    <row r="1026565" spans="54:54" ht="15.75" customHeight="1" x14ac:dyDescent="0.3">
      <c r="BB1026565" s="38"/>
    </row>
    <row r="1026566" spans="54:54" ht="15.75" customHeight="1" x14ac:dyDescent="0.3">
      <c r="BB1026566" s="38"/>
    </row>
    <row r="1026567" spans="54:54" ht="15.75" customHeight="1" x14ac:dyDescent="0.3">
      <c r="BB1026567" s="38"/>
    </row>
    <row r="1026568" spans="54:54" ht="15.75" customHeight="1" x14ac:dyDescent="0.3">
      <c r="BB1026568" s="38"/>
    </row>
    <row r="1026569" spans="54:54" ht="15.75" customHeight="1" x14ac:dyDescent="0.3">
      <c r="BB1026569" s="38"/>
    </row>
    <row r="1026570" spans="54:54" ht="15.75" customHeight="1" x14ac:dyDescent="0.3">
      <c r="BB1026570" s="38"/>
    </row>
    <row r="1026571" spans="54:54" ht="15.75" customHeight="1" x14ac:dyDescent="0.3">
      <c r="BB1026571" s="38"/>
    </row>
    <row r="1026572" spans="54:54" ht="15.75" customHeight="1" x14ac:dyDescent="0.3">
      <c r="BB1026572" s="38"/>
    </row>
    <row r="1026573" spans="54:54" ht="15.75" customHeight="1" x14ac:dyDescent="0.3">
      <c r="BB1026573" s="38"/>
    </row>
    <row r="1026574" spans="54:54" ht="15.75" customHeight="1" x14ac:dyDescent="0.3">
      <c r="BB1026574" s="38"/>
    </row>
    <row r="1026575" spans="54:54" ht="15.75" customHeight="1" x14ac:dyDescent="0.3">
      <c r="BB1026575" s="38"/>
    </row>
    <row r="1026576" spans="54:54" ht="15.75" customHeight="1" x14ac:dyDescent="0.3">
      <c r="BB1026576" s="38"/>
    </row>
    <row r="1026577" spans="54:54" ht="15.75" customHeight="1" x14ac:dyDescent="0.3">
      <c r="BB1026577" s="38"/>
    </row>
    <row r="1026578" spans="54:54" ht="15.75" customHeight="1" x14ac:dyDescent="0.3">
      <c r="BB1026578" s="38"/>
    </row>
    <row r="1026579" spans="54:54" ht="15.75" customHeight="1" x14ac:dyDescent="0.3">
      <c r="BB1026579" s="38"/>
    </row>
    <row r="1026580" spans="54:54" ht="15.75" customHeight="1" x14ac:dyDescent="0.3">
      <c r="BB1026580" s="38"/>
    </row>
    <row r="1026581" spans="54:54" ht="15.75" customHeight="1" x14ac:dyDescent="0.3">
      <c r="BB1026581" s="38"/>
    </row>
    <row r="1026582" spans="54:54" ht="15.75" customHeight="1" x14ac:dyDescent="0.3">
      <c r="BB1026582" s="38"/>
    </row>
    <row r="1026583" spans="54:54" ht="15.75" customHeight="1" x14ac:dyDescent="0.3">
      <c r="BB1026583" s="38"/>
    </row>
    <row r="1026584" spans="54:54" ht="15.75" customHeight="1" x14ac:dyDescent="0.3">
      <c r="BB1026584" s="38"/>
    </row>
    <row r="1026585" spans="54:54" ht="15.75" customHeight="1" x14ac:dyDescent="0.3">
      <c r="BB1026585" s="38"/>
    </row>
    <row r="1026586" spans="54:54" ht="15.75" customHeight="1" x14ac:dyDescent="0.3">
      <c r="BB1026586" s="38"/>
    </row>
    <row r="1026587" spans="54:54" ht="15.75" customHeight="1" x14ac:dyDescent="0.3">
      <c r="BB1026587" s="38"/>
    </row>
    <row r="1026588" spans="54:54" ht="15.75" customHeight="1" x14ac:dyDescent="0.3">
      <c r="BB1026588" s="38"/>
    </row>
    <row r="1026589" spans="54:54" ht="15.75" customHeight="1" x14ac:dyDescent="0.3">
      <c r="BB1026589" s="38"/>
    </row>
    <row r="1026590" spans="54:54" ht="15.75" customHeight="1" x14ac:dyDescent="0.3">
      <c r="BB1026590" s="38"/>
    </row>
    <row r="1026591" spans="54:54" ht="15.75" customHeight="1" x14ac:dyDescent="0.3">
      <c r="BB1026591" s="38"/>
    </row>
    <row r="1026592" spans="54:54" ht="15.75" customHeight="1" x14ac:dyDescent="0.3">
      <c r="BB1026592" s="38"/>
    </row>
    <row r="1026593" spans="54:54" ht="15.75" customHeight="1" x14ac:dyDescent="0.3">
      <c r="BB1026593" s="38"/>
    </row>
    <row r="1026594" spans="54:54" ht="15.75" customHeight="1" x14ac:dyDescent="0.3">
      <c r="BB1026594" s="38"/>
    </row>
    <row r="1026595" spans="54:54" ht="15.75" customHeight="1" x14ac:dyDescent="0.3">
      <c r="BB1026595" s="38"/>
    </row>
    <row r="1026596" spans="54:54" ht="15.75" customHeight="1" x14ac:dyDescent="0.3">
      <c r="BB1026596" s="38"/>
    </row>
    <row r="1026597" spans="54:54" ht="15.75" customHeight="1" x14ac:dyDescent="0.3">
      <c r="BB1026597" s="38"/>
    </row>
    <row r="1026598" spans="54:54" ht="15.75" customHeight="1" x14ac:dyDescent="0.3">
      <c r="BB1026598" s="38"/>
    </row>
    <row r="1026599" spans="54:54" ht="15.75" customHeight="1" x14ac:dyDescent="0.3">
      <c r="BB1026599" s="38"/>
    </row>
    <row r="1026600" spans="54:54" ht="15.75" customHeight="1" x14ac:dyDescent="0.3">
      <c r="BB1026600" s="38"/>
    </row>
    <row r="1026601" spans="54:54" ht="15.75" customHeight="1" x14ac:dyDescent="0.3">
      <c r="BB1026601" s="38"/>
    </row>
    <row r="1026602" spans="54:54" ht="15.75" customHeight="1" x14ac:dyDescent="0.3">
      <c r="BB1026602" s="38"/>
    </row>
    <row r="1026603" spans="54:54" ht="15.75" customHeight="1" x14ac:dyDescent="0.3">
      <c r="BB1026603" s="38"/>
    </row>
    <row r="1026604" spans="54:54" ht="15.75" customHeight="1" x14ac:dyDescent="0.3">
      <c r="BB1026604" s="38"/>
    </row>
    <row r="1026605" spans="54:54" ht="15.75" customHeight="1" x14ac:dyDescent="0.3">
      <c r="BB1026605" s="38"/>
    </row>
    <row r="1026606" spans="54:54" ht="15.75" customHeight="1" x14ac:dyDescent="0.3">
      <c r="BB1026606" s="38"/>
    </row>
    <row r="1026607" spans="54:54" ht="15.75" customHeight="1" x14ac:dyDescent="0.3">
      <c r="BB1026607" s="38"/>
    </row>
    <row r="1026608" spans="54:54" ht="15.75" customHeight="1" x14ac:dyDescent="0.3">
      <c r="BB1026608" s="38"/>
    </row>
    <row r="1026609" spans="54:54" ht="15.75" customHeight="1" x14ac:dyDescent="0.3">
      <c r="BB1026609" s="38"/>
    </row>
    <row r="1026610" spans="54:54" ht="15.75" customHeight="1" x14ac:dyDescent="0.3">
      <c r="BB1026610" s="38"/>
    </row>
    <row r="1026611" spans="54:54" ht="15.75" customHeight="1" x14ac:dyDescent="0.3">
      <c r="BB1026611" s="38"/>
    </row>
    <row r="1026612" spans="54:54" ht="15.75" customHeight="1" x14ac:dyDescent="0.3">
      <c r="BB1026612" s="38"/>
    </row>
    <row r="1026613" spans="54:54" ht="15.75" customHeight="1" x14ac:dyDescent="0.3">
      <c r="BB1026613" s="38"/>
    </row>
    <row r="1026614" spans="54:54" ht="15.75" customHeight="1" x14ac:dyDescent="0.3">
      <c r="BB1026614" s="38"/>
    </row>
    <row r="1026615" spans="54:54" ht="15.75" customHeight="1" x14ac:dyDescent="0.3">
      <c r="BB1026615" s="38"/>
    </row>
    <row r="1026616" spans="54:54" ht="15.75" customHeight="1" x14ac:dyDescent="0.3">
      <c r="BB1026616" s="38"/>
    </row>
    <row r="1026617" spans="54:54" ht="15.75" customHeight="1" x14ac:dyDescent="0.3">
      <c r="BB1026617" s="38"/>
    </row>
    <row r="1026618" spans="54:54" ht="15.75" customHeight="1" x14ac:dyDescent="0.3">
      <c r="BB1026618" s="38"/>
    </row>
    <row r="1026619" spans="54:54" ht="15.75" customHeight="1" x14ac:dyDescent="0.3">
      <c r="BB1026619" s="38"/>
    </row>
    <row r="1026620" spans="54:54" ht="15.75" customHeight="1" x14ac:dyDescent="0.3">
      <c r="BB1026620" s="38"/>
    </row>
    <row r="1026621" spans="54:54" ht="15.75" customHeight="1" x14ac:dyDescent="0.3">
      <c r="BB1026621" s="38"/>
    </row>
    <row r="1026622" spans="54:54" ht="15.75" customHeight="1" x14ac:dyDescent="0.3">
      <c r="BB1026622" s="38"/>
    </row>
    <row r="1026623" spans="54:54" ht="15.75" customHeight="1" x14ac:dyDescent="0.3">
      <c r="BB1026623" s="38"/>
    </row>
    <row r="1026624" spans="54:54" ht="15.75" customHeight="1" x14ac:dyDescent="0.3">
      <c r="BB1026624" s="38"/>
    </row>
    <row r="1026625" spans="54:54" ht="15.75" customHeight="1" x14ac:dyDescent="0.3">
      <c r="BB1026625" s="38"/>
    </row>
    <row r="1026626" spans="54:54" ht="15.75" customHeight="1" x14ac:dyDescent="0.3">
      <c r="BB1026626" s="38"/>
    </row>
    <row r="1026627" spans="54:54" ht="15.75" customHeight="1" x14ac:dyDescent="0.3">
      <c r="BB1026627" s="38"/>
    </row>
    <row r="1026628" spans="54:54" ht="15.75" customHeight="1" x14ac:dyDescent="0.3">
      <c r="BB1026628" s="38"/>
    </row>
    <row r="1026629" spans="54:54" ht="15.75" customHeight="1" x14ac:dyDescent="0.3">
      <c r="BB1026629" s="38"/>
    </row>
    <row r="1026630" spans="54:54" ht="15.75" customHeight="1" x14ac:dyDescent="0.3">
      <c r="BB1026630" s="38"/>
    </row>
    <row r="1026631" spans="54:54" ht="15.75" customHeight="1" x14ac:dyDescent="0.3">
      <c r="BB1026631" s="38"/>
    </row>
    <row r="1026632" spans="54:54" ht="15.75" customHeight="1" x14ac:dyDescent="0.3">
      <c r="BB1026632" s="38"/>
    </row>
    <row r="1026633" spans="54:54" ht="15.75" customHeight="1" x14ac:dyDescent="0.3">
      <c r="BB1026633" s="38"/>
    </row>
    <row r="1026634" spans="54:54" ht="15.75" customHeight="1" x14ac:dyDescent="0.3">
      <c r="BB1026634" s="38"/>
    </row>
    <row r="1026635" spans="54:54" ht="15.75" customHeight="1" x14ac:dyDescent="0.3">
      <c r="BB1026635" s="38"/>
    </row>
    <row r="1026636" spans="54:54" ht="15.75" customHeight="1" x14ac:dyDescent="0.3">
      <c r="BB1026636" s="38"/>
    </row>
    <row r="1026637" spans="54:54" ht="15.75" customHeight="1" x14ac:dyDescent="0.3">
      <c r="BB1026637" s="38"/>
    </row>
    <row r="1026638" spans="54:54" ht="15.75" customHeight="1" x14ac:dyDescent="0.3">
      <c r="BB1026638" s="38"/>
    </row>
    <row r="1026639" spans="54:54" ht="15.75" customHeight="1" x14ac:dyDescent="0.3">
      <c r="BB1026639" s="38"/>
    </row>
    <row r="1026640" spans="54:54" ht="15.75" customHeight="1" x14ac:dyDescent="0.3">
      <c r="BB1026640" s="38"/>
    </row>
    <row r="1026641" spans="54:54" ht="15.75" customHeight="1" x14ac:dyDescent="0.3">
      <c r="BB1026641" s="38"/>
    </row>
    <row r="1026642" spans="54:54" ht="15.75" customHeight="1" x14ac:dyDescent="0.3">
      <c r="BB1026642" s="38"/>
    </row>
    <row r="1026643" spans="54:54" ht="15.75" customHeight="1" x14ac:dyDescent="0.3">
      <c r="BB1026643" s="38"/>
    </row>
    <row r="1026644" spans="54:54" ht="15.75" customHeight="1" x14ac:dyDescent="0.3">
      <c r="BB1026644" s="38"/>
    </row>
    <row r="1026645" spans="54:54" ht="15.75" customHeight="1" x14ac:dyDescent="0.3">
      <c r="BB1026645" s="38"/>
    </row>
    <row r="1026646" spans="54:54" ht="15.75" customHeight="1" x14ac:dyDescent="0.3">
      <c r="BB1026646" s="38"/>
    </row>
    <row r="1026647" spans="54:54" ht="15.75" customHeight="1" x14ac:dyDescent="0.3">
      <c r="BB1026647" s="38"/>
    </row>
    <row r="1026648" spans="54:54" ht="15.75" customHeight="1" x14ac:dyDescent="0.3">
      <c r="BB1026648" s="38"/>
    </row>
    <row r="1026649" spans="54:54" ht="15.75" customHeight="1" x14ac:dyDescent="0.3">
      <c r="BB1026649" s="38"/>
    </row>
    <row r="1026650" spans="54:54" ht="15.75" customHeight="1" x14ac:dyDescent="0.3">
      <c r="BB1026650" s="38"/>
    </row>
    <row r="1026651" spans="54:54" ht="15.75" customHeight="1" x14ac:dyDescent="0.3">
      <c r="BB1026651" s="38"/>
    </row>
    <row r="1026652" spans="54:54" ht="15.75" customHeight="1" x14ac:dyDescent="0.3">
      <c r="BB1026652" s="38"/>
    </row>
    <row r="1026653" spans="54:54" ht="15.75" customHeight="1" x14ac:dyDescent="0.3">
      <c r="BB1026653" s="38"/>
    </row>
    <row r="1026654" spans="54:54" ht="15.75" customHeight="1" x14ac:dyDescent="0.3">
      <c r="BB1026654" s="38"/>
    </row>
    <row r="1026655" spans="54:54" ht="15.75" customHeight="1" x14ac:dyDescent="0.3">
      <c r="BB1026655" s="38"/>
    </row>
    <row r="1026656" spans="54:54" ht="15.75" customHeight="1" x14ac:dyDescent="0.3">
      <c r="BB1026656" s="38"/>
    </row>
    <row r="1026657" spans="54:54" ht="15.75" customHeight="1" x14ac:dyDescent="0.3">
      <c r="BB1026657" s="38"/>
    </row>
    <row r="1026658" spans="54:54" ht="15.75" customHeight="1" x14ac:dyDescent="0.3">
      <c r="BB1026658" s="38"/>
    </row>
    <row r="1026659" spans="54:54" ht="15.75" customHeight="1" x14ac:dyDescent="0.3">
      <c r="BB1026659" s="38"/>
    </row>
    <row r="1026660" spans="54:54" ht="15.75" customHeight="1" x14ac:dyDescent="0.3">
      <c r="BB1026660" s="38"/>
    </row>
    <row r="1026661" spans="54:54" ht="15.75" customHeight="1" x14ac:dyDescent="0.3">
      <c r="BB1026661" s="38"/>
    </row>
    <row r="1026662" spans="54:54" ht="15.75" customHeight="1" x14ac:dyDescent="0.3">
      <c r="BB1026662" s="38"/>
    </row>
    <row r="1026663" spans="54:54" ht="15.75" customHeight="1" x14ac:dyDescent="0.3">
      <c r="BB1026663" s="38"/>
    </row>
    <row r="1026664" spans="54:54" ht="15.75" customHeight="1" x14ac:dyDescent="0.3">
      <c r="BB1026664" s="38"/>
    </row>
    <row r="1026665" spans="54:54" ht="15.75" customHeight="1" x14ac:dyDescent="0.3">
      <c r="BB1026665" s="38"/>
    </row>
    <row r="1026666" spans="54:54" ht="15.75" customHeight="1" x14ac:dyDescent="0.3">
      <c r="BB1026666" s="38"/>
    </row>
    <row r="1026667" spans="54:54" ht="15.75" customHeight="1" x14ac:dyDescent="0.3">
      <c r="BB1026667" s="38"/>
    </row>
    <row r="1026668" spans="54:54" ht="15.75" customHeight="1" x14ac:dyDescent="0.3">
      <c r="BB1026668" s="38"/>
    </row>
    <row r="1026669" spans="54:54" ht="15.75" customHeight="1" x14ac:dyDescent="0.3">
      <c r="BB1026669" s="38"/>
    </row>
    <row r="1026670" spans="54:54" ht="15.75" customHeight="1" x14ac:dyDescent="0.3">
      <c r="BB1026670" s="38"/>
    </row>
    <row r="1026671" spans="54:54" ht="15.75" customHeight="1" x14ac:dyDescent="0.3">
      <c r="BB1026671" s="38"/>
    </row>
    <row r="1026672" spans="54:54" ht="15.75" customHeight="1" x14ac:dyDescent="0.3">
      <c r="BB1026672" s="38"/>
    </row>
    <row r="1026673" spans="54:54" ht="15.75" customHeight="1" x14ac:dyDescent="0.3">
      <c r="BB1026673" s="38"/>
    </row>
    <row r="1026674" spans="54:54" ht="15.75" customHeight="1" x14ac:dyDescent="0.3">
      <c r="BB1026674" s="38"/>
    </row>
    <row r="1026675" spans="54:54" ht="15.75" customHeight="1" x14ac:dyDescent="0.3">
      <c r="BB1026675" s="38"/>
    </row>
    <row r="1026676" spans="54:54" ht="15.75" customHeight="1" x14ac:dyDescent="0.3">
      <c r="BB1026676" s="38"/>
    </row>
    <row r="1026677" spans="54:54" ht="15.75" customHeight="1" x14ac:dyDescent="0.3">
      <c r="BB1026677" s="38"/>
    </row>
    <row r="1026678" spans="54:54" ht="15.75" customHeight="1" x14ac:dyDescent="0.3">
      <c r="BB1026678" s="38"/>
    </row>
    <row r="1026679" spans="54:54" ht="15.75" customHeight="1" x14ac:dyDescent="0.3">
      <c r="BB1026679" s="38"/>
    </row>
    <row r="1026680" spans="54:54" ht="15.75" customHeight="1" x14ac:dyDescent="0.3">
      <c r="BB1026680" s="38"/>
    </row>
    <row r="1026681" spans="54:54" ht="15.75" customHeight="1" x14ac:dyDescent="0.3">
      <c r="BB1026681" s="38"/>
    </row>
    <row r="1026682" spans="54:54" ht="15.75" customHeight="1" x14ac:dyDescent="0.3">
      <c r="BB1026682" s="38"/>
    </row>
    <row r="1026683" spans="54:54" ht="15.75" customHeight="1" x14ac:dyDescent="0.3">
      <c r="BB1026683" s="38"/>
    </row>
    <row r="1026684" spans="54:54" ht="15.75" customHeight="1" x14ac:dyDescent="0.3">
      <c r="BB1026684" s="38"/>
    </row>
    <row r="1026685" spans="54:54" ht="15.75" customHeight="1" x14ac:dyDescent="0.3">
      <c r="BB1026685" s="38"/>
    </row>
    <row r="1026686" spans="54:54" ht="15.75" customHeight="1" x14ac:dyDescent="0.3">
      <c r="BB1026686" s="38"/>
    </row>
    <row r="1026687" spans="54:54" ht="15.75" customHeight="1" x14ac:dyDescent="0.3">
      <c r="BB1026687" s="38"/>
    </row>
    <row r="1026688" spans="54:54" ht="15.75" customHeight="1" x14ac:dyDescent="0.3">
      <c r="BB1026688" s="38"/>
    </row>
    <row r="1026689" spans="54:54" ht="15.75" customHeight="1" x14ac:dyDescent="0.3">
      <c r="BB1026689" s="38"/>
    </row>
    <row r="1026690" spans="54:54" ht="15.75" customHeight="1" x14ac:dyDescent="0.3">
      <c r="BB1026690" s="38"/>
    </row>
    <row r="1026691" spans="54:54" ht="15.75" customHeight="1" x14ac:dyDescent="0.3">
      <c r="BB1026691" s="38"/>
    </row>
    <row r="1026692" spans="54:54" ht="15.75" customHeight="1" x14ac:dyDescent="0.3">
      <c r="BB1026692" s="38"/>
    </row>
    <row r="1026693" spans="54:54" ht="15.75" customHeight="1" x14ac:dyDescent="0.3">
      <c r="BB1026693" s="38"/>
    </row>
    <row r="1026694" spans="54:54" ht="15.75" customHeight="1" x14ac:dyDescent="0.3">
      <c r="BB1026694" s="38"/>
    </row>
    <row r="1026695" spans="54:54" ht="15.75" customHeight="1" x14ac:dyDescent="0.3">
      <c r="BB1026695" s="38"/>
    </row>
    <row r="1026696" spans="54:54" ht="15.75" customHeight="1" x14ac:dyDescent="0.3">
      <c r="BB1026696" s="38"/>
    </row>
    <row r="1026697" spans="54:54" ht="15.75" customHeight="1" x14ac:dyDescent="0.3">
      <c r="BB1026697" s="38"/>
    </row>
    <row r="1026698" spans="54:54" ht="15.75" customHeight="1" x14ac:dyDescent="0.3">
      <c r="BB1026698" s="38"/>
    </row>
    <row r="1026699" spans="54:54" ht="15.75" customHeight="1" x14ac:dyDescent="0.3">
      <c r="BB1026699" s="38"/>
    </row>
    <row r="1026700" spans="54:54" ht="15.75" customHeight="1" x14ac:dyDescent="0.3">
      <c r="BB1026700" s="38"/>
    </row>
    <row r="1026701" spans="54:54" ht="15.75" customHeight="1" x14ac:dyDescent="0.3">
      <c r="BB1026701" s="38"/>
    </row>
    <row r="1026702" spans="54:54" ht="15.75" customHeight="1" x14ac:dyDescent="0.3">
      <c r="BB1026702" s="38"/>
    </row>
    <row r="1026703" spans="54:54" ht="15.75" customHeight="1" x14ac:dyDescent="0.3">
      <c r="BB1026703" s="38"/>
    </row>
    <row r="1026704" spans="54:54" ht="15.75" customHeight="1" x14ac:dyDescent="0.3">
      <c r="BB1026704" s="38"/>
    </row>
    <row r="1026705" spans="54:54" ht="15.75" customHeight="1" x14ac:dyDescent="0.3">
      <c r="BB1026705" s="38"/>
    </row>
    <row r="1026706" spans="54:54" ht="15.75" customHeight="1" x14ac:dyDescent="0.3">
      <c r="BB1026706" s="38"/>
    </row>
    <row r="1026707" spans="54:54" ht="15.75" customHeight="1" x14ac:dyDescent="0.3">
      <c r="BB1026707" s="38"/>
    </row>
    <row r="1026708" spans="54:54" ht="15.75" customHeight="1" x14ac:dyDescent="0.3">
      <c r="BB1026708" s="38"/>
    </row>
    <row r="1026709" spans="54:54" ht="15.75" customHeight="1" x14ac:dyDescent="0.3">
      <c r="BB1026709" s="38"/>
    </row>
    <row r="1026710" spans="54:54" ht="15.75" customHeight="1" x14ac:dyDescent="0.3">
      <c r="BB1026710" s="38"/>
    </row>
    <row r="1026711" spans="54:54" ht="15.75" customHeight="1" x14ac:dyDescent="0.3">
      <c r="BB1026711" s="38"/>
    </row>
    <row r="1026712" spans="54:54" ht="15.75" customHeight="1" x14ac:dyDescent="0.3">
      <c r="BB1026712" s="38"/>
    </row>
    <row r="1026713" spans="54:54" ht="15.75" customHeight="1" x14ac:dyDescent="0.3">
      <c r="BB1026713" s="38"/>
    </row>
    <row r="1026714" spans="54:54" ht="15.75" customHeight="1" x14ac:dyDescent="0.3">
      <c r="BB1026714" s="38"/>
    </row>
    <row r="1026715" spans="54:54" ht="15.75" customHeight="1" x14ac:dyDescent="0.3">
      <c r="BB1026715" s="38"/>
    </row>
    <row r="1026716" spans="54:54" ht="15.75" customHeight="1" x14ac:dyDescent="0.3">
      <c r="BB1026716" s="38"/>
    </row>
    <row r="1026717" spans="54:54" ht="15.75" customHeight="1" x14ac:dyDescent="0.3">
      <c r="BB1026717" s="38"/>
    </row>
    <row r="1026718" spans="54:54" ht="15.75" customHeight="1" x14ac:dyDescent="0.3">
      <c r="BB1026718" s="38"/>
    </row>
    <row r="1026719" spans="54:54" ht="15.75" customHeight="1" x14ac:dyDescent="0.3">
      <c r="BB1026719" s="38"/>
    </row>
    <row r="1026720" spans="54:54" ht="15.75" customHeight="1" x14ac:dyDescent="0.3">
      <c r="BB1026720" s="38"/>
    </row>
    <row r="1026721" spans="54:54" ht="15.75" customHeight="1" x14ac:dyDescent="0.3">
      <c r="BB1026721" s="38"/>
    </row>
    <row r="1026722" spans="54:54" ht="15.75" customHeight="1" x14ac:dyDescent="0.3">
      <c r="BB1026722" s="38"/>
    </row>
    <row r="1026723" spans="54:54" ht="15.75" customHeight="1" x14ac:dyDescent="0.3">
      <c r="BB1026723" s="38"/>
    </row>
    <row r="1026724" spans="54:54" ht="15.75" customHeight="1" x14ac:dyDescent="0.3">
      <c r="BB1026724" s="38"/>
    </row>
    <row r="1026725" spans="54:54" ht="15.75" customHeight="1" x14ac:dyDescent="0.3">
      <c r="BB1026725" s="38"/>
    </row>
    <row r="1026726" spans="54:54" ht="15.75" customHeight="1" x14ac:dyDescent="0.3">
      <c r="BB1026726" s="38"/>
    </row>
    <row r="1026727" spans="54:54" ht="15.75" customHeight="1" x14ac:dyDescent="0.3">
      <c r="BB1026727" s="38"/>
    </row>
    <row r="1026728" spans="54:54" ht="15.75" customHeight="1" x14ac:dyDescent="0.3">
      <c r="BB1026728" s="38"/>
    </row>
    <row r="1026729" spans="54:54" ht="15.75" customHeight="1" x14ac:dyDescent="0.3">
      <c r="BB1026729" s="38"/>
    </row>
    <row r="1026730" spans="54:54" ht="15.75" customHeight="1" x14ac:dyDescent="0.3">
      <c r="BB1026730" s="38"/>
    </row>
    <row r="1026731" spans="54:54" ht="15.75" customHeight="1" x14ac:dyDescent="0.3">
      <c r="BB1026731" s="38"/>
    </row>
    <row r="1026732" spans="54:54" ht="15.75" customHeight="1" x14ac:dyDescent="0.3">
      <c r="BB1026732" s="38"/>
    </row>
    <row r="1026733" spans="54:54" ht="15.75" customHeight="1" x14ac:dyDescent="0.3">
      <c r="BB1026733" s="38"/>
    </row>
    <row r="1026734" spans="54:54" ht="15.75" customHeight="1" x14ac:dyDescent="0.3">
      <c r="BB1026734" s="38"/>
    </row>
    <row r="1026735" spans="54:54" ht="15.75" customHeight="1" x14ac:dyDescent="0.3">
      <c r="BB1026735" s="38"/>
    </row>
    <row r="1026736" spans="54:54" ht="15.75" customHeight="1" x14ac:dyDescent="0.3">
      <c r="BB1026736" s="38"/>
    </row>
    <row r="1026737" spans="54:54" ht="15.75" customHeight="1" x14ac:dyDescent="0.3">
      <c r="BB1026737" s="38"/>
    </row>
    <row r="1026738" spans="54:54" ht="15.75" customHeight="1" x14ac:dyDescent="0.3">
      <c r="BB1026738" s="38"/>
    </row>
    <row r="1026739" spans="54:54" ht="15.75" customHeight="1" x14ac:dyDescent="0.3">
      <c r="BB1026739" s="38"/>
    </row>
    <row r="1026740" spans="54:54" ht="15.75" customHeight="1" x14ac:dyDescent="0.3">
      <c r="BB1026740" s="38"/>
    </row>
    <row r="1026741" spans="54:54" ht="15.75" customHeight="1" x14ac:dyDescent="0.3">
      <c r="BB1026741" s="38"/>
    </row>
    <row r="1026742" spans="54:54" ht="15.75" customHeight="1" x14ac:dyDescent="0.3">
      <c r="BB1026742" s="38"/>
    </row>
    <row r="1026743" spans="54:54" ht="15.75" customHeight="1" x14ac:dyDescent="0.3">
      <c r="BB1026743" s="38"/>
    </row>
    <row r="1026744" spans="54:54" ht="15.75" customHeight="1" x14ac:dyDescent="0.3">
      <c r="BB1026744" s="38"/>
    </row>
    <row r="1026745" spans="54:54" ht="15.75" customHeight="1" x14ac:dyDescent="0.3">
      <c r="BB1026745" s="38"/>
    </row>
    <row r="1026746" spans="54:54" ht="15.75" customHeight="1" x14ac:dyDescent="0.3">
      <c r="BB1026746" s="38"/>
    </row>
    <row r="1026747" spans="54:54" ht="15.75" customHeight="1" x14ac:dyDescent="0.3">
      <c r="BB1026747" s="38"/>
    </row>
    <row r="1026748" spans="54:54" ht="15.75" customHeight="1" x14ac:dyDescent="0.3">
      <c r="BB1026748" s="38"/>
    </row>
    <row r="1026749" spans="54:54" ht="15.75" customHeight="1" x14ac:dyDescent="0.3">
      <c r="BB1026749" s="38"/>
    </row>
    <row r="1026750" spans="54:54" ht="15.75" customHeight="1" x14ac:dyDescent="0.3">
      <c r="BB1026750" s="38"/>
    </row>
    <row r="1026751" spans="54:54" ht="15.75" customHeight="1" x14ac:dyDescent="0.3">
      <c r="BB1026751" s="38"/>
    </row>
    <row r="1026752" spans="54:54" ht="15.75" customHeight="1" x14ac:dyDescent="0.3">
      <c r="BB1026752" s="38"/>
    </row>
    <row r="1026753" spans="54:54" ht="15.75" customHeight="1" x14ac:dyDescent="0.3">
      <c r="BB1026753" s="38"/>
    </row>
    <row r="1026754" spans="54:54" ht="15.75" customHeight="1" x14ac:dyDescent="0.3">
      <c r="BB1026754" s="38"/>
    </row>
    <row r="1026755" spans="54:54" ht="15.75" customHeight="1" x14ac:dyDescent="0.3">
      <c r="BB1026755" s="38"/>
    </row>
    <row r="1026756" spans="54:54" ht="15.75" customHeight="1" x14ac:dyDescent="0.3">
      <c r="BB1026756" s="38"/>
    </row>
    <row r="1026757" spans="54:54" ht="15.75" customHeight="1" x14ac:dyDescent="0.3">
      <c r="BB1026757" s="38"/>
    </row>
    <row r="1026758" spans="54:54" ht="15.75" customHeight="1" x14ac:dyDescent="0.3">
      <c r="BB1026758" s="38"/>
    </row>
    <row r="1026759" spans="54:54" ht="15.75" customHeight="1" x14ac:dyDescent="0.3">
      <c r="BB1026759" s="38"/>
    </row>
    <row r="1026760" spans="54:54" ht="15.75" customHeight="1" x14ac:dyDescent="0.3">
      <c r="BB1026760" s="38"/>
    </row>
    <row r="1026761" spans="54:54" ht="15.75" customHeight="1" x14ac:dyDescent="0.3">
      <c r="BB1026761" s="38"/>
    </row>
    <row r="1026762" spans="54:54" ht="15.75" customHeight="1" x14ac:dyDescent="0.3">
      <c r="BB1026762" s="38"/>
    </row>
    <row r="1026763" spans="54:54" ht="15.75" customHeight="1" x14ac:dyDescent="0.3">
      <c r="BB1026763" s="38"/>
    </row>
    <row r="1026764" spans="54:54" ht="15.75" customHeight="1" x14ac:dyDescent="0.3">
      <c r="BB1026764" s="38"/>
    </row>
    <row r="1026765" spans="54:54" ht="15.75" customHeight="1" x14ac:dyDescent="0.3">
      <c r="BB1026765" s="38"/>
    </row>
    <row r="1026766" spans="54:54" ht="15.75" customHeight="1" x14ac:dyDescent="0.3">
      <c r="BB1026766" s="38"/>
    </row>
    <row r="1026767" spans="54:54" ht="15.75" customHeight="1" x14ac:dyDescent="0.3">
      <c r="BB1026767" s="38"/>
    </row>
    <row r="1026768" spans="54:54" ht="15.75" customHeight="1" x14ac:dyDescent="0.3">
      <c r="BB1026768" s="38"/>
    </row>
    <row r="1026769" spans="54:54" ht="15.75" customHeight="1" x14ac:dyDescent="0.3">
      <c r="BB1026769" s="38"/>
    </row>
    <row r="1026770" spans="54:54" ht="15.75" customHeight="1" x14ac:dyDescent="0.3">
      <c r="BB1026770" s="38"/>
    </row>
    <row r="1026771" spans="54:54" ht="15.75" customHeight="1" x14ac:dyDescent="0.3">
      <c r="BB1026771" s="38"/>
    </row>
    <row r="1026772" spans="54:54" ht="15.75" customHeight="1" x14ac:dyDescent="0.3">
      <c r="BB1026772" s="38"/>
    </row>
    <row r="1026773" spans="54:54" ht="15.75" customHeight="1" x14ac:dyDescent="0.3">
      <c r="BB1026773" s="38"/>
    </row>
    <row r="1026774" spans="54:54" ht="15.75" customHeight="1" x14ac:dyDescent="0.3">
      <c r="BB1026774" s="38"/>
    </row>
    <row r="1026775" spans="54:54" ht="15.75" customHeight="1" x14ac:dyDescent="0.3">
      <c r="BB1026775" s="38"/>
    </row>
    <row r="1026776" spans="54:54" ht="15.75" customHeight="1" x14ac:dyDescent="0.3">
      <c r="BB1026776" s="38"/>
    </row>
    <row r="1026777" spans="54:54" ht="15.75" customHeight="1" x14ac:dyDescent="0.3">
      <c r="BB1026777" s="38"/>
    </row>
    <row r="1026778" spans="54:54" ht="15.75" customHeight="1" x14ac:dyDescent="0.3">
      <c r="BB1026778" s="38"/>
    </row>
    <row r="1026779" spans="54:54" ht="15.75" customHeight="1" x14ac:dyDescent="0.3">
      <c r="BB1026779" s="38"/>
    </row>
    <row r="1026780" spans="54:54" ht="15.75" customHeight="1" x14ac:dyDescent="0.3">
      <c r="BB1026780" s="38"/>
    </row>
    <row r="1026781" spans="54:54" ht="15.75" customHeight="1" x14ac:dyDescent="0.3">
      <c r="BB1026781" s="38"/>
    </row>
    <row r="1026782" spans="54:54" ht="15.75" customHeight="1" x14ac:dyDescent="0.3">
      <c r="BB1026782" s="38"/>
    </row>
    <row r="1026783" spans="54:54" ht="15.75" customHeight="1" x14ac:dyDescent="0.3">
      <c r="BB1026783" s="38"/>
    </row>
    <row r="1026784" spans="54:54" ht="15.75" customHeight="1" x14ac:dyDescent="0.3">
      <c r="BB1026784" s="38"/>
    </row>
    <row r="1026785" spans="54:54" ht="15.75" customHeight="1" x14ac:dyDescent="0.3">
      <c r="BB1026785" s="38"/>
    </row>
    <row r="1026786" spans="54:54" ht="15.75" customHeight="1" x14ac:dyDescent="0.3">
      <c r="BB1026786" s="38"/>
    </row>
    <row r="1026787" spans="54:54" ht="15.75" customHeight="1" x14ac:dyDescent="0.3">
      <c r="BB1026787" s="38"/>
    </row>
    <row r="1026788" spans="54:54" ht="15.75" customHeight="1" x14ac:dyDescent="0.3">
      <c r="BB1026788" s="38"/>
    </row>
    <row r="1026789" spans="54:54" ht="15.75" customHeight="1" x14ac:dyDescent="0.3">
      <c r="BB1026789" s="38"/>
    </row>
    <row r="1026790" spans="54:54" ht="15.75" customHeight="1" x14ac:dyDescent="0.3">
      <c r="BB1026790" s="38"/>
    </row>
    <row r="1026791" spans="54:54" ht="15.75" customHeight="1" x14ac:dyDescent="0.3">
      <c r="BB1026791" s="38"/>
    </row>
    <row r="1026792" spans="54:54" ht="15.75" customHeight="1" x14ac:dyDescent="0.3">
      <c r="BB1026792" s="38"/>
    </row>
    <row r="1026793" spans="54:54" ht="15.75" customHeight="1" x14ac:dyDescent="0.3">
      <c r="BB1026793" s="38"/>
    </row>
    <row r="1026794" spans="54:54" ht="15.75" customHeight="1" x14ac:dyDescent="0.3">
      <c r="BB1026794" s="38"/>
    </row>
    <row r="1026795" spans="54:54" ht="15.75" customHeight="1" x14ac:dyDescent="0.3">
      <c r="BB1026795" s="38"/>
    </row>
    <row r="1026796" spans="54:54" ht="15.75" customHeight="1" x14ac:dyDescent="0.3">
      <c r="BB1026796" s="38"/>
    </row>
    <row r="1026797" spans="54:54" ht="15.75" customHeight="1" x14ac:dyDescent="0.3">
      <c r="BB1026797" s="38"/>
    </row>
    <row r="1026798" spans="54:54" ht="15.75" customHeight="1" x14ac:dyDescent="0.3">
      <c r="BB1026798" s="38"/>
    </row>
    <row r="1026799" spans="54:54" ht="15.75" customHeight="1" x14ac:dyDescent="0.3">
      <c r="BB1026799" s="38"/>
    </row>
    <row r="1026800" spans="54:54" ht="15.75" customHeight="1" x14ac:dyDescent="0.3">
      <c r="BB1026800" s="38"/>
    </row>
    <row r="1026801" spans="54:54" ht="15.75" customHeight="1" x14ac:dyDescent="0.3">
      <c r="BB1026801" s="38"/>
    </row>
    <row r="1026802" spans="54:54" ht="15.75" customHeight="1" x14ac:dyDescent="0.3">
      <c r="BB1026802" s="38"/>
    </row>
    <row r="1026803" spans="54:54" ht="15.75" customHeight="1" x14ac:dyDescent="0.3">
      <c r="BB1026803" s="38"/>
    </row>
    <row r="1026804" spans="54:54" ht="15.75" customHeight="1" x14ac:dyDescent="0.3">
      <c r="BB1026804" s="38"/>
    </row>
    <row r="1026805" spans="54:54" ht="15.75" customHeight="1" x14ac:dyDescent="0.3">
      <c r="BB1026805" s="38"/>
    </row>
    <row r="1026806" spans="54:54" ht="15.75" customHeight="1" x14ac:dyDescent="0.3">
      <c r="BB1026806" s="38"/>
    </row>
    <row r="1026807" spans="54:54" ht="15.75" customHeight="1" x14ac:dyDescent="0.3">
      <c r="BB1026807" s="38"/>
    </row>
    <row r="1026808" spans="54:54" ht="15.75" customHeight="1" x14ac:dyDescent="0.3">
      <c r="BB1026808" s="38"/>
    </row>
    <row r="1026809" spans="54:54" ht="15.75" customHeight="1" x14ac:dyDescent="0.3">
      <c r="BB1026809" s="38"/>
    </row>
    <row r="1026810" spans="54:54" ht="15.75" customHeight="1" x14ac:dyDescent="0.3">
      <c r="BB1026810" s="38"/>
    </row>
    <row r="1026811" spans="54:54" ht="15.75" customHeight="1" x14ac:dyDescent="0.3">
      <c r="BB1026811" s="38"/>
    </row>
    <row r="1026812" spans="54:54" ht="15.75" customHeight="1" x14ac:dyDescent="0.3">
      <c r="BB1026812" s="38"/>
    </row>
    <row r="1026813" spans="54:54" ht="15.75" customHeight="1" x14ac:dyDescent="0.3">
      <c r="BB1026813" s="38"/>
    </row>
    <row r="1026814" spans="54:54" ht="15.75" customHeight="1" x14ac:dyDescent="0.3">
      <c r="BB1026814" s="38"/>
    </row>
    <row r="1026815" spans="54:54" ht="15.75" customHeight="1" x14ac:dyDescent="0.3">
      <c r="BB1026815" s="38"/>
    </row>
    <row r="1026816" spans="54:54" ht="15.75" customHeight="1" x14ac:dyDescent="0.3">
      <c r="BB1026816" s="38"/>
    </row>
    <row r="1026817" spans="54:54" ht="15.75" customHeight="1" x14ac:dyDescent="0.3">
      <c r="BB1026817" s="38"/>
    </row>
    <row r="1026818" spans="54:54" ht="15.75" customHeight="1" x14ac:dyDescent="0.3">
      <c r="BB1026818" s="38"/>
    </row>
    <row r="1026819" spans="54:54" ht="15.75" customHeight="1" x14ac:dyDescent="0.3">
      <c r="BB1026819" s="38"/>
    </row>
    <row r="1026820" spans="54:54" ht="15.75" customHeight="1" x14ac:dyDescent="0.3">
      <c r="BB1026820" s="38"/>
    </row>
    <row r="1026821" spans="54:54" ht="15.75" customHeight="1" x14ac:dyDescent="0.3">
      <c r="BB1026821" s="38"/>
    </row>
    <row r="1026822" spans="54:54" ht="15.75" customHeight="1" x14ac:dyDescent="0.3">
      <c r="BB1026822" s="38"/>
    </row>
    <row r="1026823" spans="54:54" ht="15.75" customHeight="1" x14ac:dyDescent="0.3">
      <c r="BB1026823" s="38"/>
    </row>
    <row r="1026824" spans="54:54" ht="15.75" customHeight="1" x14ac:dyDescent="0.3">
      <c r="BB1026824" s="38"/>
    </row>
    <row r="1026825" spans="54:54" ht="15.75" customHeight="1" x14ac:dyDescent="0.3">
      <c r="BB1026825" s="38"/>
    </row>
    <row r="1026826" spans="54:54" ht="15.75" customHeight="1" x14ac:dyDescent="0.3">
      <c r="BB1026826" s="38"/>
    </row>
    <row r="1026827" spans="54:54" ht="15.75" customHeight="1" x14ac:dyDescent="0.3">
      <c r="BB1026827" s="38"/>
    </row>
    <row r="1026828" spans="54:54" ht="15.75" customHeight="1" x14ac:dyDescent="0.3">
      <c r="BB1026828" s="38"/>
    </row>
    <row r="1026829" spans="54:54" ht="15.75" customHeight="1" x14ac:dyDescent="0.3">
      <c r="BB1026829" s="38"/>
    </row>
    <row r="1026830" spans="54:54" ht="15.75" customHeight="1" x14ac:dyDescent="0.3">
      <c r="BB1026830" s="38"/>
    </row>
    <row r="1026831" spans="54:54" ht="15.75" customHeight="1" x14ac:dyDescent="0.3">
      <c r="BB1026831" s="38"/>
    </row>
    <row r="1026832" spans="54:54" ht="15.75" customHeight="1" x14ac:dyDescent="0.3">
      <c r="BB1026832" s="38"/>
    </row>
    <row r="1026833" spans="54:54" ht="15.75" customHeight="1" x14ac:dyDescent="0.3">
      <c r="BB1026833" s="38"/>
    </row>
    <row r="1026834" spans="54:54" ht="15.75" customHeight="1" x14ac:dyDescent="0.3">
      <c r="BB1026834" s="38"/>
    </row>
    <row r="1026835" spans="54:54" ht="15.75" customHeight="1" x14ac:dyDescent="0.3">
      <c r="BB1026835" s="38"/>
    </row>
    <row r="1026836" spans="54:54" ht="15.75" customHeight="1" x14ac:dyDescent="0.3">
      <c r="BB1026836" s="38"/>
    </row>
    <row r="1026837" spans="54:54" ht="15.75" customHeight="1" x14ac:dyDescent="0.3">
      <c r="BB1026837" s="38"/>
    </row>
    <row r="1026838" spans="54:54" ht="15.75" customHeight="1" x14ac:dyDescent="0.3">
      <c r="BB1026838" s="38"/>
    </row>
    <row r="1026839" spans="54:54" ht="15.75" customHeight="1" x14ac:dyDescent="0.3">
      <c r="BB1026839" s="38"/>
    </row>
    <row r="1026840" spans="54:54" ht="15.75" customHeight="1" x14ac:dyDescent="0.3">
      <c r="BB1026840" s="38"/>
    </row>
    <row r="1026841" spans="54:54" ht="15.75" customHeight="1" x14ac:dyDescent="0.3">
      <c r="BB1026841" s="38"/>
    </row>
    <row r="1026842" spans="54:54" ht="15.75" customHeight="1" x14ac:dyDescent="0.3">
      <c r="BB1026842" s="38"/>
    </row>
    <row r="1026843" spans="54:54" ht="15.75" customHeight="1" x14ac:dyDescent="0.3">
      <c r="BB1026843" s="38"/>
    </row>
    <row r="1026844" spans="54:54" ht="15.75" customHeight="1" x14ac:dyDescent="0.3">
      <c r="BB1026844" s="38"/>
    </row>
    <row r="1026845" spans="54:54" ht="15.75" customHeight="1" x14ac:dyDescent="0.3">
      <c r="BB1026845" s="38"/>
    </row>
    <row r="1026846" spans="54:54" ht="15.75" customHeight="1" x14ac:dyDescent="0.3">
      <c r="BB1026846" s="38"/>
    </row>
    <row r="1026847" spans="54:54" ht="15.75" customHeight="1" x14ac:dyDescent="0.3">
      <c r="BB1026847" s="38"/>
    </row>
    <row r="1026848" spans="54:54" ht="15.75" customHeight="1" x14ac:dyDescent="0.3">
      <c r="BB1026848" s="38"/>
    </row>
    <row r="1026849" spans="54:54" ht="15.75" customHeight="1" x14ac:dyDescent="0.3">
      <c r="BB1026849" s="38"/>
    </row>
    <row r="1026850" spans="54:54" ht="15.75" customHeight="1" x14ac:dyDescent="0.3">
      <c r="BB1026850" s="38"/>
    </row>
    <row r="1026851" spans="54:54" ht="15.75" customHeight="1" x14ac:dyDescent="0.3">
      <c r="BB1026851" s="38"/>
    </row>
    <row r="1026852" spans="54:54" ht="15.75" customHeight="1" x14ac:dyDescent="0.3">
      <c r="BB1026852" s="38"/>
    </row>
    <row r="1026853" spans="54:54" ht="15.75" customHeight="1" x14ac:dyDescent="0.3">
      <c r="BB1026853" s="38"/>
    </row>
    <row r="1026854" spans="54:54" ht="15.75" customHeight="1" x14ac:dyDescent="0.3">
      <c r="BB1026854" s="38"/>
    </row>
    <row r="1026855" spans="54:54" ht="15.75" customHeight="1" x14ac:dyDescent="0.3">
      <c r="BB1026855" s="38"/>
    </row>
    <row r="1026856" spans="54:54" ht="15.75" customHeight="1" x14ac:dyDescent="0.3">
      <c r="BB1026856" s="38"/>
    </row>
    <row r="1026857" spans="54:54" ht="15.75" customHeight="1" x14ac:dyDescent="0.3">
      <c r="BB1026857" s="38"/>
    </row>
    <row r="1026858" spans="54:54" ht="15.75" customHeight="1" x14ac:dyDescent="0.3">
      <c r="BB1026858" s="38"/>
    </row>
    <row r="1026859" spans="54:54" ht="15.75" customHeight="1" x14ac:dyDescent="0.3">
      <c r="BB1026859" s="38"/>
    </row>
    <row r="1026860" spans="54:54" ht="15.75" customHeight="1" x14ac:dyDescent="0.3">
      <c r="BB1026860" s="38"/>
    </row>
    <row r="1026861" spans="54:54" ht="15.75" customHeight="1" x14ac:dyDescent="0.3">
      <c r="BB1026861" s="38"/>
    </row>
    <row r="1026862" spans="54:54" ht="15.75" customHeight="1" x14ac:dyDescent="0.3">
      <c r="BB1026862" s="38"/>
    </row>
    <row r="1026863" spans="54:54" ht="15.75" customHeight="1" x14ac:dyDescent="0.3">
      <c r="BB1026863" s="38"/>
    </row>
    <row r="1026864" spans="54:54" ht="15.75" customHeight="1" x14ac:dyDescent="0.3">
      <c r="BB1026864" s="38"/>
    </row>
    <row r="1026865" spans="54:54" ht="15.75" customHeight="1" x14ac:dyDescent="0.3">
      <c r="BB1026865" s="38"/>
    </row>
    <row r="1026866" spans="54:54" ht="15.75" customHeight="1" x14ac:dyDescent="0.3">
      <c r="BB1026866" s="38"/>
    </row>
    <row r="1026867" spans="54:54" ht="15.75" customHeight="1" x14ac:dyDescent="0.3">
      <c r="BB1026867" s="38"/>
    </row>
    <row r="1026868" spans="54:54" ht="15.75" customHeight="1" x14ac:dyDescent="0.3">
      <c r="BB1026868" s="38"/>
    </row>
    <row r="1026869" spans="54:54" ht="15.75" customHeight="1" x14ac:dyDescent="0.3">
      <c r="BB1026869" s="38"/>
    </row>
    <row r="1026870" spans="54:54" ht="15.75" customHeight="1" x14ac:dyDescent="0.3">
      <c r="BB1026870" s="38"/>
    </row>
    <row r="1026871" spans="54:54" ht="15.75" customHeight="1" x14ac:dyDescent="0.3">
      <c r="BB1026871" s="38"/>
    </row>
    <row r="1026872" spans="54:54" ht="15.75" customHeight="1" x14ac:dyDescent="0.3">
      <c r="BB1026872" s="38"/>
    </row>
    <row r="1026873" spans="54:54" ht="15.75" customHeight="1" x14ac:dyDescent="0.3">
      <c r="BB1026873" s="38"/>
    </row>
    <row r="1026874" spans="54:54" ht="15.75" customHeight="1" x14ac:dyDescent="0.3">
      <c r="BB1026874" s="38"/>
    </row>
    <row r="1026875" spans="54:54" ht="15.75" customHeight="1" x14ac:dyDescent="0.3">
      <c r="BB1026875" s="38"/>
    </row>
    <row r="1026876" spans="54:54" ht="15.75" customHeight="1" x14ac:dyDescent="0.3">
      <c r="BB1026876" s="38"/>
    </row>
    <row r="1026877" spans="54:54" ht="15.75" customHeight="1" x14ac:dyDescent="0.3">
      <c r="BB1026877" s="38"/>
    </row>
    <row r="1026878" spans="54:54" ht="15.75" customHeight="1" x14ac:dyDescent="0.3">
      <c r="BB1026878" s="38"/>
    </row>
    <row r="1026879" spans="54:54" ht="15.75" customHeight="1" x14ac:dyDescent="0.3">
      <c r="BB1026879" s="38"/>
    </row>
    <row r="1026880" spans="54:54" ht="15.75" customHeight="1" x14ac:dyDescent="0.3">
      <c r="BB1026880" s="38"/>
    </row>
    <row r="1026881" spans="54:54" ht="15.75" customHeight="1" x14ac:dyDescent="0.3">
      <c r="BB1026881" s="38"/>
    </row>
    <row r="1026882" spans="54:54" ht="15.75" customHeight="1" x14ac:dyDescent="0.3">
      <c r="BB1026882" s="38"/>
    </row>
    <row r="1026883" spans="54:54" ht="15.75" customHeight="1" x14ac:dyDescent="0.3">
      <c r="BB1026883" s="38"/>
    </row>
    <row r="1026884" spans="54:54" ht="15.75" customHeight="1" x14ac:dyDescent="0.3">
      <c r="BB1026884" s="38"/>
    </row>
    <row r="1026885" spans="54:54" ht="15.75" customHeight="1" x14ac:dyDescent="0.3">
      <c r="BB1026885" s="38"/>
    </row>
    <row r="1026886" spans="54:54" ht="15.75" customHeight="1" x14ac:dyDescent="0.3">
      <c r="BB1026886" s="38"/>
    </row>
    <row r="1026887" spans="54:54" ht="15.75" customHeight="1" x14ac:dyDescent="0.3">
      <c r="BB1026887" s="38"/>
    </row>
    <row r="1026888" spans="54:54" ht="15.75" customHeight="1" x14ac:dyDescent="0.3">
      <c r="BB1026888" s="38"/>
    </row>
    <row r="1026889" spans="54:54" ht="15.75" customHeight="1" x14ac:dyDescent="0.3">
      <c r="BB1026889" s="38"/>
    </row>
    <row r="1026890" spans="54:54" ht="15.75" customHeight="1" x14ac:dyDescent="0.3">
      <c r="BB1026890" s="38"/>
    </row>
    <row r="1026891" spans="54:54" ht="15.75" customHeight="1" x14ac:dyDescent="0.3">
      <c r="BB1026891" s="38"/>
    </row>
    <row r="1026892" spans="54:54" ht="15.75" customHeight="1" x14ac:dyDescent="0.3">
      <c r="BB1026892" s="38"/>
    </row>
    <row r="1026893" spans="54:54" ht="15.75" customHeight="1" x14ac:dyDescent="0.3">
      <c r="BB1026893" s="38"/>
    </row>
    <row r="1026894" spans="54:54" ht="15.75" customHeight="1" x14ac:dyDescent="0.3">
      <c r="BB1026894" s="38"/>
    </row>
    <row r="1026895" spans="54:54" ht="15.75" customHeight="1" x14ac:dyDescent="0.3">
      <c r="BB1026895" s="38"/>
    </row>
    <row r="1026896" spans="54:54" ht="15.75" customHeight="1" x14ac:dyDescent="0.3">
      <c r="BB1026896" s="38"/>
    </row>
    <row r="1026897" spans="54:54" ht="15.75" customHeight="1" x14ac:dyDescent="0.3">
      <c r="BB1026897" s="38"/>
    </row>
    <row r="1026898" spans="54:54" ht="15.75" customHeight="1" x14ac:dyDescent="0.3">
      <c r="BB1026898" s="38"/>
    </row>
    <row r="1026899" spans="54:54" ht="15.75" customHeight="1" x14ac:dyDescent="0.3">
      <c r="BB1026899" s="38"/>
    </row>
    <row r="1026900" spans="54:54" ht="15.75" customHeight="1" x14ac:dyDescent="0.3">
      <c r="BB1026900" s="38"/>
    </row>
    <row r="1026901" spans="54:54" ht="15.75" customHeight="1" x14ac:dyDescent="0.3">
      <c r="BB1026901" s="38"/>
    </row>
    <row r="1026902" spans="54:54" ht="15.75" customHeight="1" x14ac:dyDescent="0.3">
      <c r="BB1026902" s="38"/>
    </row>
    <row r="1026903" spans="54:54" ht="15.75" customHeight="1" x14ac:dyDescent="0.3">
      <c r="BB1026903" s="38"/>
    </row>
    <row r="1026904" spans="54:54" ht="15.75" customHeight="1" x14ac:dyDescent="0.3">
      <c r="BB1026904" s="38"/>
    </row>
    <row r="1026905" spans="54:54" ht="15.75" customHeight="1" x14ac:dyDescent="0.3">
      <c r="BB1026905" s="38"/>
    </row>
    <row r="1026906" spans="54:54" ht="15.75" customHeight="1" x14ac:dyDescent="0.3">
      <c r="BB1026906" s="38"/>
    </row>
    <row r="1026907" spans="54:54" ht="15.75" customHeight="1" x14ac:dyDescent="0.3">
      <c r="BB1026907" s="38"/>
    </row>
    <row r="1026908" spans="54:54" ht="15.75" customHeight="1" x14ac:dyDescent="0.3">
      <c r="BB1026908" s="38"/>
    </row>
    <row r="1026909" spans="54:54" ht="15.75" customHeight="1" x14ac:dyDescent="0.3">
      <c r="BB1026909" s="38"/>
    </row>
    <row r="1026910" spans="54:54" ht="15.75" customHeight="1" x14ac:dyDescent="0.3">
      <c r="BB1026910" s="38"/>
    </row>
    <row r="1026911" spans="54:54" ht="15.75" customHeight="1" x14ac:dyDescent="0.3">
      <c r="BB1026911" s="38"/>
    </row>
    <row r="1026912" spans="54:54" ht="15.75" customHeight="1" x14ac:dyDescent="0.3">
      <c r="BB1026912" s="38"/>
    </row>
    <row r="1026913" spans="54:54" ht="15.75" customHeight="1" x14ac:dyDescent="0.3">
      <c r="BB1026913" s="38"/>
    </row>
    <row r="1026914" spans="54:54" ht="15.75" customHeight="1" x14ac:dyDescent="0.3">
      <c r="BB1026914" s="38"/>
    </row>
    <row r="1026915" spans="54:54" ht="15.75" customHeight="1" x14ac:dyDescent="0.3">
      <c r="BB1026915" s="38"/>
    </row>
    <row r="1026916" spans="54:54" ht="15.75" customHeight="1" x14ac:dyDescent="0.3">
      <c r="BB1026916" s="38"/>
    </row>
    <row r="1026917" spans="54:54" ht="15.75" customHeight="1" x14ac:dyDescent="0.3">
      <c r="BB1026917" s="38"/>
    </row>
    <row r="1026918" spans="54:54" ht="15.75" customHeight="1" x14ac:dyDescent="0.3">
      <c r="BB1026918" s="38"/>
    </row>
    <row r="1026919" spans="54:54" ht="15.75" customHeight="1" x14ac:dyDescent="0.3">
      <c r="BB1026919" s="38"/>
    </row>
    <row r="1026920" spans="54:54" ht="15.75" customHeight="1" x14ac:dyDescent="0.3">
      <c r="BB1026920" s="38"/>
    </row>
    <row r="1026921" spans="54:54" ht="15.75" customHeight="1" x14ac:dyDescent="0.3">
      <c r="BB1026921" s="38"/>
    </row>
    <row r="1026922" spans="54:54" ht="15.75" customHeight="1" x14ac:dyDescent="0.3">
      <c r="BB1026922" s="38"/>
    </row>
    <row r="1026923" spans="54:54" ht="15.75" customHeight="1" x14ac:dyDescent="0.3">
      <c r="BB1026923" s="38"/>
    </row>
    <row r="1026924" spans="54:54" ht="15.75" customHeight="1" x14ac:dyDescent="0.3">
      <c r="BB1026924" s="38"/>
    </row>
    <row r="1026925" spans="54:54" ht="15.75" customHeight="1" x14ac:dyDescent="0.3">
      <c r="BB1026925" s="38"/>
    </row>
    <row r="1026926" spans="54:54" ht="15.75" customHeight="1" x14ac:dyDescent="0.3">
      <c r="BB1026926" s="38"/>
    </row>
    <row r="1026927" spans="54:54" ht="15.75" customHeight="1" x14ac:dyDescent="0.3">
      <c r="BB1026927" s="38"/>
    </row>
    <row r="1026928" spans="54:54" ht="15.75" customHeight="1" x14ac:dyDescent="0.3">
      <c r="BB1026928" s="38"/>
    </row>
    <row r="1026929" spans="54:54" ht="15.75" customHeight="1" x14ac:dyDescent="0.3">
      <c r="BB1026929" s="38"/>
    </row>
    <row r="1026930" spans="54:54" ht="15.75" customHeight="1" x14ac:dyDescent="0.3">
      <c r="BB1026930" s="38"/>
    </row>
    <row r="1026931" spans="54:54" ht="15.75" customHeight="1" x14ac:dyDescent="0.3">
      <c r="BB1026931" s="38"/>
    </row>
    <row r="1026932" spans="54:54" ht="15.75" customHeight="1" x14ac:dyDescent="0.3">
      <c r="BB1026932" s="38"/>
    </row>
    <row r="1026933" spans="54:54" ht="15.75" customHeight="1" x14ac:dyDescent="0.3">
      <c r="BB1026933" s="38"/>
    </row>
    <row r="1026934" spans="54:54" ht="15.75" customHeight="1" x14ac:dyDescent="0.3">
      <c r="BB1026934" s="38"/>
    </row>
    <row r="1026935" spans="54:54" ht="15.75" customHeight="1" x14ac:dyDescent="0.3">
      <c r="BB1026935" s="38"/>
    </row>
    <row r="1026936" spans="54:54" ht="15.75" customHeight="1" x14ac:dyDescent="0.3">
      <c r="BB1026936" s="38"/>
    </row>
    <row r="1026937" spans="54:54" ht="15.75" customHeight="1" x14ac:dyDescent="0.3">
      <c r="BB1026937" s="38"/>
    </row>
    <row r="1026938" spans="54:54" ht="15.75" customHeight="1" x14ac:dyDescent="0.3">
      <c r="BB1026938" s="38"/>
    </row>
    <row r="1026939" spans="54:54" ht="15.75" customHeight="1" x14ac:dyDescent="0.3">
      <c r="BB1026939" s="38"/>
    </row>
    <row r="1026940" spans="54:54" ht="15.75" customHeight="1" x14ac:dyDescent="0.3">
      <c r="BB1026940" s="38"/>
    </row>
    <row r="1026941" spans="54:54" ht="15.75" customHeight="1" x14ac:dyDescent="0.3">
      <c r="BB1026941" s="38"/>
    </row>
    <row r="1026942" spans="54:54" ht="15.75" customHeight="1" x14ac:dyDescent="0.3">
      <c r="BB1026942" s="38"/>
    </row>
    <row r="1026943" spans="54:54" ht="15.75" customHeight="1" x14ac:dyDescent="0.3">
      <c r="BB1026943" s="38"/>
    </row>
    <row r="1026944" spans="54:54" ht="15.75" customHeight="1" x14ac:dyDescent="0.3">
      <c r="BB1026944" s="38"/>
    </row>
    <row r="1026945" spans="54:54" ht="15.75" customHeight="1" x14ac:dyDescent="0.3">
      <c r="BB1026945" s="38"/>
    </row>
    <row r="1026946" spans="54:54" ht="15.75" customHeight="1" x14ac:dyDescent="0.3">
      <c r="BB1026946" s="38"/>
    </row>
    <row r="1026947" spans="54:54" ht="15.75" customHeight="1" x14ac:dyDescent="0.3">
      <c r="BB1026947" s="38"/>
    </row>
    <row r="1026948" spans="54:54" ht="15.75" customHeight="1" x14ac:dyDescent="0.3">
      <c r="BB1026948" s="38"/>
    </row>
    <row r="1026949" spans="54:54" ht="15.75" customHeight="1" x14ac:dyDescent="0.3">
      <c r="BB1026949" s="38"/>
    </row>
    <row r="1026950" spans="54:54" ht="15.75" customHeight="1" x14ac:dyDescent="0.3">
      <c r="BB1026950" s="38"/>
    </row>
    <row r="1026951" spans="54:54" ht="15.75" customHeight="1" x14ac:dyDescent="0.3">
      <c r="BB1026951" s="38"/>
    </row>
    <row r="1026952" spans="54:54" ht="15.75" customHeight="1" x14ac:dyDescent="0.3">
      <c r="BB1026952" s="38"/>
    </row>
    <row r="1026953" spans="54:54" ht="15.75" customHeight="1" x14ac:dyDescent="0.3">
      <c r="BB1026953" s="38"/>
    </row>
    <row r="1026954" spans="54:54" ht="15.75" customHeight="1" x14ac:dyDescent="0.3">
      <c r="BB1026954" s="38"/>
    </row>
    <row r="1026955" spans="54:54" ht="15.75" customHeight="1" x14ac:dyDescent="0.3">
      <c r="BB1026955" s="38"/>
    </row>
    <row r="1026956" spans="54:54" ht="15.75" customHeight="1" x14ac:dyDescent="0.3">
      <c r="BB1026956" s="38"/>
    </row>
    <row r="1026957" spans="54:54" ht="15.75" customHeight="1" x14ac:dyDescent="0.3">
      <c r="BB1026957" s="38"/>
    </row>
    <row r="1026958" spans="54:54" ht="15.75" customHeight="1" x14ac:dyDescent="0.3">
      <c r="BB1026958" s="38"/>
    </row>
    <row r="1026959" spans="54:54" ht="15.75" customHeight="1" x14ac:dyDescent="0.3">
      <c r="BB1026959" s="38"/>
    </row>
    <row r="1026960" spans="54:54" ht="15.75" customHeight="1" x14ac:dyDescent="0.3">
      <c r="BB1026960" s="38"/>
    </row>
    <row r="1026961" spans="54:54" ht="15.75" customHeight="1" x14ac:dyDescent="0.3">
      <c r="BB1026961" s="38"/>
    </row>
    <row r="1026962" spans="54:54" ht="15.75" customHeight="1" x14ac:dyDescent="0.3">
      <c r="BB1026962" s="38"/>
    </row>
    <row r="1026963" spans="54:54" ht="15.75" customHeight="1" x14ac:dyDescent="0.3">
      <c r="BB1026963" s="38"/>
    </row>
    <row r="1026964" spans="54:54" ht="15.75" customHeight="1" x14ac:dyDescent="0.3">
      <c r="BB1026964" s="38"/>
    </row>
    <row r="1026965" spans="54:54" ht="15.75" customHeight="1" x14ac:dyDescent="0.3">
      <c r="BB1026965" s="38"/>
    </row>
    <row r="1026966" spans="54:54" ht="15.75" customHeight="1" x14ac:dyDescent="0.3">
      <c r="BB1026966" s="38"/>
    </row>
    <row r="1026967" spans="54:54" ht="15.75" customHeight="1" x14ac:dyDescent="0.3">
      <c r="BB1026967" s="38"/>
    </row>
    <row r="1026968" spans="54:54" ht="15.75" customHeight="1" x14ac:dyDescent="0.3">
      <c r="BB1026968" s="38"/>
    </row>
    <row r="1026969" spans="54:54" ht="15.75" customHeight="1" x14ac:dyDescent="0.3">
      <c r="BB1026969" s="38"/>
    </row>
    <row r="1026970" spans="54:54" ht="15.75" customHeight="1" x14ac:dyDescent="0.3">
      <c r="BB1026970" s="38"/>
    </row>
    <row r="1026971" spans="54:54" ht="15.75" customHeight="1" x14ac:dyDescent="0.3">
      <c r="BB1026971" s="38"/>
    </row>
    <row r="1026972" spans="54:54" ht="15.75" customHeight="1" x14ac:dyDescent="0.3">
      <c r="BB1026972" s="38"/>
    </row>
    <row r="1026973" spans="54:54" ht="15.75" customHeight="1" x14ac:dyDescent="0.3">
      <c r="BB1026973" s="38"/>
    </row>
    <row r="1026974" spans="54:54" ht="15.75" customHeight="1" x14ac:dyDescent="0.3">
      <c r="BB1026974" s="38"/>
    </row>
    <row r="1026975" spans="54:54" ht="15.75" customHeight="1" x14ac:dyDescent="0.3">
      <c r="BB1026975" s="38"/>
    </row>
    <row r="1026976" spans="54:54" ht="15.75" customHeight="1" x14ac:dyDescent="0.3">
      <c r="BB1026976" s="38"/>
    </row>
    <row r="1026977" spans="54:54" ht="15.75" customHeight="1" x14ac:dyDescent="0.3">
      <c r="BB1026977" s="38"/>
    </row>
    <row r="1026978" spans="54:54" ht="15.75" customHeight="1" x14ac:dyDescent="0.3">
      <c r="BB1026978" s="38"/>
    </row>
    <row r="1026979" spans="54:54" ht="15.75" customHeight="1" x14ac:dyDescent="0.3">
      <c r="BB1026979" s="38"/>
    </row>
    <row r="1026980" spans="54:54" ht="15.75" customHeight="1" x14ac:dyDescent="0.3">
      <c r="BB1026980" s="38"/>
    </row>
    <row r="1026981" spans="54:54" ht="15.75" customHeight="1" x14ac:dyDescent="0.3">
      <c r="BB1026981" s="38"/>
    </row>
    <row r="1026982" spans="54:54" ht="15.75" customHeight="1" x14ac:dyDescent="0.3">
      <c r="BB1026982" s="38"/>
    </row>
    <row r="1026983" spans="54:54" ht="15.75" customHeight="1" x14ac:dyDescent="0.3">
      <c r="BB1026983" s="38"/>
    </row>
    <row r="1026984" spans="54:54" ht="15.75" customHeight="1" x14ac:dyDescent="0.3">
      <c r="BB1026984" s="38"/>
    </row>
    <row r="1026985" spans="54:54" ht="15.75" customHeight="1" x14ac:dyDescent="0.3">
      <c r="BB1026985" s="38"/>
    </row>
    <row r="1026986" spans="54:54" ht="15.75" customHeight="1" x14ac:dyDescent="0.3">
      <c r="BB1026986" s="38"/>
    </row>
    <row r="1026987" spans="54:54" ht="15.75" customHeight="1" x14ac:dyDescent="0.3">
      <c r="BB1026987" s="38"/>
    </row>
    <row r="1026988" spans="54:54" ht="15.75" customHeight="1" x14ac:dyDescent="0.3">
      <c r="BB1026988" s="38"/>
    </row>
    <row r="1026989" spans="54:54" ht="15.75" customHeight="1" x14ac:dyDescent="0.3">
      <c r="BB1026989" s="38"/>
    </row>
    <row r="1026990" spans="54:54" ht="15.75" customHeight="1" x14ac:dyDescent="0.3">
      <c r="BB1026990" s="38"/>
    </row>
    <row r="1026991" spans="54:54" ht="15.75" customHeight="1" x14ac:dyDescent="0.3">
      <c r="BB1026991" s="38"/>
    </row>
    <row r="1026992" spans="54:54" ht="15.75" customHeight="1" x14ac:dyDescent="0.3">
      <c r="BB1026992" s="38"/>
    </row>
    <row r="1026993" spans="54:54" ht="15.75" customHeight="1" x14ac:dyDescent="0.3">
      <c r="BB1026993" s="38"/>
    </row>
    <row r="1026994" spans="54:54" ht="15.75" customHeight="1" x14ac:dyDescent="0.3">
      <c r="BB1026994" s="38"/>
    </row>
    <row r="1026995" spans="54:54" ht="15.75" customHeight="1" x14ac:dyDescent="0.3">
      <c r="BB1026995" s="38"/>
    </row>
    <row r="1026996" spans="54:54" ht="15.75" customHeight="1" x14ac:dyDescent="0.3">
      <c r="BB1026996" s="38"/>
    </row>
    <row r="1026997" spans="54:54" ht="15.75" customHeight="1" x14ac:dyDescent="0.3">
      <c r="BB1026997" s="38"/>
    </row>
    <row r="1026998" spans="54:54" ht="15.75" customHeight="1" x14ac:dyDescent="0.3">
      <c r="BB1026998" s="38"/>
    </row>
    <row r="1026999" spans="54:54" ht="15.75" customHeight="1" x14ac:dyDescent="0.3">
      <c r="BB1026999" s="38"/>
    </row>
    <row r="1027000" spans="54:54" ht="15.75" customHeight="1" x14ac:dyDescent="0.3">
      <c r="BB1027000" s="38"/>
    </row>
    <row r="1027001" spans="54:54" ht="15.75" customHeight="1" x14ac:dyDescent="0.3">
      <c r="BB1027001" s="38"/>
    </row>
    <row r="1027002" spans="54:54" ht="15.75" customHeight="1" x14ac:dyDescent="0.3">
      <c r="BB1027002" s="38"/>
    </row>
    <row r="1027003" spans="54:54" ht="15.75" customHeight="1" x14ac:dyDescent="0.3">
      <c r="BB1027003" s="38"/>
    </row>
    <row r="1027004" spans="54:54" ht="15.75" customHeight="1" x14ac:dyDescent="0.3">
      <c r="BB1027004" s="38"/>
    </row>
    <row r="1027005" spans="54:54" ht="15.75" customHeight="1" x14ac:dyDescent="0.3">
      <c r="BB1027005" s="38"/>
    </row>
    <row r="1027006" spans="54:54" ht="15.75" customHeight="1" x14ac:dyDescent="0.3">
      <c r="BB1027006" s="38"/>
    </row>
    <row r="1027007" spans="54:54" ht="15.75" customHeight="1" x14ac:dyDescent="0.3">
      <c r="BB1027007" s="38"/>
    </row>
    <row r="1027008" spans="54:54" ht="15.75" customHeight="1" x14ac:dyDescent="0.3">
      <c r="BB1027008" s="38"/>
    </row>
    <row r="1027009" spans="54:54" ht="15.75" customHeight="1" x14ac:dyDescent="0.3">
      <c r="BB1027009" s="38"/>
    </row>
    <row r="1027010" spans="54:54" ht="15.75" customHeight="1" x14ac:dyDescent="0.3">
      <c r="BB1027010" s="38"/>
    </row>
    <row r="1027011" spans="54:54" ht="15.75" customHeight="1" x14ac:dyDescent="0.3">
      <c r="BB1027011" s="38"/>
    </row>
    <row r="1027012" spans="54:54" ht="15.75" customHeight="1" x14ac:dyDescent="0.3">
      <c r="BB1027012" s="38"/>
    </row>
    <row r="1027013" spans="54:54" ht="15.75" customHeight="1" x14ac:dyDescent="0.3">
      <c r="BB1027013" s="38"/>
    </row>
    <row r="1027014" spans="54:54" ht="15.75" customHeight="1" x14ac:dyDescent="0.3">
      <c r="BB1027014" s="38"/>
    </row>
    <row r="1027015" spans="54:54" ht="15.75" customHeight="1" x14ac:dyDescent="0.3">
      <c r="BB1027015" s="38"/>
    </row>
    <row r="1027016" spans="54:54" ht="15.75" customHeight="1" x14ac:dyDescent="0.3">
      <c r="BB1027016" s="38"/>
    </row>
    <row r="1027017" spans="54:54" ht="15.75" customHeight="1" x14ac:dyDescent="0.3">
      <c r="BB1027017" s="38"/>
    </row>
    <row r="1027018" spans="54:54" ht="15.75" customHeight="1" x14ac:dyDescent="0.3">
      <c r="BB1027018" s="38"/>
    </row>
    <row r="1027019" spans="54:54" ht="15.75" customHeight="1" x14ac:dyDescent="0.3">
      <c r="BB1027019" s="38"/>
    </row>
    <row r="1027020" spans="54:54" ht="15.75" customHeight="1" x14ac:dyDescent="0.3">
      <c r="BB1027020" s="38"/>
    </row>
    <row r="1027021" spans="54:54" ht="15.75" customHeight="1" x14ac:dyDescent="0.3">
      <c r="BB1027021" s="38"/>
    </row>
    <row r="1027022" spans="54:54" ht="15.75" customHeight="1" x14ac:dyDescent="0.3">
      <c r="BB1027022" s="38"/>
    </row>
    <row r="1027023" spans="54:54" ht="15.75" customHeight="1" x14ac:dyDescent="0.3">
      <c r="BB1027023" s="38"/>
    </row>
    <row r="1027024" spans="54:54" ht="15.75" customHeight="1" x14ac:dyDescent="0.3">
      <c r="BB1027024" s="38"/>
    </row>
    <row r="1027025" spans="54:54" ht="15.75" customHeight="1" x14ac:dyDescent="0.3">
      <c r="BB1027025" s="38"/>
    </row>
    <row r="1027026" spans="54:54" ht="15.75" customHeight="1" x14ac:dyDescent="0.3">
      <c r="BB1027026" s="38"/>
    </row>
    <row r="1027027" spans="54:54" ht="15.75" customHeight="1" x14ac:dyDescent="0.3">
      <c r="BB1027027" s="38"/>
    </row>
    <row r="1027028" spans="54:54" ht="15.75" customHeight="1" x14ac:dyDescent="0.3">
      <c r="BB1027028" s="38"/>
    </row>
    <row r="1027029" spans="54:54" ht="15.75" customHeight="1" x14ac:dyDescent="0.3">
      <c r="BB1027029" s="38"/>
    </row>
    <row r="1027030" spans="54:54" ht="15.75" customHeight="1" x14ac:dyDescent="0.3">
      <c r="BB1027030" s="38"/>
    </row>
    <row r="1027031" spans="54:54" ht="15.75" customHeight="1" x14ac:dyDescent="0.3">
      <c r="BB1027031" s="38"/>
    </row>
    <row r="1027032" spans="54:54" ht="15.75" customHeight="1" x14ac:dyDescent="0.3">
      <c r="BB1027032" s="38"/>
    </row>
    <row r="1027033" spans="54:54" ht="15.75" customHeight="1" x14ac:dyDescent="0.3">
      <c r="BB1027033" s="38"/>
    </row>
    <row r="1027034" spans="54:54" ht="15.75" customHeight="1" x14ac:dyDescent="0.3">
      <c r="BB1027034" s="38"/>
    </row>
    <row r="1027035" spans="54:54" ht="15.75" customHeight="1" x14ac:dyDescent="0.3">
      <c r="BB1027035" s="38"/>
    </row>
    <row r="1027036" spans="54:54" ht="15.75" customHeight="1" x14ac:dyDescent="0.3">
      <c r="BB1027036" s="38"/>
    </row>
    <row r="1027037" spans="54:54" ht="15.75" customHeight="1" x14ac:dyDescent="0.3">
      <c r="BB1027037" s="38"/>
    </row>
    <row r="1027038" spans="54:54" ht="15.75" customHeight="1" x14ac:dyDescent="0.3">
      <c r="BB1027038" s="38"/>
    </row>
    <row r="1027039" spans="54:54" ht="15.75" customHeight="1" x14ac:dyDescent="0.3">
      <c r="BB1027039" s="38"/>
    </row>
    <row r="1027040" spans="54:54" ht="15.75" customHeight="1" x14ac:dyDescent="0.3">
      <c r="BB1027040" s="38"/>
    </row>
    <row r="1027041" spans="54:54" ht="15.75" customHeight="1" x14ac:dyDescent="0.3">
      <c r="BB1027041" s="38"/>
    </row>
    <row r="1027042" spans="54:54" ht="15.75" customHeight="1" x14ac:dyDescent="0.3">
      <c r="BB1027042" s="38"/>
    </row>
    <row r="1027043" spans="54:54" ht="15.75" customHeight="1" x14ac:dyDescent="0.3">
      <c r="BB1027043" s="38"/>
    </row>
    <row r="1027044" spans="54:54" ht="15.75" customHeight="1" x14ac:dyDescent="0.3">
      <c r="BB1027044" s="38"/>
    </row>
    <row r="1027045" spans="54:54" ht="15.75" customHeight="1" x14ac:dyDescent="0.3">
      <c r="BB1027045" s="38"/>
    </row>
    <row r="1027046" spans="54:54" ht="15.75" customHeight="1" x14ac:dyDescent="0.3">
      <c r="BB1027046" s="38"/>
    </row>
    <row r="1027047" spans="54:54" ht="15.75" customHeight="1" x14ac:dyDescent="0.3">
      <c r="BB1027047" s="38"/>
    </row>
    <row r="1027048" spans="54:54" ht="15.75" customHeight="1" x14ac:dyDescent="0.3">
      <c r="BB1027048" s="38"/>
    </row>
    <row r="1027049" spans="54:54" ht="15.75" customHeight="1" x14ac:dyDescent="0.3">
      <c r="BB1027049" s="38"/>
    </row>
    <row r="1027050" spans="54:54" ht="15.75" customHeight="1" x14ac:dyDescent="0.3">
      <c r="BB1027050" s="38"/>
    </row>
    <row r="1027051" spans="54:54" ht="15.75" customHeight="1" x14ac:dyDescent="0.3">
      <c r="BB1027051" s="38"/>
    </row>
    <row r="1027052" spans="54:54" ht="15.75" customHeight="1" x14ac:dyDescent="0.3">
      <c r="BB1027052" s="38"/>
    </row>
    <row r="1027053" spans="54:54" ht="15.75" customHeight="1" x14ac:dyDescent="0.3">
      <c r="BB1027053" s="38"/>
    </row>
    <row r="1027054" spans="54:54" ht="15.75" customHeight="1" x14ac:dyDescent="0.3">
      <c r="BB1027054" s="38"/>
    </row>
    <row r="1027055" spans="54:54" ht="15.75" customHeight="1" x14ac:dyDescent="0.3">
      <c r="BB1027055" s="38"/>
    </row>
    <row r="1027056" spans="54:54" ht="15.75" customHeight="1" x14ac:dyDescent="0.3">
      <c r="BB1027056" s="38"/>
    </row>
    <row r="1027057" spans="54:54" ht="15.75" customHeight="1" x14ac:dyDescent="0.3">
      <c r="BB1027057" s="38"/>
    </row>
    <row r="1027058" spans="54:54" ht="15.75" customHeight="1" x14ac:dyDescent="0.3">
      <c r="BB1027058" s="38"/>
    </row>
    <row r="1027059" spans="54:54" ht="15.75" customHeight="1" x14ac:dyDescent="0.3">
      <c r="BB1027059" s="38"/>
    </row>
    <row r="1027060" spans="54:54" ht="15.75" customHeight="1" x14ac:dyDescent="0.3">
      <c r="BB1027060" s="38"/>
    </row>
    <row r="1027061" spans="54:54" ht="15.75" customHeight="1" x14ac:dyDescent="0.3">
      <c r="BB1027061" s="38"/>
    </row>
    <row r="1027062" spans="54:54" ht="15.75" customHeight="1" x14ac:dyDescent="0.3">
      <c r="BB1027062" s="38"/>
    </row>
    <row r="1027063" spans="54:54" ht="15.75" customHeight="1" x14ac:dyDescent="0.3">
      <c r="BB1027063" s="38"/>
    </row>
    <row r="1027064" spans="54:54" ht="15.75" customHeight="1" x14ac:dyDescent="0.3">
      <c r="BB1027064" s="38"/>
    </row>
    <row r="1027065" spans="54:54" ht="15.75" customHeight="1" x14ac:dyDescent="0.3">
      <c r="BB1027065" s="38"/>
    </row>
    <row r="1027066" spans="54:54" ht="15.75" customHeight="1" x14ac:dyDescent="0.3">
      <c r="BB1027066" s="38"/>
    </row>
    <row r="1027067" spans="54:54" ht="15.75" customHeight="1" x14ac:dyDescent="0.3">
      <c r="BB1027067" s="38"/>
    </row>
    <row r="1027068" spans="54:54" ht="15.75" customHeight="1" x14ac:dyDescent="0.3">
      <c r="BB1027068" s="38"/>
    </row>
    <row r="1027069" spans="54:54" ht="15.75" customHeight="1" x14ac:dyDescent="0.3">
      <c r="BB1027069" s="38"/>
    </row>
    <row r="1027070" spans="54:54" ht="15.75" customHeight="1" x14ac:dyDescent="0.3">
      <c r="BB1027070" s="38"/>
    </row>
    <row r="1027071" spans="54:54" ht="15.75" customHeight="1" x14ac:dyDescent="0.3">
      <c r="BB1027071" s="38"/>
    </row>
    <row r="1027072" spans="54:54" ht="15.75" customHeight="1" x14ac:dyDescent="0.3">
      <c r="BB1027072" s="38"/>
    </row>
    <row r="1027073" spans="54:54" ht="15.75" customHeight="1" x14ac:dyDescent="0.3">
      <c r="BB1027073" s="38"/>
    </row>
    <row r="1027074" spans="54:54" ht="15.75" customHeight="1" x14ac:dyDescent="0.3">
      <c r="BB1027074" s="38"/>
    </row>
    <row r="1027075" spans="54:54" ht="15.75" customHeight="1" x14ac:dyDescent="0.3">
      <c r="BB1027075" s="38"/>
    </row>
    <row r="1027076" spans="54:54" ht="15.75" customHeight="1" x14ac:dyDescent="0.3">
      <c r="BB1027076" s="38"/>
    </row>
    <row r="1027077" spans="54:54" ht="15.75" customHeight="1" x14ac:dyDescent="0.3">
      <c r="BB1027077" s="38"/>
    </row>
    <row r="1027078" spans="54:54" ht="15.75" customHeight="1" x14ac:dyDescent="0.3">
      <c r="BB1027078" s="38"/>
    </row>
    <row r="1027079" spans="54:54" ht="15.75" customHeight="1" x14ac:dyDescent="0.3">
      <c r="BB1027079" s="38"/>
    </row>
    <row r="1027080" spans="54:54" ht="15.75" customHeight="1" x14ac:dyDescent="0.3">
      <c r="BB1027080" s="38"/>
    </row>
    <row r="1027081" spans="54:54" ht="15.75" customHeight="1" x14ac:dyDescent="0.3">
      <c r="BB1027081" s="38"/>
    </row>
    <row r="1027082" spans="54:54" ht="15.75" customHeight="1" x14ac:dyDescent="0.3">
      <c r="BB1027082" s="38"/>
    </row>
    <row r="1027083" spans="54:54" ht="15.75" customHeight="1" x14ac:dyDescent="0.3">
      <c r="BB1027083" s="38"/>
    </row>
    <row r="1027084" spans="54:54" ht="15.75" customHeight="1" x14ac:dyDescent="0.3">
      <c r="BB1027084" s="38"/>
    </row>
    <row r="1027085" spans="54:54" ht="15.75" customHeight="1" x14ac:dyDescent="0.3">
      <c r="BB1027085" s="38"/>
    </row>
    <row r="1027086" spans="54:54" ht="15.75" customHeight="1" x14ac:dyDescent="0.3">
      <c r="BB1027086" s="38"/>
    </row>
    <row r="1027087" spans="54:54" ht="15.75" customHeight="1" x14ac:dyDescent="0.3">
      <c r="BB1027087" s="38"/>
    </row>
    <row r="1027088" spans="54:54" ht="15.75" customHeight="1" x14ac:dyDescent="0.3">
      <c r="BB1027088" s="38"/>
    </row>
    <row r="1027089" spans="54:54" ht="15.75" customHeight="1" x14ac:dyDescent="0.3">
      <c r="BB1027089" s="38"/>
    </row>
    <row r="1027090" spans="54:54" ht="15.75" customHeight="1" x14ac:dyDescent="0.3">
      <c r="BB1027090" s="38"/>
    </row>
    <row r="1027091" spans="54:54" ht="15.75" customHeight="1" x14ac:dyDescent="0.3">
      <c r="BB1027091" s="38"/>
    </row>
    <row r="1027092" spans="54:54" ht="15.75" customHeight="1" x14ac:dyDescent="0.3">
      <c r="BB1027092" s="38"/>
    </row>
    <row r="1027093" spans="54:54" ht="15.75" customHeight="1" x14ac:dyDescent="0.3">
      <c r="BB1027093" s="38"/>
    </row>
    <row r="1027094" spans="54:54" ht="15.75" customHeight="1" x14ac:dyDescent="0.3">
      <c r="BB1027094" s="38"/>
    </row>
    <row r="1027095" spans="54:54" ht="15.75" customHeight="1" x14ac:dyDescent="0.3">
      <c r="BB1027095" s="38"/>
    </row>
    <row r="1027096" spans="54:54" ht="15.75" customHeight="1" x14ac:dyDescent="0.3">
      <c r="BB1027096" s="38"/>
    </row>
    <row r="1027097" spans="54:54" ht="15.75" customHeight="1" x14ac:dyDescent="0.3">
      <c r="BB1027097" s="38"/>
    </row>
    <row r="1027098" spans="54:54" ht="15.75" customHeight="1" x14ac:dyDescent="0.3">
      <c r="BB1027098" s="38"/>
    </row>
    <row r="1027099" spans="54:54" ht="15.75" customHeight="1" x14ac:dyDescent="0.3">
      <c r="BB1027099" s="38"/>
    </row>
    <row r="1027100" spans="54:54" ht="15.75" customHeight="1" x14ac:dyDescent="0.3">
      <c r="BB1027100" s="38"/>
    </row>
    <row r="1027101" spans="54:54" ht="15.75" customHeight="1" x14ac:dyDescent="0.3">
      <c r="BB1027101" s="38"/>
    </row>
    <row r="1027102" spans="54:54" ht="15.75" customHeight="1" x14ac:dyDescent="0.3">
      <c r="BB1027102" s="38"/>
    </row>
    <row r="1027103" spans="54:54" ht="15.75" customHeight="1" x14ac:dyDescent="0.3">
      <c r="BB1027103" s="38"/>
    </row>
    <row r="1027104" spans="54:54" ht="15.75" customHeight="1" x14ac:dyDescent="0.3">
      <c r="BB1027104" s="38"/>
    </row>
    <row r="1027105" spans="54:54" ht="15.75" customHeight="1" x14ac:dyDescent="0.3">
      <c r="BB1027105" s="38"/>
    </row>
    <row r="1027106" spans="54:54" ht="15.75" customHeight="1" x14ac:dyDescent="0.3">
      <c r="BB1027106" s="38"/>
    </row>
    <row r="1027107" spans="54:54" ht="15.75" customHeight="1" x14ac:dyDescent="0.3">
      <c r="BB1027107" s="38"/>
    </row>
    <row r="1027108" spans="54:54" ht="15.75" customHeight="1" x14ac:dyDescent="0.3">
      <c r="BB1027108" s="38"/>
    </row>
    <row r="1027109" spans="54:54" ht="15.75" customHeight="1" x14ac:dyDescent="0.3">
      <c r="BB1027109" s="38"/>
    </row>
    <row r="1027110" spans="54:54" ht="15.75" customHeight="1" x14ac:dyDescent="0.3">
      <c r="BB1027110" s="38"/>
    </row>
    <row r="1027111" spans="54:54" ht="15.75" customHeight="1" x14ac:dyDescent="0.3">
      <c r="BB1027111" s="38"/>
    </row>
    <row r="1027112" spans="54:54" ht="15.75" customHeight="1" x14ac:dyDescent="0.3">
      <c r="BB1027112" s="38"/>
    </row>
    <row r="1027113" spans="54:54" ht="15.75" customHeight="1" x14ac:dyDescent="0.3">
      <c r="BB1027113" s="38"/>
    </row>
    <row r="1027114" spans="54:54" ht="15.75" customHeight="1" x14ac:dyDescent="0.3">
      <c r="BB1027114" s="38"/>
    </row>
    <row r="1027115" spans="54:54" ht="15.75" customHeight="1" x14ac:dyDescent="0.3">
      <c r="BB1027115" s="38"/>
    </row>
    <row r="1027116" spans="54:54" ht="15.75" customHeight="1" x14ac:dyDescent="0.3">
      <c r="BB1027116" s="38"/>
    </row>
    <row r="1027117" spans="54:54" ht="15.75" customHeight="1" x14ac:dyDescent="0.3">
      <c r="BB1027117" s="38"/>
    </row>
    <row r="1027118" spans="54:54" ht="15.75" customHeight="1" x14ac:dyDescent="0.3">
      <c r="BB1027118" s="38"/>
    </row>
    <row r="1027119" spans="54:54" ht="15.75" customHeight="1" x14ac:dyDescent="0.3">
      <c r="BB1027119" s="38"/>
    </row>
    <row r="1027120" spans="54:54" ht="15.75" customHeight="1" x14ac:dyDescent="0.3">
      <c r="BB1027120" s="38"/>
    </row>
    <row r="1027121" spans="54:54" ht="15.75" customHeight="1" x14ac:dyDescent="0.3">
      <c r="BB1027121" s="38"/>
    </row>
    <row r="1027122" spans="54:54" ht="15.75" customHeight="1" x14ac:dyDescent="0.3">
      <c r="BB1027122" s="38"/>
    </row>
    <row r="1027123" spans="54:54" ht="15.75" customHeight="1" x14ac:dyDescent="0.3">
      <c r="BB1027123" s="38"/>
    </row>
    <row r="1027124" spans="54:54" ht="15.75" customHeight="1" x14ac:dyDescent="0.3">
      <c r="BB1027124" s="38"/>
    </row>
    <row r="1027125" spans="54:54" ht="15.75" customHeight="1" x14ac:dyDescent="0.3">
      <c r="BB1027125" s="38"/>
    </row>
    <row r="1027126" spans="54:54" ht="15.75" customHeight="1" x14ac:dyDescent="0.3">
      <c r="BB1027126" s="38"/>
    </row>
    <row r="1027127" spans="54:54" ht="15.75" customHeight="1" x14ac:dyDescent="0.3">
      <c r="BB1027127" s="38"/>
    </row>
    <row r="1027128" spans="54:54" ht="15.75" customHeight="1" x14ac:dyDescent="0.3">
      <c r="BB1027128" s="38"/>
    </row>
    <row r="1027129" spans="54:54" ht="15.75" customHeight="1" x14ac:dyDescent="0.3">
      <c r="BB1027129" s="38"/>
    </row>
    <row r="1027130" spans="54:54" ht="15.75" customHeight="1" x14ac:dyDescent="0.3">
      <c r="BB1027130" s="38"/>
    </row>
    <row r="1027131" spans="54:54" ht="15.75" customHeight="1" x14ac:dyDescent="0.3">
      <c r="BB1027131" s="38"/>
    </row>
    <row r="1027132" spans="54:54" ht="15.75" customHeight="1" x14ac:dyDescent="0.3">
      <c r="BB1027132" s="38"/>
    </row>
    <row r="1027133" spans="54:54" ht="15.75" customHeight="1" x14ac:dyDescent="0.3">
      <c r="BB1027133" s="38"/>
    </row>
    <row r="1027134" spans="54:54" ht="15.75" customHeight="1" x14ac:dyDescent="0.3">
      <c r="BB1027134" s="38"/>
    </row>
    <row r="1027135" spans="54:54" ht="15.75" customHeight="1" x14ac:dyDescent="0.3">
      <c r="BB1027135" s="38"/>
    </row>
    <row r="1027136" spans="54:54" ht="15.75" customHeight="1" x14ac:dyDescent="0.3">
      <c r="BB1027136" s="38"/>
    </row>
    <row r="1027137" spans="54:54" ht="15.75" customHeight="1" x14ac:dyDescent="0.3">
      <c r="BB1027137" s="38"/>
    </row>
    <row r="1027138" spans="54:54" ht="15.75" customHeight="1" x14ac:dyDescent="0.3">
      <c r="BB1027138" s="38"/>
    </row>
    <row r="1027139" spans="54:54" ht="15.75" customHeight="1" x14ac:dyDescent="0.3">
      <c r="BB1027139" s="38"/>
    </row>
    <row r="1027140" spans="54:54" ht="15.75" customHeight="1" x14ac:dyDescent="0.3">
      <c r="BB1027140" s="38"/>
    </row>
    <row r="1027141" spans="54:54" ht="15.75" customHeight="1" x14ac:dyDescent="0.3">
      <c r="BB1027141" s="38"/>
    </row>
    <row r="1027142" spans="54:54" ht="15.75" customHeight="1" x14ac:dyDescent="0.3">
      <c r="BB1027142" s="38"/>
    </row>
    <row r="1027143" spans="54:54" ht="15.75" customHeight="1" x14ac:dyDescent="0.3">
      <c r="BB1027143" s="38"/>
    </row>
    <row r="1027144" spans="54:54" ht="15.75" customHeight="1" x14ac:dyDescent="0.3">
      <c r="BB1027144" s="38"/>
    </row>
    <row r="1027145" spans="54:54" ht="15.75" customHeight="1" x14ac:dyDescent="0.3">
      <c r="BB1027145" s="38"/>
    </row>
    <row r="1027146" spans="54:54" ht="15.75" customHeight="1" x14ac:dyDescent="0.3">
      <c r="BB1027146" s="38"/>
    </row>
    <row r="1027147" spans="54:54" ht="15.75" customHeight="1" x14ac:dyDescent="0.3">
      <c r="BB1027147" s="38"/>
    </row>
    <row r="1027148" spans="54:54" ht="15.75" customHeight="1" x14ac:dyDescent="0.3">
      <c r="BB1027148" s="38"/>
    </row>
    <row r="1027149" spans="54:54" ht="15.75" customHeight="1" x14ac:dyDescent="0.3">
      <c r="BB1027149" s="38"/>
    </row>
    <row r="1027150" spans="54:54" ht="15.75" customHeight="1" x14ac:dyDescent="0.3">
      <c r="BB1027150" s="38"/>
    </row>
    <row r="1027151" spans="54:54" ht="15.75" customHeight="1" x14ac:dyDescent="0.3">
      <c r="BB1027151" s="38"/>
    </row>
    <row r="1027152" spans="54:54" ht="15.75" customHeight="1" x14ac:dyDescent="0.3">
      <c r="BB1027152" s="38"/>
    </row>
    <row r="1027153" spans="54:54" ht="15.75" customHeight="1" x14ac:dyDescent="0.3">
      <c r="BB1027153" s="38"/>
    </row>
    <row r="1027154" spans="54:54" ht="15.75" customHeight="1" x14ac:dyDescent="0.3">
      <c r="BB1027154" s="38"/>
    </row>
    <row r="1027155" spans="54:54" ht="15.75" customHeight="1" x14ac:dyDescent="0.3">
      <c r="BB1027155" s="38"/>
    </row>
    <row r="1027156" spans="54:54" ht="15.75" customHeight="1" x14ac:dyDescent="0.3">
      <c r="BB1027156" s="38"/>
    </row>
    <row r="1027157" spans="54:54" ht="15.75" customHeight="1" x14ac:dyDescent="0.3">
      <c r="BB1027157" s="38"/>
    </row>
    <row r="1027158" spans="54:54" ht="15.75" customHeight="1" x14ac:dyDescent="0.3">
      <c r="BB1027158" s="38"/>
    </row>
    <row r="1027159" spans="54:54" ht="15.75" customHeight="1" x14ac:dyDescent="0.3">
      <c r="BB1027159" s="38"/>
    </row>
    <row r="1027160" spans="54:54" ht="15.75" customHeight="1" x14ac:dyDescent="0.3">
      <c r="BB1027160" s="38"/>
    </row>
    <row r="1027161" spans="54:54" ht="15.75" customHeight="1" x14ac:dyDescent="0.3">
      <c r="BB1027161" s="38"/>
    </row>
    <row r="1027162" spans="54:54" ht="15.75" customHeight="1" x14ac:dyDescent="0.3">
      <c r="BB1027162" s="38"/>
    </row>
    <row r="1027163" spans="54:54" ht="15.75" customHeight="1" x14ac:dyDescent="0.3">
      <c r="BB1027163" s="38"/>
    </row>
    <row r="1027164" spans="54:54" ht="15.75" customHeight="1" x14ac:dyDescent="0.3">
      <c r="BB1027164" s="38"/>
    </row>
    <row r="1027165" spans="54:54" ht="15.75" customHeight="1" x14ac:dyDescent="0.3">
      <c r="BB1027165" s="38"/>
    </row>
    <row r="1027166" spans="54:54" ht="15.75" customHeight="1" x14ac:dyDescent="0.3">
      <c r="BB1027166" s="38"/>
    </row>
    <row r="1027167" spans="54:54" ht="15.75" customHeight="1" x14ac:dyDescent="0.3">
      <c r="BB1027167" s="38"/>
    </row>
    <row r="1027168" spans="54:54" ht="15.75" customHeight="1" x14ac:dyDescent="0.3">
      <c r="BB1027168" s="38"/>
    </row>
    <row r="1027169" spans="54:54" ht="15.75" customHeight="1" x14ac:dyDescent="0.3">
      <c r="BB1027169" s="38"/>
    </row>
    <row r="1027170" spans="54:54" ht="15.75" customHeight="1" x14ac:dyDescent="0.3">
      <c r="BB1027170" s="38"/>
    </row>
    <row r="1027171" spans="54:54" ht="15.75" customHeight="1" x14ac:dyDescent="0.3">
      <c r="BB1027171" s="38"/>
    </row>
    <row r="1027172" spans="54:54" ht="15.75" customHeight="1" x14ac:dyDescent="0.3">
      <c r="BB1027172" s="38"/>
    </row>
    <row r="1027173" spans="54:54" ht="15.75" customHeight="1" x14ac:dyDescent="0.3">
      <c r="BB1027173" s="38"/>
    </row>
    <row r="1027174" spans="54:54" ht="15.75" customHeight="1" x14ac:dyDescent="0.3">
      <c r="BB1027174" s="38"/>
    </row>
    <row r="1027175" spans="54:54" ht="15.75" customHeight="1" x14ac:dyDescent="0.3">
      <c r="BB1027175" s="38"/>
    </row>
    <row r="1027176" spans="54:54" ht="15.75" customHeight="1" x14ac:dyDescent="0.3">
      <c r="BB1027176" s="38"/>
    </row>
    <row r="1027177" spans="54:54" ht="15.75" customHeight="1" x14ac:dyDescent="0.3">
      <c r="BB1027177" s="38"/>
    </row>
    <row r="1027178" spans="54:54" ht="15.75" customHeight="1" x14ac:dyDescent="0.3">
      <c r="BB1027178" s="38"/>
    </row>
    <row r="1027179" spans="54:54" ht="15.75" customHeight="1" x14ac:dyDescent="0.3">
      <c r="BB1027179" s="38"/>
    </row>
    <row r="1027180" spans="54:54" ht="15.75" customHeight="1" x14ac:dyDescent="0.3">
      <c r="BB1027180" s="38"/>
    </row>
    <row r="1027181" spans="54:54" ht="15.75" customHeight="1" x14ac:dyDescent="0.3">
      <c r="BB1027181" s="38"/>
    </row>
    <row r="1027182" spans="54:54" ht="15.75" customHeight="1" x14ac:dyDescent="0.3">
      <c r="BB1027182" s="38"/>
    </row>
    <row r="1027183" spans="54:54" ht="15.75" customHeight="1" x14ac:dyDescent="0.3">
      <c r="BB1027183" s="38"/>
    </row>
    <row r="1027184" spans="54:54" ht="15.75" customHeight="1" x14ac:dyDescent="0.3">
      <c r="BB1027184" s="38"/>
    </row>
    <row r="1027185" spans="54:54" ht="15.75" customHeight="1" x14ac:dyDescent="0.3">
      <c r="BB1027185" s="38"/>
    </row>
    <row r="1027186" spans="54:54" ht="15.75" customHeight="1" x14ac:dyDescent="0.3">
      <c r="BB1027186" s="38"/>
    </row>
    <row r="1027187" spans="54:54" ht="15.75" customHeight="1" x14ac:dyDescent="0.3">
      <c r="BB1027187" s="38"/>
    </row>
    <row r="1027188" spans="54:54" ht="15.75" customHeight="1" x14ac:dyDescent="0.3">
      <c r="BB1027188" s="38"/>
    </row>
    <row r="1027189" spans="54:54" ht="15.75" customHeight="1" x14ac:dyDescent="0.3">
      <c r="BB1027189" s="38"/>
    </row>
    <row r="1027190" spans="54:54" ht="15.75" customHeight="1" x14ac:dyDescent="0.3">
      <c r="BB1027190" s="38"/>
    </row>
    <row r="1027191" spans="54:54" ht="15.75" customHeight="1" x14ac:dyDescent="0.3">
      <c r="BB1027191" s="38"/>
    </row>
    <row r="1027192" spans="54:54" ht="15.75" customHeight="1" x14ac:dyDescent="0.3">
      <c r="BB1027192" s="38"/>
    </row>
    <row r="1027193" spans="54:54" ht="15.75" customHeight="1" x14ac:dyDescent="0.3">
      <c r="BB1027193" s="38"/>
    </row>
    <row r="1027194" spans="54:54" ht="15.75" customHeight="1" x14ac:dyDescent="0.3">
      <c r="BB1027194" s="38"/>
    </row>
    <row r="1027195" spans="54:54" ht="15.75" customHeight="1" x14ac:dyDescent="0.3">
      <c r="BB1027195" s="38"/>
    </row>
    <row r="1027196" spans="54:54" ht="15.75" customHeight="1" x14ac:dyDescent="0.3">
      <c r="BB1027196" s="38"/>
    </row>
    <row r="1027197" spans="54:54" ht="15.75" customHeight="1" x14ac:dyDescent="0.3">
      <c r="BB1027197" s="38"/>
    </row>
    <row r="1027198" spans="54:54" ht="15.75" customHeight="1" x14ac:dyDescent="0.3">
      <c r="BB1027198" s="38"/>
    </row>
    <row r="1027199" spans="54:54" ht="15.75" customHeight="1" x14ac:dyDescent="0.3">
      <c r="BB1027199" s="38"/>
    </row>
    <row r="1027200" spans="54:54" ht="15.75" customHeight="1" x14ac:dyDescent="0.3">
      <c r="BB1027200" s="38"/>
    </row>
    <row r="1027201" spans="54:54" ht="15.75" customHeight="1" x14ac:dyDescent="0.3">
      <c r="BB1027201" s="38"/>
    </row>
    <row r="1027202" spans="54:54" ht="15.75" customHeight="1" x14ac:dyDescent="0.3">
      <c r="BB1027202" s="38"/>
    </row>
    <row r="1027203" spans="54:54" ht="15.75" customHeight="1" x14ac:dyDescent="0.3">
      <c r="BB1027203" s="38"/>
    </row>
    <row r="1027204" spans="54:54" ht="15.75" customHeight="1" x14ac:dyDescent="0.3">
      <c r="BB1027204" s="38"/>
    </row>
    <row r="1027205" spans="54:54" ht="15.75" customHeight="1" x14ac:dyDescent="0.3">
      <c r="BB1027205" s="38"/>
    </row>
    <row r="1027206" spans="54:54" ht="15.75" customHeight="1" x14ac:dyDescent="0.3">
      <c r="BB1027206" s="38"/>
    </row>
    <row r="1027207" spans="54:54" ht="15.75" customHeight="1" x14ac:dyDescent="0.3">
      <c r="BB1027207" s="38"/>
    </row>
    <row r="1027208" spans="54:54" ht="15.75" customHeight="1" x14ac:dyDescent="0.3">
      <c r="BB1027208" s="38"/>
    </row>
    <row r="1027209" spans="54:54" ht="15.75" customHeight="1" x14ac:dyDescent="0.3">
      <c r="BB1027209" s="38"/>
    </row>
    <row r="1027210" spans="54:54" ht="15.75" customHeight="1" x14ac:dyDescent="0.3">
      <c r="BB1027210" s="38"/>
    </row>
    <row r="1027211" spans="54:54" ht="15.75" customHeight="1" x14ac:dyDescent="0.3">
      <c r="BB1027211" s="38"/>
    </row>
    <row r="1027212" spans="54:54" ht="15.75" customHeight="1" x14ac:dyDescent="0.3">
      <c r="BB1027212" s="38"/>
    </row>
    <row r="1027213" spans="54:54" ht="15.75" customHeight="1" x14ac:dyDescent="0.3">
      <c r="BB1027213" s="38"/>
    </row>
    <row r="1027214" spans="54:54" ht="15.75" customHeight="1" x14ac:dyDescent="0.3">
      <c r="BB1027214" s="38"/>
    </row>
    <row r="1027215" spans="54:54" ht="15.75" customHeight="1" x14ac:dyDescent="0.3">
      <c r="BB1027215" s="38"/>
    </row>
    <row r="1027216" spans="54:54" ht="15.75" customHeight="1" x14ac:dyDescent="0.3">
      <c r="BB1027216" s="38"/>
    </row>
    <row r="1027217" spans="54:54" ht="15.75" customHeight="1" x14ac:dyDescent="0.3">
      <c r="BB1027217" s="38"/>
    </row>
    <row r="1027218" spans="54:54" ht="15.75" customHeight="1" x14ac:dyDescent="0.3">
      <c r="BB1027218" s="38"/>
    </row>
    <row r="1027219" spans="54:54" ht="15.75" customHeight="1" x14ac:dyDescent="0.3">
      <c r="BB1027219" s="38"/>
    </row>
    <row r="1027220" spans="54:54" ht="15.75" customHeight="1" x14ac:dyDescent="0.3">
      <c r="BB1027220" s="38"/>
    </row>
    <row r="1027221" spans="54:54" ht="15.75" customHeight="1" x14ac:dyDescent="0.3">
      <c r="BB1027221" s="38"/>
    </row>
    <row r="1027222" spans="54:54" ht="15.75" customHeight="1" x14ac:dyDescent="0.3">
      <c r="BB1027222" s="38"/>
    </row>
    <row r="1027223" spans="54:54" ht="15.75" customHeight="1" x14ac:dyDescent="0.3">
      <c r="BB1027223" s="38"/>
    </row>
    <row r="1027224" spans="54:54" ht="15.75" customHeight="1" x14ac:dyDescent="0.3">
      <c r="BB1027224" s="38"/>
    </row>
    <row r="1027225" spans="54:54" ht="15.75" customHeight="1" x14ac:dyDescent="0.3">
      <c r="BB1027225" s="38"/>
    </row>
    <row r="1027226" spans="54:54" ht="15.75" customHeight="1" x14ac:dyDescent="0.3">
      <c r="BB1027226" s="38"/>
    </row>
    <row r="1027227" spans="54:54" ht="15.75" customHeight="1" x14ac:dyDescent="0.3">
      <c r="BB1027227" s="38"/>
    </row>
    <row r="1027228" spans="54:54" ht="15.75" customHeight="1" x14ac:dyDescent="0.3">
      <c r="BB1027228" s="38"/>
    </row>
    <row r="1027229" spans="54:54" ht="15.75" customHeight="1" x14ac:dyDescent="0.3">
      <c r="BB1027229" s="38"/>
    </row>
    <row r="1027230" spans="54:54" ht="15.75" customHeight="1" x14ac:dyDescent="0.3">
      <c r="BB1027230" s="38"/>
    </row>
    <row r="1027231" spans="54:54" ht="15.75" customHeight="1" x14ac:dyDescent="0.3">
      <c r="BB1027231" s="38"/>
    </row>
    <row r="1027232" spans="54:54" ht="15.75" customHeight="1" x14ac:dyDescent="0.3">
      <c r="BB1027232" s="38"/>
    </row>
    <row r="1027233" spans="54:54" ht="15.75" customHeight="1" x14ac:dyDescent="0.3">
      <c r="BB1027233" s="38"/>
    </row>
    <row r="1027234" spans="54:54" ht="15.75" customHeight="1" x14ac:dyDescent="0.3">
      <c r="BB1027234" s="38"/>
    </row>
    <row r="1027235" spans="54:54" ht="15.75" customHeight="1" x14ac:dyDescent="0.3">
      <c r="BB1027235" s="38"/>
    </row>
    <row r="1027236" spans="54:54" ht="15.75" customHeight="1" x14ac:dyDescent="0.3">
      <c r="BB1027236" s="38"/>
    </row>
    <row r="1027237" spans="54:54" ht="15.75" customHeight="1" x14ac:dyDescent="0.3">
      <c r="BB1027237" s="38"/>
    </row>
    <row r="1027238" spans="54:54" ht="15.75" customHeight="1" x14ac:dyDescent="0.3">
      <c r="BB1027238" s="38"/>
    </row>
    <row r="1027239" spans="54:54" ht="15.75" customHeight="1" x14ac:dyDescent="0.3">
      <c r="BB1027239" s="38"/>
    </row>
    <row r="1027240" spans="54:54" ht="15.75" customHeight="1" x14ac:dyDescent="0.3">
      <c r="BB1027240" s="38"/>
    </row>
    <row r="1027241" spans="54:54" ht="15.75" customHeight="1" x14ac:dyDescent="0.3">
      <c r="BB1027241" s="38"/>
    </row>
    <row r="1027242" spans="54:54" ht="15.75" customHeight="1" x14ac:dyDescent="0.3">
      <c r="BB1027242" s="38"/>
    </row>
    <row r="1027243" spans="54:54" ht="15.75" customHeight="1" x14ac:dyDescent="0.3">
      <c r="BB1027243" s="38"/>
    </row>
    <row r="1027244" spans="54:54" ht="15.75" customHeight="1" x14ac:dyDescent="0.3">
      <c r="BB1027244" s="38"/>
    </row>
    <row r="1027245" spans="54:54" ht="15.75" customHeight="1" x14ac:dyDescent="0.3">
      <c r="BB1027245" s="38"/>
    </row>
    <row r="1027246" spans="54:54" ht="15.75" customHeight="1" x14ac:dyDescent="0.3">
      <c r="BB1027246" s="38"/>
    </row>
    <row r="1027247" spans="54:54" ht="15.75" customHeight="1" x14ac:dyDescent="0.3">
      <c r="BB1027247" s="38"/>
    </row>
    <row r="1027248" spans="54:54" ht="15.75" customHeight="1" x14ac:dyDescent="0.3">
      <c r="BB1027248" s="38"/>
    </row>
    <row r="1027249" spans="54:54" ht="15.75" customHeight="1" x14ac:dyDescent="0.3">
      <c r="BB1027249" s="38"/>
    </row>
    <row r="1027250" spans="54:54" ht="15.75" customHeight="1" x14ac:dyDescent="0.3">
      <c r="BB1027250" s="38"/>
    </row>
    <row r="1027251" spans="54:54" ht="15.75" customHeight="1" x14ac:dyDescent="0.3">
      <c r="BB1027251" s="38"/>
    </row>
    <row r="1027252" spans="54:54" ht="15.75" customHeight="1" x14ac:dyDescent="0.3">
      <c r="BB1027252" s="38"/>
    </row>
    <row r="1027253" spans="54:54" ht="15.75" customHeight="1" x14ac:dyDescent="0.3">
      <c r="BB1027253" s="38"/>
    </row>
    <row r="1027254" spans="54:54" ht="15.75" customHeight="1" x14ac:dyDescent="0.3">
      <c r="BB1027254" s="38"/>
    </row>
    <row r="1027255" spans="54:54" ht="15.75" customHeight="1" x14ac:dyDescent="0.3">
      <c r="BB1027255" s="38"/>
    </row>
    <row r="1027256" spans="54:54" ht="15.75" customHeight="1" x14ac:dyDescent="0.3">
      <c r="BB1027256" s="38"/>
    </row>
    <row r="1027257" spans="54:54" ht="15.75" customHeight="1" x14ac:dyDescent="0.3">
      <c r="BB1027257" s="38"/>
    </row>
    <row r="1027258" spans="54:54" ht="15.75" customHeight="1" x14ac:dyDescent="0.3">
      <c r="BB1027258" s="38"/>
    </row>
    <row r="1027259" spans="54:54" ht="15.75" customHeight="1" x14ac:dyDescent="0.3">
      <c r="BB1027259" s="38"/>
    </row>
    <row r="1027260" spans="54:54" ht="15.75" customHeight="1" x14ac:dyDescent="0.3">
      <c r="BB1027260" s="38"/>
    </row>
    <row r="1027261" spans="54:54" ht="15.75" customHeight="1" x14ac:dyDescent="0.3">
      <c r="BB1027261" s="38"/>
    </row>
    <row r="1027262" spans="54:54" ht="15.75" customHeight="1" x14ac:dyDescent="0.3">
      <c r="BB1027262" s="38"/>
    </row>
    <row r="1027263" spans="54:54" ht="15.75" customHeight="1" x14ac:dyDescent="0.3">
      <c r="BB1027263" s="38"/>
    </row>
    <row r="1027264" spans="54:54" ht="15.75" customHeight="1" x14ac:dyDescent="0.3">
      <c r="BB1027264" s="38"/>
    </row>
    <row r="1027265" spans="54:54" ht="15.75" customHeight="1" x14ac:dyDescent="0.3">
      <c r="BB1027265" s="38"/>
    </row>
    <row r="1027266" spans="54:54" ht="15.75" customHeight="1" x14ac:dyDescent="0.3">
      <c r="BB1027266" s="38"/>
    </row>
    <row r="1027267" spans="54:54" ht="15.75" customHeight="1" x14ac:dyDescent="0.3">
      <c r="BB1027267" s="38"/>
    </row>
    <row r="1027268" spans="54:54" ht="15.75" customHeight="1" x14ac:dyDescent="0.3">
      <c r="BB1027268" s="38"/>
    </row>
    <row r="1027269" spans="54:54" ht="15.75" customHeight="1" x14ac:dyDescent="0.3">
      <c r="BB1027269" s="38"/>
    </row>
    <row r="1027270" spans="54:54" ht="15.75" customHeight="1" x14ac:dyDescent="0.3">
      <c r="BB1027270" s="38"/>
    </row>
    <row r="1027271" spans="54:54" ht="15.75" customHeight="1" x14ac:dyDescent="0.3">
      <c r="BB1027271" s="38"/>
    </row>
    <row r="1027272" spans="54:54" ht="15.75" customHeight="1" x14ac:dyDescent="0.3">
      <c r="BB1027272" s="38"/>
    </row>
    <row r="1027273" spans="54:54" ht="15.75" customHeight="1" x14ac:dyDescent="0.3">
      <c r="BB1027273" s="38"/>
    </row>
    <row r="1027274" spans="54:54" ht="15.75" customHeight="1" x14ac:dyDescent="0.3">
      <c r="BB1027274" s="38"/>
    </row>
    <row r="1027275" spans="54:54" ht="15.75" customHeight="1" x14ac:dyDescent="0.3">
      <c r="BB1027275" s="38"/>
    </row>
    <row r="1027276" spans="54:54" ht="15.75" customHeight="1" x14ac:dyDescent="0.3">
      <c r="BB1027276" s="38"/>
    </row>
    <row r="1027277" spans="54:54" ht="15.75" customHeight="1" x14ac:dyDescent="0.3">
      <c r="BB1027277" s="38"/>
    </row>
    <row r="1027278" spans="54:54" ht="15.75" customHeight="1" x14ac:dyDescent="0.3">
      <c r="BB1027278" s="38"/>
    </row>
    <row r="1027279" spans="54:54" ht="15.75" customHeight="1" x14ac:dyDescent="0.3">
      <c r="BB1027279" s="38"/>
    </row>
    <row r="1027280" spans="54:54" ht="15.75" customHeight="1" x14ac:dyDescent="0.3">
      <c r="BB1027280" s="38"/>
    </row>
    <row r="1027281" spans="54:54" ht="15.75" customHeight="1" x14ac:dyDescent="0.3">
      <c r="BB1027281" s="38"/>
    </row>
    <row r="1027282" spans="54:54" ht="15.75" customHeight="1" x14ac:dyDescent="0.3">
      <c r="BB1027282" s="38"/>
    </row>
    <row r="1027283" spans="54:54" ht="15.75" customHeight="1" x14ac:dyDescent="0.3">
      <c r="BB1027283" s="38"/>
    </row>
    <row r="1027284" spans="54:54" ht="15.75" customHeight="1" x14ac:dyDescent="0.3">
      <c r="BB1027284" s="38"/>
    </row>
    <row r="1027285" spans="54:54" ht="15.75" customHeight="1" x14ac:dyDescent="0.3">
      <c r="BB1027285" s="38"/>
    </row>
    <row r="1027286" spans="54:54" ht="15.75" customHeight="1" x14ac:dyDescent="0.3">
      <c r="BB1027286" s="38"/>
    </row>
    <row r="1027287" spans="54:54" ht="15.75" customHeight="1" x14ac:dyDescent="0.3">
      <c r="BB1027287" s="38"/>
    </row>
    <row r="1027288" spans="54:54" ht="15.75" customHeight="1" x14ac:dyDescent="0.3">
      <c r="BB1027288" s="38"/>
    </row>
    <row r="1027289" spans="54:54" ht="15.75" customHeight="1" x14ac:dyDescent="0.3">
      <c r="BB1027289" s="38"/>
    </row>
    <row r="1027290" spans="54:54" ht="15.75" customHeight="1" x14ac:dyDescent="0.3">
      <c r="BB1027290" s="38"/>
    </row>
    <row r="1027291" spans="54:54" ht="15.75" customHeight="1" x14ac:dyDescent="0.3">
      <c r="BB1027291" s="38"/>
    </row>
    <row r="1027292" spans="54:54" ht="15.75" customHeight="1" x14ac:dyDescent="0.3">
      <c r="BB1027292" s="38"/>
    </row>
    <row r="1027293" spans="54:54" ht="15.75" customHeight="1" x14ac:dyDescent="0.3">
      <c r="BB1027293" s="38"/>
    </row>
    <row r="1027294" spans="54:54" ht="15.75" customHeight="1" x14ac:dyDescent="0.3">
      <c r="BB1027294" s="38"/>
    </row>
    <row r="1027295" spans="54:54" ht="15.75" customHeight="1" x14ac:dyDescent="0.3">
      <c r="BB1027295" s="38"/>
    </row>
    <row r="1027296" spans="54:54" ht="15.75" customHeight="1" x14ac:dyDescent="0.3">
      <c r="BB1027296" s="38"/>
    </row>
    <row r="1027297" spans="54:54" ht="15.75" customHeight="1" x14ac:dyDescent="0.3">
      <c r="BB1027297" s="38"/>
    </row>
    <row r="1027298" spans="54:54" ht="15.75" customHeight="1" x14ac:dyDescent="0.3">
      <c r="BB1027298" s="38"/>
    </row>
    <row r="1027299" spans="54:54" ht="15.75" customHeight="1" x14ac:dyDescent="0.3">
      <c r="BB1027299" s="38"/>
    </row>
    <row r="1027300" spans="54:54" ht="15.75" customHeight="1" x14ac:dyDescent="0.3">
      <c r="BB1027300" s="38"/>
    </row>
    <row r="1027301" spans="54:54" ht="15.75" customHeight="1" x14ac:dyDescent="0.3">
      <c r="BB1027301" s="38"/>
    </row>
    <row r="1027302" spans="54:54" ht="15.75" customHeight="1" x14ac:dyDescent="0.3">
      <c r="BB1027302" s="38"/>
    </row>
    <row r="1027303" spans="54:54" ht="15.75" customHeight="1" x14ac:dyDescent="0.3">
      <c r="BB1027303" s="38"/>
    </row>
    <row r="1027304" spans="54:54" ht="15.75" customHeight="1" x14ac:dyDescent="0.3">
      <c r="BB1027304" s="38"/>
    </row>
    <row r="1027305" spans="54:54" ht="15.75" customHeight="1" x14ac:dyDescent="0.3">
      <c r="BB1027305" s="38"/>
    </row>
    <row r="1027306" spans="54:54" ht="15.75" customHeight="1" x14ac:dyDescent="0.3">
      <c r="BB1027306" s="38"/>
    </row>
    <row r="1027307" spans="54:54" ht="15.75" customHeight="1" x14ac:dyDescent="0.3">
      <c r="BB1027307" s="38"/>
    </row>
    <row r="1027308" spans="54:54" ht="15.75" customHeight="1" x14ac:dyDescent="0.3">
      <c r="BB1027308" s="38"/>
    </row>
    <row r="1027309" spans="54:54" ht="15.75" customHeight="1" x14ac:dyDescent="0.3">
      <c r="BB1027309" s="38"/>
    </row>
    <row r="1027310" spans="54:54" ht="15.75" customHeight="1" x14ac:dyDescent="0.3">
      <c r="BB1027310" s="38"/>
    </row>
    <row r="1027311" spans="54:54" ht="15.75" customHeight="1" x14ac:dyDescent="0.3">
      <c r="BB1027311" s="38"/>
    </row>
    <row r="1027312" spans="54:54" ht="15.75" customHeight="1" x14ac:dyDescent="0.3">
      <c r="BB1027312" s="38"/>
    </row>
    <row r="1027313" spans="54:54" ht="15.75" customHeight="1" x14ac:dyDescent="0.3">
      <c r="BB1027313" s="38"/>
    </row>
    <row r="1027314" spans="54:54" ht="15.75" customHeight="1" x14ac:dyDescent="0.3">
      <c r="BB1027314" s="38"/>
    </row>
    <row r="1027315" spans="54:54" ht="15.75" customHeight="1" x14ac:dyDescent="0.3">
      <c r="BB1027315" s="38"/>
    </row>
    <row r="1027316" spans="54:54" ht="15.75" customHeight="1" x14ac:dyDescent="0.3">
      <c r="BB1027316" s="38"/>
    </row>
    <row r="1027317" spans="54:54" ht="15.75" customHeight="1" x14ac:dyDescent="0.3">
      <c r="BB1027317" s="38"/>
    </row>
    <row r="1027318" spans="54:54" ht="15.75" customHeight="1" x14ac:dyDescent="0.3">
      <c r="BB1027318" s="38"/>
    </row>
    <row r="1027319" spans="54:54" ht="15.75" customHeight="1" x14ac:dyDescent="0.3">
      <c r="BB1027319" s="38"/>
    </row>
    <row r="1027320" spans="54:54" ht="15.75" customHeight="1" x14ac:dyDescent="0.3">
      <c r="BB1027320" s="38"/>
    </row>
    <row r="1027321" spans="54:54" ht="15.75" customHeight="1" x14ac:dyDescent="0.3">
      <c r="BB1027321" s="38"/>
    </row>
    <row r="1027322" spans="54:54" ht="15.75" customHeight="1" x14ac:dyDescent="0.3">
      <c r="BB1027322" s="38"/>
    </row>
    <row r="1027323" spans="54:54" ht="15.75" customHeight="1" x14ac:dyDescent="0.3">
      <c r="BB1027323" s="38"/>
    </row>
    <row r="1027324" spans="54:54" ht="15.75" customHeight="1" x14ac:dyDescent="0.3">
      <c r="BB1027324" s="38"/>
    </row>
    <row r="1027325" spans="54:54" ht="15.75" customHeight="1" x14ac:dyDescent="0.3">
      <c r="BB1027325" s="38"/>
    </row>
    <row r="1027326" spans="54:54" ht="15.75" customHeight="1" x14ac:dyDescent="0.3">
      <c r="BB1027326" s="38"/>
    </row>
    <row r="1027327" spans="54:54" ht="15.75" customHeight="1" x14ac:dyDescent="0.3">
      <c r="BB1027327" s="38"/>
    </row>
    <row r="1027328" spans="54:54" ht="15.75" customHeight="1" x14ac:dyDescent="0.3">
      <c r="BB1027328" s="38"/>
    </row>
    <row r="1027329" spans="54:54" ht="15.75" customHeight="1" x14ac:dyDescent="0.3">
      <c r="BB1027329" s="38"/>
    </row>
    <row r="1027330" spans="54:54" ht="15.75" customHeight="1" x14ac:dyDescent="0.3">
      <c r="BB1027330" s="38"/>
    </row>
    <row r="1027331" spans="54:54" ht="15.75" customHeight="1" x14ac:dyDescent="0.3">
      <c r="BB1027331" s="38"/>
    </row>
    <row r="1027332" spans="54:54" ht="15.75" customHeight="1" x14ac:dyDescent="0.3">
      <c r="BB1027332" s="38"/>
    </row>
    <row r="1027333" spans="54:54" ht="15.75" customHeight="1" x14ac:dyDescent="0.3">
      <c r="BB1027333" s="38"/>
    </row>
    <row r="1027334" spans="54:54" ht="15.75" customHeight="1" x14ac:dyDescent="0.3">
      <c r="BB1027334" s="38"/>
    </row>
    <row r="1027335" spans="54:54" ht="15.75" customHeight="1" x14ac:dyDescent="0.3">
      <c r="BB1027335" s="38"/>
    </row>
    <row r="1027336" spans="54:54" ht="15.75" customHeight="1" x14ac:dyDescent="0.3">
      <c r="BB1027336" s="38"/>
    </row>
    <row r="1027337" spans="54:54" ht="15.75" customHeight="1" x14ac:dyDescent="0.3">
      <c r="BB1027337" s="38"/>
    </row>
    <row r="1027338" spans="54:54" ht="15.75" customHeight="1" x14ac:dyDescent="0.3">
      <c r="BB1027338" s="38"/>
    </row>
    <row r="1027339" spans="54:54" ht="15.75" customHeight="1" x14ac:dyDescent="0.3">
      <c r="BB1027339" s="38"/>
    </row>
    <row r="1027340" spans="54:54" ht="15.75" customHeight="1" x14ac:dyDescent="0.3">
      <c r="BB1027340" s="38"/>
    </row>
    <row r="1027341" spans="54:54" ht="15.75" customHeight="1" x14ac:dyDescent="0.3">
      <c r="BB1027341" s="38"/>
    </row>
    <row r="1027342" spans="54:54" ht="15.75" customHeight="1" x14ac:dyDescent="0.3">
      <c r="BB1027342" s="38"/>
    </row>
    <row r="1027343" spans="54:54" ht="15.75" customHeight="1" x14ac:dyDescent="0.3">
      <c r="BB1027343" s="38"/>
    </row>
    <row r="1027344" spans="54:54" ht="15.75" customHeight="1" x14ac:dyDescent="0.3">
      <c r="BB1027344" s="38"/>
    </row>
    <row r="1027345" spans="54:54" ht="15.75" customHeight="1" x14ac:dyDescent="0.3">
      <c r="BB1027345" s="38"/>
    </row>
    <row r="1027346" spans="54:54" ht="15.75" customHeight="1" x14ac:dyDescent="0.3">
      <c r="BB1027346" s="38"/>
    </row>
    <row r="1027347" spans="54:54" ht="15.75" customHeight="1" x14ac:dyDescent="0.3">
      <c r="BB1027347" s="38"/>
    </row>
    <row r="1027348" spans="54:54" ht="15.75" customHeight="1" x14ac:dyDescent="0.3">
      <c r="BB1027348" s="38"/>
    </row>
    <row r="1027349" spans="54:54" ht="15.75" customHeight="1" x14ac:dyDescent="0.3">
      <c r="BB1027349" s="38"/>
    </row>
    <row r="1027350" spans="54:54" ht="15.75" customHeight="1" x14ac:dyDescent="0.3">
      <c r="BB1027350" s="38"/>
    </row>
    <row r="1027351" spans="54:54" ht="15.75" customHeight="1" x14ac:dyDescent="0.3">
      <c r="BB1027351" s="38"/>
    </row>
    <row r="1027352" spans="54:54" ht="15.75" customHeight="1" x14ac:dyDescent="0.3">
      <c r="BB1027352" s="38"/>
    </row>
    <row r="1027353" spans="54:54" ht="15.75" customHeight="1" x14ac:dyDescent="0.3">
      <c r="BB1027353" s="38"/>
    </row>
    <row r="1027354" spans="54:54" ht="15.75" customHeight="1" x14ac:dyDescent="0.3">
      <c r="BB1027354" s="38"/>
    </row>
    <row r="1027355" spans="54:54" ht="15.75" customHeight="1" x14ac:dyDescent="0.3">
      <c r="BB1027355" s="38"/>
    </row>
    <row r="1027356" spans="54:54" ht="15.75" customHeight="1" x14ac:dyDescent="0.3">
      <c r="BB1027356" s="38"/>
    </row>
    <row r="1027357" spans="54:54" ht="15.75" customHeight="1" x14ac:dyDescent="0.3">
      <c r="BB1027357" s="38"/>
    </row>
    <row r="1027358" spans="54:54" ht="15.75" customHeight="1" x14ac:dyDescent="0.3">
      <c r="BB1027358" s="38"/>
    </row>
    <row r="1027359" spans="54:54" ht="15.75" customHeight="1" x14ac:dyDescent="0.3">
      <c r="BB1027359" s="38"/>
    </row>
    <row r="1027360" spans="54:54" ht="15.75" customHeight="1" x14ac:dyDescent="0.3">
      <c r="BB1027360" s="38"/>
    </row>
    <row r="1027361" spans="54:54" ht="15.75" customHeight="1" x14ac:dyDescent="0.3">
      <c r="BB1027361" s="38"/>
    </row>
    <row r="1027362" spans="54:54" ht="15.75" customHeight="1" x14ac:dyDescent="0.3">
      <c r="BB1027362" s="38"/>
    </row>
    <row r="1027363" spans="54:54" ht="15.75" customHeight="1" x14ac:dyDescent="0.3">
      <c r="BB1027363" s="38"/>
    </row>
    <row r="1027364" spans="54:54" ht="15.75" customHeight="1" x14ac:dyDescent="0.3">
      <c r="BB1027364" s="38"/>
    </row>
    <row r="1027365" spans="54:54" ht="15.75" customHeight="1" x14ac:dyDescent="0.3">
      <c r="BB1027365" s="38"/>
    </row>
    <row r="1027366" spans="54:54" ht="15.75" customHeight="1" x14ac:dyDescent="0.3">
      <c r="BB1027366" s="38"/>
    </row>
    <row r="1027367" spans="54:54" ht="15.75" customHeight="1" x14ac:dyDescent="0.3">
      <c r="BB1027367" s="38"/>
    </row>
    <row r="1027368" spans="54:54" ht="15.75" customHeight="1" x14ac:dyDescent="0.3">
      <c r="BB1027368" s="38"/>
    </row>
    <row r="1027369" spans="54:54" ht="15.75" customHeight="1" x14ac:dyDescent="0.3">
      <c r="BB1027369" s="38"/>
    </row>
    <row r="1027370" spans="54:54" ht="15.75" customHeight="1" x14ac:dyDescent="0.3">
      <c r="BB1027370" s="38"/>
    </row>
    <row r="1027371" spans="54:54" ht="15.75" customHeight="1" x14ac:dyDescent="0.3">
      <c r="BB1027371" s="38"/>
    </row>
    <row r="1027372" spans="54:54" ht="15.75" customHeight="1" x14ac:dyDescent="0.3">
      <c r="BB1027372" s="38"/>
    </row>
    <row r="1027373" spans="54:54" ht="15.75" customHeight="1" x14ac:dyDescent="0.3">
      <c r="BB1027373" s="38"/>
    </row>
    <row r="1027374" spans="54:54" ht="15.75" customHeight="1" x14ac:dyDescent="0.3">
      <c r="BB1027374" s="38"/>
    </row>
    <row r="1027375" spans="54:54" ht="15.75" customHeight="1" x14ac:dyDescent="0.3">
      <c r="BB1027375" s="38"/>
    </row>
    <row r="1027376" spans="54:54" ht="15.75" customHeight="1" x14ac:dyDescent="0.3">
      <c r="BB1027376" s="38"/>
    </row>
    <row r="1027377" spans="54:54" ht="15.75" customHeight="1" x14ac:dyDescent="0.3">
      <c r="BB1027377" s="38"/>
    </row>
    <row r="1027378" spans="54:54" ht="15.75" customHeight="1" x14ac:dyDescent="0.3">
      <c r="BB1027378" s="38"/>
    </row>
    <row r="1027379" spans="54:54" ht="15.75" customHeight="1" x14ac:dyDescent="0.3">
      <c r="BB1027379" s="38"/>
    </row>
    <row r="1027380" spans="54:54" ht="15.75" customHeight="1" x14ac:dyDescent="0.3">
      <c r="BB1027380" s="38"/>
    </row>
    <row r="1027381" spans="54:54" ht="15.75" customHeight="1" x14ac:dyDescent="0.3">
      <c r="BB1027381" s="38"/>
    </row>
    <row r="1027382" spans="54:54" ht="15.75" customHeight="1" x14ac:dyDescent="0.3">
      <c r="BB1027382" s="38"/>
    </row>
    <row r="1027383" spans="54:54" ht="15.75" customHeight="1" x14ac:dyDescent="0.3">
      <c r="BB1027383" s="38"/>
    </row>
    <row r="1027384" spans="54:54" ht="15.75" customHeight="1" x14ac:dyDescent="0.3">
      <c r="BB1027384" s="38"/>
    </row>
    <row r="1027385" spans="54:54" ht="15.75" customHeight="1" x14ac:dyDescent="0.3">
      <c r="BB1027385" s="38"/>
    </row>
    <row r="1027386" spans="54:54" ht="15.75" customHeight="1" x14ac:dyDescent="0.3">
      <c r="BB1027386" s="38"/>
    </row>
    <row r="1027387" spans="54:54" ht="15.75" customHeight="1" x14ac:dyDescent="0.3">
      <c r="BB1027387" s="38"/>
    </row>
    <row r="1027388" spans="54:54" ht="15.75" customHeight="1" x14ac:dyDescent="0.3">
      <c r="BB1027388" s="38"/>
    </row>
    <row r="1027389" spans="54:54" ht="15.75" customHeight="1" x14ac:dyDescent="0.3">
      <c r="BB1027389" s="38"/>
    </row>
    <row r="1027390" spans="54:54" ht="15.75" customHeight="1" x14ac:dyDescent="0.3">
      <c r="BB1027390" s="38"/>
    </row>
    <row r="1027391" spans="54:54" ht="15.75" customHeight="1" x14ac:dyDescent="0.3">
      <c r="BB1027391" s="38"/>
    </row>
    <row r="1027392" spans="54:54" ht="15.75" customHeight="1" x14ac:dyDescent="0.3">
      <c r="BB1027392" s="38"/>
    </row>
    <row r="1027393" spans="54:54" ht="15.75" customHeight="1" x14ac:dyDescent="0.3">
      <c r="BB1027393" s="38"/>
    </row>
    <row r="1027394" spans="54:54" ht="15.75" customHeight="1" x14ac:dyDescent="0.3">
      <c r="BB1027394" s="38"/>
    </row>
    <row r="1027395" spans="54:54" ht="15.75" customHeight="1" x14ac:dyDescent="0.3">
      <c r="BB1027395" s="38"/>
    </row>
    <row r="1027396" spans="54:54" ht="15.75" customHeight="1" x14ac:dyDescent="0.3">
      <c r="BB1027396" s="38"/>
    </row>
    <row r="1027397" spans="54:54" ht="15.75" customHeight="1" x14ac:dyDescent="0.3">
      <c r="BB1027397" s="38"/>
    </row>
    <row r="1027398" spans="54:54" ht="15.75" customHeight="1" x14ac:dyDescent="0.3">
      <c r="BB1027398" s="38"/>
    </row>
    <row r="1027399" spans="54:54" ht="15.75" customHeight="1" x14ac:dyDescent="0.3">
      <c r="BB1027399" s="38"/>
    </row>
    <row r="1027400" spans="54:54" ht="15.75" customHeight="1" x14ac:dyDescent="0.3">
      <c r="BB1027400" s="38"/>
    </row>
    <row r="1027401" spans="54:54" ht="15.75" customHeight="1" x14ac:dyDescent="0.3">
      <c r="BB1027401" s="38"/>
    </row>
    <row r="1027402" spans="54:54" ht="15.75" customHeight="1" x14ac:dyDescent="0.3">
      <c r="BB1027402" s="38"/>
    </row>
    <row r="1027403" spans="54:54" ht="15.75" customHeight="1" x14ac:dyDescent="0.3">
      <c r="BB1027403" s="38"/>
    </row>
    <row r="1027404" spans="54:54" ht="15.75" customHeight="1" x14ac:dyDescent="0.3">
      <c r="BB1027404" s="38"/>
    </row>
    <row r="1027405" spans="54:54" ht="15.75" customHeight="1" x14ac:dyDescent="0.3">
      <c r="BB1027405" s="38"/>
    </row>
    <row r="1027406" spans="54:54" ht="15.75" customHeight="1" x14ac:dyDescent="0.3">
      <c r="BB1027406" s="38"/>
    </row>
    <row r="1027407" spans="54:54" ht="15.75" customHeight="1" x14ac:dyDescent="0.3">
      <c r="BB1027407" s="38"/>
    </row>
    <row r="1027408" spans="54:54" ht="15.75" customHeight="1" x14ac:dyDescent="0.3">
      <c r="BB1027408" s="38"/>
    </row>
    <row r="1027409" spans="54:54" ht="15.75" customHeight="1" x14ac:dyDescent="0.3">
      <c r="BB1027409" s="38"/>
    </row>
    <row r="1027410" spans="54:54" ht="15.75" customHeight="1" x14ac:dyDescent="0.3">
      <c r="BB1027410" s="38"/>
    </row>
    <row r="1027411" spans="54:54" ht="15.75" customHeight="1" x14ac:dyDescent="0.3">
      <c r="BB1027411" s="38"/>
    </row>
    <row r="1027412" spans="54:54" ht="15.75" customHeight="1" x14ac:dyDescent="0.3">
      <c r="BB1027412" s="38"/>
    </row>
    <row r="1027413" spans="54:54" ht="15.75" customHeight="1" x14ac:dyDescent="0.3">
      <c r="BB1027413" s="38"/>
    </row>
    <row r="1027414" spans="54:54" ht="15.75" customHeight="1" x14ac:dyDescent="0.3">
      <c r="BB1027414" s="38"/>
    </row>
    <row r="1027415" spans="54:54" ht="15.75" customHeight="1" x14ac:dyDescent="0.3">
      <c r="BB1027415" s="38"/>
    </row>
    <row r="1027416" spans="54:54" ht="15.75" customHeight="1" x14ac:dyDescent="0.3">
      <c r="BB1027416" s="38"/>
    </row>
    <row r="1027417" spans="54:54" ht="15.75" customHeight="1" x14ac:dyDescent="0.3">
      <c r="BB1027417" s="38"/>
    </row>
    <row r="1027418" spans="54:54" ht="15.75" customHeight="1" x14ac:dyDescent="0.3">
      <c r="BB1027418" s="38"/>
    </row>
    <row r="1027419" spans="54:54" ht="15.75" customHeight="1" x14ac:dyDescent="0.3">
      <c r="BB1027419" s="38"/>
    </row>
    <row r="1027420" spans="54:54" ht="15.75" customHeight="1" x14ac:dyDescent="0.3">
      <c r="BB1027420" s="38"/>
    </row>
    <row r="1027421" spans="54:54" ht="15.75" customHeight="1" x14ac:dyDescent="0.3">
      <c r="BB1027421" s="38"/>
    </row>
    <row r="1027422" spans="54:54" ht="15.75" customHeight="1" x14ac:dyDescent="0.3">
      <c r="BB1027422" s="38"/>
    </row>
    <row r="1027423" spans="54:54" ht="15.75" customHeight="1" x14ac:dyDescent="0.3">
      <c r="BB1027423" s="38"/>
    </row>
    <row r="1027424" spans="54:54" ht="15.75" customHeight="1" x14ac:dyDescent="0.3">
      <c r="BB1027424" s="38"/>
    </row>
    <row r="1027425" spans="54:54" ht="15.75" customHeight="1" x14ac:dyDescent="0.3">
      <c r="BB1027425" s="38"/>
    </row>
    <row r="1027426" spans="54:54" ht="15.75" customHeight="1" x14ac:dyDescent="0.3">
      <c r="BB1027426" s="38"/>
    </row>
    <row r="1027427" spans="54:54" ht="15.75" customHeight="1" x14ac:dyDescent="0.3">
      <c r="BB1027427" s="38"/>
    </row>
    <row r="1027428" spans="54:54" ht="15.75" customHeight="1" x14ac:dyDescent="0.3">
      <c r="BB1027428" s="38"/>
    </row>
    <row r="1027429" spans="54:54" ht="15.75" customHeight="1" x14ac:dyDescent="0.3">
      <c r="BB1027429" s="38"/>
    </row>
    <row r="1027430" spans="54:54" ht="15.75" customHeight="1" x14ac:dyDescent="0.3">
      <c r="BB1027430" s="38"/>
    </row>
    <row r="1027431" spans="54:54" ht="15.75" customHeight="1" x14ac:dyDescent="0.3">
      <c r="BB1027431" s="38"/>
    </row>
    <row r="1027432" spans="54:54" ht="15.75" customHeight="1" x14ac:dyDescent="0.3">
      <c r="BB1027432" s="38"/>
    </row>
    <row r="1027433" spans="54:54" ht="15.75" customHeight="1" x14ac:dyDescent="0.3">
      <c r="BB1027433" s="38"/>
    </row>
    <row r="1027434" spans="54:54" ht="15.75" customHeight="1" x14ac:dyDescent="0.3">
      <c r="BB1027434" s="38"/>
    </row>
    <row r="1027435" spans="54:54" ht="15.75" customHeight="1" x14ac:dyDescent="0.3">
      <c r="BB1027435" s="38"/>
    </row>
    <row r="1027436" spans="54:54" ht="15.75" customHeight="1" x14ac:dyDescent="0.3">
      <c r="BB1027436" s="38"/>
    </row>
    <row r="1027437" spans="54:54" ht="15.75" customHeight="1" x14ac:dyDescent="0.3">
      <c r="BB1027437" s="38"/>
    </row>
    <row r="1027438" spans="54:54" ht="15.75" customHeight="1" x14ac:dyDescent="0.3">
      <c r="BB1027438" s="38"/>
    </row>
    <row r="1027439" spans="54:54" ht="15.75" customHeight="1" x14ac:dyDescent="0.3">
      <c r="BB1027439" s="38"/>
    </row>
    <row r="1027440" spans="54:54" ht="15.75" customHeight="1" x14ac:dyDescent="0.3">
      <c r="BB1027440" s="38"/>
    </row>
    <row r="1027441" spans="54:54" ht="15.75" customHeight="1" x14ac:dyDescent="0.3">
      <c r="BB1027441" s="38"/>
    </row>
    <row r="1027442" spans="54:54" ht="15.75" customHeight="1" x14ac:dyDescent="0.3">
      <c r="BB1027442" s="38"/>
    </row>
    <row r="1027443" spans="54:54" ht="15.75" customHeight="1" x14ac:dyDescent="0.3">
      <c r="BB1027443" s="38"/>
    </row>
    <row r="1027444" spans="54:54" ht="15.75" customHeight="1" x14ac:dyDescent="0.3">
      <c r="BB1027444" s="38"/>
    </row>
    <row r="1027445" spans="54:54" ht="15.75" customHeight="1" x14ac:dyDescent="0.3">
      <c r="BB1027445" s="38"/>
    </row>
    <row r="1027446" spans="54:54" ht="15.75" customHeight="1" x14ac:dyDescent="0.3">
      <c r="BB1027446" s="38"/>
    </row>
    <row r="1027447" spans="54:54" ht="15.75" customHeight="1" x14ac:dyDescent="0.3">
      <c r="BB1027447" s="38"/>
    </row>
    <row r="1027448" spans="54:54" ht="15.75" customHeight="1" x14ac:dyDescent="0.3">
      <c r="BB1027448" s="38"/>
    </row>
    <row r="1027449" spans="54:54" ht="15.75" customHeight="1" x14ac:dyDescent="0.3">
      <c r="BB1027449" s="38"/>
    </row>
    <row r="1027450" spans="54:54" ht="15.75" customHeight="1" x14ac:dyDescent="0.3">
      <c r="BB1027450" s="38"/>
    </row>
    <row r="1027451" spans="54:54" ht="15.75" customHeight="1" x14ac:dyDescent="0.3">
      <c r="BB1027451" s="38"/>
    </row>
    <row r="1027452" spans="54:54" ht="15.75" customHeight="1" x14ac:dyDescent="0.3">
      <c r="BB1027452" s="38"/>
    </row>
    <row r="1027453" spans="54:54" ht="15.75" customHeight="1" x14ac:dyDescent="0.3">
      <c r="BB1027453" s="38"/>
    </row>
    <row r="1027454" spans="54:54" ht="15.75" customHeight="1" x14ac:dyDescent="0.3">
      <c r="BB1027454" s="38"/>
    </row>
    <row r="1027455" spans="54:54" ht="15.75" customHeight="1" x14ac:dyDescent="0.3">
      <c r="BB1027455" s="38"/>
    </row>
    <row r="1027456" spans="54:54" ht="15.75" customHeight="1" x14ac:dyDescent="0.3">
      <c r="BB1027456" s="38"/>
    </row>
    <row r="1027457" spans="54:54" ht="15.75" customHeight="1" x14ac:dyDescent="0.3">
      <c r="BB1027457" s="38"/>
    </row>
    <row r="1027458" spans="54:54" ht="15.75" customHeight="1" x14ac:dyDescent="0.3">
      <c r="BB1027458" s="38"/>
    </row>
    <row r="1027459" spans="54:54" ht="15.75" customHeight="1" x14ac:dyDescent="0.3">
      <c r="BB1027459" s="38"/>
    </row>
    <row r="1027460" spans="54:54" ht="15.75" customHeight="1" x14ac:dyDescent="0.3">
      <c r="BB1027460" s="38"/>
    </row>
    <row r="1027461" spans="54:54" ht="15.75" customHeight="1" x14ac:dyDescent="0.3">
      <c r="BB1027461" s="38"/>
    </row>
    <row r="1027462" spans="54:54" ht="15.75" customHeight="1" x14ac:dyDescent="0.3">
      <c r="BB1027462" s="38"/>
    </row>
    <row r="1027463" spans="54:54" ht="15.75" customHeight="1" x14ac:dyDescent="0.3">
      <c r="BB1027463" s="38"/>
    </row>
    <row r="1027464" spans="54:54" ht="15.75" customHeight="1" x14ac:dyDescent="0.3">
      <c r="BB1027464" s="38"/>
    </row>
    <row r="1027465" spans="54:54" ht="15.75" customHeight="1" x14ac:dyDescent="0.3">
      <c r="BB1027465" s="38"/>
    </row>
    <row r="1027466" spans="54:54" ht="15.75" customHeight="1" x14ac:dyDescent="0.3">
      <c r="BB1027466" s="38"/>
    </row>
    <row r="1027467" spans="54:54" ht="15.75" customHeight="1" x14ac:dyDescent="0.3">
      <c r="BB1027467" s="38"/>
    </row>
    <row r="1027468" spans="54:54" ht="15.75" customHeight="1" x14ac:dyDescent="0.3">
      <c r="BB1027468" s="38"/>
    </row>
    <row r="1027469" spans="54:54" ht="15.75" customHeight="1" x14ac:dyDescent="0.3">
      <c r="BB1027469" s="38"/>
    </row>
    <row r="1027470" spans="54:54" ht="15.75" customHeight="1" x14ac:dyDescent="0.3">
      <c r="BB1027470" s="38"/>
    </row>
    <row r="1027471" spans="54:54" ht="15.75" customHeight="1" x14ac:dyDescent="0.3">
      <c r="BB1027471" s="38"/>
    </row>
    <row r="1027472" spans="54:54" ht="15.75" customHeight="1" x14ac:dyDescent="0.3">
      <c r="BB1027472" s="38"/>
    </row>
    <row r="1027473" spans="54:54" ht="15.75" customHeight="1" x14ac:dyDescent="0.3">
      <c r="BB1027473" s="38"/>
    </row>
    <row r="1027474" spans="54:54" ht="15.75" customHeight="1" x14ac:dyDescent="0.3">
      <c r="BB1027474" s="38"/>
    </row>
    <row r="1027475" spans="54:54" ht="15.75" customHeight="1" x14ac:dyDescent="0.3">
      <c r="BB1027475" s="38"/>
    </row>
    <row r="1027476" spans="54:54" ht="15.75" customHeight="1" x14ac:dyDescent="0.3">
      <c r="BB1027476" s="38"/>
    </row>
    <row r="1027477" spans="54:54" ht="15.75" customHeight="1" x14ac:dyDescent="0.3">
      <c r="BB1027477" s="38"/>
    </row>
    <row r="1027478" spans="54:54" ht="15.75" customHeight="1" x14ac:dyDescent="0.3">
      <c r="BB1027478" s="38"/>
    </row>
    <row r="1027479" spans="54:54" ht="15.75" customHeight="1" x14ac:dyDescent="0.3">
      <c r="BB1027479" s="38"/>
    </row>
    <row r="1027480" spans="54:54" ht="15.75" customHeight="1" x14ac:dyDescent="0.3">
      <c r="BB1027480" s="38"/>
    </row>
    <row r="1027481" spans="54:54" ht="15.75" customHeight="1" x14ac:dyDescent="0.3">
      <c r="BB1027481" s="38"/>
    </row>
    <row r="1027482" spans="54:54" ht="15.75" customHeight="1" x14ac:dyDescent="0.3">
      <c r="BB1027482" s="38"/>
    </row>
    <row r="1027483" spans="54:54" ht="15.75" customHeight="1" x14ac:dyDescent="0.3">
      <c r="BB1027483" s="38"/>
    </row>
    <row r="1027484" spans="54:54" ht="15.75" customHeight="1" x14ac:dyDescent="0.3">
      <c r="BB1027484" s="38"/>
    </row>
    <row r="1027485" spans="54:54" ht="15.75" customHeight="1" x14ac:dyDescent="0.3">
      <c r="BB1027485" s="38"/>
    </row>
    <row r="1027486" spans="54:54" ht="15.75" customHeight="1" x14ac:dyDescent="0.3">
      <c r="BB1027486" s="38"/>
    </row>
    <row r="1027487" spans="54:54" ht="15.75" customHeight="1" x14ac:dyDescent="0.3">
      <c r="BB1027487" s="38"/>
    </row>
    <row r="1027488" spans="54:54" ht="15.75" customHeight="1" x14ac:dyDescent="0.3">
      <c r="BB1027488" s="38"/>
    </row>
    <row r="1027489" spans="54:54" ht="15.75" customHeight="1" x14ac:dyDescent="0.3">
      <c r="BB1027489" s="38"/>
    </row>
    <row r="1027490" spans="54:54" ht="15.75" customHeight="1" x14ac:dyDescent="0.3">
      <c r="BB1027490" s="38"/>
    </row>
    <row r="1027491" spans="54:54" ht="15.75" customHeight="1" x14ac:dyDescent="0.3">
      <c r="BB1027491" s="38"/>
    </row>
    <row r="1027492" spans="54:54" ht="15.75" customHeight="1" x14ac:dyDescent="0.3">
      <c r="BB1027492" s="38"/>
    </row>
    <row r="1027493" spans="54:54" ht="15.75" customHeight="1" x14ac:dyDescent="0.3">
      <c r="BB1027493" s="38"/>
    </row>
    <row r="1027494" spans="54:54" ht="15.75" customHeight="1" x14ac:dyDescent="0.3">
      <c r="BB1027494" s="38"/>
    </row>
    <row r="1027495" spans="54:54" ht="15.75" customHeight="1" x14ac:dyDescent="0.3">
      <c r="BB1027495" s="38"/>
    </row>
    <row r="1027496" spans="54:54" ht="15.75" customHeight="1" x14ac:dyDescent="0.3">
      <c r="BB1027496" s="38"/>
    </row>
    <row r="1027497" spans="54:54" ht="15.75" customHeight="1" x14ac:dyDescent="0.3">
      <c r="BB1027497" s="38"/>
    </row>
    <row r="1027498" spans="54:54" ht="15.75" customHeight="1" x14ac:dyDescent="0.3">
      <c r="BB1027498" s="38"/>
    </row>
    <row r="1027499" spans="54:54" ht="15.75" customHeight="1" x14ac:dyDescent="0.3">
      <c r="BB1027499" s="38"/>
    </row>
    <row r="1027500" spans="54:54" ht="15.75" customHeight="1" x14ac:dyDescent="0.3">
      <c r="BB1027500" s="38"/>
    </row>
    <row r="1027501" spans="54:54" ht="15.75" customHeight="1" x14ac:dyDescent="0.3">
      <c r="BB1027501" s="38"/>
    </row>
    <row r="1027502" spans="54:54" ht="15.75" customHeight="1" x14ac:dyDescent="0.3">
      <c r="BB1027502" s="38"/>
    </row>
    <row r="1027503" spans="54:54" ht="15.75" customHeight="1" x14ac:dyDescent="0.3">
      <c r="BB1027503" s="38"/>
    </row>
    <row r="1027504" spans="54:54" ht="15.75" customHeight="1" x14ac:dyDescent="0.3">
      <c r="BB1027504" s="38"/>
    </row>
    <row r="1027505" spans="54:54" ht="15.75" customHeight="1" x14ac:dyDescent="0.3">
      <c r="BB1027505" s="38"/>
    </row>
    <row r="1027506" spans="54:54" ht="15.75" customHeight="1" x14ac:dyDescent="0.3">
      <c r="BB1027506" s="38"/>
    </row>
    <row r="1027507" spans="54:54" ht="15.75" customHeight="1" x14ac:dyDescent="0.3">
      <c r="BB1027507" s="38"/>
    </row>
    <row r="1027508" spans="54:54" ht="15.75" customHeight="1" x14ac:dyDescent="0.3">
      <c r="BB1027508" s="38"/>
    </row>
    <row r="1027509" spans="54:54" ht="15.75" customHeight="1" x14ac:dyDescent="0.3">
      <c r="BB1027509" s="38"/>
    </row>
    <row r="1027510" spans="54:54" ht="15.75" customHeight="1" x14ac:dyDescent="0.3">
      <c r="BB1027510" s="38"/>
    </row>
    <row r="1027511" spans="54:54" ht="15.75" customHeight="1" x14ac:dyDescent="0.3">
      <c r="BB1027511" s="38"/>
    </row>
    <row r="1027512" spans="54:54" ht="15.75" customHeight="1" x14ac:dyDescent="0.3">
      <c r="BB1027512" s="38"/>
    </row>
    <row r="1027513" spans="54:54" ht="15.75" customHeight="1" x14ac:dyDescent="0.3">
      <c r="BB1027513" s="38"/>
    </row>
    <row r="1027514" spans="54:54" ht="15.75" customHeight="1" x14ac:dyDescent="0.3">
      <c r="BB1027514" s="38"/>
    </row>
    <row r="1027515" spans="54:54" ht="15.75" customHeight="1" x14ac:dyDescent="0.3">
      <c r="BB1027515" s="38"/>
    </row>
    <row r="1027516" spans="54:54" ht="15.75" customHeight="1" x14ac:dyDescent="0.3">
      <c r="BB1027516" s="38"/>
    </row>
    <row r="1027517" spans="54:54" ht="15.75" customHeight="1" x14ac:dyDescent="0.3">
      <c r="BB1027517" s="38"/>
    </row>
    <row r="1027518" spans="54:54" ht="15.75" customHeight="1" x14ac:dyDescent="0.3">
      <c r="BB1027518" s="38"/>
    </row>
    <row r="1027519" spans="54:54" ht="15.75" customHeight="1" x14ac:dyDescent="0.3">
      <c r="BB1027519" s="38"/>
    </row>
    <row r="1027520" spans="54:54" ht="15.75" customHeight="1" x14ac:dyDescent="0.3">
      <c r="BB1027520" s="38"/>
    </row>
    <row r="1027521" spans="54:54" ht="15.75" customHeight="1" x14ac:dyDescent="0.3">
      <c r="BB1027521" s="38"/>
    </row>
    <row r="1027522" spans="54:54" ht="15.75" customHeight="1" x14ac:dyDescent="0.3">
      <c r="BB1027522" s="38"/>
    </row>
    <row r="1027523" spans="54:54" ht="15.75" customHeight="1" x14ac:dyDescent="0.3">
      <c r="BB1027523" s="38"/>
    </row>
    <row r="1027524" spans="54:54" ht="15.75" customHeight="1" x14ac:dyDescent="0.3">
      <c r="BB1027524" s="38"/>
    </row>
    <row r="1027525" spans="54:54" ht="15.75" customHeight="1" x14ac:dyDescent="0.3">
      <c r="BB1027525" s="38"/>
    </row>
    <row r="1027526" spans="54:54" ht="15.75" customHeight="1" x14ac:dyDescent="0.3">
      <c r="BB1027526" s="38"/>
    </row>
    <row r="1027527" spans="54:54" ht="15.75" customHeight="1" x14ac:dyDescent="0.3">
      <c r="BB1027527" s="38"/>
    </row>
    <row r="1027528" spans="54:54" ht="15.75" customHeight="1" x14ac:dyDescent="0.3">
      <c r="BB1027528" s="38"/>
    </row>
    <row r="1027529" spans="54:54" ht="15.75" customHeight="1" x14ac:dyDescent="0.3">
      <c r="BB1027529" s="38"/>
    </row>
    <row r="1027530" spans="54:54" ht="15.75" customHeight="1" x14ac:dyDescent="0.3">
      <c r="BB1027530" s="38"/>
    </row>
    <row r="1027531" spans="54:54" ht="15.75" customHeight="1" x14ac:dyDescent="0.3">
      <c r="BB1027531" s="38"/>
    </row>
    <row r="1027532" spans="54:54" ht="15.75" customHeight="1" x14ac:dyDescent="0.3">
      <c r="BB1027532" s="38"/>
    </row>
    <row r="1027533" spans="54:54" ht="15.75" customHeight="1" x14ac:dyDescent="0.3">
      <c r="BB1027533" s="38"/>
    </row>
    <row r="1027534" spans="54:54" ht="15.75" customHeight="1" x14ac:dyDescent="0.3">
      <c r="BB1027534" s="38"/>
    </row>
    <row r="1027535" spans="54:54" ht="15.75" customHeight="1" x14ac:dyDescent="0.3">
      <c r="BB1027535" s="38"/>
    </row>
    <row r="1027536" spans="54:54" ht="15.75" customHeight="1" x14ac:dyDescent="0.3">
      <c r="BB1027536" s="38"/>
    </row>
    <row r="1027537" spans="54:54" ht="15.75" customHeight="1" x14ac:dyDescent="0.3">
      <c r="BB1027537" s="38"/>
    </row>
    <row r="1027538" spans="54:54" ht="15.75" customHeight="1" x14ac:dyDescent="0.3">
      <c r="BB1027538" s="38"/>
    </row>
    <row r="1027539" spans="54:54" ht="15.75" customHeight="1" x14ac:dyDescent="0.3">
      <c r="BB1027539" s="38"/>
    </row>
    <row r="1027540" spans="54:54" ht="15.75" customHeight="1" x14ac:dyDescent="0.3">
      <c r="BB1027540" s="38"/>
    </row>
    <row r="1027541" spans="54:54" ht="15.75" customHeight="1" x14ac:dyDescent="0.3">
      <c r="BB1027541" s="38"/>
    </row>
    <row r="1027542" spans="54:54" ht="15.75" customHeight="1" x14ac:dyDescent="0.3">
      <c r="BB1027542" s="38"/>
    </row>
    <row r="1027543" spans="54:54" ht="15.75" customHeight="1" x14ac:dyDescent="0.3">
      <c r="BB1027543" s="38"/>
    </row>
    <row r="1027544" spans="54:54" ht="15.75" customHeight="1" x14ac:dyDescent="0.3">
      <c r="BB1027544" s="38"/>
    </row>
    <row r="1027545" spans="54:54" ht="15.75" customHeight="1" x14ac:dyDescent="0.3">
      <c r="BB1027545" s="38"/>
    </row>
    <row r="1027546" spans="54:54" ht="15.75" customHeight="1" x14ac:dyDescent="0.3">
      <c r="BB1027546" s="38"/>
    </row>
    <row r="1027547" spans="54:54" ht="15.75" customHeight="1" x14ac:dyDescent="0.3">
      <c r="BB1027547" s="38"/>
    </row>
    <row r="1027548" spans="54:54" ht="15.75" customHeight="1" x14ac:dyDescent="0.3">
      <c r="BB1027548" s="38"/>
    </row>
    <row r="1027549" spans="54:54" ht="15.75" customHeight="1" x14ac:dyDescent="0.3">
      <c r="BB1027549" s="38"/>
    </row>
    <row r="1027550" spans="54:54" ht="15.75" customHeight="1" x14ac:dyDescent="0.3">
      <c r="BB1027550" s="38"/>
    </row>
    <row r="1027551" spans="54:54" ht="15.75" customHeight="1" x14ac:dyDescent="0.3">
      <c r="BB1027551" s="38"/>
    </row>
    <row r="1027552" spans="54:54" ht="15.75" customHeight="1" x14ac:dyDescent="0.3">
      <c r="BB1027552" s="38"/>
    </row>
    <row r="1027553" spans="54:54" ht="15.75" customHeight="1" x14ac:dyDescent="0.3">
      <c r="BB1027553" s="38"/>
    </row>
    <row r="1027554" spans="54:54" ht="15.75" customHeight="1" x14ac:dyDescent="0.3">
      <c r="BB1027554" s="38"/>
    </row>
    <row r="1027555" spans="54:54" ht="15.75" customHeight="1" x14ac:dyDescent="0.3">
      <c r="BB1027555" s="38"/>
    </row>
    <row r="1027556" spans="54:54" ht="15.75" customHeight="1" x14ac:dyDescent="0.3">
      <c r="BB1027556" s="38"/>
    </row>
    <row r="1027557" spans="54:54" ht="15.75" customHeight="1" x14ac:dyDescent="0.3">
      <c r="BB1027557" s="38"/>
    </row>
    <row r="1027558" spans="54:54" ht="15.75" customHeight="1" x14ac:dyDescent="0.3">
      <c r="BB1027558" s="38"/>
    </row>
    <row r="1027559" spans="54:54" ht="15.75" customHeight="1" x14ac:dyDescent="0.3">
      <c r="BB1027559" s="38"/>
    </row>
    <row r="1027560" spans="54:54" ht="15.75" customHeight="1" x14ac:dyDescent="0.3">
      <c r="BB1027560" s="38"/>
    </row>
    <row r="1027561" spans="54:54" ht="15.75" customHeight="1" x14ac:dyDescent="0.3">
      <c r="BB1027561" s="38"/>
    </row>
    <row r="1027562" spans="54:54" ht="15.75" customHeight="1" x14ac:dyDescent="0.3">
      <c r="BB1027562" s="38"/>
    </row>
    <row r="1027563" spans="54:54" ht="15.75" customHeight="1" x14ac:dyDescent="0.3">
      <c r="BB1027563" s="38"/>
    </row>
    <row r="1027564" spans="54:54" ht="15.75" customHeight="1" x14ac:dyDescent="0.3">
      <c r="BB1027564" s="38"/>
    </row>
    <row r="1027565" spans="54:54" ht="15.75" customHeight="1" x14ac:dyDescent="0.3">
      <c r="BB1027565" s="38"/>
    </row>
    <row r="1027566" spans="54:54" ht="15.75" customHeight="1" x14ac:dyDescent="0.3">
      <c r="BB1027566" s="38"/>
    </row>
    <row r="1027567" spans="54:54" ht="15.75" customHeight="1" x14ac:dyDescent="0.3">
      <c r="BB1027567" s="38"/>
    </row>
    <row r="1027568" spans="54:54" ht="15.75" customHeight="1" x14ac:dyDescent="0.3">
      <c r="BB1027568" s="38"/>
    </row>
    <row r="1027569" spans="54:54" ht="15.75" customHeight="1" x14ac:dyDescent="0.3">
      <c r="BB1027569" s="38"/>
    </row>
    <row r="1027570" spans="54:54" ht="15.75" customHeight="1" x14ac:dyDescent="0.3">
      <c r="BB1027570" s="38"/>
    </row>
    <row r="1027571" spans="54:54" ht="15.75" customHeight="1" x14ac:dyDescent="0.3">
      <c r="BB1027571" s="38"/>
    </row>
    <row r="1027572" spans="54:54" ht="15.75" customHeight="1" x14ac:dyDescent="0.3">
      <c r="BB1027572" s="38"/>
    </row>
    <row r="1027573" spans="54:54" ht="15.75" customHeight="1" x14ac:dyDescent="0.3">
      <c r="BB1027573" s="38"/>
    </row>
    <row r="1027574" spans="54:54" ht="15.75" customHeight="1" x14ac:dyDescent="0.3">
      <c r="BB1027574" s="38"/>
    </row>
    <row r="1027575" spans="54:54" ht="15.75" customHeight="1" x14ac:dyDescent="0.3">
      <c r="BB1027575" s="38"/>
    </row>
    <row r="1027576" spans="54:54" ht="15.75" customHeight="1" x14ac:dyDescent="0.3">
      <c r="BB1027576" s="38"/>
    </row>
    <row r="1027577" spans="54:54" ht="15.75" customHeight="1" x14ac:dyDescent="0.3">
      <c r="BB1027577" s="38"/>
    </row>
    <row r="1027578" spans="54:54" ht="15.75" customHeight="1" x14ac:dyDescent="0.3">
      <c r="BB1027578" s="38"/>
    </row>
    <row r="1027579" spans="54:54" ht="15.75" customHeight="1" x14ac:dyDescent="0.3">
      <c r="BB1027579" s="38"/>
    </row>
    <row r="1027580" spans="54:54" ht="15.75" customHeight="1" x14ac:dyDescent="0.3">
      <c r="BB1027580" s="38"/>
    </row>
    <row r="1027581" spans="54:54" ht="15.75" customHeight="1" x14ac:dyDescent="0.3">
      <c r="BB1027581" s="38"/>
    </row>
    <row r="1027582" spans="54:54" ht="15.75" customHeight="1" x14ac:dyDescent="0.3">
      <c r="BB1027582" s="38"/>
    </row>
    <row r="1027583" spans="54:54" ht="15.75" customHeight="1" x14ac:dyDescent="0.3">
      <c r="BB1027583" s="38"/>
    </row>
    <row r="1027584" spans="54:54" ht="15.75" customHeight="1" x14ac:dyDescent="0.3">
      <c r="BB1027584" s="38"/>
    </row>
    <row r="1027585" spans="54:54" ht="15.75" customHeight="1" x14ac:dyDescent="0.3">
      <c r="BB1027585" s="38"/>
    </row>
    <row r="1027586" spans="54:54" ht="15.75" customHeight="1" x14ac:dyDescent="0.3">
      <c r="BB1027586" s="38"/>
    </row>
    <row r="1027587" spans="54:54" ht="15.75" customHeight="1" x14ac:dyDescent="0.3">
      <c r="BB1027587" s="38"/>
    </row>
    <row r="1027588" spans="54:54" ht="15.75" customHeight="1" x14ac:dyDescent="0.3">
      <c r="BB1027588" s="38"/>
    </row>
    <row r="1027589" spans="54:54" ht="15.75" customHeight="1" x14ac:dyDescent="0.3">
      <c r="BB1027589" s="38"/>
    </row>
    <row r="1027590" spans="54:54" ht="15.75" customHeight="1" x14ac:dyDescent="0.3">
      <c r="BB1027590" s="38"/>
    </row>
    <row r="1027591" spans="54:54" ht="15.75" customHeight="1" x14ac:dyDescent="0.3">
      <c r="BB1027591" s="38"/>
    </row>
    <row r="1027592" spans="54:54" ht="15.75" customHeight="1" x14ac:dyDescent="0.3">
      <c r="BB1027592" s="38"/>
    </row>
    <row r="1027593" spans="54:54" ht="15.75" customHeight="1" x14ac:dyDescent="0.3">
      <c r="BB1027593" s="38"/>
    </row>
    <row r="1027594" spans="54:54" ht="15.75" customHeight="1" x14ac:dyDescent="0.3">
      <c r="BB1027594" s="38"/>
    </row>
    <row r="1027595" spans="54:54" ht="15.75" customHeight="1" x14ac:dyDescent="0.3">
      <c r="BB1027595" s="38"/>
    </row>
    <row r="1027596" spans="54:54" ht="15.75" customHeight="1" x14ac:dyDescent="0.3">
      <c r="BB1027596" s="38"/>
    </row>
    <row r="1027597" spans="54:54" ht="15.75" customHeight="1" x14ac:dyDescent="0.3">
      <c r="BB1027597" s="38"/>
    </row>
    <row r="1027598" spans="54:54" ht="15.75" customHeight="1" x14ac:dyDescent="0.3">
      <c r="BB1027598" s="38"/>
    </row>
    <row r="1027599" spans="54:54" ht="15.75" customHeight="1" x14ac:dyDescent="0.3">
      <c r="BB1027599" s="38"/>
    </row>
    <row r="1027600" spans="54:54" ht="15.75" customHeight="1" x14ac:dyDescent="0.3">
      <c r="BB1027600" s="38"/>
    </row>
    <row r="1027601" spans="54:54" ht="15.75" customHeight="1" x14ac:dyDescent="0.3">
      <c r="BB1027601" s="38"/>
    </row>
    <row r="1027602" spans="54:54" ht="15.75" customHeight="1" x14ac:dyDescent="0.3">
      <c r="BB1027602" s="38"/>
    </row>
    <row r="1027603" spans="54:54" ht="15.75" customHeight="1" x14ac:dyDescent="0.3">
      <c r="BB1027603" s="38"/>
    </row>
    <row r="1027604" spans="54:54" ht="15.75" customHeight="1" x14ac:dyDescent="0.3">
      <c r="BB1027604" s="38"/>
    </row>
    <row r="1027605" spans="54:54" ht="15.75" customHeight="1" x14ac:dyDescent="0.3">
      <c r="BB1027605" s="38"/>
    </row>
    <row r="1027606" spans="54:54" ht="15.75" customHeight="1" x14ac:dyDescent="0.3">
      <c r="BB1027606" s="38"/>
    </row>
    <row r="1027607" spans="54:54" ht="15.75" customHeight="1" x14ac:dyDescent="0.3">
      <c r="BB1027607" s="38"/>
    </row>
    <row r="1027608" spans="54:54" ht="15.75" customHeight="1" x14ac:dyDescent="0.3">
      <c r="BB1027608" s="38"/>
    </row>
    <row r="1027609" spans="54:54" ht="15.75" customHeight="1" x14ac:dyDescent="0.3">
      <c r="BB1027609" s="38"/>
    </row>
    <row r="1027610" spans="54:54" ht="15.75" customHeight="1" x14ac:dyDescent="0.3">
      <c r="BB1027610" s="38"/>
    </row>
    <row r="1027611" spans="54:54" ht="15.75" customHeight="1" x14ac:dyDescent="0.3">
      <c r="BB1027611" s="38"/>
    </row>
    <row r="1027612" spans="54:54" ht="15.75" customHeight="1" x14ac:dyDescent="0.3">
      <c r="BB1027612" s="38"/>
    </row>
    <row r="1027613" spans="54:54" ht="15.75" customHeight="1" x14ac:dyDescent="0.3">
      <c r="BB1027613" s="38"/>
    </row>
    <row r="1027614" spans="54:54" ht="15.75" customHeight="1" x14ac:dyDescent="0.3">
      <c r="BB1027614" s="38"/>
    </row>
    <row r="1027615" spans="54:54" ht="15.75" customHeight="1" x14ac:dyDescent="0.3">
      <c r="BB1027615" s="38"/>
    </row>
    <row r="1027616" spans="54:54" ht="15.75" customHeight="1" x14ac:dyDescent="0.3">
      <c r="BB1027616" s="38"/>
    </row>
    <row r="1027617" spans="54:54" ht="15.75" customHeight="1" x14ac:dyDescent="0.3">
      <c r="BB1027617" s="38"/>
    </row>
    <row r="1027618" spans="54:54" ht="15.75" customHeight="1" x14ac:dyDescent="0.3">
      <c r="BB1027618" s="38"/>
    </row>
    <row r="1027619" spans="54:54" ht="15.75" customHeight="1" x14ac:dyDescent="0.3">
      <c r="BB1027619" s="38"/>
    </row>
    <row r="1027620" spans="54:54" ht="15.75" customHeight="1" x14ac:dyDescent="0.3">
      <c r="BB1027620" s="38"/>
    </row>
    <row r="1027621" spans="54:54" ht="15.75" customHeight="1" x14ac:dyDescent="0.3">
      <c r="BB1027621" s="38"/>
    </row>
    <row r="1027622" spans="54:54" ht="15.75" customHeight="1" x14ac:dyDescent="0.3">
      <c r="BB1027622" s="38"/>
    </row>
    <row r="1027623" spans="54:54" ht="15.75" customHeight="1" x14ac:dyDescent="0.3">
      <c r="BB1027623" s="38"/>
    </row>
    <row r="1027624" spans="54:54" ht="15.75" customHeight="1" x14ac:dyDescent="0.3">
      <c r="BB1027624" s="38"/>
    </row>
    <row r="1027625" spans="54:54" ht="15.75" customHeight="1" x14ac:dyDescent="0.3">
      <c r="BB1027625" s="38"/>
    </row>
    <row r="1027626" spans="54:54" ht="15.75" customHeight="1" x14ac:dyDescent="0.3">
      <c r="BB1027626" s="38"/>
    </row>
    <row r="1027627" spans="54:54" ht="15.75" customHeight="1" x14ac:dyDescent="0.3">
      <c r="BB1027627" s="38"/>
    </row>
    <row r="1027628" spans="54:54" ht="15.75" customHeight="1" x14ac:dyDescent="0.3">
      <c r="BB1027628" s="38"/>
    </row>
    <row r="1027629" spans="54:54" ht="15.75" customHeight="1" x14ac:dyDescent="0.3">
      <c r="BB1027629" s="38"/>
    </row>
    <row r="1027630" spans="54:54" ht="15.75" customHeight="1" x14ac:dyDescent="0.3">
      <c r="BB1027630" s="38"/>
    </row>
    <row r="1027631" spans="54:54" ht="15.75" customHeight="1" x14ac:dyDescent="0.3">
      <c r="BB1027631" s="38"/>
    </row>
    <row r="1027632" spans="54:54" ht="15.75" customHeight="1" x14ac:dyDescent="0.3">
      <c r="BB1027632" s="38"/>
    </row>
    <row r="1027633" spans="54:54" ht="15.75" customHeight="1" x14ac:dyDescent="0.3">
      <c r="BB1027633" s="38"/>
    </row>
    <row r="1027634" spans="54:54" ht="15.75" customHeight="1" x14ac:dyDescent="0.3">
      <c r="BB1027634" s="38"/>
    </row>
    <row r="1027635" spans="54:54" ht="15.75" customHeight="1" x14ac:dyDescent="0.3">
      <c r="BB1027635" s="38"/>
    </row>
    <row r="1027636" spans="54:54" ht="15.75" customHeight="1" x14ac:dyDescent="0.3">
      <c r="BB1027636" s="38"/>
    </row>
    <row r="1027637" spans="54:54" ht="15.75" customHeight="1" x14ac:dyDescent="0.3">
      <c r="BB1027637" s="38"/>
    </row>
    <row r="1027638" spans="54:54" ht="15.75" customHeight="1" x14ac:dyDescent="0.3">
      <c r="BB1027638" s="38"/>
    </row>
    <row r="1027639" spans="54:54" ht="15.75" customHeight="1" x14ac:dyDescent="0.3">
      <c r="BB1027639" s="38"/>
    </row>
    <row r="1027640" spans="54:54" ht="15.75" customHeight="1" x14ac:dyDescent="0.3">
      <c r="BB1027640" s="38"/>
    </row>
    <row r="1027641" spans="54:54" ht="15.75" customHeight="1" x14ac:dyDescent="0.3">
      <c r="BB1027641" s="38"/>
    </row>
    <row r="1027642" spans="54:54" ht="15.75" customHeight="1" x14ac:dyDescent="0.3">
      <c r="BB1027642" s="38"/>
    </row>
    <row r="1027643" spans="54:54" ht="15.75" customHeight="1" x14ac:dyDescent="0.3">
      <c r="BB1027643" s="38"/>
    </row>
    <row r="1027644" spans="54:54" ht="15.75" customHeight="1" x14ac:dyDescent="0.3">
      <c r="BB1027644" s="38"/>
    </row>
    <row r="1027645" spans="54:54" ht="15.75" customHeight="1" x14ac:dyDescent="0.3">
      <c r="BB1027645" s="38"/>
    </row>
    <row r="1027646" spans="54:54" ht="15.75" customHeight="1" x14ac:dyDescent="0.3">
      <c r="BB1027646" s="38"/>
    </row>
    <row r="1027647" spans="54:54" ht="15.75" customHeight="1" x14ac:dyDescent="0.3">
      <c r="BB1027647" s="38"/>
    </row>
    <row r="1027648" spans="54:54" ht="15.75" customHeight="1" x14ac:dyDescent="0.3">
      <c r="BB1027648" s="38"/>
    </row>
    <row r="1027649" spans="54:54" ht="15.75" customHeight="1" x14ac:dyDescent="0.3">
      <c r="BB1027649" s="38"/>
    </row>
    <row r="1027650" spans="54:54" ht="15.75" customHeight="1" x14ac:dyDescent="0.3">
      <c r="BB1027650" s="38"/>
    </row>
    <row r="1027651" spans="54:54" ht="15.75" customHeight="1" x14ac:dyDescent="0.3">
      <c r="BB1027651" s="38"/>
    </row>
    <row r="1027652" spans="54:54" ht="15.75" customHeight="1" x14ac:dyDescent="0.3">
      <c r="BB1027652" s="38"/>
    </row>
    <row r="1027653" spans="54:54" ht="15.75" customHeight="1" x14ac:dyDescent="0.3">
      <c r="BB1027653" s="38"/>
    </row>
    <row r="1027654" spans="54:54" ht="15.75" customHeight="1" x14ac:dyDescent="0.3">
      <c r="BB1027654" s="38"/>
    </row>
    <row r="1027655" spans="54:54" ht="15.75" customHeight="1" x14ac:dyDescent="0.3">
      <c r="BB1027655" s="38"/>
    </row>
    <row r="1027656" spans="54:54" ht="15.75" customHeight="1" x14ac:dyDescent="0.3">
      <c r="BB1027656" s="38"/>
    </row>
    <row r="1027657" spans="54:54" ht="15.75" customHeight="1" x14ac:dyDescent="0.3">
      <c r="BB1027657" s="38"/>
    </row>
    <row r="1027658" spans="54:54" ht="15.75" customHeight="1" x14ac:dyDescent="0.3">
      <c r="BB1027658" s="38"/>
    </row>
    <row r="1027659" spans="54:54" ht="15.75" customHeight="1" x14ac:dyDescent="0.3">
      <c r="BB1027659" s="38"/>
    </row>
    <row r="1027660" spans="54:54" ht="15.75" customHeight="1" x14ac:dyDescent="0.3">
      <c r="BB1027660" s="38"/>
    </row>
    <row r="1027661" spans="54:54" ht="15.75" customHeight="1" x14ac:dyDescent="0.3">
      <c r="BB1027661" s="38"/>
    </row>
    <row r="1027662" spans="54:54" ht="15.75" customHeight="1" x14ac:dyDescent="0.3">
      <c r="BB1027662" s="38"/>
    </row>
    <row r="1027663" spans="54:54" ht="15.75" customHeight="1" x14ac:dyDescent="0.3">
      <c r="BB1027663" s="38"/>
    </row>
    <row r="1027664" spans="54:54" ht="15.75" customHeight="1" x14ac:dyDescent="0.3">
      <c r="BB1027664" s="38"/>
    </row>
    <row r="1027665" spans="54:54" ht="15.75" customHeight="1" x14ac:dyDescent="0.3">
      <c r="BB1027665" s="38"/>
    </row>
    <row r="1027666" spans="54:54" ht="15.75" customHeight="1" x14ac:dyDescent="0.3">
      <c r="BB1027666" s="38"/>
    </row>
    <row r="1027667" spans="54:54" ht="15.75" customHeight="1" x14ac:dyDescent="0.3">
      <c r="BB1027667" s="38"/>
    </row>
    <row r="1027668" spans="54:54" ht="15.75" customHeight="1" x14ac:dyDescent="0.3">
      <c r="BB1027668" s="38"/>
    </row>
    <row r="1027669" spans="54:54" ht="15.75" customHeight="1" x14ac:dyDescent="0.3">
      <c r="BB1027669" s="38"/>
    </row>
    <row r="1027670" spans="54:54" ht="15.75" customHeight="1" x14ac:dyDescent="0.3">
      <c r="BB1027670" s="38"/>
    </row>
    <row r="1027671" spans="54:54" ht="15.75" customHeight="1" x14ac:dyDescent="0.3">
      <c r="BB1027671" s="38"/>
    </row>
    <row r="1027672" spans="54:54" ht="15.75" customHeight="1" x14ac:dyDescent="0.3">
      <c r="BB1027672" s="38"/>
    </row>
    <row r="1027673" spans="54:54" ht="15.75" customHeight="1" x14ac:dyDescent="0.3">
      <c r="BB1027673" s="38"/>
    </row>
    <row r="1027674" spans="54:54" ht="15.75" customHeight="1" x14ac:dyDescent="0.3">
      <c r="BB1027674" s="38"/>
    </row>
    <row r="1027675" spans="54:54" ht="15.75" customHeight="1" x14ac:dyDescent="0.3">
      <c r="BB1027675" s="38"/>
    </row>
    <row r="1027676" spans="54:54" ht="15.75" customHeight="1" x14ac:dyDescent="0.3">
      <c r="BB1027676" s="38"/>
    </row>
    <row r="1027677" spans="54:54" ht="15.75" customHeight="1" x14ac:dyDescent="0.3">
      <c r="BB1027677" s="38"/>
    </row>
    <row r="1027678" spans="54:54" ht="15.75" customHeight="1" x14ac:dyDescent="0.3">
      <c r="BB1027678" s="38"/>
    </row>
    <row r="1027679" spans="54:54" ht="15.75" customHeight="1" x14ac:dyDescent="0.3">
      <c r="BB1027679" s="38"/>
    </row>
    <row r="1027680" spans="54:54" ht="15.75" customHeight="1" x14ac:dyDescent="0.3">
      <c r="BB1027680" s="38"/>
    </row>
    <row r="1027681" spans="54:54" ht="15.75" customHeight="1" x14ac:dyDescent="0.3">
      <c r="BB1027681" s="38"/>
    </row>
    <row r="1027682" spans="54:54" ht="15.75" customHeight="1" x14ac:dyDescent="0.3">
      <c r="BB1027682" s="38"/>
    </row>
    <row r="1027683" spans="54:54" ht="15.75" customHeight="1" x14ac:dyDescent="0.3">
      <c r="BB1027683" s="38"/>
    </row>
    <row r="1027684" spans="54:54" ht="15.75" customHeight="1" x14ac:dyDescent="0.3">
      <c r="BB1027684" s="38"/>
    </row>
    <row r="1027685" spans="54:54" ht="15.75" customHeight="1" x14ac:dyDescent="0.3">
      <c r="BB1027685" s="38"/>
    </row>
    <row r="1027686" spans="54:54" ht="15.75" customHeight="1" x14ac:dyDescent="0.3">
      <c r="BB1027686" s="38"/>
    </row>
    <row r="1027687" spans="54:54" ht="15.75" customHeight="1" x14ac:dyDescent="0.3">
      <c r="BB1027687" s="38"/>
    </row>
    <row r="1027688" spans="54:54" ht="15.75" customHeight="1" x14ac:dyDescent="0.3">
      <c r="BB1027688" s="38"/>
    </row>
    <row r="1027689" spans="54:54" ht="15.75" customHeight="1" x14ac:dyDescent="0.3">
      <c r="BB1027689" s="38"/>
    </row>
    <row r="1027690" spans="54:54" ht="15.75" customHeight="1" x14ac:dyDescent="0.3">
      <c r="BB1027690" s="38"/>
    </row>
    <row r="1027691" spans="54:54" ht="15.75" customHeight="1" x14ac:dyDescent="0.3">
      <c r="BB1027691" s="38"/>
    </row>
    <row r="1027692" spans="54:54" ht="15.75" customHeight="1" x14ac:dyDescent="0.3">
      <c r="BB1027692" s="38"/>
    </row>
    <row r="1027693" spans="54:54" ht="15.75" customHeight="1" x14ac:dyDescent="0.3">
      <c r="BB1027693" s="38"/>
    </row>
    <row r="1027694" spans="54:54" ht="15.75" customHeight="1" x14ac:dyDescent="0.3">
      <c r="BB1027694" s="38"/>
    </row>
    <row r="1027695" spans="54:54" ht="15.75" customHeight="1" x14ac:dyDescent="0.3">
      <c r="BB1027695" s="38"/>
    </row>
    <row r="1027696" spans="54:54" ht="15.75" customHeight="1" x14ac:dyDescent="0.3">
      <c r="BB1027696" s="38"/>
    </row>
    <row r="1027697" spans="54:54" ht="15.75" customHeight="1" x14ac:dyDescent="0.3">
      <c r="BB1027697" s="38"/>
    </row>
    <row r="1027698" spans="54:54" ht="15.75" customHeight="1" x14ac:dyDescent="0.3">
      <c r="BB1027698" s="38"/>
    </row>
    <row r="1027699" spans="54:54" ht="15.75" customHeight="1" x14ac:dyDescent="0.3">
      <c r="BB1027699" s="38"/>
    </row>
    <row r="1027700" spans="54:54" ht="15.75" customHeight="1" x14ac:dyDescent="0.3">
      <c r="BB1027700" s="38"/>
    </row>
    <row r="1027701" spans="54:54" ht="15.75" customHeight="1" x14ac:dyDescent="0.3">
      <c r="BB1027701" s="38"/>
    </row>
    <row r="1027702" spans="54:54" ht="15.75" customHeight="1" x14ac:dyDescent="0.3">
      <c r="BB1027702" s="38"/>
    </row>
    <row r="1027703" spans="54:54" ht="15.75" customHeight="1" x14ac:dyDescent="0.3">
      <c r="BB1027703" s="38"/>
    </row>
    <row r="1027704" spans="54:54" ht="15.75" customHeight="1" x14ac:dyDescent="0.3">
      <c r="BB1027704" s="38"/>
    </row>
    <row r="1027705" spans="54:54" ht="15.75" customHeight="1" x14ac:dyDescent="0.3">
      <c r="BB1027705" s="38"/>
    </row>
    <row r="1027706" spans="54:54" ht="15.75" customHeight="1" x14ac:dyDescent="0.3">
      <c r="BB1027706" s="38"/>
    </row>
    <row r="1027707" spans="54:54" ht="15.75" customHeight="1" x14ac:dyDescent="0.3">
      <c r="BB1027707" s="38"/>
    </row>
    <row r="1027708" spans="54:54" ht="15.75" customHeight="1" x14ac:dyDescent="0.3">
      <c r="BB1027708" s="38"/>
    </row>
    <row r="1027709" spans="54:54" ht="15.75" customHeight="1" x14ac:dyDescent="0.3">
      <c r="BB1027709" s="38"/>
    </row>
    <row r="1027710" spans="54:54" ht="15.75" customHeight="1" x14ac:dyDescent="0.3">
      <c r="BB1027710" s="38"/>
    </row>
    <row r="1027711" spans="54:54" ht="15.75" customHeight="1" x14ac:dyDescent="0.3">
      <c r="BB1027711" s="38"/>
    </row>
    <row r="1027712" spans="54:54" ht="15.75" customHeight="1" x14ac:dyDescent="0.3">
      <c r="BB1027712" s="38"/>
    </row>
    <row r="1027713" spans="54:54" ht="15.75" customHeight="1" x14ac:dyDescent="0.3">
      <c r="BB1027713" s="38"/>
    </row>
    <row r="1027714" spans="54:54" ht="15.75" customHeight="1" x14ac:dyDescent="0.3">
      <c r="BB1027714" s="38"/>
    </row>
    <row r="1027715" spans="54:54" ht="15.75" customHeight="1" x14ac:dyDescent="0.3">
      <c r="BB1027715" s="38"/>
    </row>
    <row r="1027716" spans="54:54" ht="15.75" customHeight="1" x14ac:dyDescent="0.3">
      <c r="BB1027716" s="38"/>
    </row>
    <row r="1027717" spans="54:54" ht="15.75" customHeight="1" x14ac:dyDescent="0.3">
      <c r="BB1027717" s="38"/>
    </row>
    <row r="1027718" spans="54:54" ht="15.75" customHeight="1" x14ac:dyDescent="0.3">
      <c r="BB1027718" s="38"/>
    </row>
    <row r="1027719" spans="54:54" ht="15.75" customHeight="1" x14ac:dyDescent="0.3">
      <c r="BB1027719" s="38"/>
    </row>
    <row r="1027720" spans="54:54" ht="15.75" customHeight="1" x14ac:dyDescent="0.3">
      <c r="BB1027720" s="38"/>
    </row>
    <row r="1027721" spans="54:54" ht="15.75" customHeight="1" x14ac:dyDescent="0.3">
      <c r="BB1027721" s="38"/>
    </row>
    <row r="1027722" spans="54:54" ht="15.75" customHeight="1" x14ac:dyDescent="0.3">
      <c r="BB1027722" s="38"/>
    </row>
    <row r="1027723" spans="54:54" ht="15.75" customHeight="1" x14ac:dyDescent="0.3">
      <c r="BB1027723" s="38"/>
    </row>
    <row r="1027724" spans="54:54" ht="15.75" customHeight="1" x14ac:dyDescent="0.3">
      <c r="BB1027724" s="38"/>
    </row>
    <row r="1027725" spans="54:54" ht="15.75" customHeight="1" x14ac:dyDescent="0.3">
      <c r="BB1027725" s="38"/>
    </row>
    <row r="1027726" spans="54:54" ht="15.75" customHeight="1" x14ac:dyDescent="0.3">
      <c r="BB1027726" s="38"/>
    </row>
    <row r="1027727" spans="54:54" ht="15.75" customHeight="1" x14ac:dyDescent="0.3">
      <c r="BB1027727" s="38"/>
    </row>
    <row r="1027728" spans="54:54" ht="15.75" customHeight="1" x14ac:dyDescent="0.3">
      <c r="BB1027728" s="38"/>
    </row>
    <row r="1027729" spans="54:54" ht="15.75" customHeight="1" x14ac:dyDescent="0.3">
      <c r="BB1027729" s="38"/>
    </row>
    <row r="1027730" spans="54:54" ht="15.75" customHeight="1" x14ac:dyDescent="0.3">
      <c r="BB1027730" s="38"/>
    </row>
    <row r="1027731" spans="54:54" ht="15.75" customHeight="1" x14ac:dyDescent="0.3">
      <c r="BB1027731" s="38"/>
    </row>
    <row r="1027732" spans="54:54" ht="15.75" customHeight="1" x14ac:dyDescent="0.3">
      <c r="BB1027732" s="38"/>
    </row>
    <row r="1027733" spans="54:54" ht="15.75" customHeight="1" x14ac:dyDescent="0.3">
      <c r="BB1027733" s="38"/>
    </row>
    <row r="1027734" spans="54:54" ht="15.75" customHeight="1" x14ac:dyDescent="0.3">
      <c r="BB1027734" s="38"/>
    </row>
    <row r="1027735" spans="54:54" ht="15.75" customHeight="1" x14ac:dyDescent="0.3">
      <c r="BB1027735" s="38"/>
    </row>
    <row r="1027736" spans="54:54" ht="15.75" customHeight="1" x14ac:dyDescent="0.3">
      <c r="BB1027736" s="38"/>
    </row>
    <row r="1027737" spans="54:54" ht="15.75" customHeight="1" x14ac:dyDescent="0.3">
      <c r="BB1027737" s="38"/>
    </row>
    <row r="1027738" spans="54:54" ht="15.75" customHeight="1" x14ac:dyDescent="0.3">
      <c r="BB1027738" s="38"/>
    </row>
    <row r="1027739" spans="54:54" ht="15.75" customHeight="1" x14ac:dyDescent="0.3">
      <c r="BB1027739" s="38"/>
    </row>
    <row r="1027740" spans="54:54" ht="15.75" customHeight="1" x14ac:dyDescent="0.3">
      <c r="BB1027740" s="38"/>
    </row>
    <row r="1027741" spans="54:54" ht="15.75" customHeight="1" x14ac:dyDescent="0.3">
      <c r="BB1027741" s="38"/>
    </row>
    <row r="1027742" spans="54:54" ht="15.75" customHeight="1" x14ac:dyDescent="0.3">
      <c r="BB1027742" s="38"/>
    </row>
    <row r="1027743" spans="54:54" ht="15.75" customHeight="1" x14ac:dyDescent="0.3">
      <c r="BB1027743" s="38"/>
    </row>
    <row r="1027744" spans="54:54" ht="15.75" customHeight="1" x14ac:dyDescent="0.3">
      <c r="BB1027744" s="38"/>
    </row>
    <row r="1027745" spans="54:54" ht="15.75" customHeight="1" x14ac:dyDescent="0.3">
      <c r="BB1027745" s="38"/>
    </row>
    <row r="1027746" spans="54:54" ht="15.75" customHeight="1" x14ac:dyDescent="0.3">
      <c r="BB1027746" s="38"/>
    </row>
    <row r="1027747" spans="54:54" ht="15.75" customHeight="1" x14ac:dyDescent="0.3">
      <c r="BB1027747" s="38"/>
    </row>
    <row r="1027748" spans="54:54" ht="15.75" customHeight="1" x14ac:dyDescent="0.3">
      <c r="BB1027748" s="38"/>
    </row>
    <row r="1027749" spans="54:54" ht="15.75" customHeight="1" x14ac:dyDescent="0.3">
      <c r="BB1027749" s="38"/>
    </row>
    <row r="1027750" spans="54:54" ht="15.75" customHeight="1" x14ac:dyDescent="0.3">
      <c r="BB1027750" s="38"/>
    </row>
    <row r="1027751" spans="54:54" ht="15.75" customHeight="1" x14ac:dyDescent="0.3">
      <c r="BB1027751" s="38"/>
    </row>
    <row r="1027752" spans="54:54" ht="15.75" customHeight="1" x14ac:dyDescent="0.3">
      <c r="BB1027752" s="38"/>
    </row>
    <row r="1027753" spans="54:54" ht="15.75" customHeight="1" x14ac:dyDescent="0.3">
      <c r="BB1027753" s="38"/>
    </row>
    <row r="1027754" spans="54:54" ht="15.75" customHeight="1" x14ac:dyDescent="0.3">
      <c r="BB1027754" s="38"/>
    </row>
    <row r="1027755" spans="54:54" ht="15.75" customHeight="1" x14ac:dyDescent="0.3">
      <c r="BB1027755" s="38"/>
    </row>
    <row r="1027756" spans="54:54" ht="15.75" customHeight="1" x14ac:dyDescent="0.3">
      <c r="BB1027756" s="38"/>
    </row>
    <row r="1027757" spans="54:54" ht="15.75" customHeight="1" x14ac:dyDescent="0.3">
      <c r="BB1027757" s="38"/>
    </row>
    <row r="1027758" spans="54:54" ht="15.75" customHeight="1" x14ac:dyDescent="0.3">
      <c r="BB1027758" s="38"/>
    </row>
    <row r="1027759" spans="54:54" ht="15.75" customHeight="1" x14ac:dyDescent="0.3">
      <c r="BB1027759" s="38"/>
    </row>
    <row r="1027760" spans="54:54" ht="15.75" customHeight="1" x14ac:dyDescent="0.3">
      <c r="BB1027760" s="38"/>
    </row>
    <row r="1027761" spans="54:54" ht="15.75" customHeight="1" x14ac:dyDescent="0.3">
      <c r="BB1027761" s="38"/>
    </row>
    <row r="1027762" spans="54:54" ht="15.75" customHeight="1" x14ac:dyDescent="0.3">
      <c r="BB1027762" s="38"/>
    </row>
    <row r="1027763" spans="54:54" ht="15.75" customHeight="1" x14ac:dyDescent="0.3">
      <c r="BB1027763" s="38"/>
    </row>
    <row r="1027764" spans="54:54" ht="15.75" customHeight="1" x14ac:dyDescent="0.3">
      <c r="BB1027764" s="38"/>
    </row>
    <row r="1027765" spans="54:54" ht="15.75" customHeight="1" x14ac:dyDescent="0.3">
      <c r="BB1027765" s="38"/>
    </row>
    <row r="1027766" spans="54:54" ht="15.75" customHeight="1" x14ac:dyDescent="0.3">
      <c r="BB1027766" s="38"/>
    </row>
    <row r="1027767" spans="54:54" ht="15.75" customHeight="1" x14ac:dyDescent="0.3">
      <c r="BB1027767" s="38"/>
    </row>
    <row r="1027768" spans="54:54" ht="15.75" customHeight="1" x14ac:dyDescent="0.3">
      <c r="BB1027768" s="38"/>
    </row>
    <row r="1027769" spans="54:54" ht="15.75" customHeight="1" x14ac:dyDescent="0.3">
      <c r="BB1027769" s="38"/>
    </row>
    <row r="1027770" spans="54:54" ht="15.75" customHeight="1" x14ac:dyDescent="0.3">
      <c r="BB1027770" s="38"/>
    </row>
    <row r="1027771" spans="54:54" ht="15.75" customHeight="1" x14ac:dyDescent="0.3">
      <c r="BB1027771" s="38"/>
    </row>
    <row r="1027772" spans="54:54" ht="15.75" customHeight="1" x14ac:dyDescent="0.3">
      <c r="BB1027772" s="38"/>
    </row>
    <row r="1027773" spans="54:54" ht="15.75" customHeight="1" x14ac:dyDescent="0.3">
      <c r="BB1027773" s="38"/>
    </row>
    <row r="1027774" spans="54:54" ht="15.75" customHeight="1" x14ac:dyDescent="0.3">
      <c r="BB1027774" s="38"/>
    </row>
    <row r="1027775" spans="54:54" ht="15.75" customHeight="1" x14ac:dyDescent="0.3">
      <c r="BB1027775" s="38"/>
    </row>
    <row r="1027776" spans="54:54" ht="15.75" customHeight="1" x14ac:dyDescent="0.3">
      <c r="BB1027776" s="38"/>
    </row>
    <row r="1027777" spans="54:54" ht="15.75" customHeight="1" x14ac:dyDescent="0.3">
      <c r="BB1027777" s="38"/>
    </row>
    <row r="1027778" spans="54:54" ht="15.75" customHeight="1" x14ac:dyDescent="0.3">
      <c r="BB1027778" s="38"/>
    </row>
    <row r="1027779" spans="54:54" ht="15.75" customHeight="1" x14ac:dyDescent="0.3">
      <c r="BB1027779" s="38"/>
    </row>
    <row r="1027780" spans="54:54" ht="15.75" customHeight="1" x14ac:dyDescent="0.3">
      <c r="BB1027780" s="38"/>
    </row>
    <row r="1027781" spans="54:54" ht="15.75" customHeight="1" x14ac:dyDescent="0.3">
      <c r="BB1027781" s="38"/>
    </row>
    <row r="1027782" spans="54:54" ht="15.75" customHeight="1" x14ac:dyDescent="0.3">
      <c r="BB1027782" s="38"/>
    </row>
    <row r="1027783" spans="54:54" ht="15.75" customHeight="1" x14ac:dyDescent="0.3">
      <c r="BB1027783" s="38"/>
    </row>
    <row r="1027784" spans="54:54" ht="15.75" customHeight="1" x14ac:dyDescent="0.3">
      <c r="BB1027784" s="38"/>
    </row>
    <row r="1027785" spans="54:54" ht="15.75" customHeight="1" x14ac:dyDescent="0.3">
      <c r="BB1027785" s="38"/>
    </row>
    <row r="1027786" spans="54:54" ht="15.75" customHeight="1" x14ac:dyDescent="0.3">
      <c r="BB1027786" s="38"/>
    </row>
    <row r="1027787" spans="54:54" ht="15.75" customHeight="1" x14ac:dyDescent="0.3">
      <c r="BB1027787" s="38"/>
    </row>
    <row r="1027788" spans="54:54" ht="15.75" customHeight="1" x14ac:dyDescent="0.3">
      <c r="BB1027788" s="38"/>
    </row>
    <row r="1027789" spans="54:54" ht="15.75" customHeight="1" x14ac:dyDescent="0.3">
      <c r="BB1027789" s="38"/>
    </row>
    <row r="1027790" spans="54:54" ht="15.75" customHeight="1" x14ac:dyDescent="0.3">
      <c r="BB1027790" s="38"/>
    </row>
    <row r="1027791" spans="54:54" ht="15.75" customHeight="1" x14ac:dyDescent="0.3">
      <c r="BB1027791" s="38"/>
    </row>
    <row r="1027792" spans="54:54" ht="15.75" customHeight="1" x14ac:dyDescent="0.3">
      <c r="BB1027792" s="38"/>
    </row>
    <row r="1027793" spans="54:54" ht="15.75" customHeight="1" x14ac:dyDescent="0.3">
      <c r="BB1027793" s="38"/>
    </row>
    <row r="1027794" spans="54:54" ht="15.75" customHeight="1" x14ac:dyDescent="0.3">
      <c r="BB1027794" s="38"/>
    </row>
    <row r="1027795" spans="54:54" ht="15.75" customHeight="1" x14ac:dyDescent="0.3">
      <c r="BB1027795" s="38"/>
    </row>
    <row r="1027796" spans="54:54" ht="15.75" customHeight="1" x14ac:dyDescent="0.3">
      <c r="BB1027796" s="38"/>
    </row>
    <row r="1027797" spans="54:54" ht="15.75" customHeight="1" x14ac:dyDescent="0.3">
      <c r="BB1027797" s="38"/>
    </row>
    <row r="1027798" spans="54:54" ht="15.75" customHeight="1" x14ac:dyDescent="0.3">
      <c r="BB1027798" s="38"/>
    </row>
    <row r="1027799" spans="54:54" ht="15.75" customHeight="1" x14ac:dyDescent="0.3">
      <c r="BB1027799" s="38"/>
    </row>
    <row r="1027800" spans="54:54" ht="15.75" customHeight="1" x14ac:dyDescent="0.3">
      <c r="BB1027800" s="38"/>
    </row>
    <row r="1027801" spans="54:54" ht="15.75" customHeight="1" x14ac:dyDescent="0.3">
      <c r="BB1027801" s="38"/>
    </row>
    <row r="1027802" spans="54:54" ht="15.75" customHeight="1" x14ac:dyDescent="0.3">
      <c r="BB1027802" s="38"/>
    </row>
    <row r="1027803" spans="54:54" ht="15.75" customHeight="1" x14ac:dyDescent="0.3">
      <c r="BB1027803" s="38"/>
    </row>
    <row r="1027804" spans="54:54" ht="15.75" customHeight="1" x14ac:dyDescent="0.3">
      <c r="BB1027804" s="38"/>
    </row>
    <row r="1027805" spans="54:54" ht="15.75" customHeight="1" x14ac:dyDescent="0.3">
      <c r="BB1027805" s="38"/>
    </row>
    <row r="1027806" spans="54:54" ht="15.75" customHeight="1" x14ac:dyDescent="0.3">
      <c r="BB1027806" s="38"/>
    </row>
    <row r="1027807" spans="54:54" ht="15.75" customHeight="1" x14ac:dyDescent="0.3">
      <c r="BB1027807" s="38"/>
    </row>
    <row r="1027808" spans="54:54" ht="15.75" customHeight="1" x14ac:dyDescent="0.3">
      <c r="BB1027808" s="38"/>
    </row>
    <row r="1027809" spans="54:54" ht="15.75" customHeight="1" x14ac:dyDescent="0.3">
      <c r="BB1027809" s="38"/>
    </row>
    <row r="1027810" spans="54:54" ht="15.75" customHeight="1" x14ac:dyDescent="0.3">
      <c r="BB1027810" s="38"/>
    </row>
    <row r="1027811" spans="54:54" ht="15.75" customHeight="1" x14ac:dyDescent="0.3">
      <c r="BB1027811" s="38"/>
    </row>
    <row r="1027812" spans="54:54" ht="15.75" customHeight="1" x14ac:dyDescent="0.3">
      <c r="BB1027812" s="38"/>
    </row>
    <row r="1027813" spans="54:54" ht="15.75" customHeight="1" x14ac:dyDescent="0.3">
      <c r="BB1027813" s="38"/>
    </row>
    <row r="1027814" spans="54:54" ht="15.75" customHeight="1" x14ac:dyDescent="0.3">
      <c r="BB1027814" s="38"/>
    </row>
    <row r="1027815" spans="54:54" ht="15.75" customHeight="1" x14ac:dyDescent="0.3">
      <c r="BB1027815" s="38"/>
    </row>
    <row r="1027816" spans="54:54" ht="15.75" customHeight="1" x14ac:dyDescent="0.3">
      <c r="BB1027816" s="38"/>
    </row>
    <row r="1027817" spans="54:54" ht="15.75" customHeight="1" x14ac:dyDescent="0.3">
      <c r="BB1027817" s="38"/>
    </row>
    <row r="1027818" spans="54:54" ht="15.75" customHeight="1" x14ac:dyDescent="0.3">
      <c r="BB1027818" s="38"/>
    </row>
    <row r="1027819" spans="54:54" ht="15.75" customHeight="1" x14ac:dyDescent="0.3">
      <c r="BB1027819" s="38"/>
    </row>
    <row r="1027820" spans="54:54" ht="15.75" customHeight="1" x14ac:dyDescent="0.3">
      <c r="BB1027820" s="38"/>
    </row>
    <row r="1027821" spans="54:54" ht="15.75" customHeight="1" x14ac:dyDescent="0.3">
      <c r="BB1027821" s="38"/>
    </row>
    <row r="1027822" spans="54:54" ht="15.75" customHeight="1" x14ac:dyDescent="0.3">
      <c r="BB1027822" s="38"/>
    </row>
    <row r="1027823" spans="54:54" ht="15.75" customHeight="1" x14ac:dyDescent="0.3">
      <c r="BB1027823" s="38"/>
    </row>
    <row r="1027824" spans="54:54" ht="15.75" customHeight="1" x14ac:dyDescent="0.3">
      <c r="BB1027824" s="38"/>
    </row>
    <row r="1027825" spans="54:54" ht="15.75" customHeight="1" x14ac:dyDescent="0.3">
      <c r="BB1027825" s="38"/>
    </row>
    <row r="1027826" spans="54:54" ht="15.75" customHeight="1" x14ac:dyDescent="0.3">
      <c r="BB1027826" s="38"/>
    </row>
    <row r="1027827" spans="54:54" ht="15.75" customHeight="1" x14ac:dyDescent="0.3">
      <c r="BB1027827" s="38"/>
    </row>
    <row r="1027828" spans="54:54" ht="15.75" customHeight="1" x14ac:dyDescent="0.3">
      <c r="BB1027828" s="38"/>
    </row>
    <row r="1027829" spans="54:54" ht="15.75" customHeight="1" x14ac:dyDescent="0.3">
      <c r="BB1027829" s="38"/>
    </row>
    <row r="1027830" spans="54:54" ht="15.75" customHeight="1" x14ac:dyDescent="0.3">
      <c r="BB1027830" s="38"/>
    </row>
    <row r="1027831" spans="54:54" ht="15.75" customHeight="1" x14ac:dyDescent="0.3">
      <c r="BB1027831" s="38"/>
    </row>
    <row r="1027832" spans="54:54" ht="15.75" customHeight="1" x14ac:dyDescent="0.3">
      <c r="BB1027832" s="38"/>
    </row>
    <row r="1027833" spans="54:54" ht="15.75" customHeight="1" x14ac:dyDescent="0.3">
      <c r="BB1027833" s="38"/>
    </row>
    <row r="1027834" spans="54:54" ht="15.75" customHeight="1" x14ac:dyDescent="0.3">
      <c r="BB1027834" s="38"/>
    </row>
    <row r="1027835" spans="54:54" ht="15.75" customHeight="1" x14ac:dyDescent="0.3">
      <c r="BB1027835" s="38"/>
    </row>
    <row r="1027836" spans="54:54" ht="15.75" customHeight="1" x14ac:dyDescent="0.3">
      <c r="BB1027836" s="38"/>
    </row>
    <row r="1027837" spans="54:54" ht="15.75" customHeight="1" x14ac:dyDescent="0.3">
      <c r="BB1027837" s="38"/>
    </row>
    <row r="1027838" spans="54:54" ht="15.75" customHeight="1" x14ac:dyDescent="0.3">
      <c r="BB1027838" s="38"/>
    </row>
    <row r="1027839" spans="54:54" ht="15.75" customHeight="1" x14ac:dyDescent="0.3">
      <c r="BB1027839" s="38"/>
    </row>
    <row r="1027840" spans="54:54" ht="15.75" customHeight="1" x14ac:dyDescent="0.3">
      <c r="BB1027840" s="38"/>
    </row>
    <row r="1027841" spans="54:54" ht="15.75" customHeight="1" x14ac:dyDescent="0.3">
      <c r="BB1027841" s="38"/>
    </row>
    <row r="1027842" spans="54:54" ht="15.75" customHeight="1" x14ac:dyDescent="0.3">
      <c r="BB1027842" s="38"/>
    </row>
    <row r="1027843" spans="54:54" ht="15.75" customHeight="1" x14ac:dyDescent="0.3">
      <c r="BB1027843" s="38"/>
    </row>
    <row r="1027844" spans="54:54" ht="15.75" customHeight="1" x14ac:dyDescent="0.3">
      <c r="BB1027844" s="38"/>
    </row>
    <row r="1027845" spans="54:54" ht="15.75" customHeight="1" x14ac:dyDescent="0.3">
      <c r="BB1027845" s="38"/>
    </row>
    <row r="1027846" spans="54:54" ht="15.75" customHeight="1" x14ac:dyDescent="0.3">
      <c r="BB1027846" s="38"/>
    </row>
    <row r="1027847" spans="54:54" ht="15.75" customHeight="1" x14ac:dyDescent="0.3">
      <c r="BB1027847" s="38"/>
    </row>
    <row r="1027848" spans="54:54" ht="15.75" customHeight="1" x14ac:dyDescent="0.3">
      <c r="BB1027848" s="38"/>
    </row>
    <row r="1027849" spans="54:54" ht="15.75" customHeight="1" x14ac:dyDescent="0.3">
      <c r="BB1027849" s="38"/>
    </row>
    <row r="1027850" spans="54:54" ht="15.75" customHeight="1" x14ac:dyDescent="0.3">
      <c r="BB1027850" s="38"/>
    </row>
    <row r="1027851" spans="54:54" ht="15.75" customHeight="1" x14ac:dyDescent="0.3">
      <c r="BB1027851" s="38"/>
    </row>
    <row r="1027852" spans="54:54" ht="15.75" customHeight="1" x14ac:dyDescent="0.3">
      <c r="BB1027852" s="38"/>
    </row>
    <row r="1027853" spans="54:54" ht="15.75" customHeight="1" x14ac:dyDescent="0.3">
      <c r="BB1027853" s="38"/>
    </row>
    <row r="1027854" spans="54:54" ht="15.75" customHeight="1" x14ac:dyDescent="0.3">
      <c r="BB1027854" s="38"/>
    </row>
    <row r="1027855" spans="54:54" ht="15.75" customHeight="1" x14ac:dyDescent="0.3">
      <c r="BB1027855" s="38"/>
    </row>
    <row r="1027856" spans="54:54" ht="15.75" customHeight="1" x14ac:dyDescent="0.3">
      <c r="BB1027856" s="38"/>
    </row>
    <row r="1027857" spans="54:54" ht="15.75" customHeight="1" x14ac:dyDescent="0.3">
      <c r="BB1027857" s="38"/>
    </row>
    <row r="1027858" spans="54:54" ht="15.75" customHeight="1" x14ac:dyDescent="0.3">
      <c r="BB1027858" s="38"/>
    </row>
    <row r="1027859" spans="54:54" ht="15.75" customHeight="1" x14ac:dyDescent="0.3">
      <c r="BB1027859" s="38"/>
    </row>
    <row r="1027860" spans="54:54" ht="15.75" customHeight="1" x14ac:dyDescent="0.3">
      <c r="BB1027860" s="38"/>
    </row>
    <row r="1027861" spans="54:54" ht="15.75" customHeight="1" x14ac:dyDescent="0.3">
      <c r="BB1027861" s="38"/>
    </row>
    <row r="1027862" spans="54:54" ht="15.75" customHeight="1" x14ac:dyDescent="0.3">
      <c r="BB1027862" s="38"/>
    </row>
    <row r="1027863" spans="54:54" ht="15.75" customHeight="1" x14ac:dyDescent="0.3">
      <c r="BB1027863" s="38"/>
    </row>
    <row r="1027864" spans="54:54" ht="15.75" customHeight="1" x14ac:dyDescent="0.3">
      <c r="BB1027864" s="38"/>
    </row>
    <row r="1027865" spans="54:54" ht="15.75" customHeight="1" x14ac:dyDescent="0.3">
      <c r="BB1027865" s="38"/>
    </row>
    <row r="1027866" spans="54:54" ht="15.75" customHeight="1" x14ac:dyDescent="0.3">
      <c r="BB1027866" s="38"/>
    </row>
    <row r="1027867" spans="54:54" ht="15.75" customHeight="1" x14ac:dyDescent="0.3">
      <c r="BB1027867" s="38"/>
    </row>
    <row r="1027868" spans="54:54" ht="15.75" customHeight="1" x14ac:dyDescent="0.3">
      <c r="BB1027868" s="38"/>
    </row>
    <row r="1027869" spans="54:54" ht="15.75" customHeight="1" x14ac:dyDescent="0.3">
      <c r="BB1027869" s="38"/>
    </row>
    <row r="1027870" spans="54:54" ht="15.75" customHeight="1" x14ac:dyDescent="0.3">
      <c r="BB1027870" s="38"/>
    </row>
    <row r="1027871" spans="54:54" ht="15.75" customHeight="1" x14ac:dyDescent="0.3">
      <c r="BB1027871" s="38"/>
    </row>
    <row r="1027872" spans="54:54" ht="15.75" customHeight="1" x14ac:dyDescent="0.3">
      <c r="BB1027872" s="38"/>
    </row>
    <row r="1027873" spans="54:54" ht="15.75" customHeight="1" x14ac:dyDescent="0.3">
      <c r="BB1027873" s="38"/>
    </row>
    <row r="1027874" spans="54:54" ht="15.75" customHeight="1" x14ac:dyDescent="0.3">
      <c r="BB1027874" s="38"/>
    </row>
    <row r="1027875" spans="54:54" ht="15.75" customHeight="1" x14ac:dyDescent="0.3">
      <c r="BB1027875" s="38"/>
    </row>
    <row r="1027876" spans="54:54" ht="15.75" customHeight="1" x14ac:dyDescent="0.3">
      <c r="BB1027876" s="38"/>
    </row>
    <row r="1027877" spans="54:54" ht="15.75" customHeight="1" x14ac:dyDescent="0.3">
      <c r="BB1027877" s="38"/>
    </row>
    <row r="1027878" spans="54:54" ht="15.75" customHeight="1" x14ac:dyDescent="0.3">
      <c r="BB1027878" s="38"/>
    </row>
    <row r="1027879" spans="54:54" ht="15.75" customHeight="1" x14ac:dyDescent="0.3">
      <c r="BB1027879" s="38"/>
    </row>
    <row r="1027880" spans="54:54" ht="15.75" customHeight="1" x14ac:dyDescent="0.3">
      <c r="BB1027880" s="38"/>
    </row>
    <row r="1027881" spans="54:54" ht="15.75" customHeight="1" x14ac:dyDescent="0.3">
      <c r="BB1027881" s="38"/>
    </row>
    <row r="1027882" spans="54:54" ht="15.75" customHeight="1" x14ac:dyDescent="0.3">
      <c r="BB1027882" s="38"/>
    </row>
    <row r="1027883" spans="54:54" ht="15.75" customHeight="1" x14ac:dyDescent="0.3">
      <c r="BB1027883" s="38"/>
    </row>
    <row r="1027884" spans="54:54" ht="15.75" customHeight="1" x14ac:dyDescent="0.3">
      <c r="BB1027884" s="38"/>
    </row>
    <row r="1027885" spans="54:54" ht="15.75" customHeight="1" x14ac:dyDescent="0.3">
      <c r="BB1027885" s="38"/>
    </row>
    <row r="1027886" spans="54:54" ht="15.75" customHeight="1" x14ac:dyDescent="0.3">
      <c r="BB1027886" s="38"/>
    </row>
    <row r="1027887" spans="54:54" ht="15.75" customHeight="1" x14ac:dyDescent="0.3">
      <c r="BB1027887" s="38"/>
    </row>
    <row r="1027888" spans="54:54" ht="15.75" customHeight="1" x14ac:dyDescent="0.3">
      <c r="BB1027888" s="38"/>
    </row>
    <row r="1027889" spans="54:54" ht="15.75" customHeight="1" x14ac:dyDescent="0.3">
      <c r="BB1027889" s="38"/>
    </row>
    <row r="1027890" spans="54:54" ht="15.75" customHeight="1" x14ac:dyDescent="0.3">
      <c r="BB1027890" s="38"/>
    </row>
    <row r="1027891" spans="54:54" ht="15.75" customHeight="1" x14ac:dyDescent="0.3">
      <c r="BB1027891" s="38"/>
    </row>
    <row r="1027892" spans="54:54" ht="15.75" customHeight="1" x14ac:dyDescent="0.3">
      <c r="BB1027892" s="38"/>
    </row>
    <row r="1027893" spans="54:54" ht="15.75" customHeight="1" x14ac:dyDescent="0.3">
      <c r="BB1027893" s="38"/>
    </row>
    <row r="1027894" spans="54:54" ht="15.75" customHeight="1" x14ac:dyDescent="0.3">
      <c r="BB1027894" s="38"/>
    </row>
    <row r="1027895" spans="54:54" ht="15.75" customHeight="1" x14ac:dyDescent="0.3">
      <c r="BB1027895" s="38"/>
    </row>
    <row r="1027896" spans="54:54" ht="15.75" customHeight="1" x14ac:dyDescent="0.3">
      <c r="BB1027896" s="38"/>
    </row>
    <row r="1027897" spans="54:54" ht="15.75" customHeight="1" x14ac:dyDescent="0.3">
      <c r="BB1027897" s="38"/>
    </row>
    <row r="1027898" spans="54:54" ht="15.75" customHeight="1" x14ac:dyDescent="0.3">
      <c r="BB1027898" s="38"/>
    </row>
    <row r="1027899" spans="54:54" ht="15.75" customHeight="1" x14ac:dyDescent="0.3">
      <c r="BB1027899" s="38"/>
    </row>
    <row r="1027900" spans="54:54" ht="15.75" customHeight="1" x14ac:dyDescent="0.3">
      <c r="BB1027900" s="38"/>
    </row>
    <row r="1027901" spans="54:54" ht="15.75" customHeight="1" x14ac:dyDescent="0.3">
      <c r="BB1027901" s="38"/>
    </row>
    <row r="1027902" spans="54:54" ht="15.75" customHeight="1" x14ac:dyDescent="0.3">
      <c r="BB1027902" s="38"/>
    </row>
    <row r="1027903" spans="54:54" ht="15.75" customHeight="1" x14ac:dyDescent="0.3">
      <c r="BB1027903" s="38"/>
    </row>
    <row r="1027904" spans="54:54" ht="15.75" customHeight="1" x14ac:dyDescent="0.3">
      <c r="BB1027904" s="38"/>
    </row>
    <row r="1027905" spans="54:54" ht="15.75" customHeight="1" x14ac:dyDescent="0.3">
      <c r="BB1027905" s="38"/>
    </row>
    <row r="1027906" spans="54:54" ht="15.75" customHeight="1" x14ac:dyDescent="0.3">
      <c r="BB1027906" s="38"/>
    </row>
    <row r="1027907" spans="54:54" ht="15.75" customHeight="1" x14ac:dyDescent="0.3">
      <c r="BB1027907" s="38"/>
    </row>
    <row r="1027908" spans="54:54" ht="15.75" customHeight="1" x14ac:dyDescent="0.3">
      <c r="BB1027908" s="38"/>
    </row>
    <row r="1027909" spans="54:54" ht="15.75" customHeight="1" x14ac:dyDescent="0.3">
      <c r="BB1027909" s="38"/>
    </row>
    <row r="1027910" spans="54:54" ht="15.75" customHeight="1" x14ac:dyDescent="0.3">
      <c r="BB1027910" s="38"/>
    </row>
    <row r="1027911" spans="54:54" ht="15.75" customHeight="1" x14ac:dyDescent="0.3">
      <c r="BB1027911" s="38"/>
    </row>
    <row r="1027912" spans="54:54" ht="15.75" customHeight="1" x14ac:dyDescent="0.3">
      <c r="BB1027912" s="38"/>
    </row>
    <row r="1027913" spans="54:54" ht="15.75" customHeight="1" x14ac:dyDescent="0.3">
      <c r="BB1027913" s="38"/>
    </row>
    <row r="1027914" spans="54:54" ht="15.75" customHeight="1" x14ac:dyDescent="0.3">
      <c r="BB1027914" s="38"/>
    </row>
    <row r="1027915" spans="54:54" ht="15.75" customHeight="1" x14ac:dyDescent="0.3">
      <c r="BB1027915" s="38"/>
    </row>
    <row r="1027916" spans="54:54" ht="15.75" customHeight="1" x14ac:dyDescent="0.3">
      <c r="BB1027916" s="38"/>
    </row>
    <row r="1027917" spans="54:54" ht="15.75" customHeight="1" x14ac:dyDescent="0.3">
      <c r="BB1027917" s="38"/>
    </row>
    <row r="1027918" spans="54:54" ht="15.75" customHeight="1" x14ac:dyDescent="0.3">
      <c r="BB1027918" s="38"/>
    </row>
    <row r="1027919" spans="54:54" ht="15.75" customHeight="1" x14ac:dyDescent="0.3">
      <c r="BB1027919" s="38"/>
    </row>
    <row r="1027920" spans="54:54" ht="15.75" customHeight="1" x14ac:dyDescent="0.3">
      <c r="BB1027920" s="38"/>
    </row>
    <row r="1027921" spans="54:54" ht="15.75" customHeight="1" x14ac:dyDescent="0.3">
      <c r="BB1027921" s="38"/>
    </row>
    <row r="1027922" spans="54:54" ht="15.75" customHeight="1" x14ac:dyDescent="0.3">
      <c r="BB1027922" s="38"/>
    </row>
    <row r="1027923" spans="54:54" ht="15.75" customHeight="1" x14ac:dyDescent="0.3">
      <c r="BB1027923" s="38"/>
    </row>
    <row r="1027924" spans="54:54" ht="15.75" customHeight="1" x14ac:dyDescent="0.3">
      <c r="BB1027924" s="38"/>
    </row>
    <row r="1027925" spans="54:54" ht="15.75" customHeight="1" x14ac:dyDescent="0.3">
      <c r="BB1027925" s="38"/>
    </row>
    <row r="1027926" spans="54:54" ht="15.75" customHeight="1" x14ac:dyDescent="0.3">
      <c r="BB1027926" s="38"/>
    </row>
    <row r="1027927" spans="54:54" ht="15.75" customHeight="1" x14ac:dyDescent="0.3">
      <c r="BB1027927" s="38"/>
    </row>
    <row r="1027928" spans="54:54" ht="15.75" customHeight="1" x14ac:dyDescent="0.3">
      <c r="BB1027928" s="38"/>
    </row>
    <row r="1027929" spans="54:54" ht="15.75" customHeight="1" x14ac:dyDescent="0.3">
      <c r="BB1027929" s="38"/>
    </row>
    <row r="1027930" spans="54:54" ht="15.75" customHeight="1" x14ac:dyDescent="0.3">
      <c r="BB1027930" s="38"/>
    </row>
    <row r="1027931" spans="54:54" ht="15.75" customHeight="1" x14ac:dyDescent="0.3">
      <c r="BB1027931" s="38"/>
    </row>
    <row r="1027932" spans="54:54" ht="15.75" customHeight="1" x14ac:dyDescent="0.3">
      <c r="BB1027932" s="38"/>
    </row>
    <row r="1027933" spans="54:54" ht="15.75" customHeight="1" x14ac:dyDescent="0.3">
      <c r="BB1027933" s="38"/>
    </row>
    <row r="1027934" spans="54:54" ht="15.75" customHeight="1" x14ac:dyDescent="0.3">
      <c r="BB1027934" s="38"/>
    </row>
    <row r="1027935" spans="54:54" ht="15.75" customHeight="1" x14ac:dyDescent="0.3">
      <c r="BB1027935" s="38"/>
    </row>
    <row r="1027936" spans="54:54" ht="15.75" customHeight="1" x14ac:dyDescent="0.3">
      <c r="BB1027936" s="38"/>
    </row>
    <row r="1027937" spans="54:54" ht="15.75" customHeight="1" x14ac:dyDescent="0.3">
      <c r="BB1027937" s="38"/>
    </row>
    <row r="1027938" spans="54:54" ht="15.75" customHeight="1" x14ac:dyDescent="0.3">
      <c r="BB1027938" s="38"/>
    </row>
    <row r="1027939" spans="54:54" ht="15.75" customHeight="1" x14ac:dyDescent="0.3">
      <c r="BB1027939" s="38"/>
    </row>
    <row r="1027940" spans="54:54" ht="15.75" customHeight="1" x14ac:dyDescent="0.3">
      <c r="BB1027940" s="38"/>
    </row>
    <row r="1027941" spans="54:54" ht="15.75" customHeight="1" x14ac:dyDescent="0.3">
      <c r="BB1027941" s="38"/>
    </row>
    <row r="1027942" spans="54:54" ht="15.75" customHeight="1" x14ac:dyDescent="0.3">
      <c r="BB1027942" s="38"/>
    </row>
    <row r="1027943" spans="54:54" ht="15.75" customHeight="1" x14ac:dyDescent="0.3">
      <c r="BB1027943" s="38"/>
    </row>
    <row r="1027944" spans="54:54" ht="15.75" customHeight="1" x14ac:dyDescent="0.3">
      <c r="BB1027944" s="38"/>
    </row>
    <row r="1027945" spans="54:54" ht="15.75" customHeight="1" x14ac:dyDescent="0.3">
      <c r="BB1027945" s="38"/>
    </row>
    <row r="1027946" spans="54:54" ht="15.75" customHeight="1" x14ac:dyDescent="0.3">
      <c r="BB1027946" s="38"/>
    </row>
    <row r="1027947" spans="54:54" ht="15.75" customHeight="1" x14ac:dyDescent="0.3">
      <c r="BB1027947" s="38"/>
    </row>
    <row r="1027948" spans="54:54" ht="15.75" customHeight="1" x14ac:dyDescent="0.3">
      <c r="BB1027948" s="38"/>
    </row>
    <row r="1027949" spans="54:54" ht="15.75" customHeight="1" x14ac:dyDescent="0.3">
      <c r="BB1027949" s="38"/>
    </row>
    <row r="1027950" spans="54:54" ht="15.75" customHeight="1" x14ac:dyDescent="0.3">
      <c r="BB1027950" s="38"/>
    </row>
    <row r="1027951" spans="54:54" ht="15.75" customHeight="1" x14ac:dyDescent="0.3">
      <c r="BB1027951" s="38"/>
    </row>
    <row r="1027952" spans="54:54" ht="15.75" customHeight="1" x14ac:dyDescent="0.3">
      <c r="BB1027952" s="38"/>
    </row>
    <row r="1027953" spans="54:54" ht="15.75" customHeight="1" x14ac:dyDescent="0.3">
      <c r="BB1027953" s="38"/>
    </row>
    <row r="1027954" spans="54:54" ht="15.75" customHeight="1" x14ac:dyDescent="0.3">
      <c r="BB1027954" s="38"/>
    </row>
    <row r="1027955" spans="54:54" ht="15.75" customHeight="1" x14ac:dyDescent="0.3">
      <c r="BB1027955" s="38"/>
    </row>
    <row r="1027956" spans="54:54" ht="15.75" customHeight="1" x14ac:dyDescent="0.3">
      <c r="BB1027956" s="38"/>
    </row>
    <row r="1027957" spans="54:54" ht="15.75" customHeight="1" x14ac:dyDescent="0.3">
      <c r="BB1027957" s="38"/>
    </row>
    <row r="1027958" spans="54:54" ht="15.75" customHeight="1" x14ac:dyDescent="0.3">
      <c r="BB1027958" s="38"/>
    </row>
    <row r="1027959" spans="54:54" ht="15.75" customHeight="1" x14ac:dyDescent="0.3">
      <c r="BB1027959" s="38"/>
    </row>
    <row r="1027960" spans="54:54" ht="15.75" customHeight="1" x14ac:dyDescent="0.3">
      <c r="BB1027960" s="38"/>
    </row>
    <row r="1027961" spans="54:54" ht="15.75" customHeight="1" x14ac:dyDescent="0.3">
      <c r="BB1027961" s="38"/>
    </row>
    <row r="1027962" spans="54:54" ht="15.75" customHeight="1" x14ac:dyDescent="0.3">
      <c r="BB1027962" s="38"/>
    </row>
    <row r="1027963" spans="54:54" ht="15.75" customHeight="1" x14ac:dyDescent="0.3">
      <c r="BB1027963" s="38"/>
    </row>
    <row r="1027964" spans="54:54" ht="15.75" customHeight="1" x14ac:dyDescent="0.3">
      <c r="BB1027964" s="38"/>
    </row>
    <row r="1027965" spans="54:54" ht="15.75" customHeight="1" x14ac:dyDescent="0.3">
      <c r="BB1027965" s="38"/>
    </row>
    <row r="1027966" spans="54:54" ht="15.75" customHeight="1" x14ac:dyDescent="0.3">
      <c r="BB1027966" s="38"/>
    </row>
    <row r="1027967" spans="54:54" ht="15.75" customHeight="1" x14ac:dyDescent="0.3">
      <c r="BB1027967" s="38"/>
    </row>
    <row r="1027968" spans="54:54" ht="15.75" customHeight="1" x14ac:dyDescent="0.3">
      <c r="BB1027968" s="38"/>
    </row>
    <row r="1027969" spans="54:54" ht="15.75" customHeight="1" x14ac:dyDescent="0.3">
      <c r="BB1027969" s="38"/>
    </row>
    <row r="1027970" spans="54:54" ht="15.75" customHeight="1" x14ac:dyDescent="0.3">
      <c r="BB1027970" s="38"/>
    </row>
    <row r="1027971" spans="54:54" ht="15.75" customHeight="1" x14ac:dyDescent="0.3">
      <c r="BB1027971" s="38"/>
    </row>
    <row r="1027972" spans="54:54" ht="15.75" customHeight="1" x14ac:dyDescent="0.3">
      <c r="BB1027972" s="38"/>
    </row>
    <row r="1027973" spans="54:54" ht="15.75" customHeight="1" x14ac:dyDescent="0.3">
      <c r="BB1027973" s="38"/>
    </row>
    <row r="1027974" spans="54:54" ht="15.75" customHeight="1" x14ac:dyDescent="0.3">
      <c r="BB1027974" s="38"/>
    </row>
    <row r="1027975" spans="54:54" ht="15.75" customHeight="1" x14ac:dyDescent="0.3">
      <c r="BB1027975" s="38"/>
    </row>
    <row r="1027976" spans="54:54" ht="15.75" customHeight="1" x14ac:dyDescent="0.3">
      <c r="BB1027976" s="38"/>
    </row>
    <row r="1027977" spans="54:54" ht="15.75" customHeight="1" x14ac:dyDescent="0.3">
      <c r="BB1027977" s="38"/>
    </row>
    <row r="1027978" spans="54:54" ht="15.75" customHeight="1" x14ac:dyDescent="0.3">
      <c r="BB1027978" s="38"/>
    </row>
    <row r="1027979" spans="54:54" ht="15.75" customHeight="1" x14ac:dyDescent="0.3">
      <c r="BB1027979" s="38"/>
    </row>
    <row r="1027980" spans="54:54" ht="15.75" customHeight="1" x14ac:dyDescent="0.3">
      <c r="BB1027980" s="38"/>
    </row>
    <row r="1027981" spans="54:54" ht="15.75" customHeight="1" x14ac:dyDescent="0.3">
      <c r="BB1027981" s="38"/>
    </row>
    <row r="1027982" spans="54:54" ht="15.75" customHeight="1" x14ac:dyDescent="0.3">
      <c r="BB1027982" s="38"/>
    </row>
    <row r="1027983" spans="54:54" ht="15.75" customHeight="1" x14ac:dyDescent="0.3">
      <c r="BB1027983" s="38"/>
    </row>
    <row r="1027984" spans="54:54" ht="15.75" customHeight="1" x14ac:dyDescent="0.3">
      <c r="BB1027984" s="38"/>
    </row>
    <row r="1027985" spans="54:54" ht="15.75" customHeight="1" x14ac:dyDescent="0.3">
      <c r="BB1027985" s="38"/>
    </row>
    <row r="1027986" spans="54:54" ht="15.75" customHeight="1" x14ac:dyDescent="0.3">
      <c r="BB1027986" s="38"/>
    </row>
    <row r="1027987" spans="54:54" ht="15.75" customHeight="1" x14ac:dyDescent="0.3">
      <c r="BB1027987" s="38"/>
    </row>
    <row r="1027988" spans="54:54" ht="15.75" customHeight="1" x14ac:dyDescent="0.3">
      <c r="BB1027988" s="38"/>
    </row>
    <row r="1027989" spans="54:54" ht="15.75" customHeight="1" x14ac:dyDescent="0.3">
      <c r="BB1027989" s="38"/>
    </row>
    <row r="1027990" spans="54:54" ht="15.75" customHeight="1" x14ac:dyDescent="0.3">
      <c r="BB1027990" s="38"/>
    </row>
    <row r="1027991" spans="54:54" ht="15.75" customHeight="1" x14ac:dyDescent="0.3">
      <c r="BB1027991" s="38"/>
    </row>
    <row r="1027992" spans="54:54" ht="15.75" customHeight="1" x14ac:dyDescent="0.3">
      <c r="BB1027992" s="38"/>
    </row>
    <row r="1027993" spans="54:54" ht="15.75" customHeight="1" x14ac:dyDescent="0.3">
      <c r="BB1027993" s="38"/>
    </row>
    <row r="1027994" spans="54:54" ht="15.75" customHeight="1" x14ac:dyDescent="0.3">
      <c r="BB1027994" s="38"/>
    </row>
    <row r="1027995" spans="54:54" ht="15.75" customHeight="1" x14ac:dyDescent="0.3">
      <c r="BB1027995" s="38"/>
    </row>
    <row r="1027996" spans="54:54" ht="15.75" customHeight="1" x14ac:dyDescent="0.3">
      <c r="BB1027996" s="38"/>
    </row>
    <row r="1027997" spans="54:54" ht="15.75" customHeight="1" x14ac:dyDescent="0.3">
      <c r="BB1027997" s="38"/>
    </row>
    <row r="1027998" spans="54:54" ht="15.75" customHeight="1" x14ac:dyDescent="0.3">
      <c r="BB1027998" s="38"/>
    </row>
    <row r="1027999" spans="54:54" ht="15.75" customHeight="1" x14ac:dyDescent="0.3">
      <c r="BB1027999" s="38"/>
    </row>
    <row r="1028000" spans="54:54" ht="15.75" customHeight="1" x14ac:dyDescent="0.3">
      <c r="BB1028000" s="38"/>
    </row>
    <row r="1028001" spans="54:54" ht="15.75" customHeight="1" x14ac:dyDescent="0.3">
      <c r="BB1028001" s="38"/>
    </row>
    <row r="1028002" spans="54:54" ht="15.75" customHeight="1" x14ac:dyDescent="0.3">
      <c r="BB1028002" s="38"/>
    </row>
    <row r="1028003" spans="54:54" ht="15.75" customHeight="1" x14ac:dyDescent="0.3">
      <c r="BB1028003" s="38"/>
    </row>
    <row r="1028004" spans="54:54" ht="15.75" customHeight="1" x14ac:dyDescent="0.3">
      <c r="BB1028004" s="38"/>
    </row>
    <row r="1028005" spans="54:54" ht="15.75" customHeight="1" x14ac:dyDescent="0.3">
      <c r="BB1028005" s="38"/>
    </row>
    <row r="1028006" spans="54:54" ht="15.75" customHeight="1" x14ac:dyDescent="0.3">
      <c r="BB1028006" s="38"/>
    </row>
    <row r="1028007" spans="54:54" ht="15.75" customHeight="1" x14ac:dyDescent="0.3">
      <c r="BB1028007" s="38"/>
    </row>
    <row r="1028008" spans="54:54" ht="15.75" customHeight="1" x14ac:dyDescent="0.3">
      <c r="BB1028008" s="38"/>
    </row>
    <row r="1028009" spans="54:54" ht="15.75" customHeight="1" x14ac:dyDescent="0.3">
      <c r="BB1028009" s="38"/>
    </row>
    <row r="1028010" spans="54:54" ht="15.75" customHeight="1" x14ac:dyDescent="0.3">
      <c r="BB1028010" s="38"/>
    </row>
    <row r="1028011" spans="54:54" ht="15.75" customHeight="1" x14ac:dyDescent="0.3">
      <c r="BB1028011" s="38"/>
    </row>
    <row r="1028012" spans="54:54" ht="15.75" customHeight="1" x14ac:dyDescent="0.3">
      <c r="BB1028012" s="38"/>
    </row>
    <row r="1028013" spans="54:54" ht="15.75" customHeight="1" x14ac:dyDescent="0.3">
      <c r="BB1028013" s="38"/>
    </row>
    <row r="1028014" spans="54:54" ht="15.75" customHeight="1" x14ac:dyDescent="0.3">
      <c r="BB1028014" s="38"/>
    </row>
    <row r="1028015" spans="54:54" ht="15.75" customHeight="1" x14ac:dyDescent="0.3">
      <c r="BB1028015" s="38"/>
    </row>
    <row r="1028016" spans="54:54" ht="15.75" customHeight="1" x14ac:dyDescent="0.3">
      <c r="BB1028016" s="38"/>
    </row>
    <row r="1028017" spans="54:54" ht="15.75" customHeight="1" x14ac:dyDescent="0.3">
      <c r="BB1028017" s="38"/>
    </row>
    <row r="1028018" spans="54:54" ht="15.75" customHeight="1" x14ac:dyDescent="0.3">
      <c r="BB1028018" s="38"/>
    </row>
    <row r="1028019" spans="54:54" ht="15.75" customHeight="1" x14ac:dyDescent="0.3">
      <c r="BB1028019" s="38"/>
    </row>
    <row r="1028020" spans="54:54" ht="15.75" customHeight="1" x14ac:dyDescent="0.3">
      <c r="BB1028020" s="38"/>
    </row>
    <row r="1028021" spans="54:54" ht="15.75" customHeight="1" x14ac:dyDescent="0.3">
      <c r="BB1028021" s="38"/>
    </row>
    <row r="1028022" spans="54:54" ht="15.75" customHeight="1" x14ac:dyDescent="0.3">
      <c r="BB1028022" s="38"/>
    </row>
    <row r="1028023" spans="54:54" ht="15.75" customHeight="1" x14ac:dyDescent="0.3">
      <c r="BB1028023" s="38"/>
    </row>
    <row r="1028024" spans="54:54" ht="15.75" customHeight="1" x14ac:dyDescent="0.3">
      <c r="BB1028024" s="38"/>
    </row>
    <row r="1028025" spans="54:54" ht="15.75" customHeight="1" x14ac:dyDescent="0.3">
      <c r="BB1028025" s="38"/>
    </row>
    <row r="1028026" spans="54:54" ht="15.75" customHeight="1" x14ac:dyDescent="0.3">
      <c r="BB1028026" s="38"/>
    </row>
    <row r="1028027" spans="54:54" ht="15.75" customHeight="1" x14ac:dyDescent="0.3">
      <c r="BB1028027" s="38"/>
    </row>
    <row r="1028028" spans="54:54" ht="15.75" customHeight="1" x14ac:dyDescent="0.3">
      <c r="BB1028028" s="38"/>
    </row>
    <row r="1028029" spans="54:54" ht="15.75" customHeight="1" x14ac:dyDescent="0.3">
      <c r="BB1028029" s="38"/>
    </row>
    <row r="1028030" spans="54:54" ht="15.75" customHeight="1" x14ac:dyDescent="0.3">
      <c r="BB1028030" s="38"/>
    </row>
    <row r="1028031" spans="54:54" ht="15.75" customHeight="1" x14ac:dyDescent="0.3">
      <c r="BB1028031" s="38"/>
    </row>
    <row r="1028032" spans="54:54" ht="15.75" customHeight="1" x14ac:dyDescent="0.3">
      <c r="BB1028032" s="38"/>
    </row>
    <row r="1028033" spans="54:54" ht="15.75" customHeight="1" x14ac:dyDescent="0.3">
      <c r="BB1028033" s="38"/>
    </row>
    <row r="1028034" spans="54:54" ht="15.75" customHeight="1" x14ac:dyDescent="0.3">
      <c r="BB1028034" s="38"/>
    </row>
    <row r="1028035" spans="54:54" ht="15.75" customHeight="1" x14ac:dyDescent="0.3">
      <c r="BB1028035" s="38"/>
    </row>
    <row r="1028036" spans="54:54" ht="15.75" customHeight="1" x14ac:dyDescent="0.3">
      <c r="BB1028036" s="38"/>
    </row>
    <row r="1028037" spans="54:54" ht="15.75" customHeight="1" x14ac:dyDescent="0.3">
      <c r="BB1028037" s="38"/>
    </row>
    <row r="1028038" spans="54:54" ht="15.75" customHeight="1" x14ac:dyDescent="0.3">
      <c r="BB1028038" s="38"/>
    </row>
    <row r="1028039" spans="54:54" ht="15.75" customHeight="1" x14ac:dyDescent="0.3">
      <c r="BB1028039" s="38"/>
    </row>
    <row r="1028040" spans="54:54" ht="15.75" customHeight="1" x14ac:dyDescent="0.3">
      <c r="BB1028040" s="38"/>
    </row>
    <row r="1028041" spans="54:54" ht="15.75" customHeight="1" x14ac:dyDescent="0.3">
      <c r="BB1028041" s="38"/>
    </row>
    <row r="1028042" spans="54:54" ht="15.75" customHeight="1" x14ac:dyDescent="0.3">
      <c r="BB1028042" s="38"/>
    </row>
    <row r="1028043" spans="54:54" ht="15.75" customHeight="1" x14ac:dyDescent="0.3">
      <c r="BB1028043" s="38"/>
    </row>
    <row r="1028044" spans="54:54" ht="15.75" customHeight="1" x14ac:dyDescent="0.3">
      <c r="BB1028044" s="38"/>
    </row>
    <row r="1028045" spans="54:54" ht="15.75" customHeight="1" x14ac:dyDescent="0.3">
      <c r="BB1028045" s="38"/>
    </row>
    <row r="1028046" spans="54:54" ht="15.75" customHeight="1" x14ac:dyDescent="0.3">
      <c r="BB1028046" s="38"/>
    </row>
    <row r="1028047" spans="54:54" ht="15.75" customHeight="1" x14ac:dyDescent="0.3">
      <c r="BB1028047" s="38"/>
    </row>
    <row r="1028048" spans="54:54" ht="15.75" customHeight="1" x14ac:dyDescent="0.3">
      <c r="BB1028048" s="38"/>
    </row>
    <row r="1028049" spans="54:54" ht="15.75" customHeight="1" x14ac:dyDescent="0.3">
      <c r="BB1028049" s="38"/>
    </row>
    <row r="1028050" spans="54:54" ht="15.75" customHeight="1" x14ac:dyDescent="0.3">
      <c r="BB1028050" s="38"/>
    </row>
    <row r="1028051" spans="54:54" ht="15.75" customHeight="1" x14ac:dyDescent="0.3">
      <c r="BB1028051" s="38"/>
    </row>
    <row r="1028052" spans="54:54" ht="15.75" customHeight="1" x14ac:dyDescent="0.3">
      <c r="BB1028052" s="38"/>
    </row>
    <row r="1028053" spans="54:54" ht="15.75" customHeight="1" x14ac:dyDescent="0.3">
      <c r="BB1028053" s="38"/>
    </row>
    <row r="1028054" spans="54:54" ht="15.75" customHeight="1" x14ac:dyDescent="0.3">
      <c r="BB1028054" s="38"/>
    </row>
    <row r="1028055" spans="54:54" ht="15.75" customHeight="1" x14ac:dyDescent="0.3">
      <c r="BB1028055" s="38"/>
    </row>
    <row r="1028056" spans="54:54" ht="15.75" customHeight="1" x14ac:dyDescent="0.3">
      <c r="BB1028056" s="38"/>
    </row>
    <row r="1028057" spans="54:54" ht="15.75" customHeight="1" x14ac:dyDescent="0.3">
      <c r="BB1028057" s="38"/>
    </row>
    <row r="1028058" spans="54:54" ht="15.75" customHeight="1" x14ac:dyDescent="0.3">
      <c r="BB1028058" s="38"/>
    </row>
    <row r="1028059" spans="54:54" ht="15.75" customHeight="1" x14ac:dyDescent="0.3">
      <c r="BB1028059" s="38"/>
    </row>
    <row r="1028060" spans="54:54" ht="15.75" customHeight="1" x14ac:dyDescent="0.3">
      <c r="BB1028060" s="38"/>
    </row>
    <row r="1028061" spans="54:54" ht="15.75" customHeight="1" x14ac:dyDescent="0.3">
      <c r="BB1028061" s="38"/>
    </row>
    <row r="1028062" spans="54:54" ht="15.75" customHeight="1" x14ac:dyDescent="0.3">
      <c r="BB1028062" s="38"/>
    </row>
    <row r="1028063" spans="54:54" ht="15.75" customHeight="1" x14ac:dyDescent="0.3">
      <c r="BB1028063" s="38"/>
    </row>
    <row r="1028064" spans="54:54" ht="15.75" customHeight="1" x14ac:dyDescent="0.3">
      <c r="BB1028064" s="38"/>
    </row>
    <row r="1028065" spans="54:54" ht="15.75" customHeight="1" x14ac:dyDescent="0.3">
      <c r="BB1028065" s="38"/>
    </row>
    <row r="1028066" spans="54:54" ht="15.75" customHeight="1" x14ac:dyDescent="0.3">
      <c r="BB1028066" s="38"/>
    </row>
    <row r="1028067" spans="54:54" ht="15.75" customHeight="1" x14ac:dyDescent="0.3">
      <c r="BB1028067" s="38"/>
    </row>
    <row r="1028068" spans="54:54" ht="15.75" customHeight="1" x14ac:dyDescent="0.3">
      <c r="BB1028068" s="38"/>
    </row>
    <row r="1028069" spans="54:54" ht="15.75" customHeight="1" x14ac:dyDescent="0.3">
      <c r="BB1028069" s="38"/>
    </row>
    <row r="1028070" spans="54:54" ht="15.75" customHeight="1" x14ac:dyDescent="0.3">
      <c r="BB1028070" s="38"/>
    </row>
    <row r="1028071" spans="54:54" ht="15.75" customHeight="1" x14ac:dyDescent="0.3">
      <c r="BB1028071" s="38"/>
    </row>
    <row r="1028072" spans="54:54" ht="15.75" customHeight="1" x14ac:dyDescent="0.3">
      <c r="BB1028072" s="38"/>
    </row>
    <row r="1028073" spans="54:54" ht="15.75" customHeight="1" x14ac:dyDescent="0.3">
      <c r="BB1028073" s="38"/>
    </row>
    <row r="1028074" spans="54:54" ht="15.75" customHeight="1" x14ac:dyDescent="0.3">
      <c r="BB1028074" s="38"/>
    </row>
    <row r="1028075" spans="54:54" ht="15.75" customHeight="1" x14ac:dyDescent="0.3">
      <c r="BB1028075" s="38"/>
    </row>
    <row r="1028076" spans="54:54" ht="15.75" customHeight="1" x14ac:dyDescent="0.3">
      <c r="BB1028076" s="38"/>
    </row>
    <row r="1028077" spans="54:54" ht="15.75" customHeight="1" x14ac:dyDescent="0.3">
      <c r="BB1028077" s="38"/>
    </row>
    <row r="1028078" spans="54:54" ht="15.75" customHeight="1" x14ac:dyDescent="0.3">
      <c r="BB1028078" s="38"/>
    </row>
    <row r="1028079" spans="54:54" ht="15.75" customHeight="1" x14ac:dyDescent="0.3">
      <c r="BB1028079" s="38"/>
    </row>
    <row r="1028080" spans="54:54" ht="15.75" customHeight="1" x14ac:dyDescent="0.3">
      <c r="BB1028080" s="38"/>
    </row>
    <row r="1028081" spans="54:54" ht="15.75" customHeight="1" x14ac:dyDescent="0.3">
      <c r="BB1028081" s="38"/>
    </row>
    <row r="1028082" spans="54:54" ht="15.75" customHeight="1" x14ac:dyDescent="0.3">
      <c r="BB1028082" s="38"/>
    </row>
    <row r="1028083" spans="54:54" ht="15.75" customHeight="1" x14ac:dyDescent="0.3">
      <c r="BB1028083" s="38"/>
    </row>
    <row r="1028084" spans="54:54" ht="15.75" customHeight="1" x14ac:dyDescent="0.3">
      <c r="BB1028084" s="38"/>
    </row>
    <row r="1028085" spans="54:54" ht="15.75" customHeight="1" x14ac:dyDescent="0.3">
      <c r="BB1028085" s="38"/>
    </row>
    <row r="1028086" spans="54:54" ht="15.75" customHeight="1" x14ac:dyDescent="0.3">
      <c r="BB1028086" s="38"/>
    </row>
    <row r="1028087" spans="54:54" ht="15.75" customHeight="1" x14ac:dyDescent="0.3">
      <c r="BB1028087" s="38"/>
    </row>
    <row r="1028088" spans="54:54" ht="15.75" customHeight="1" x14ac:dyDescent="0.3">
      <c r="BB1028088" s="38"/>
    </row>
    <row r="1028089" spans="54:54" ht="15.75" customHeight="1" x14ac:dyDescent="0.3">
      <c r="BB1028089" s="38"/>
    </row>
    <row r="1028090" spans="54:54" ht="15.75" customHeight="1" x14ac:dyDescent="0.3">
      <c r="BB1028090" s="38"/>
    </row>
    <row r="1028091" spans="54:54" ht="15.75" customHeight="1" x14ac:dyDescent="0.3">
      <c r="BB1028091" s="38"/>
    </row>
    <row r="1028092" spans="54:54" ht="15.75" customHeight="1" x14ac:dyDescent="0.3">
      <c r="BB1028092" s="38"/>
    </row>
    <row r="1028093" spans="54:54" ht="15.75" customHeight="1" x14ac:dyDescent="0.3">
      <c r="BB1028093" s="38"/>
    </row>
    <row r="1028094" spans="54:54" ht="15.75" customHeight="1" x14ac:dyDescent="0.3">
      <c r="BB1028094" s="38"/>
    </row>
    <row r="1028095" spans="54:54" ht="15.75" customHeight="1" x14ac:dyDescent="0.3">
      <c r="BB1028095" s="38"/>
    </row>
    <row r="1028096" spans="54:54" ht="15.75" customHeight="1" x14ac:dyDescent="0.3">
      <c r="BB1028096" s="38"/>
    </row>
    <row r="1028097" spans="54:54" ht="15.75" customHeight="1" x14ac:dyDescent="0.3">
      <c r="BB1028097" s="38"/>
    </row>
    <row r="1028098" spans="54:54" ht="15.75" customHeight="1" x14ac:dyDescent="0.3">
      <c r="BB1028098" s="38"/>
    </row>
    <row r="1028099" spans="54:54" ht="15.75" customHeight="1" x14ac:dyDescent="0.3">
      <c r="BB1028099" s="38"/>
    </row>
    <row r="1028100" spans="54:54" ht="15.75" customHeight="1" x14ac:dyDescent="0.3">
      <c r="BB1028100" s="38"/>
    </row>
    <row r="1028101" spans="54:54" ht="15.75" customHeight="1" x14ac:dyDescent="0.3">
      <c r="BB1028101" s="38"/>
    </row>
    <row r="1028102" spans="54:54" ht="15.75" customHeight="1" x14ac:dyDescent="0.3">
      <c r="BB1028102" s="38"/>
    </row>
    <row r="1028103" spans="54:54" ht="15.75" customHeight="1" x14ac:dyDescent="0.3">
      <c r="BB1028103" s="38"/>
    </row>
    <row r="1028104" spans="54:54" ht="15.75" customHeight="1" x14ac:dyDescent="0.3">
      <c r="BB1028104" s="38"/>
    </row>
    <row r="1028105" spans="54:54" ht="15.75" customHeight="1" x14ac:dyDescent="0.3">
      <c r="BB1028105" s="38"/>
    </row>
    <row r="1028106" spans="54:54" ht="15.75" customHeight="1" x14ac:dyDescent="0.3">
      <c r="BB1028106" s="38"/>
    </row>
    <row r="1028107" spans="54:54" ht="15.75" customHeight="1" x14ac:dyDescent="0.3">
      <c r="BB1028107" s="38"/>
    </row>
    <row r="1028108" spans="54:54" ht="15.75" customHeight="1" x14ac:dyDescent="0.3">
      <c r="BB1028108" s="38"/>
    </row>
    <row r="1028109" spans="54:54" ht="15.75" customHeight="1" x14ac:dyDescent="0.3">
      <c r="BB1028109" s="38"/>
    </row>
    <row r="1028110" spans="54:54" ht="15.75" customHeight="1" x14ac:dyDescent="0.3">
      <c r="BB1028110" s="38"/>
    </row>
    <row r="1028111" spans="54:54" ht="15.75" customHeight="1" x14ac:dyDescent="0.3">
      <c r="BB1028111" s="38"/>
    </row>
    <row r="1028112" spans="54:54" ht="15.75" customHeight="1" x14ac:dyDescent="0.3">
      <c r="BB1028112" s="38"/>
    </row>
    <row r="1028113" spans="54:54" ht="15.75" customHeight="1" x14ac:dyDescent="0.3">
      <c r="BB1028113" s="38"/>
    </row>
    <row r="1028114" spans="54:54" ht="15.75" customHeight="1" x14ac:dyDescent="0.3">
      <c r="BB1028114" s="38"/>
    </row>
    <row r="1028115" spans="54:54" ht="15.75" customHeight="1" x14ac:dyDescent="0.3">
      <c r="BB1028115" s="38"/>
    </row>
    <row r="1028116" spans="54:54" ht="15.75" customHeight="1" x14ac:dyDescent="0.3">
      <c r="BB1028116" s="38"/>
    </row>
    <row r="1028117" spans="54:54" ht="15.75" customHeight="1" x14ac:dyDescent="0.3">
      <c r="BB1028117" s="38"/>
    </row>
    <row r="1028118" spans="54:54" ht="15.75" customHeight="1" x14ac:dyDescent="0.3">
      <c r="BB1028118" s="38"/>
    </row>
    <row r="1028119" spans="54:54" ht="15.75" customHeight="1" x14ac:dyDescent="0.3">
      <c r="BB1028119" s="38"/>
    </row>
    <row r="1028120" spans="54:54" ht="15.75" customHeight="1" x14ac:dyDescent="0.3">
      <c r="BB1028120" s="38"/>
    </row>
    <row r="1028121" spans="54:54" ht="15.75" customHeight="1" x14ac:dyDescent="0.3">
      <c r="BB1028121" s="38"/>
    </row>
    <row r="1028122" spans="54:54" ht="15.75" customHeight="1" x14ac:dyDescent="0.3">
      <c r="BB1028122" s="38"/>
    </row>
    <row r="1028123" spans="54:54" ht="15.75" customHeight="1" x14ac:dyDescent="0.3">
      <c r="BB1028123" s="38"/>
    </row>
    <row r="1028124" spans="54:54" ht="15.75" customHeight="1" x14ac:dyDescent="0.3">
      <c r="BB1028124" s="38"/>
    </row>
    <row r="1028125" spans="54:54" ht="15.75" customHeight="1" x14ac:dyDescent="0.3">
      <c r="BB1028125" s="38"/>
    </row>
    <row r="1028126" spans="54:54" ht="15.75" customHeight="1" x14ac:dyDescent="0.3">
      <c r="BB1028126" s="38"/>
    </row>
    <row r="1028127" spans="54:54" ht="15.75" customHeight="1" x14ac:dyDescent="0.3">
      <c r="BB1028127" s="38"/>
    </row>
    <row r="1028128" spans="54:54" ht="15.75" customHeight="1" x14ac:dyDescent="0.3">
      <c r="BB1028128" s="38"/>
    </row>
    <row r="1028129" spans="54:54" ht="15.75" customHeight="1" x14ac:dyDescent="0.3">
      <c r="BB1028129" s="38"/>
    </row>
    <row r="1028130" spans="54:54" ht="15.75" customHeight="1" x14ac:dyDescent="0.3">
      <c r="BB1028130" s="38"/>
    </row>
    <row r="1028131" spans="54:54" ht="15.75" customHeight="1" x14ac:dyDescent="0.3">
      <c r="BB1028131" s="38"/>
    </row>
    <row r="1028132" spans="54:54" ht="15.75" customHeight="1" x14ac:dyDescent="0.3">
      <c r="BB1028132" s="38"/>
    </row>
    <row r="1028133" spans="54:54" ht="15.75" customHeight="1" x14ac:dyDescent="0.3">
      <c r="BB1028133" s="38"/>
    </row>
    <row r="1028134" spans="54:54" ht="15.75" customHeight="1" x14ac:dyDescent="0.3">
      <c r="BB1028134" s="38"/>
    </row>
    <row r="1028135" spans="54:54" ht="15.75" customHeight="1" x14ac:dyDescent="0.3">
      <c r="BB1028135" s="38"/>
    </row>
    <row r="1028136" spans="54:54" ht="15.75" customHeight="1" x14ac:dyDescent="0.3">
      <c r="BB1028136" s="38"/>
    </row>
    <row r="1028137" spans="54:54" ht="15.75" customHeight="1" x14ac:dyDescent="0.3">
      <c r="BB1028137" s="38"/>
    </row>
    <row r="1028138" spans="54:54" ht="15.75" customHeight="1" x14ac:dyDescent="0.3">
      <c r="BB1028138" s="38"/>
    </row>
    <row r="1028139" spans="54:54" ht="15.75" customHeight="1" x14ac:dyDescent="0.3">
      <c r="BB1028139" s="38"/>
    </row>
    <row r="1028140" spans="54:54" ht="15.75" customHeight="1" x14ac:dyDescent="0.3">
      <c r="BB1028140" s="38"/>
    </row>
    <row r="1028141" spans="54:54" ht="15.75" customHeight="1" x14ac:dyDescent="0.3">
      <c r="BB1028141" s="38"/>
    </row>
    <row r="1028142" spans="54:54" ht="15.75" customHeight="1" x14ac:dyDescent="0.3">
      <c r="BB1028142" s="38"/>
    </row>
    <row r="1028143" spans="54:54" ht="15.75" customHeight="1" x14ac:dyDescent="0.3">
      <c r="BB1028143" s="38"/>
    </row>
    <row r="1028144" spans="54:54" ht="15.75" customHeight="1" x14ac:dyDescent="0.3">
      <c r="BB1028144" s="38"/>
    </row>
    <row r="1028145" spans="54:54" ht="15.75" customHeight="1" x14ac:dyDescent="0.3">
      <c r="BB1028145" s="38"/>
    </row>
    <row r="1028146" spans="54:54" ht="15.75" customHeight="1" x14ac:dyDescent="0.3">
      <c r="BB1028146" s="38"/>
    </row>
    <row r="1028147" spans="54:54" ht="15.75" customHeight="1" x14ac:dyDescent="0.3">
      <c r="BB1028147" s="38"/>
    </row>
    <row r="1028148" spans="54:54" ht="15.75" customHeight="1" x14ac:dyDescent="0.3">
      <c r="BB1028148" s="38"/>
    </row>
    <row r="1028149" spans="54:54" ht="15.75" customHeight="1" x14ac:dyDescent="0.3">
      <c r="BB1028149" s="38"/>
    </row>
    <row r="1028150" spans="54:54" ht="15.75" customHeight="1" x14ac:dyDescent="0.3">
      <c r="BB1028150" s="38"/>
    </row>
    <row r="1028151" spans="54:54" ht="15.75" customHeight="1" x14ac:dyDescent="0.3">
      <c r="BB1028151" s="38"/>
    </row>
    <row r="1028152" spans="54:54" ht="15.75" customHeight="1" x14ac:dyDescent="0.3">
      <c r="BB1028152" s="38"/>
    </row>
    <row r="1028153" spans="54:54" ht="15.75" customHeight="1" x14ac:dyDescent="0.3">
      <c r="BB1028153" s="38"/>
    </row>
    <row r="1028154" spans="54:54" ht="15.75" customHeight="1" x14ac:dyDescent="0.3">
      <c r="BB1028154" s="38"/>
    </row>
    <row r="1028155" spans="54:54" ht="15.75" customHeight="1" x14ac:dyDescent="0.3">
      <c r="BB1028155" s="38"/>
    </row>
    <row r="1028156" spans="54:54" ht="15.75" customHeight="1" x14ac:dyDescent="0.3">
      <c r="BB1028156" s="38"/>
    </row>
    <row r="1028157" spans="54:54" ht="15.75" customHeight="1" x14ac:dyDescent="0.3">
      <c r="BB1028157" s="38"/>
    </row>
    <row r="1028158" spans="54:54" ht="15.75" customHeight="1" x14ac:dyDescent="0.3">
      <c r="BB1028158" s="38"/>
    </row>
    <row r="1028159" spans="54:54" ht="15.75" customHeight="1" x14ac:dyDescent="0.3">
      <c r="BB1028159" s="38"/>
    </row>
    <row r="1028160" spans="54:54" ht="15.75" customHeight="1" x14ac:dyDescent="0.3">
      <c r="BB1028160" s="38"/>
    </row>
    <row r="1028161" spans="54:54" ht="15.75" customHeight="1" x14ac:dyDescent="0.3">
      <c r="BB1028161" s="38"/>
    </row>
    <row r="1028162" spans="54:54" ht="15.75" customHeight="1" x14ac:dyDescent="0.3">
      <c r="BB1028162" s="38"/>
    </row>
    <row r="1028163" spans="54:54" ht="15.75" customHeight="1" x14ac:dyDescent="0.3">
      <c r="BB1028163" s="38"/>
    </row>
    <row r="1028164" spans="54:54" ht="15.75" customHeight="1" x14ac:dyDescent="0.3">
      <c r="BB1028164" s="38"/>
    </row>
    <row r="1028165" spans="54:54" ht="15.75" customHeight="1" x14ac:dyDescent="0.3">
      <c r="BB1028165" s="38"/>
    </row>
    <row r="1028166" spans="54:54" ht="15.75" customHeight="1" x14ac:dyDescent="0.3">
      <c r="BB1028166" s="38"/>
    </row>
    <row r="1028167" spans="54:54" ht="15.75" customHeight="1" x14ac:dyDescent="0.3">
      <c r="BB1028167" s="38"/>
    </row>
    <row r="1028168" spans="54:54" ht="15.75" customHeight="1" x14ac:dyDescent="0.3">
      <c r="BB1028168" s="38"/>
    </row>
    <row r="1028169" spans="54:54" ht="15.75" customHeight="1" x14ac:dyDescent="0.3">
      <c r="BB1028169" s="38"/>
    </row>
    <row r="1028170" spans="54:54" ht="15.75" customHeight="1" x14ac:dyDescent="0.3">
      <c r="BB1028170" s="38"/>
    </row>
    <row r="1028171" spans="54:54" ht="15.75" customHeight="1" x14ac:dyDescent="0.3">
      <c r="BB1028171" s="38"/>
    </row>
    <row r="1028172" spans="54:54" ht="15.75" customHeight="1" x14ac:dyDescent="0.3">
      <c r="BB1028172" s="38"/>
    </row>
    <row r="1028173" spans="54:54" ht="15.75" customHeight="1" x14ac:dyDescent="0.3">
      <c r="BB1028173" s="38"/>
    </row>
    <row r="1028174" spans="54:54" ht="15.75" customHeight="1" x14ac:dyDescent="0.3">
      <c r="BB1028174" s="38"/>
    </row>
    <row r="1028175" spans="54:54" ht="15.75" customHeight="1" x14ac:dyDescent="0.3">
      <c r="BB1028175" s="38"/>
    </row>
    <row r="1028176" spans="54:54" ht="15.75" customHeight="1" x14ac:dyDescent="0.3">
      <c r="BB1028176" s="38"/>
    </row>
    <row r="1028177" spans="54:54" ht="15.75" customHeight="1" x14ac:dyDescent="0.3">
      <c r="BB1028177" s="38"/>
    </row>
    <row r="1028178" spans="54:54" ht="15.75" customHeight="1" x14ac:dyDescent="0.3">
      <c r="BB1028178" s="38"/>
    </row>
    <row r="1028179" spans="54:54" ht="15.75" customHeight="1" x14ac:dyDescent="0.3">
      <c r="BB1028179" s="38"/>
    </row>
    <row r="1028180" spans="54:54" ht="15.75" customHeight="1" x14ac:dyDescent="0.3">
      <c r="BB1028180" s="38"/>
    </row>
    <row r="1028181" spans="54:54" ht="15.75" customHeight="1" x14ac:dyDescent="0.3">
      <c r="BB1028181" s="38"/>
    </row>
    <row r="1028182" spans="54:54" ht="15.75" customHeight="1" x14ac:dyDescent="0.3">
      <c r="BB1028182" s="38"/>
    </row>
    <row r="1028183" spans="54:54" ht="15.75" customHeight="1" x14ac:dyDescent="0.3">
      <c r="BB1028183" s="38"/>
    </row>
    <row r="1028184" spans="54:54" ht="15.75" customHeight="1" x14ac:dyDescent="0.3">
      <c r="BB1028184" s="38"/>
    </row>
    <row r="1028185" spans="54:54" ht="15.75" customHeight="1" x14ac:dyDescent="0.3">
      <c r="BB1028185" s="38"/>
    </row>
    <row r="1028186" spans="54:54" ht="15.75" customHeight="1" x14ac:dyDescent="0.3">
      <c r="BB1028186" s="38"/>
    </row>
    <row r="1028187" spans="54:54" ht="15.75" customHeight="1" x14ac:dyDescent="0.3">
      <c r="BB1028187" s="38"/>
    </row>
    <row r="1028188" spans="54:54" ht="15.75" customHeight="1" x14ac:dyDescent="0.3">
      <c r="BB1028188" s="38"/>
    </row>
    <row r="1028189" spans="54:54" ht="15.75" customHeight="1" x14ac:dyDescent="0.3">
      <c r="BB1028189" s="38"/>
    </row>
    <row r="1028190" spans="54:54" ht="15.75" customHeight="1" x14ac:dyDescent="0.3">
      <c r="BB1028190" s="38"/>
    </row>
    <row r="1028191" spans="54:54" ht="15.75" customHeight="1" x14ac:dyDescent="0.3">
      <c r="BB1028191" s="38"/>
    </row>
    <row r="1028192" spans="54:54" ht="15.75" customHeight="1" x14ac:dyDescent="0.3">
      <c r="BB1028192" s="38"/>
    </row>
    <row r="1028193" spans="54:54" ht="15.75" customHeight="1" x14ac:dyDescent="0.3">
      <c r="BB1028193" s="38"/>
    </row>
    <row r="1028194" spans="54:54" ht="15.75" customHeight="1" x14ac:dyDescent="0.3">
      <c r="BB1028194" s="38"/>
    </row>
    <row r="1028195" spans="54:54" ht="15.75" customHeight="1" x14ac:dyDescent="0.3">
      <c r="BB1028195" s="38"/>
    </row>
    <row r="1028196" spans="54:54" ht="15.75" customHeight="1" x14ac:dyDescent="0.3">
      <c r="BB1028196" s="38"/>
    </row>
    <row r="1028197" spans="54:54" ht="15.75" customHeight="1" x14ac:dyDescent="0.3">
      <c r="BB1028197" s="38"/>
    </row>
    <row r="1028198" spans="54:54" ht="15.75" customHeight="1" x14ac:dyDescent="0.3">
      <c r="BB1028198" s="38"/>
    </row>
    <row r="1028199" spans="54:54" ht="15.75" customHeight="1" x14ac:dyDescent="0.3">
      <c r="BB1028199" s="38"/>
    </row>
    <row r="1028200" spans="54:54" ht="15.75" customHeight="1" x14ac:dyDescent="0.3">
      <c r="BB1028200" s="38"/>
    </row>
    <row r="1028201" spans="54:54" ht="15.75" customHeight="1" x14ac:dyDescent="0.3">
      <c r="BB1028201" s="38"/>
    </row>
    <row r="1028202" spans="54:54" ht="15.75" customHeight="1" x14ac:dyDescent="0.3">
      <c r="BB1028202" s="38"/>
    </row>
    <row r="1028203" spans="54:54" ht="15.75" customHeight="1" x14ac:dyDescent="0.3">
      <c r="BB1028203" s="38"/>
    </row>
    <row r="1028204" spans="54:54" ht="15.75" customHeight="1" x14ac:dyDescent="0.3">
      <c r="BB1028204" s="38"/>
    </row>
    <row r="1028205" spans="54:54" ht="15.75" customHeight="1" x14ac:dyDescent="0.3">
      <c r="BB1028205" s="38"/>
    </row>
    <row r="1028206" spans="54:54" ht="15.75" customHeight="1" x14ac:dyDescent="0.3">
      <c r="BB1028206" s="38"/>
    </row>
    <row r="1028207" spans="54:54" ht="15.75" customHeight="1" x14ac:dyDescent="0.3">
      <c r="BB1028207" s="38"/>
    </row>
    <row r="1028208" spans="54:54" ht="15.75" customHeight="1" x14ac:dyDescent="0.3">
      <c r="BB1028208" s="38"/>
    </row>
    <row r="1028209" spans="54:54" ht="15.75" customHeight="1" x14ac:dyDescent="0.3">
      <c r="BB1028209" s="38"/>
    </row>
    <row r="1028210" spans="54:54" ht="15.75" customHeight="1" x14ac:dyDescent="0.3">
      <c r="BB1028210" s="38"/>
    </row>
    <row r="1028211" spans="54:54" ht="15.75" customHeight="1" x14ac:dyDescent="0.3">
      <c r="BB1028211" s="38"/>
    </row>
    <row r="1028212" spans="54:54" ht="15.75" customHeight="1" x14ac:dyDescent="0.3">
      <c r="BB1028212" s="38"/>
    </row>
    <row r="1028213" spans="54:54" ht="15.75" customHeight="1" x14ac:dyDescent="0.3">
      <c r="BB1028213" s="38"/>
    </row>
    <row r="1028214" spans="54:54" ht="15.75" customHeight="1" x14ac:dyDescent="0.3">
      <c r="BB1028214" s="38"/>
    </row>
    <row r="1028215" spans="54:54" ht="15.75" customHeight="1" x14ac:dyDescent="0.3">
      <c r="BB1028215" s="38"/>
    </row>
    <row r="1028216" spans="54:54" ht="15.75" customHeight="1" x14ac:dyDescent="0.3">
      <c r="BB1028216" s="38"/>
    </row>
    <row r="1028217" spans="54:54" ht="15.75" customHeight="1" x14ac:dyDescent="0.3">
      <c r="BB1028217" s="38"/>
    </row>
    <row r="1028218" spans="54:54" ht="15.75" customHeight="1" x14ac:dyDescent="0.3">
      <c r="BB1028218" s="38"/>
    </row>
    <row r="1028219" spans="54:54" ht="15.75" customHeight="1" x14ac:dyDescent="0.3">
      <c r="BB1028219" s="38"/>
    </row>
    <row r="1028220" spans="54:54" ht="15.75" customHeight="1" x14ac:dyDescent="0.3">
      <c r="BB1028220" s="38"/>
    </row>
    <row r="1028221" spans="54:54" ht="15.75" customHeight="1" x14ac:dyDescent="0.3">
      <c r="BB1028221" s="38"/>
    </row>
    <row r="1028222" spans="54:54" ht="15.75" customHeight="1" x14ac:dyDescent="0.3">
      <c r="BB1028222" s="38"/>
    </row>
    <row r="1028223" spans="54:54" ht="15.75" customHeight="1" x14ac:dyDescent="0.3">
      <c r="BB1028223" s="38"/>
    </row>
    <row r="1028224" spans="54:54" ht="15.75" customHeight="1" x14ac:dyDescent="0.3">
      <c r="BB1028224" s="38"/>
    </row>
    <row r="1028225" spans="54:54" ht="15.75" customHeight="1" x14ac:dyDescent="0.3">
      <c r="BB1028225" s="38"/>
    </row>
    <row r="1028226" spans="54:54" ht="15.75" customHeight="1" x14ac:dyDescent="0.3">
      <c r="BB1028226" s="38"/>
    </row>
    <row r="1028227" spans="54:54" ht="15.75" customHeight="1" x14ac:dyDescent="0.3">
      <c r="BB1028227" s="38"/>
    </row>
    <row r="1028228" spans="54:54" ht="15.75" customHeight="1" x14ac:dyDescent="0.3">
      <c r="BB1028228" s="38"/>
    </row>
    <row r="1028229" spans="54:54" ht="15.75" customHeight="1" x14ac:dyDescent="0.3">
      <c r="BB1028229" s="38"/>
    </row>
    <row r="1028230" spans="54:54" ht="15.75" customHeight="1" x14ac:dyDescent="0.3">
      <c r="BB1028230" s="38"/>
    </row>
    <row r="1028231" spans="54:54" ht="15.75" customHeight="1" x14ac:dyDescent="0.3">
      <c r="BB1028231" s="38"/>
    </row>
    <row r="1028232" spans="54:54" ht="15.75" customHeight="1" x14ac:dyDescent="0.3">
      <c r="BB1028232" s="38"/>
    </row>
    <row r="1028233" spans="54:54" ht="15.75" customHeight="1" x14ac:dyDescent="0.3">
      <c r="BB1028233" s="38"/>
    </row>
    <row r="1028234" spans="54:54" ht="15.75" customHeight="1" x14ac:dyDescent="0.3">
      <c r="BB1028234" s="38"/>
    </row>
    <row r="1028235" spans="54:54" ht="15.75" customHeight="1" x14ac:dyDescent="0.3">
      <c r="BB1028235" s="38"/>
    </row>
    <row r="1028236" spans="54:54" ht="15.75" customHeight="1" x14ac:dyDescent="0.3">
      <c r="BB1028236" s="38"/>
    </row>
    <row r="1028237" spans="54:54" ht="15.75" customHeight="1" x14ac:dyDescent="0.3">
      <c r="BB1028237" s="38"/>
    </row>
    <row r="1028238" spans="54:54" ht="15.75" customHeight="1" x14ac:dyDescent="0.3">
      <c r="BB1028238" s="38"/>
    </row>
    <row r="1028239" spans="54:54" ht="15.75" customHeight="1" x14ac:dyDescent="0.3">
      <c r="BB1028239" s="38"/>
    </row>
    <row r="1028240" spans="54:54" ht="15.75" customHeight="1" x14ac:dyDescent="0.3">
      <c r="BB1028240" s="38"/>
    </row>
    <row r="1028241" spans="54:54" ht="15.75" customHeight="1" x14ac:dyDescent="0.3">
      <c r="BB1028241" s="38"/>
    </row>
    <row r="1028242" spans="54:54" ht="15.75" customHeight="1" x14ac:dyDescent="0.3">
      <c r="BB1028242" s="38"/>
    </row>
    <row r="1028243" spans="54:54" ht="15.75" customHeight="1" x14ac:dyDescent="0.3">
      <c r="BB1028243" s="38"/>
    </row>
    <row r="1028244" spans="54:54" ht="15.75" customHeight="1" x14ac:dyDescent="0.3">
      <c r="BB1028244" s="38"/>
    </row>
    <row r="1028245" spans="54:54" ht="15.75" customHeight="1" x14ac:dyDescent="0.3">
      <c r="BB1028245" s="38"/>
    </row>
    <row r="1028246" spans="54:54" ht="15.75" customHeight="1" x14ac:dyDescent="0.3">
      <c r="BB1028246" s="38"/>
    </row>
    <row r="1028247" spans="54:54" ht="15.75" customHeight="1" x14ac:dyDescent="0.3">
      <c r="BB1028247" s="38"/>
    </row>
    <row r="1028248" spans="54:54" ht="15.75" customHeight="1" x14ac:dyDescent="0.3">
      <c r="BB1028248" s="38"/>
    </row>
    <row r="1028249" spans="54:54" ht="15.75" customHeight="1" x14ac:dyDescent="0.3">
      <c r="BB1028249" s="38"/>
    </row>
    <row r="1028250" spans="54:54" ht="15.75" customHeight="1" x14ac:dyDescent="0.3">
      <c r="BB1028250" s="38"/>
    </row>
    <row r="1028251" spans="54:54" ht="15.75" customHeight="1" x14ac:dyDescent="0.3">
      <c r="BB1028251" s="38"/>
    </row>
    <row r="1028252" spans="54:54" ht="15.75" customHeight="1" x14ac:dyDescent="0.3">
      <c r="BB1028252" s="38"/>
    </row>
    <row r="1028253" spans="54:54" ht="15.75" customHeight="1" x14ac:dyDescent="0.3">
      <c r="BB1028253" s="38"/>
    </row>
    <row r="1028254" spans="54:54" ht="15.75" customHeight="1" x14ac:dyDescent="0.3">
      <c r="BB1028254" s="38"/>
    </row>
    <row r="1028255" spans="54:54" ht="15.75" customHeight="1" x14ac:dyDescent="0.3">
      <c r="BB1028255" s="38"/>
    </row>
    <row r="1028256" spans="54:54" ht="15.75" customHeight="1" x14ac:dyDescent="0.3">
      <c r="BB1028256" s="38"/>
    </row>
    <row r="1028257" spans="54:54" ht="15.75" customHeight="1" x14ac:dyDescent="0.3">
      <c r="BB1028257" s="38"/>
    </row>
    <row r="1028258" spans="54:54" ht="15.75" customHeight="1" x14ac:dyDescent="0.3">
      <c r="BB1028258" s="38"/>
    </row>
    <row r="1028259" spans="54:54" ht="15.75" customHeight="1" x14ac:dyDescent="0.3">
      <c r="BB1028259" s="38"/>
    </row>
    <row r="1028260" spans="54:54" ht="15.75" customHeight="1" x14ac:dyDescent="0.3">
      <c r="BB1028260" s="38"/>
    </row>
    <row r="1028261" spans="54:54" ht="15.75" customHeight="1" x14ac:dyDescent="0.3">
      <c r="BB1028261" s="38"/>
    </row>
    <row r="1028262" spans="54:54" ht="15.75" customHeight="1" x14ac:dyDescent="0.3">
      <c r="BB1028262" s="38"/>
    </row>
    <row r="1028263" spans="54:54" ht="15.75" customHeight="1" x14ac:dyDescent="0.3">
      <c r="BB1028263" s="38"/>
    </row>
    <row r="1028264" spans="54:54" ht="15.75" customHeight="1" x14ac:dyDescent="0.3">
      <c r="BB1028264" s="38"/>
    </row>
    <row r="1028265" spans="54:54" ht="15.75" customHeight="1" x14ac:dyDescent="0.3">
      <c r="BB1028265" s="38"/>
    </row>
    <row r="1028266" spans="54:54" ht="15.75" customHeight="1" x14ac:dyDescent="0.3">
      <c r="BB1028266" s="38"/>
    </row>
    <row r="1028267" spans="54:54" ht="15.75" customHeight="1" x14ac:dyDescent="0.3">
      <c r="BB1028267" s="38"/>
    </row>
    <row r="1028268" spans="54:54" ht="15.75" customHeight="1" x14ac:dyDescent="0.3">
      <c r="BB1028268" s="38"/>
    </row>
    <row r="1028269" spans="54:54" ht="15.75" customHeight="1" x14ac:dyDescent="0.3">
      <c r="BB1028269" s="38"/>
    </row>
    <row r="1028270" spans="54:54" ht="15.75" customHeight="1" x14ac:dyDescent="0.3">
      <c r="BB1028270" s="38"/>
    </row>
    <row r="1028271" spans="54:54" ht="15.75" customHeight="1" x14ac:dyDescent="0.3">
      <c r="BB1028271" s="38"/>
    </row>
    <row r="1028272" spans="54:54" ht="15.75" customHeight="1" x14ac:dyDescent="0.3">
      <c r="BB1028272" s="38"/>
    </row>
    <row r="1028273" spans="54:54" ht="15.75" customHeight="1" x14ac:dyDescent="0.3">
      <c r="BB1028273" s="38"/>
    </row>
    <row r="1028274" spans="54:54" ht="15.75" customHeight="1" x14ac:dyDescent="0.3">
      <c r="BB1028274" s="38"/>
    </row>
    <row r="1028275" spans="54:54" ht="15.75" customHeight="1" x14ac:dyDescent="0.3">
      <c r="BB1028275" s="38"/>
    </row>
    <row r="1028276" spans="54:54" ht="15.75" customHeight="1" x14ac:dyDescent="0.3">
      <c r="BB1028276" s="38"/>
    </row>
    <row r="1028277" spans="54:54" ht="15.75" customHeight="1" x14ac:dyDescent="0.3">
      <c r="BB1028277" s="38"/>
    </row>
    <row r="1028278" spans="54:54" ht="15.75" customHeight="1" x14ac:dyDescent="0.3">
      <c r="BB1028278" s="38"/>
    </row>
    <row r="1028279" spans="54:54" ht="15.75" customHeight="1" x14ac:dyDescent="0.3">
      <c r="BB1028279" s="38"/>
    </row>
    <row r="1028280" spans="54:54" ht="15.75" customHeight="1" x14ac:dyDescent="0.3">
      <c r="BB1028280" s="38"/>
    </row>
    <row r="1028281" spans="54:54" ht="15.75" customHeight="1" x14ac:dyDescent="0.3">
      <c r="BB1028281" s="38"/>
    </row>
    <row r="1028282" spans="54:54" ht="15.75" customHeight="1" x14ac:dyDescent="0.3">
      <c r="BB1028282" s="38"/>
    </row>
    <row r="1028283" spans="54:54" ht="15.75" customHeight="1" x14ac:dyDescent="0.3">
      <c r="BB1028283" s="38"/>
    </row>
    <row r="1028284" spans="54:54" ht="15.75" customHeight="1" x14ac:dyDescent="0.3">
      <c r="BB1028284" s="38"/>
    </row>
    <row r="1028285" spans="54:54" ht="15.75" customHeight="1" x14ac:dyDescent="0.3">
      <c r="BB1028285" s="38"/>
    </row>
    <row r="1028286" spans="54:54" ht="15.75" customHeight="1" x14ac:dyDescent="0.3">
      <c r="BB1028286" s="38"/>
    </row>
    <row r="1028287" spans="54:54" ht="15.75" customHeight="1" x14ac:dyDescent="0.3">
      <c r="BB1028287" s="38"/>
    </row>
    <row r="1028288" spans="54:54" ht="15.75" customHeight="1" x14ac:dyDescent="0.3">
      <c r="BB1028288" s="38"/>
    </row>
    <row r="1028289" spans="54:54" ht="15.75" customHeight="1" x14ac:dyDescent="0.3">
      <c r="BB1028289" s="38"/>
    </row>
    <row r="1028290" spans="54:54" ht="15.75" customHeight="1" x14ac:dyDescent="0.3">
      <c r="BB1028290" s="38"/>
    </row>
    <row r="1028291" spans="54:54" ht="15.75" customHeight="1" x14ac:dyDescent="0.3">
      <c r="BB1028291" s="38"/>
    </row>
    <row r="1028292" spans="54:54" ht="15.75" customHeight="1" x14ac:dyDescent="0.3">
      <c r="BB1028292" s="38"/>
    </row>
    <row r="1028293" spans="54:54" ht="15.75" customHeight="1" x14ac:dyDescent="0.3">
      <c r="BB1028293" s="38"/>
    </row>
    <row r="1028294" spans="54:54" ht="15.75" customHeight="1" x14ac:dyDescent="0.3">
      <c r="BB1028294" s="38"/>
    </row>
    <row r="1028295" spans="54:54" ht="15.75" customHeight="1" x14ac:dyDescent="0.3">
      <c r="BB1028295" s="38"/>
    </row>
    <row r="1028296" spans="54:54" ht="15.75" customHeight="1" x14ac:dyDescent="0.3">
      <c r="BB1028296" s="38"/>
    </row>
    <row r="1028297" spans="54:54" ht="15.75" customHeight="1" x14ac:dyDescent="0.3">
      <c r="BB1028297" s="38"/>
    </row>
    <row r="1028298" spans="54:54" ht="15.75" customHeight="1" x14ac:dyDescent="0.3">
      <c r="BB1028298" s="38"/>
    </row>
    <row r="1028299" spans="54:54" ht="15.75" customHeight="1" x14ac:dyDescent="0.3">
      <c r="BB1028299" s="38"/>
    </row>
    <row r="1028300" spans="54:54" ht="15.75" customHeight="1" x14ac:dyDescent="0.3">
      <c r="BB1028300" s="38"/>
    </row>
    <row r="1028301" spans="54:54" ht="15.75" customHeight="1" x14ac:dyDescent="0.3">
      <c r="BB1028301" s="38"/>
    </row>
    <row r="1028302" spans="54:54" ht="15.75" customHeight="1" x14ac:dyDescent="0.3">
      <c r="BB1028302" s="38"/>
    </row>
    <row r="1028303" spans="54:54" ht="15.75" customHeight="1" x14ac:dyDescent="0.3">
      <c r="BB1028303" s="38"/>
    </row>
    <row r="1028304" spans="54:54" ht="15.75" customHeight="1" x14ac:dyDescent="0.3">
      <c r="BB1028304" s="38"/>
    </row>
    <row r="1028305" spans="54:54" ht="15.75" customHeight="1" x14ac:dyDescent="0.3">
      <c r="BB1028305" s="38"/>
    </row>
    <row r="1028306" spans="54:54" ht="15.75" customHeight="1" x14ac:dyDescent="0.3">
      <c r="BB1028306" s="38"/>
    </row>
    <row r="1028307" spans="54:54" ht="15.75" customHeight="1" x14ac:dyDescent="0.3">
      <c r="BB1028307" s="38"/>
    </row>
    <row r="1028308" spans="54:54" ht="15.75" customHeight="1" x14ac:dyDescent="0.3">
      <c r="BB1028308" s="38"/>
    </row>
    <row r="1028309" spans="54:54" ht="15.75" customHeight="1" x14ac:dyDescent="0.3">
      <c r="BB1028309" s="38"/>
    </row>
    <row r="1028310" spans="54:54" ht="15.75" customHeight="1" x14ac:dyDescent="0.3">
      <c r="BB1028310" s="38"/>
    </row>
    <row r="1028311" spans="54:54" ht="15.75" customHeight="1" x14ac:dyDescent="0.3">
      <c r="BB1028311" s="38"/>
    </row>
    <row r="1028312" spans="54:54" ht="15.75" customHeight="1" x14ac:dyDescent="0.3">
      <c r="BB1028312" s="38"/>
    </row>
    <row r="1028313" spans="54:54" ht="15.75" customHeight="1" x14ac:dyDescent="0.3">
      <c r="BB1028313" s="38"/>
    </row>
    <row r="1028314" spans="54:54" ht="15.75" customHeight="1" x14ac:dyDescent="0.3">
      <c r="BB1028314" s="38"/>
    </row>
    <row r="1028315" spans="54:54" ht="15.75" customHeight="1" x14ac:dyDescent="0.3">
      <c r="BB1028315" s="38"/>
    </row>
    <row r="1028316" spans="54:54" ht="15.75" customHeight="1" x14ac:dyDescent="0.3">
      <c r="BB1028316" s="38"/>
    </row>
    <row r="1028317" spans="54:54" ht="15.75" customHeight="1" x14ac:dyDescent="0.3">
      <c r="BB1028317" s="38"/>
    </row>
    <row r="1028318" spans="54:54" ht="15.75" customHeight="1" x14ac:dyDescent="0.3">
      <c r="BB1028318" s="38"/>
    </row>
    <row r="1028319" spans="54:54" ht="15.75" customHeight="1" x14ac:dyDescent="0.3">
      <c r="BB1028319" s="38"/>
    </row>
    <row r="1028320" spans="54:54" ht="15.75" customHeight="1" x14ac:dyDescent="0.3">
      <c r="BB1028320" s="38"/>
    </row>
    <row r="1028321" spans="54:54" ht="15.75" customHeight="1" x14ac:dyDescent="0.3">
      <c r="BB1028321" s="38"/>
    </row>
    <row r="1028322" spans="54:54" ht="15.75" customHeight="1" x14ac:dyDescent="0.3">
      <c r="BB1028322" s="38"/>
    </row>
    <row r="1028323" spans="54:54" ht="15.75" customHeight="1" x14ac:dyDescent="0.3">
      <c r="BB1028323" s="38"/>
    </row>
    <row r="1028324" spans="54:54" ht="15.75" customHeight="1" x14ac:dyDescent="0.3">
      <c r="BB1028324" s="38"/>
    </row>
    <row r="1028325" spans="54:54" ht="15.75" customHeight="1" x14ac:dyDescent="0.3">
      <c r="BB1028325" s="38"/>
    </row>
    <row r="1028326" spans="54:54" ht="15.75" customHeight="1" x14ac:dyDescent="0.3">
      <c r="BB1028326" s="38"/>
    </row>
    <row r="1028327" spans="54:54" ht="15.75" customHeight="1" x14ac:dyDescent="0.3">
      <c r="BB1028327" s="38"/>
    </row>
    <row r="1028328" spans="54:54" ht="15.75" customHeight="1" x14ac:dyDescent="0.3">
      <c r="BB1028328" s="38"/>
    </row>
    <row r="1028329" spans="54:54" ht="15.75" customHeight="1" x14ac:dyDescent="0.3">
      <c r="BB1028329" s="38"/>
    </row>
    <row r="1028330" spans="54:54" ht="15.75" customHeight="1" x14ac:dyDescent="0.3">
      <c r="BB1028330" s="38"/>
    </row>
    <row r="1028331" spans="54:54" ht="15.75" customHeight="1" x14ac:dyDescent="0.3">
      <c r="BB1028331" s="38"/>
    </row>
    <row r="1028332" spans="54:54" ht="15.75" customHeight="1" x14ac:dyDescent="0.3">
      <c r="BB1028332" s="38"/>
    </row>
    <row r="1028333" spans="54:54" ht="15.75" customHeight="1" x14ac:dyDescent="0.3">
      <c r="BB1028333" s="38"/>
    </row>
    <row r="1028334" spans="54:54" ht="15.75" customHeight="1" x14ac:dyDescent="0.3">
      <c r="BB1028334" s="38"/>
    </row>
    <row r="1028335" spans="54:54" ht="15.75" customHeight="1" x14ac:dyDescent="0.3">
      <c r="BB1028335" s="38"/>
    </row>
    <row r="1028336" spans="54:54" ht="15.75" customHeight="1" x14ac:dyDescent="0.3">
      <c r="BB1028336" s="38"/>
    </row>
    <row r="1028337" spans="54:54" ht="15.75" customHeight="1" x14ac:dyDescent="0.3">
      <c r="BB1028337" s="38"/>
    </row>
    <row r="1028338" spans="54:54" ht="15.75" customHeight="1" x14ac:dyDescent="0.3">
      <c r="BB1028338" s="38"/>
    </row>
    <row r="1028339" spans="54:54" ht="15.75" customHeight="1" x14ac:dyDescent="0.3">
      <c r="BB1028339" s="38"/>
    </row>
    <row r="1028340" spans="54:54" ht="15.75" customHeight="1" x14ac:dyDescent="0.3">
      <c r="BB1028340" s="38"/>
    </row>
    <row r="1028341" spans="54:54" ht="15.75" customHeight="1" x14ac:dyDescent="0.3">
      <c r="BB1028341" s="38"/>
    </row>
    <row r="1028342" spans="54:54" ht="15.75" customHeight="1" x14ac:dyDescent="0.3">
      <c r="BB1028342" s="38"/>
    </row>
    <row r="1028343" spans="54:54" ht="15.75" customHeight="1" x14ac:dyDescent="0.3">
      <c r="BB1028343" s="38"/>
    </row>
    <row r="1028344" spans="54:54" ht="15.75" customHeight="1" x14ac:dyDescent="0.3">
      <c r="BB1028344" s="38"/>
    </row>
    <row r="1028345" spans="54:54" ht="15.75" customHeight="1" x14ac:dyDescent="0.3">
      <c r="BB1028345" s="38"/>
    </row>
    <row r="1028346" spans="54:54" ht="15.75" customHeight="1" x14ac:dyDescent="0.3">
      <c r="BB1028346" s="38"/>
    </row>
    <row r="1028347" spans="54:54" ht="15.75" customHeight="1" x14ac:dyDescent="0.3">
      <c r="BB1028347" s="38"/>
    </row>
    <row r="1028348" spans="54:54" ht="15.75" customHeight="1" x14ac:dyDescent="0.3">
      <c r="BB1028348" s="38"/>
    </row>
    <row r="1028349" spans="54:54" ht="15.75" customHeight="1" x14ac:dyDescent="0.3">
      <c r="BB1028349" s="38"/>
    </row>
    <row r="1028350" spans="54:54" ht="15.75" customHeight="1" x14ac:dyDescent="0.3">
      <c r="BB1028350" s="38"/>
    </row>
    <row r="1028351" spans="54:54" ht="15.75" customHeight="1" x14ac:dyDescent="0.3">
      <c r="BB1028351" s="38"/>
    </row>
    <row r="1028352" spans="54:54" ht="15.75" customHeight="1" x14ac:dyDescent="0.3">
      <c r="BB1028352" s="38"/>
    </row>
    <row r="1028353" spans="54:54" ht="15.75" customHeight="1" x14ac:dyDescent="0.3">
      <c r="BB1028353" s="38"/>
    </row>
    <row r="1028354" spans="54:54" ht="15.75" customHeight="1" x14ac:dyDescent="0.3">
      <c r="BB1028354" s="38"/>
    </row>
    <row r="1028355" spans="54:54" ht="15.75" customHeight="1" x14ac:dyDescent="0.3">
      <c r="BB1028355" s="38"/>
    </row>
    <row r="1028356" spans="54:54" ht="15.75" customHeight="1" x14ac:dyDescent="0.3">
      <c r="BB1028356" s="38"/>
    </row>
    <row r="1028357" spans="54:54" ht="15.75" customHeight="1" x14ac:dyDescent="0.3">
      <c r="BB1028357" s="38"/>
    </row>
    <row r="1028358" spans="54:54" ht="15.75" customHeight="1" x14ac:dyDescent="0.3">
      <c r="BB1028358" s="38"/>
    </row>
    <row r="1028359" spans="54:54" ht="15.75" customHeight="1" x14ac:dyDescent="0.3">
      <c r="BB1028359" s="38"/>
    </row>
    <row r="1028360" spans="54:54" ht="15.75" customHeight="1" x14ac:dyDescent="0.3">
      <c r="BB1028360" s="38"/>
    </row>
    <row r="1028361" spans="54:54" ht="15.75" customHeight="1" x14ac:dyDescent="0.3">
      <c r="BB1028361" s="38"/>
    </row>
    <row r="1028362" spans="54:54" ht="15.75" customHeight="1" x14ac:dyDescent="0.3">
      <c r="BB1028362" s="38"/>
    </row>
    <row r="1028363" spans="54:54" ht="15.75" customHeight="1" x14ac:dyDescent="0.3">
      <c r="BB1028363" s="38"/>
    </row>
    <row r="1028364" spans="54:54" ht="15.75" customHeight="1" x14ac:dyDescent="0.3">
      <c r="BB1028364" s="38"/>
    </row>
    <row r="1028365" spans="54:54" ht="15.75" customHeight="1" x14ac:dyDescent="0.3">
      <c r="BB1028365" s="38"/>
    </row>
    <row r="1028366" spans="54:54" ht="15.75" customHeight="1" x14ac:dyDescent="0.3">
      <c r="BB1028366" s="38"/>
    </row>
    <row r="1028367" spans="54:54" ht="15.75" customHeight="1" x14ac:dyDescent="0.3">
      <c r="BB1028367" s="38"/>
    </row>
    <row r="1028368" spans="54:54" ht="15.75" customHeight="1" x14ac:dyDescent="0.3">
      <c r="BB1028368" s="38"/>
    </row>
    <row r="1028369" spans="54:54" ht="15.75" customHeight="1" x14ac:dyDescent="0.3">
      <c r="BB1028369" s="38"/>
    </row>
    <row r="1028370" spans="54:54" ht="15.75" customHeight="1" x14ac:dyDescent="0.3">
      <c r="BB1028370" s="38"/>
    </row>
    <row r="1028371" spans="54:54" ht="15.75" customHeight="1" x14ac:dyDescent="0.3">
      <c r="BB1028371" s="38"/>
    </row>
    <row r="1028372" spans="54:54" ht="15.75" customHeight="1" x14ac:dyDescent="0.3">
      <c r="BB1028372" s="38"/>
    </row>
    <row r="1028373" spans="54:54" ht="15.75" customHeight="1" x14ac:dyDescent="0.3">
      <c r="BB1028373" s="38"/>
    </row>
    <row r="1028374" spans="54:54" ht="15.75" customHeight="1" x14ac:dyDescent="0.3">
      <c r="BB1028374" s="38"/>
    </row>
    <row r="1028375" spans="54:54" ht="15.75" customHeight="1" x14ac:dyDescent="0.3">
      <c r="BB1028375" s="38"/>
    </row>
    <row r="1028376" spans="54:54" ht="15.75" customHeight="1" x14ac:dyDescent="0.3">
      <c r="BB1028376" s="38"/>
    </row>
    <row r="1028377" spans="54:54" ht="15.75" customHeight="1" x14ac:dyDescent="0.3">
      <c r="BB1028377" s="38"/>
    </row>
    <row r="1028378" spans="54:54" ht="15.75" customHeight="1" x14ac:dyDescent="0.3">
      <c r="BB1028378" s="38"/>
    </row>
    <row r="1028379" spans="54:54" ht="15.75" customHeight="1" x14ac:dyDescent="0.3">
      <c r="BB1028379" s="38"/>
    </row>
    <row r="1028380" spans="54:54" ht="15.75" customHeight="1" x14ac:dyDescent="0.3">
      <c r="BB1028380" s="38"/>
    </row>
    <row r="1028381" spans="54:54" ht="15.75" customHeight="1" x14ac:dyDescent="0.3">
      <c r="BB1028381" s="38"/>
    </row>
    <row r="1028382" spans="54:54" ht="15.75" customHeight="1" x14ac:dyDescent="0.3">
      <c r="BB1028382" s="38"/>
    </row>
    <row r="1028383" spans="54:54" ht="15.75" customHeight="1" x14ac:dyDescent="0.3">
      <c r="BB1028383" s="38"/>
    </row>
    <row r="1028384" spans="54:54" ht="15.75" customHeight="1" x14ac:dyDescent="0.3">
      <c r="BB1028384" s="38"/>
    </row>
    <row r="1028385" spans="54:54" ht="15.75" customHeight="1" x14ac:dyDescent="0.3">
      <c r="BB1028385" s="38"/>
    </row>
    <row r="1028386" spans="54:54" ht="15.75" customHeight="1" x14ac:dyDescent="0.3">
      <c r="BB1028386" s="38"/>
    </row>
    <row r="1028387" spans="54:54" ht="15.75" customHeight="1" x14ac:dyDescent="0.3">
      <c r="BB1028387" s="38"/>
    </row>
    <row r="1028388" spans="54:54" ht="15.75" customHeight="1" x14ac:dyDescent="0.3">
      <c r="BB1028388" s="38"/>
    </row>
    <row r="1028389" spans="54:54" ht="15.75" customHeight="1" x14ac:dyDescent="0.3">
      <c r="BB1028389" s="38"/>
    </row>
    <row r="1028390" spans="54:54" ht="15.75" customHeight="1" x14ac:dyDescent="0.3">
      <c r="BB1028390" s="38"/>
    </row>
    <row r="1028391" spans="54:54" ht="15.75" customHeight="1" x14ac:dyDescent="0.3">
      <c r="BB1028391" s="38"/>
    </row>
    <row r="1028392" spans="54:54" ht="15.75" customHeight="1" x14ac:dyDescent="0.3">
      <c r="BB1028392" s="38"/>
    </row>
    <row r="1028393" spans="54:54" ht="15.75" customHeight="1" x14ac:dyDescent="0.3">
      <c r="BB1028393" s="38"/>
    </row>
    <row r="1028394" spans="54:54" ht="15.75" customHeight="1" x14ac:dyDescent="0.3">
      <c r="BB1028394" s="38"/>
    </row>
    <row r="1028395" spans="54:54" ht="15.75" customHeight="1" x14ac:dyDescent="0.3">
      <c r="BB1028395" s="38"/>
    </row>
    <row r="1028396" spans="54:54" ht="15.75" customHeight="1" x14ac:dyDescent="0.3">
      <c r="BB1028396" s="38"/>
    </row>
    <row r="1028397" spans="54:54" ht="15.75" customHeight="1" x14ac:dyDescent="0.3">
      <c r="BB1028397" s="38"/>
    </row>
    <row r="1028398" spans="54:54" ht="15.75" customHeight="1" x14ac:dyDescent="0.3">
      <c r="BB1028398" s="38"/>
    </row>
    <row r="1028399" spans="54:54" ht="15.75" customHeight="1" x14ac:dyDescent="0.3">
      <c r="BB1028399" s="38"/>
    </row>
    <row r="1028400" spans="54:54" ht="15.75" customHeight="1" x14ac:dyDescent="0.3">
      <c r="BB1028400" s="38"/>
    </row>
    <row r="1028401" spans="54:54" ht="15.75" customHeight="1" x14ac:dyDescent="0.3">
      <c r="BB1028401" s="38"/>
    </row>
    <row r="1028402" spans="54:54" ht="15.75" customHeight="1" x14ac:dyDescent="0.3">
      <c r="BB1028402" s="38"/>
    </row>
    <row r="1028403" spans="54:54" ht="15.75" customHeight="1" x14ac:dyDescent="0.3">
      <c r="BB1028403" s="38"/>
    </row>
    <row r="1028404" spans="54:54" ht="15.75" customHeight="1" x14ac:dyDescent="0.3">
      <c r="BB1028404" s="38"/>
    </row>
    <row r="1028405" spans="54:54" ht="15.75" customHeight="1" x14ac:dyDescent="0.3">
      <c r="BB1028405" s="38"/>
    </row>
    <row r="1028406" spans="54:54" ht="15.75" customHeight="1" x14ac:dyDescent="0.3">
      <c r="BB1028406" s="38"/>
    </row>
    <row r="1028407" spans="54:54" ht="15.75" customHeight="1" x14ac:dyDescent="0.3">
      <c r="BB1028407" s="38"/>
    </row>
    <row r="1028408" spans="54:54" ht="15.75" customHeight="1" x14ac:dyDescent="0.3">
      <c r="BB1028408" s="38"/>
    </row>
    <row r="1028409" spans="54:54" ht="15.75" customHeight="1" x14ac:dyDescent="0.3">
      <c r="BB1028409" s="38"/>
    </row>
    <row r="1028410" spans="54:54" ht="15.75" customHeight="1" x14ac:dyDescent="0.3">
      <c r="BB1028410" s="38"/>
    </row>
    <row r="1028411" spans="54:54" ht="15.75" customHeight="1" x14ac:dyDescent="0.3">
      <c r="BB1028411" s="38"/>
    </row>
    <row r="1028412" spans="54:54" ht="15.75" customHeight="1" x14ac:dyDescent="0.3">
      <c r="BB1028412" s="38"/>
    </row>
    <row r="1028413" spans="54:54" ht="15.75" customHeight="1" x14ac:dyDescent="0.3">
      <c r="BB1028413" s="38"/>
    </row>
    <row r="1028414" spans="54:54" ht="15.75" customHeight="1" x14ac:dyDescent="0.3">
      <c r="BB1028414" s="38"/>
    </row>
    <row r="1028415" spans="54:54" ht="15.75" customHeight="1" x14ac:dyDescent="0.3">
      <c r="BB1028415" s="38"/>
    </row>
    <row r="1028416" spans="54:54" ht="15.75" customHeight="1" x14ac:dyDescent="0.3">
      <c r="BB1028416" s="38"/>
    </row>
    <row r="1028417" spans="54:54" ht="15.75" customHeight="1" x14ac:dyDescent="0.3">
      <c r="BB1028417" s="38"/>
    </row>
    <row r="1028418" spans="54:54" ht="15.75" customHeight="1" x14ac:dyDescent="0.3">
      <c r="BB1028418" s="38"/>
    </row>
    <row r="1028419" spans="54:54" ht="15.75" customHeight="1" x14ac:dyDescent="0.3">
      <c r="BB1028419" s="38"/>
    </row>
    <row r="1028420" spans="54:54" ht="15.75" customHeight="1" x14ac:dyDescent="0.3">
      <c r="BB1028420" s="38"/>
    </row>
    <row r="1028421" spans="54:54" ht="15.75" customHeight="1" x14ac:dyDescent="0.3">
      <c r="BB1028421" s="38"/>
    </row>
    <row r="1028422" spans="54:54" ht="15.75" customHeight="1" x14ac:dyDescent="0.3">
      <c r="BB1028422" s="38"/>
    </row>
    <row r="1028423" spans="54:54" ht="15.75" customHeight="1" x14ac:dyDescent="0.3">
      <c r="BB1028423" s="38"/>
    </row>
    <row r="1028424" spans="54:54" ht="15.75" customHeight="1" x14ac:dyDescent="0.3">
      <c r="BB1028424" s="38"/>
    </row>
    <row r="1028425" spans="54:54" ht="15.75" customHeight="1" x14ac:dyDescent="0.3">
      <c r="BB1028425" s="38"/>
    </row>
    <row r="1028426" spans="54:54" ht="15.75" customHeight="1" x14ac:dyDescent="0.3">
      <c r="BB1028426" s="38"/>
    </row>
    <row r="1028427" spans="54:54" ht="15.75" customHeight="1" x14ac:dyDescent="0.3">
      <c r="BB1028427" s="38"/>
    </row>
    <row r="1028428" spans="54:54" ht="15.75" customHeight="1" x14ac:dyDescent="0.3">
      <c r="BB1028428" s="38"/>
    </row>
    <row r="1028429" spans="54:54" ht="15.75" customHeight="1" x14ac:dyDescent="0.3">
      <c r="BB1028429" s="38"/>
    </row>
    <row r="1028430" spans="54:54" ht="15.75" customHeight="1" x14ac:dyDescent="0.3">
      <c r="BB1028430" s="38"/>
    </row>
    <row r="1028431" spans="54:54" ht="15.75" customHeight="1" x14ac:dyDescent="0.3">
      <c r="BB1028431" s="38"/>
    </row>
    <row r="1028432" spans="54:54" ht="15.75" customHeight="1" x14ac:dyDescent="0.3">
      <c r="BB1028432" s="38"/>
    </row>
    <row r="1028433" spans="54:54" ht="15.75" customHeight="1" x14ac:dyDescent="0.3">
      <c r="BB1028433" s="38"/>
    </row>
    <row r="1028434" spans="54:54" ht="15.75" customHeight="1" x14ac:dyDescent="0.3">
      <c r="BB1028434" s="38"/>
    </row>
    <row r="1028435" spans="54:54" ht="15.75" customHeight="1" x14ac:dyDescent="0.3">
      <c r="BB1028435" s="38"/>
    </row>
    <row r="1028436" spans="54:54" ht="15.75" customHeight="1" x14ac:dyDescent="0.3">
      <c r="BB1028436" s="38"/>
    </row>
    <row r="1028437" spans="54:54" ht="15.75" customHeight="1" x14ac:dyDescent="0.3">
      <c r="BB1028437" s="38"/>
    </row>
    <row r="1028438" spans="54:54" ht="15.75" customHeight="1" x14ac:dyDescent="0.3">
      <c r="BB1028438" s="38"/>
    </row>
    <row r="1028439" spans="54:54" ht="15.75" customHeight="1" x14ac:dyDescent="0.3">
      <c r="BB1028439" s="38"/>
    </row>
    <row r="1028440" spans="54:54" ht="15.75" customHeight="1" x14ac:dyDescent="0.3">
      <c r="BB1028440" s="38"/>
    </row>
    <row r="1028441" spans="54:54" ht="15.75" customHeight="1" x14ac:dyDescent="0.3">
      <c r="BB1028441" s="38"/>
    </row>
    <row r="1028442" spans="54:54" ht="15.75" customHeight="1" x14ac:dyDescent="0.3">
      <c r="BB1028442" s="38"/>
    </row>
    <row r="1028443" spans="54:54" ht="15.75" customHeight="1" x14ac:dyDescent="0.3">
      <c r="BB1028443" s="38"/>
    </row>
    <row r="1028444" spans="54:54" ht="15.75" customHeight="1" x14ac:dyDescent="0.3">
      <c r="BB1028444" s="38"/>
    </row>
    <row r="1028445" spans="54:54" ht="15.75" customHeight="1" x14ac:dyDescent="0.3">
      <c r="BB1028445" s="38"/>
    </row>
    <row r="1028446" spans="54:54" ht="15.75" customHeight="1" x14ac:dyDescent="0.3">
      <c r="BB1028446" s="38"/>
    </row>
    <row r="1028447" spans="54:54" ht="15.75" customHeight="1" x14ac:dyDescent="0.3">
      <c r="BB1028447" s="38"/>
    </row>
    <row r="1028448" spans="54:54" ht="15.75" customHeight="1" x14ac:dyDescent="0.3">
      <c r="BB1028448" s="38"/>
    </row>
    <row r="1028449" spans="54:54" ht="15.75" customHeight="1" x14ac:dyDescent="0.3">
      <c r="BB1028449" s="38"/>
    </row>
    <row r="1028450" spans="54:54" ht="15.75" customHeight="1" x14ac:dyDescent="0.3">
      <c r="BB1028450" s="38"/>
    </row>
    <row r="1028451" spans="54:54" ht="15.75" customHeight="1" x14ac:dyDescent="0.3">
      <c r="BB1028451" s="38"/>
    </row>
    <row r="1028452" spans="54:54" ht="15.75" customHeight="1" x14ac:dyDescent="0.3">
      <c r="BB1028452" s="38"/>
    </row>
    <row r="1028453" spans="54:54" ht="15.75" customHeight="1" x14ac:dyDescent="0.3">
      <c r="BB1028453" s="38"/>
    </row>
    <row r="1028454" spans="54:54" ht="15.75" customHeight="1" x14ac:dyDescent="0.3">
      <c r="BB1028454" s="38"/>
    </row>
    <row r="1028455" spans="54:54" ht="15.75" customHeight="1" x14ac:dyDescent="0.3">
      <c r="BB1028455" s="38"/>
    </row>
    <row r="1028456" spans="54:54" ht="15.75" customHeight="1" x14ac:dyDescent="0.3">
      <c r="BB1028456" s="38"/>
    </row>
    <row r="1028457" spans="54:54" ht="15.75" customHeight="1" x14ac:dyDescent="0.3">
      <c r="BB1028457" s="38"/>
    </row>
    <row r="1028458" spans="54:54" ht="15.75" customHeight="1" x14ac:dyDescent="0.3">
      <c r="BB1028458" s="38"/>
    </row>
    <row r="1028459" spans="54:54" ht="15.75" customHeight="1" x14ac:dyDescent="0.3">
      <c r="BB1028459" s="38"/>
    </row>
    <row r="1028460" spans="54:54" ht="15.75" customHeight="1" x14ac:dyDescent="0.3">
      <c r="BB1028460" s="38"/>
    </row>
    <row r="1028461" spans="54:54" ht="15.75" customHeight="1" x14ac:dyDescent="0.3">
      <c r="BB1028461" s="38"/>
    </row>
    <row r="1028462" spans="54:54" ht="15.75" customHeight="1" x14ac:dyDescent="0.3">
      <c r="BB1028462" s="38"/>
    </row>
    <row r="1028463" spans="54:54" ht="15.75" customHeight="1" x14ac:dyDescent="0.3">
      <c r="BB1028463" s="38"/>
    </row>
    <row r="1028464" spans="54:54" ht="15.75" customHeight="1" x14ac:dyDescent="0.3">
      <c r="BB1028464" s="38"/>
    </row>
    <row r="1028465" spans="54:54" ht="15.75" customHeight="1" x14ac:dyDescent="0.3">
      <c r="BB1028465" s="38"/>
    </row>
    <row r="1028466" spans="54:54" ht="15.75" customHeight="1" x14ac:dyDescent="0.3">
      <c r="BB1028466" s="38"/>
    </row>
    <row r="1028467" spans="54:54" ht="15.75" customHeight="1" x14ac:dyDescent="0.3">
      <c r="BB1028467" s="38"/>
    </row>
    <row r="1028468" spans="54:54" ht="15.75" customHeight="1" x14ac:dyDescent="0.3">
      <c r="BB1028468" s="38"/>
    </row>
    <row r="1028469" spans="54:54" ht="15.75" customHeight="1" x14ac:dyDescent="0.3">
      <c r="BB1028469" s="38"/>
    </row>
    <row r="1028470" spans="54:54" ht="15.75" customHeight="1" x14ac:dyDescent="0.3">
      <c r="BB1028470" s="38"/>
    </row>
    <row r="1028471" spans="54:54" ht="15.75" customHeight="1" x14ac:dyDescent="0.3">
      <c r="BB1028471" s="38"/>
    </row>
    <row r="1028472" spans="54:54" ht="15.75" customHeight="1" x14ac:dyDescent="0.3">
      <c r="BB1028472" s="38"/>
    </row>
    <row r="1028473" spans="54:54" ht="15.75" customHeight="1" x14ac:dyDescent="0.3">
      <c r="BB1028473" s="38"/>
    </row>
    <row r="1028474" spans="54:54" ht="15.75" customHeight="1" x14ac:dyDescent="0.3">
      <c r="BB1028474" s="38"/>
    </row>
    <row r="1028475" spans="54:54" ht="15.75" customHeight="1" x14ac:dyDescent="0.3">
      <c r="BB1028475" s="38"/>
    </row>
    <row r="1028476" spans="54:54" ht="15.75" customHeight="1" x14ac:dyDescent="0.3">
      <c r="BB1028476" s="38"/>
    </row>
    <row r="1028477" spans="54:54" ht="15.75" customHeight="1" x14ac:dyDescent="0.3">
      <c r="BB1028477" s="38"/>
    </row>
    <row r="1028478" spans="54:54" ht="15.75" customHeight="1" x14ac:dyDescent="0.3">
      <c r="BB1028478" s="38"/>
    </row>
    <row r="1028479" spans="54:54" ht="15.75" customHeight="1" x14ac:dyDescent="0.3">
      <c r="BB1028479" s="38"/>
    </row>
    <row r="1028480" spans="54:54" ht="15.75" customHeight="1" x14ac:dyDescent="0.3">
      <c r="BB1028480" s="38"/>
    </row>
    <row r="1028481" spans="54:54" ht="15.75" customHeight="1" x14ac:dyDescent="0.3">
      <c r="BB1028481" s="38"/>
    </row>
    <row r="1028482" spans="54:54" ht="15.75" customHeight="1" x14ac:dyDescent="0.3">
      <c r="BB1028482" s="38"/>
    </row>
    <row r="1028483" spans="54:54" ht="15.75" customHeight="1" x14ac:dyDescent="0.3">
      <c r="BB1028483" s="38"/>
    </row>
    <row r="1028484" spans="54:54" ht="15.75" customHeight="1" x14ac:dyDescent="0.3">
      <c r="BB1028484" s="38"/>
    </row>
    <row r="1028485" spans="54:54" ht="15.75" customHeight="1" x14ac:dyDescent="0.3">
      <c r="BB1028485" s="38"/>
    </row>
    <row r="1028486" spans="54:54" ht="15.75" customHeight="1" x14ac:dyDescent="0.3">
      <c r="BB1028486" s="38"/>
    </row>
    <row r="1028487" spans="54:54" ht="15.75" customHeight="1" x14ac:dyDescent="0.3">
      <c r="BB1028487" s="38"/>
    </row>
    <row r="1028488" spans="54:54" ht="15.75" customHeight="1" x14ac:dyDescent="0.3">
      <c r="BB1028488" s="38"/>
    </row>
    <row r="1028489" spans="54:54" ht="15.75" customHeight="1" x14ac:dyDescent="0.3">
      <c r="BB1028489" s="38"/>
    </row>
    <row r="1028490" spans="54:54" ht="15.75" customHeight="1" x14ac:dyDescent="0.3">
      <c r="BB1028490" s="38"/>
    </row>
    <row r="1028491" spans="54:54" ht="15.75" customHeight="1" x14ac:dyDescent="0.3">
      <c r="BB1028491" s="38"/>
    </row>
    <row r="1028492" spans="54:54" ht="15.75" customHeight="1" x14ac:dyDescent="0.3">
      <c r="BB1028492" s="38"/>
    </row>
    <row r="1028493" spans="54:54" ht="15.75" customHeight="1" x14ac:dyDescent="0.3">
      <c r="BB1028493" s="38"/>
    </row>
    <row r="1028494" spans="54:54" ht="15.75" customHeight="1" x14ac:dyDescent="0.3">
      <c r="BB1028494" s="38"/>
    </row>
    <row r="1028495" spans="54:54" ht="15.75" customHeight="1" x14ac:dyDescent="0.3">
      <c r="BB1028495" s="38"/>
    </row>
    <row r="1028496" spans="54:54" ht="15.75" customHeight="1" x14ac:dyDescent="0.3">
      <c r="BB1028496" s="38"/>
    </row>
    <row r="1028497" spans="54:54" ht="15.75" customHeight="1" x14ac:dyDescent="0.3">
      <c r="BB1028497" s="38"/>
    </row>
    <row r="1028498" spans="54:54" ht="15.75" customHeight="1" x14ac:dyDescent="0.3">
      <c r="BB1028498" s="38"/>
    </row>
    <row r="1028499" spans="54:54" ht="15.75" customHeight="1" x14ac:dyDescent="0.3">
      <c r="BB1028499" s="38"/>
    </row>
    <row r="1028500" spans="54:54" ht="15.75" customHeight="1" x14ac:dyDescent="0.3">
      <c r="BB1028500" s="38"/>
    </row>
    <row r="1028501" spans="54:54" ht="15.75" customHeight="1" x14ac:dyDescent="0.3">
      <c r="BB1028501" s="38"/>
    </row>
    <row r="1028502" spans="54:54" ht="15.75" customHeight="1" x14ac:dyDescent="0.3">
      <c r="BB1028502" s="38"/>
    </row>
    <row r="1028503" spans="54:54" ht="15.75" customHeight="1" x14ac:dyDescent="0.3">
      <c r="BB1028503" s="38"/>
    </row>
    <row r="1028504" spans="54:54" ht="15.75" customHeight="1" x14ac:dyDescent="0.3">
      <c r="BB1028504" s="38"/>
    </row>
    <row r="1028505" spans="54:54" ht="15.75" customHeight="1" x14ac:dyDescent="0.3">
      <c r="BB1028505" s="38"/>
    </row>
    <row r="1028506" spans="54:54" ht="15.75" customHeight="1" x14ac:dyDescent="0.3">
      <c r="BB1028506" s="38"/>
    </row>
    <row r="1028507" spans="54:54" ht="15.75" customHeight="1" x14ac:dyDescent="0.3">
      <c r="BB1028507" s="38"/>
    </row>
    <row r="1028508" spans="54:54" ht="15.75" customHeight="1" x14ac:dyDescent="0.3">
      <c r="BB1028508" s="38"/>
    </row>
    <row r="1028509" spans="54:54" ht="15.75" customHeight="1" x14ac:dyDescent="0.3">
      <c r="BB1028509" s="38"/>
    </row>
    <row r="1028510" spans="54:54" ht="15.75" customHeight="1" x14ac:dyDescent="0.3">
      <c r="BB1028510" s="38"/>
    </row>
    <row r="1028511" spans="54:54" ht="15.75" customHeight="1" x14ac:dyDescent="0.3">
      <c r="BB1028511" s="38"/>
    </row>
    <row r="1028512" spans="54:54" ht="15.75" customHeight="1" x14ac:dyDescent="0.3">
      <c r="BB1028512" s="38"/>
    </row>
    <row r="1028513" spans="54:54" ht="15.75" customHeight="1" x14ac:dyDescent="0.3">
      <c r="BB1028513" s="38"/>
    </row>
    <row r="1028514" spans="54:54" ht="15.75" customHeight="1" x14ac:dyDescent="0.3">
      <c r="BB1028514" s="38"/>
    </row>
    <row r="1028515" spans="54:54" ht="15.75" customHeight="1" x14ac:dyDescent="0.3">
      <c r="BB1028515" s="38"/>
    </row>
    <row r="1028516" spans="54:54" ht="15.75" customHeight="1" x14ac:dyDescent="0.3">
      <c r="BB1028516" s="38"/>
    </row>
    <row r="1028517" spans="54:54" ht="15.75" customHeight="1" x14ac:dyDescent="0.3">
      <c r="BB1028517" s="38"/>
    </row>
    <row r="1028518" spans="54:54" ht="15.75" customHeight="1" x14ac:dyDescent="0.3">
      <c r="BB1028518" s="38"/>
    </row>
    <row r="1028519" spans="54:54" ht="15.75" customHeight="1" x14ac:dyDescent="0.3">
      <c r="BB1028519" s="38"/>
    </row>
    <row r="1028520" spans="54:54" ht="15.75" customHeight="1" x14ac:dyDescent="0.3">
      <c r="BB1028520" s="38"/>
    </row>
    <row r="1028521" spans="54:54" ht="15.75" customHeight="1" x14ac:dyDescent="0.3">
      <c r="BB1028521" s="38"/>
    </row>
    <row r="1028522" spans="54:54" ht="15.75" customHeight="1" x14ac:dyDescent="0.3">
      <c r="BB1028522" s="38"/>
    </row>
    <row r="1028523" spans="54:54" ht="15.75" customHeight="1" x14ac:dyDescent="0.3">
      <c r="BB1028523" s="38"/>
    </row>
    <row r="1028524" spans="54:54" ht="15.75" customHeight="1" x14ac:dyDescent="0.3">
      <c r="BB1028524" s="38"/>
    </row>
    <row r="1028525" spans="54:54" ht="15.75" customHeight="1" x14ac:dyDescent="0.3">
      <c r="BB1028525" s="38"/>
    </row>
    <row r="1028526" spans="54:54" ht="15.75" customHeight="1" x14ac:dyDescent="0.3">
      <c r="BB1028526" s="38"/>
    </row>
    <row r="1028527" spans="54:54" ht="15.75" customHeight="1" x14ac:dyDescent="0.3">
      <c r="BB1028527" s="38"/>
    </row>
    <row r="1028528" spans="54:54" ht="15.75" customHeight="1" x14ac:dyDescent="0.3">
      <c r="BB1028528" s="38"/>
    </row>
    <row r="1028529" spans="54:54" ht="15.75" customHeight="1" x14ac:dyDescent="0.3">
      <c r="BB1028529" s="38"/>
    </row>
    <row r="1028530" spans="54:54" ht="15.75" customHeight="1" x14ac:dyDescent="0.3">
      <c r="BB1028530" s="38"/>
    </row>
    <row r="1028531" spans="54:54" ht="15.75" customHeight="1" x14ac:dyDescent="0.3">
      <c r="BB1028531" s="38"/>
    </row>
    <row r="1028532" spans="54:54" ht="15.75" customHeight="1" x14ac:dyDescent="0.3">
      <c r="BB1028532" s="38"/>
    </row>
    <row r="1028533" spans="54:54" ht="15.75" customHeight="1" x14ac:dyDescent="0.3">
      <c r="BB1028533" s="38"/>
    </row>
    <row r="1028534" spans="54:54" ht="15.75" customHeight="1" x14ac:dyDescent="0.3">
      <c r="BB1028534" s="38"/>
    </row>
    <row r="1028535" spans="54:54" ht="15.75" customHeight="1" x14ac:dyDescent="0.3">
      <c r="BB1028535" s="38"/>
    </row>
    <row r="1028536" spans="54:54" ht="15.75" customHeight="1" x14ac:dyDescent="0.3">
      <c r="BB1028536" s="38"/>
    </row>
    <row r="1028537" spans="54:54" ht="15.75" customHeight="1" x14ac:dyDescent="0.3">
      <c r="BB1028537" s="38"/>
    </row>
    <row r="1028538" spans="54:54" ht="15.75" customHeight="1" x14ac:dyDescent="0.3">
      <c r="BB1028538" s="38"/>
    </row>
    <row r="1028539" spans="54:54" ht="15.75" customHeight="1" x14ac:dyDescent="0.3">
      <c r="BB1028539" s="38"/>
    </row>
    <row r="1028540" spans="54:54" ht="15.75" customHeight="1" x14ac:dyDescent="0.3">
      <c r="BB1028540" s="38"/>
    </row>
    <row r="1028541" spans="54:54" ht="15.75" customHeight="1" x14ac:dyDescent="0.3">
      <c r="BB1028541" s="38"/>
    </row>
    <row r="1028542" spans="54:54" ht="15.75" customHeight="1" x14ac:dyDescent="0.3">
      <c r="BB1028542" s="38"/>
    </row>
    <row r="1028543" spans="54:54" ht="15.75" customHeight="1" x14ac:dyDescent="0.3">
      <c r="BB1028543" s="38"/>
    </row>
    <row r="1028544" spans="54:54" ht="15.75" customHeight="1" x14ac:dyDescent="0.3">
      <c r="BB1028544" s="38"/>
    </row>
    <row r="1028545" spans="54:54" ht="15.75" customHeight="1" x14ac:dyDescent="0.3">
      <c r="BB1028545" s="38"/>
    </row>
    <row r="1028546" spans="54:54" ht="15.75" customHeight="1" x14ac:dyDescent="0.3">
      <c r="BB1028546" s="38"/>
    </row>
    <row r="1028547" spans="54:54" ht="15.75" customHeight="1" x14ac:dyDescent="0.3">
      <c r="BB1028547" s="38"/>
    </row>
    <row r="1028548" spans="54:54" ht="15.75" customHeight="1" x14ac:dyDescent="0.3">
      <c r="BB1028548" s="38"/>
    </row>
    <row r="1028549" spans="54:54" ht="15.75" customHeight="1" x14ac:dyDescent="0.3">
      <c r="BB1028549" s="38"/>
    </row>
    <row r="1028550" spans="54:54" ht="15.75" customHeight="1" x14ac:dyDescent="0.3">
      <c r="BB1028550" s="38"/>
    </row>
    <row r="1028551" spans="54:54" ht="15.75" customHeight="1" x14ac:dyDescent="0.3">
      <c r="BB1028551" s="38"/>
    </row>
    <row r="1028552" spans="54:54" ht="15.75" customHeight="1" x14ac:dyDescent="0.3">
      <c r="BB1028552" s="38"/>
    </row>
    <row r="1028553" spans="54:54" ht="15.75" customHeight="1" x14ac:dyDescent="0.3">
      <c r="BB1028553" s="38"/>
    </row>
    <row r="1028554" spans="54:54" ht="15.75" customHeight="1" x14ac:dyDescent="0.3">
      <c r="BB1028554" s="38"/>
    </row>
    <row r="1028555" spans="54:54" ht="15.75" customHeight="1" x14ac:dyDescent="0.3">
      <c r="BB1028555" s="38"/>
    </row>
    <row r="1028556" spans="54:54" ht="15.75" customHeight="1" x14ac:dyDescent="0.3">
      <c r="BB1028556" s="38"/>
    </row>
    <row r="1028557" spans="54:54" ht="15.75" customHeight="1" x14ac:dyDescent="0.3">
      <c r="BB1028557" s="38"/>
    </row>
    <row r="1028558" spans="54:54" ht="15.75" customHeight="1" x14ac:dyDescent="0.3">
      <c r="BB1028558" s="38"/>
    </row>
    <row r="1028559" spans="54:54" ht="15.75" customHeight="1" x14ac:dyDescent="0.3">
      <c r="BB1028559" s="38"/>
    </row>
    <row r="1028560" spans="54:54" ht="15.75" customHeight="1" x14ac:dyDescent="0.3">
      <c r="BB1028560" s="38"/>
    </row>
    <row r="1028561" spans="54:54" ht="15.75" customHeight="1" x14ac:dyDescent="0.3">
      <c r="BB1028561" s="38"/>
    </row>
    <row r="1028562" spans="54:54" ht="15.75" customHeight="1" x14ac:dyDescent="0.3">
      <c r="BB1028562" s="38"/>
    </row>
    <row r="1028563" spans="54:54" ht="15.75" customHeight="1" x14ac:dyDescent="0.3">
      <c r="BB1028563" s="38"/>
    </row>
    <row r="1028564" spans="54:54" ht="15.75" customHeight="1" x14ac:dyDescent="0.3">
      <c r="BB1028564" s="38"/>
    </row>
    <row r="1028565" spans="54:54" ht="15.75" customHeight="1" x14ac:dyDescent="0.3">
      <c r="BB1028565" s="38"/>
    </row>
    <row r="1028566" spans="54:54" ht="15.75" customHeight="1" x14ac:dyDescent="0.3">
      <c r="BB1028566" s="38"/>
    </row>
    <row r="1028567" spans="54:54" ht="15.75" customHeight="1" x14ac:dyDescent="0.3">
      <c r="BB1028567" s="38"/>
    </row>
    <row r="1028568" spans="54:54" ht="15.75" customHeight="1" x14ac:dyDescent="0.3">
      <c r="BB1028568" s="38"/>
    </row>
    <row r="1028569" spans="54:54" ht="15.75" customHeight="1" x14ac:dyDescent="0.3">
      <c r="BB1028569" s="38"/>
    </row>
    <row r="1028570" spans="54:54" ht="15.75" customHeight="1" x14ac:dyDescent="0.3">
      <c r="BB1028570" s="38"/>
    </row>
    <row r="1028571" spans="54:54" ht="15.75" customHeight="1" x14ac:dyDescent="0.3">
      <c r="BB1028571" s="38"/>
    </row>
    <row r="1028572" spans="54:54" ht="15.75" customHeight="1" x14ac:dyDescent="0.3">
      <c r="BB1028572" s="38"/>
    </row>
    <row r="1028573" spans="54:54" ht="15.75" customHeight="1" x14ac:dyDescent="0.3">
      <c r="BB1028573" s="38"/>
    </row>
    <row r="1028574" spans="54:54" ht="15.75" customHeight="1" x14ac:dyDescent="0.3">
      <c r="BB1028574" s="38"/>
    </row>
    <row r="1028575" spans="54:54" ht="15.75" customHeight="1" x14ac:dyDescent="0.3">
      <c r="BB1028575" s="38"/>
    </row>
    <row r="1028576" spans="54:54" ht="15.75" customHeight="1" x14ac:dyDescent="0.3">
      <c r="BB1028576" s="38"/>
    </row>
    <row r="1028577" spans="54:54" ht="15.75" customHeight="1" x14ac:dyDescent="0.3">
      <c r="BB1028577" s="38"/>
    </row>
    <row r="1028578" spans="54:54" ht="15.75" customHeight="1" x14ac:dyDescent="0.3">
      <c r="BB1028578" s="38"/>
    </row>
    <row r="1028579" spans="54:54" ht="15.75" customHeight="1" x14ac:dyDescent="0.3">
      <c r="BB1028579" s="38"/>
    </row>
    <row r="1028580" spans="54:54" ht="15.75" customHeight="1" x14ac:dyDescent="0.3">
      <c r="BB1028580" s="38"/>
    </row>
    <row r="1028581" spans="54:54" ht="15.75" customHeight="1" x14ac:dyDescent="0.3">
      <c r="BB1028581" s="38"/>
    </row>
    <row r="1028582" spans="54:54" ht="15.75" customHeight="1" x14ac:dyDescent="0.3">
      <c r="BB1028582" s="38"/>
    </row>
    <row r="1028583" spans="54:54" ht="15.75" customHeight="1" x14ac:dyDescent="0.3">
      <c r="BB1028583" s="38"/>
    </row>
    <row r="1028584" spans="54:54" ht="15.75" customHeight="1" x14ac:dyDescent="0.3">
      <c r="BB1028584" s="38"/>
    </row>
    <row r="1028585" spans="54:54" ht="15.75" customHeight="1" x14ac:dyDescent="0.3">
      <c r="BB1028585" s="38"/>
    </row>
    <row r="1028586" spans="54:54" ht="15.75" customHeight="1" x14ac:dyDescent="0.3">
      <c r="BB1028586" s="38"/>
    </row>
    <row r="1028587" spans="54:54" ht="15.75" customHeight="1" x14ac:dyDescent="0.3">
      <c r="BB1028587" s="38"/>
    </row>
    <row r="1028588" spans="54:54" ht="15.75" customHeight="1" x14ac:dyDescent="0.3">
      <c r="BB1028588" s="38"/>
    </row>
    <row r="1028589" spans="54:54" ht="15.75" customHeight="1" x14ac:dyDescent="0.3">
      <c r="BB1028589" s="38"/>
    </row>
    <row r="1028590" spans="54:54" ht="15.75" customHeight="1" x14ac:dyDescent="0.3">
      <c r="BB1028590" s="38"/>
    </row>
    <row r="1028591" spans="54:54" ht="15.75" customHeight="1" x14ac:dyDescent="0.3">
      <c r="BB1028591" s="38"/>
    </row>
    <row r="1028592" spans="54:54" ht="15.75" customHeight="1" x14ac:dyDescent="0.3">
      <c r="BB1028592" s="38"/>
    </row>
    <row r="1028593" spans="54:54" ht="15.75" customHeight="1" x14ac:dyDescent="0.3">
      <c r="BB1028593" s="38"/>
    </row>
    <row r="1028594" spans="54:54" ht="15.75" customHeight="1" x14ac:dyDescent="0.3">
      <c r="BB1028594" s="38"/>
    </row>
    <row r="1028595" spans="54:54" ht="15.75" customHeight="1" x14ac:dyDescent="0.3">
      <c r="BB1028595" s="38"/>
    </row>
    <row r="1028596" spans="54:54" ht="15.75" customHeight="1" x14ac:dyDescent="0.3">
      <c r="BB1028596" s="38"/>
    </row>
    <row r="1028597" spans="54:54" ht="15.75" customHeight="1" x14ac:dyDescent="0.3">
      <c r="BB1028597" s="38"/>
    </row>
    <row r="1028598" spans="54:54" ht="15.75" customHeight="1" x14ac:dyDescent="0.3">
      <c r="BB1028598" s="38"/>
    </row>
    <row r="1028599" spans="54:54" ht="15.75" customHeight="1" x14ac:dyDescent="0.3">
      <c r="BB1028599" s="38"/>
    </row>
    <row r="1028600" spans="54:54" ht="15.75" customHeight="1" x14ac:dyDescent="0.3">
      <c r="BB1028600" s="38"/>
    </row>
    <row r="1028601" spans="54:54" ht="15.75" customHeight="1" x14ac:dyDescent="0.3">
      <c r="BB1028601" s="38"/>
    </row>
    <row r="1028602" spans="54:54" ht="15.75" customHeight="1" x14ac:dyDescent="0.3">
      <c r="BB1028602" s="38"/>
    </row>
    <row r="1028603" spans="54:54" ht="15.75" customHeight="1" x14ac:dyDescent="0.3">
      <c r="BB1028603" s="38"/>
    </row>
    <row r="1028604" spans="54:54" ht="15.75" customHeight="1" x14ac:dyDescent="0.3">
      <c r="BB1028604" s="38"/>
    </row>
    <row r="1028605" spans="54:54" ht="15.75" customHeight="1" x14ac:dyDescent="0.3">
      <c r="BB1028605" s="38"/>
    </row>
    <row r="1028606" spans="54:54" ht="15.75" customHeight="1" x14ac:dyDescent="0.3">
      <c r="BB1028606" s="38"/>
    </row>
    <row r="1028607" spans="54:54" ht="15.75" customHeight="1" x14ac:dyDescent="0.3">
      <c r="BB1028607" s="38"/>
    </row>
    <row r="1028608" spans="54:54" ht="15.75" customHeight="1" x14ac:dyDescent="0.3">
      <c r="BB1028608" s="38"/>
    </row>
    <row r="1028609" spans="54:54" ht="15.75" customHeight="1" x14ac:dyDescent="0.3">
      <c r="BB1028609" s="38"/>
    </row>
    <row r="1028610" spans="54:54" ht="15.75" customHeight="1" x14ac:dyDescent="0.3">
      <c r="BB1028610" s="38"/>
    </row>
    <row r="1028611" spans="54:54" ht="15.75" customHeight="1" x14ac:dyDescent="0.3">
      <c r="BB1028611" s="38"/>
    </row>
    <row r="1028612" spans="54:54" ht="15.75" customHeight="1" x14ac:dyDescent="0.3">
      <c r="BB1028612" s="38"/>
    </row>
    <row r="1028613" spans="54:54" ht="15.75" customHeight="1" x14ac:dyDescent="0.3">
      <c r="BB1028613" s="38"/>
    </row>
    <row r="1028614" spans="54:54" ht="15.75" customHeight="1" x14ac:dyDescent="0.3">
      <c r="BB1028614" s="38"/>
    </row>
    <row r="1028615" spans="54:54" ht="15.75" customHeight="1" x14ac:dyDescent="0.3">
      <c r="BB1028615" s="38"/>
    </row>
    <row r="1028616" spans="54:54" ht="15.75" customHeight="1" x14ac:dyDescent="0.3">
      <c r="BB1028616" s="38"/>
    </row>
    <row r="1028617" spans="54:54" ht="15.75" customHeight="1" x14ac:dyDescent="0.3">
      <c r="BB1028617" s="38"/>
    </row>
    <row r="1028618" spans="54:54" ht="15.75" customHeight="1" x14ac:dyDescent="0.3">
      <c r="BB1028618" s="38"/>
    </row>
    <row r="1028619" spans="54:54" ht="15.75" customHeight="1" x14ac:dyDescent="0.3">
      <c r="BB1028619" s="38"/>
    </row>
    <row r="1028620" spans="54:54" ht="15.75" customHeight="1" x14ac:dyDescent="0.3">
      <c r="BB1028620" s="38"/>
    </row>
    <row r="1028621" spans="54:54" ht="15.75" customHeight="1" x14ac:dyDescent="0.3">
      <c r="BB1028621" s="38"/>
    </row>
    <row r="1028622" spans="54:54" ht="15.75" customHeight="1" x14ac:dyDescent="0.3">
      <c r="BB1028622" s="38"/>
    </row>
    <row r="1028623" spans="54:54" ht="15.75" customHeight="1" x14ac:dyDescent="0.3">
      <c r="BB1028623" s="38"/>
    </row>
    <row r="1028624" spans="54:54" ht="15.75" customHeight="1" x14ac:dyDescent="0.3">
      <c r="BB1028624" s="38"/>
    </row>
    <row r="1028625" spans="54:54" ht="15.75" customHeight="1" x14ac:dyDescent="0.3">
      <c r="BB1028625" s="38"/>
    </row>
    <row r="1028626" spans="54:54" ht="15.75" customHeight="1" x14ac:dyDescent="0.3">
      <c r="BB1028626" s="38"/>
    </row>
    <row r="1028627" spans="54:54" ht="15.75" customHeight="1" x14ac:dyDescent="0.3">
      <c r="BB1028627" s="38"/>
    </row>
    <row r="1028628" spans="54:54" ht="15.75" customHeight="1" x14ac:dyDescent="0.3">
      <c r="BB1028628" s="38"/>
    </row>
    <row r="1028629" spans="54:54" ht="15.75" customHeight="1" x14ac:dyDescent="0.3">
      <c r="BB1028629" s="38"/>
    </row>
    <row r="1028630" spans="54:54" ht="15.75" customHeight="1" x14ac:dyDescent="0.3">
      <c r="BB1028630" s="38"/>
    </row>
    <row r="1028631" spans="54:54" ht="15.75" customHeight="1" x14ac:dyDescent="0.3">
      <c r="BB1028631" s="38"/>
    </row>
    <row r="1028632" spans="54:54" ht="15.75" customHeight="1" x14ac:dyDescent="0.3">
      <c r="BB1028632" s="38"/>
    </row>
    <row r="1028633" spans="54:54" ht="15.75" customHeight="1" x14ac:dyDescent="0.3">
      <c r="BB1028633" s="38"/>
    </row>
    <row r="1028634" spans="54:54" ht="15.75" customHeight="1" x14ac:dyDescent="0.3">
      <c r="BB1028634" s="38"/>
    </row>
    <row r="1028635" spans="54:54" ht="15.75" customHeight="1" x14ac:dyDescent="0.3">
      <c r="BB1028635" s="38"/>
    </row>
    <row r="1028636" spans="54:54" ht="15.75" customHeight="1" x14ac:dyDescent="0.3">
      <c r="BB1028636" s="38"/>
    </row>
    <row r="1028637" spans="54:54" ht="15.75" customHeight="1" x14ac:dyDescent="0.3">
      <c r="BB1028637" s="38"/>
    </row>
    <row r="1028638" spans="54:54" ht="15.75" customHeight="1" x14ac:dyDescent="0.3">
      <c r="BB1028638" s="38"/>
    </row>
    <row r="1028639" spans="54:54" ht="15.75" customHeight="1" x14ac:dyDescent="0.3">
      <c r="BB1028639" s="38"/>
    </row>
    <row r="1028640" spans="54:54" ht="15.75" customHeight="1" x14ac:dyDescent="0.3">
      <c r="BB1028640" s="38"/>
    </row>
    <row r="1028641" spans="54:54" ht="15.75" customHeight="1" x14ac:dyDescent="0.3">
      <c r="BB1028641" s="38"/>
    </row>
    <row r="1028642" spans="54:54" ht="15.75" customHeight="1" x14ac:dyDescent="0.3">
      <c r="BB1028642" s="38"/>
    </row>
    <row r="1028643" spans="54:54" ht="15.75" customHeight="1" x14ac:dyDescent="0.3">
      <c r="BB1028643" s="38"/>
    </row>
    <row r="1028644" spans="54:54" ht="15.75" customHeight="1" x14ac:dyDescent="0.3">
      <c r="BB1028644" s="38"/>
    </row>
    <row r="1028645" spans="54:54" ht="15.75" customHeight="1" x14ac:dyDescent="0.3">
      <c r="BB1028645" s="38"/>
    </row>
    <row r="1028646" spans="54:54" ht="15.75" customHeight="1" x14ac:dyDescent="0.3">
      <c r="BB1028646" s="38"/>
    </row>
    <row r="1028647" spans="54:54" ht="15.75" customHeight="1" x14ac:dyDescent="0.3">
      <c r="BB1028647" s="38"/>
    </row>
    <row r="1028648" spans="54:54" ht="15.75" customHeight="1" x14ac:dyDescent="0.3">
      <c r="BB1028648" s="38"/>
    </row>
    <row r="1028649" spans="54:54" ht="15.75" customHeight="1" x14ac:dyDescent="0.3">
      <c r="BB1028649" s="38"/>
    </row>
    <row r="1028650" spans="54:54" ht="15.75" customHeight="1" x14ac:dyDescent="0.3">
      <c r="BB1028650" s="38"/>
    </row>
    <row r="1028651" spans="54:54" ht="15.75" customHeight="1" x14ac:dyDescent="0.3">
      <c r="BB1028651" s="38"/>
    </row>
    <row r="1028652" spans="54:54" ht="15.75" customHeight="1" x14ac:dyDescent="0.3">
      <c r="BB1028652" s="38"/>
    </row>
    <row r="1028653" spans="54:54" ht="15.75" customHeight="1" x14ac:dyDescent="0.3">
      <c r="BB1028653" s="38"/>
    </row>
    <row r="1028654" spans="54:54" ht="15.75" customHeight="1" x14ac:dyDescent="0.3">
      <c r="BB1028654" s="38"/>
    </row>
    <row r="1028655" spans="54:54" ht="15.75" customHeight="1" x14ac:dyDescent="0.3">
      <c r="BB1028655" s="38"/>
    </row>
    <row r="1028656" spans="54:54" ht="15.75" customHeight="1" x14ac:dyDescent="0.3">
      <c r="BB1028656" s="38"/>
    </row>
    <row r="1028657" spans="54:54" ht="15.75" customHeight="1" x14ac:dyDescent="0.3">
      <c r="BB1028657" s="38"/>
    </row>
    <row r="1028658" spans="54:54" ht="15.75" customHeight="1" x14ac:dyDescent="0.3">
      <c r="BB1028658" s="38"/>
    </row>
    <row r="1028659" spans="54:54" ht="15.75" customHeight="1" x14ac:dyDescent="0.3">
      <c r="BB1028659" s="38"/>
    </row>
    <row r="1028660" spans="54:54" ht="15.75" customHeight="1" x14ac:dyDescent="0.3">
      <c r="BB1028660" s="38"/>
    </row>
    <row r="1028661" spans="54:54" ht="15.75" customHeight="1" x14ac:dyDescent="0.3">
      <c r="BB1028661" s="38"/>
    </row>
    <row r="1028662" spans="54:54" ht="15.75" customHeight="1" x14ac:dyDescent="0.3">
      <c r="BB1028662" s="38"/>
    </row>
    <row r="1028663" spans="54:54" ht="15.75" customHeight="1" x14ac:dyDescent="0.3">
      <c r="BB1028663" s="38"/>
    </row>
    <row r="1028664" spans="54:54" ht="15.75" customHeight="1" x14ac:dyDescent="0.3">
      <c r="BB1028664" s="38"/>
    </row>
    <row r="1028665" spans="54:54" ht="15.75" customHeight="1" x14ac:dyDescent="0.3">
      <c r="BB1028665" s="38"/>
    </row>
    <row r="1028666" spans="54:54" ht="15.75" customHeight="1" x14ac:dyDescent="0.3">
      <c r="BB1028666" s="38"/>
    </row>
    <row r="1028667" spans="54:54" ht="15.75" customHeight="1" x14ac:dyDescent="0.3">
      <c r="BB1028667" s="38"/>
    </row>
    <row r="1028668" spans="54:54" ht="15.75" customHeight="1" x14ac:dyDescent="0.3">
      <c r="BB1028668" s="38"/>
    </row>
    <row r="1028669" spans="54:54" ht="15.75" customHeight="1" x14ac:dyDescent="0.3">
      <c r="BB1028669" s="38"/>
    </row>
    <row r="1028670" spans="54:54" ht="15.75" customHeight="1" x14ac:dyDescent="0.3">
      <c r="BB1028670" s="38"/>
    </row>
    <row r="1028671" spans="54:54" ht="15.75" customHeight="1" x14ac:dyDescent="0.3">
      <c r="BB1028671" s="38"/>
    </row>
    <row r="1028672" spans="54:54" ht="15.75" customHeight="1" x14ac:dyDescent="0.3">
      <c r="BB1028672" s="38"/>
    </row>
    <row r="1028673" spans="54:54" ht="15.75" customHeight="1" x14ac:dyDescent="0.3">
      <c r="BB1028673" s="38"/>
    </row>
    <row r="1028674" spans="54:54" ht="15.75" customHeight="1" x14ac:dyDescent="0.3">
      <c r="BB1028674" s="38"/>
    </row>
    <row r="1028675" spans="54:54" ht="15.75" customHeight="1" x14ac:dyDescent="0.3">
      <c r="BB1028675" s="38"/>
    </row>
    <row r="1028676" spans="54:54" ht="15.75" customHeight="1" x14ac:dyDescent="0.3">
      <c r="BB1028676" s="38"/>
    </row>
    <row r="1028677" spans="54:54" ht="15.75" customHeight="1" x14ac:dyDescent="0.3">
      <c r="BB1028677" s="38"/>
    </row>
    <row r="1028678" spans="54:54" ht="15.75" customHeight="1" x14ac:dyDescent="0.3">
      <c r="BB1028678" s="38"/>
    </row>
    <row r="1028679" spans="54:54" ht="15.75" customHeight="1" x14ac:dyDescent="0.3">
      <c r="BB1028679" s="38"/>
    </row>
    <row r="1028680" spans="54:54" ht="15.75" customHeight="1" x14ac:dyDescent="0.3">
      <c r="BB1028680" s="38"/>
    </row>
    <row r="1028681" spans="54:54" ht="15.75" customHeight="1" x14ac:dyDescent="0.3">
      <c r="BB1028681" s="38"/>
    </row>
    <row r="1028682" spans="54:54" ht="15.75" customHeight="1" x14ac:dyDescent="0.3">
      <c r="BB1028682" s="38"/>
    </row>
    <row r="1028683" spans="54:54" ht="15.75" customHeight="1" x14ac:dyDescent="0.3">
      <c r="BB1028683" s="38"/>
    </row>
    <row r="1028684" spans="54:54" ht="15.75" customHeight="1" x14ac:dyDescent="0.3">
      <c r="BB1028684" s="38"/>
    </row>
    <row r="1028685" spans="54:54" ht="15.75" customHeight="1" x14ac:dyDescent="0.3">
      <c r="BB1028685" s="38"/>
    </row>
    <row r="1028686" spans="54:54" ht="15.75" customHeight="1" x14ac:dyDescent="0.3">
      <c r="BB1028686" s="38"/>
    </row>
    <row r="1028687" spans="54:54" ht="15.75" customHeight="1" x14ac:dyDescent="0.3">
      <c r="BB1028687" s="38"/>
    </row>
    <row r="1028688" spans="54:54" ht="15.75" customHeight="1" x14ac:dyDescent="0.3">
      <c r="BB1028688" s="38"/>
    </row>
    <row r="1028689" spans="54:54" ht="15.75" customHeight="1" x14ac:dyDescent="0.3">
      <c r="BB1028689" s="38"/>
    </row>
    <row r="1028690" spans="54:54" ht="15.75" customHeight="1" x14ac:dyDescent="0.3">
      <c r="BB1028690" s="38"/>
    </row>
    <row r="1028691" spans="54:54" ht="15.75" customHeight="1" x14ac:dyDescent="0.3">
      <c r="BB1028691" s="38"/>
    </row>
    <row r="1028692" spans="54:54" ht="15.75" customHeight="1" x14ac:dyDescent="0.3">
      <c r="BB1028692" s="38"/>
    </row>
    <row r="1028693" spans="54:54" ht="15.75" customHeight="1" x14ac:dyDescent="0.3">
      <c r="BB1028693" s="38"/>
    </row>
    <row r="1028694" spans="54:54" ht="15.75" customHeight="1" x14ac:dyDescent="0.3">
      <c r="BB1028694" s="38"/>
    </row>
    <row r="1028695" spans="54:54" ht="15.75" customHeight="1" x14ac:dyDescent="0.3">
      <c r="BB1028695" s="38"/>
    </row>
    <row r="1028696" spans="54:54" ht="15.75" customHeight="1" x14ac:dyDescent="0.3">
      <c r="BB1028696" s="38"/>
    </row>
    <row r="1028697" spans="54:54" ht="15.75" customHeight="1" x14ac:dyDescent="0.3">
      <c r="BB1028697" s="38"/>
    </row>
    <row r="1028698" spans="54:54" ht="15.75" customHeight="1" x14ac:dyDescent="0.3">
      <c r="BB1028698" s="38"/>
    </row>
    <row r="1028699" spans="54:54" ht="15.75" customHeight="1" x14ac:dyDescent="0.3">
      <c r="BB1028699" s="38"/>
    </row>
    <row r="1028700" spans="54:54" ht="15.75" customHeight="1" x14ac:dyDescent="0.3">
      <c r="BB1028700" s="38"/>
    </row>
    <row r="1028701" spans="54:54" ht="15.75" customHeight="1" x14ac:dyDescent="0.3">
      <c r="BB1028701" s="38"/>
    </row>
    <row r="1028702" spans="54:54" ht="15.75" customHeight="1" x14ac:dyDescent="0.3">
      <c r="BB1028702" s="38"/>
    </row>
    <row r="1028703" spans="54:54" ht="15.75" customHeight="1" x14ac:dyDescent="0.3">
      <c r="BB1028703" s="38"/>
    </row>
    <row r="1028704" spans="54:54" ht="15.75" customHeight="1" x14ac:dyDescent="0.3">
      <c r="BB1028704" s="38"/>
    </row>
    <row r="1028705" spans="54:54" ht="15.75" customHeight="1" x14ac:dyDescent="0.3">
      <c r="BB1028705" s="38"/>
    </row>
    <row r="1028706" spans="54:54" ht="15.75" customHeight="1" x14ac:dyDescent="0.3">
      <c r="BB1028706" s="38"/>
    </row>
    <row r="1028707" spans="54:54" ht="15.75" customHeight="1" x14ac:dyDescent="0.3">
      <c r="BB1028707" s="38"/>
    </row>
    <row r="1028708" spans="54:54" ht="15.75" customHeight="1" x14ac:dyDescent="0.3">
      <c r="BB1028708" s="38"/>
    </row>
    <row r="1028709" spans="54:54" ht="15.75" customHeight="1" x14ac:dyDescent="0.3">
      <c r="BB1028709" s="38"/>
    </row>
    <row r="1028710" spans="54:54" ht="15.75" customHeight="1" x14ac:dyDescent="0.3">
      <c r="BB1028710" s="38"/>
    </row>
    <row r="1028711" spans="54:54" ht="15.75" customHeight="1" x14ac:dyDescent="0.3">
      <c r="BB1028711" s="38"/>
    </row>
    <row r="1028712" spans="54:54" ht="15.75" customHeight="1" x14ac:dyDescent="0.3">
      <c r="BB1028712" s="38"/>
    </row>
    <row r="1028713" spans="54:54" ht="15.75" customHeight="1" x14ac:dyDescent="0.3">
      <c r="BB1028713" s="38"/>
    </row>
    <row r="1028714" spans="54:54" ht="15.75" customHeight="1" x14ac:dyDescent="0.3">
      <c r="BB1028714" s="38"/>
    </row>
    <row r="1028715" spans="54:54" ht="15.75" customHeight="1" x14ac:dyDescent="0.3">
      <c r="BB1028715" s="38"/>
    </row>
    <row r="1028716" spans="54:54" ht="15.75" customHeight="1" x14ac:dyDescent="0.3">
      <c r="BB1028716" s="38"/>
    </row>
    <row r="1028717" spans="54:54" ht="15.75" customHeight="1" x14ac:dyDescent="0.3">
      <c r="BB1028717" s="38"/>
    </row>
    <row r="1028718" spans="54:54" ht="15.75" customHeight="1" x14ac:dyDescent="0.3">
      <c r="BB1028718" s="38"/>
    </row>
    <row r="1028719" spans="54:54" ht="15.75" customHeight="1" x14ac:dyDescent="0.3">
      <c r="BB1028719" s="38"/>
    </row>
    <row r="1028720" spans="54:54" ht="15.75" customHeight="1" x14ac:dyDescent="0.3">
      <c r="BB1028720" s="38"/>
    </row>
    <row r="1028721" spans="54:54" ht="15.75" customHeight="1" x14ac:dyDescent="0.3">
      <c r="BB1028721" s="38"/>
    </row>
    <row r="1028722" spans="54:54" ht="15.75" customHeight="1" x14ac:dyDescent="0.3">
      <c r="BB1028722" s="38"/>
    </row>
    <row r="1028723" spans="54:54" ht="15.75" customHeight="1" x14ac:dyDescent="0.3">
      <c r="BB1028723" s="38"/>
    </row>
    <row r="1028724" spans="54:54" ht="15.75" customHeight="1" x14ac:dyDescent="0.3">
      <c r="BB1028724" s="38"/>
    </row>
    <row r="1028725" spans="54:54" ht="15.75" customHeight="1" x14ac:dyDescent="0.3">
      <c r="BB1028725" s="38"/>
    </row>
    <row r="1028726" spans="54:54" ht="15.75" customHeight="1" x14ac:dyDescent="0.3">
      <c r="BB1028726" s="38"/>
    </row>
    <row r="1028727" spans="54:54" ht="15.75" customHeight="1" x14ac:dyDescent="0.3">
      <c r="BB1028727" s="38"/>
    </row>
    <row r="1028728" spans="54:54" ht="15.75" customHeight="1" x14ac:dyDescent="0.3">
      <c r="BB1028728" s="38"/>
    </row>
    <row r="1028729" spans="54:54" ht="15.75" customHeight="1" x14ac:dyDescent="0.3">
      <c r="BB1028729" s="38"/>
    </row>
    <row r="1028730" spans="54:54" ht="15.75" customHeight="1" x14ac:dyDescent="0.3">
      <c r="BB1028730" s="38"/>
    </row>
    <row r="1028731" spans="54:54" ht="15.75" customHeight="1" x14ac:dyDescent="0.3">
      <c r="BB1028731" s="38"/>
    </row>
    <row r="1028732" spans="54:54" ht="15.75" customHeight="1" x14ac:dyDescent="0.3">
      <c r="BB1028732" s="38"/>
    </row>
    <row r="1028733" spans="54:54" ht="15.75" customHeight="1" x14ac:dyDescent="0.3">
      <c r="BB1028733" s="38"/>
    </row>
    <row r="1028734" spans="54:54" ht="15.75" customHeight="1" x14ac:dyDescent="0.3">
      <c r="BB1028734" s="38"/>
    </row>
    <row r="1028735" spans="54:54" ht="15.75" customHeight="1" x14ac:dyDescent="0.3">
      <c r="BB1028735" s="38"/>
    </row>
    <row r="1028736" spans="54:54" ht="15.75" customHeight="1" x14ac:dyDescent="0.3">
      <c r="BB1028736" s="38"/>
    </row>
    <row r="1028737" spans="54:54" ht="15.75" customHeight="1" x14ac:dyDescent="0.3">
      <c r="BB1028737" s="38"/>
    </row>
    <row r="1028738" spans="54:54" ht="15.75" customHeight="1" x14ac:dyDescent="0.3">
      <c r="BB1028738" s="38"/>
    </row>
    <row r="1028739" spans="54:54" ht="15.75" customHeight="1" x14ac:dyDescent="0.3">
      <c r="BB1028739" s="38"/>
    </row>
    <row r="1028740" spans="54:54" ht="15.75" customHeight="1" x14ac:dyDescent="0.3">
      <c r="BB1028740" s="38"/>
    </row>
    <row r="1028741" spans="54:54" ht="15.75" customHeight="1" x14ac:dyDescent="0.3">
      <c r="BB1028741" s="38"/>
    </row>
    <row r="1028742" spans="54:54" ht="15.75" customHeight="1" x14ac:dyDescent="0.3">
      <c r="BB1028742" s="38"/>
    </row>
    <row r="1028743" spans="54:54" ht="15.75" customHeight="1" x14ac:dyDescent="0.3">
      <c r="BB1028743" s="38"/>
    </row>
    <row r="1028744" spans="54:54" ht="15.75" customHeight="1" x14ac:dyDescent="0.3">
      <c r="BB1028744" s="38"/>
    </row>
    <row r="1028745" spans="54:54" ht="15.75" customHeight="1" x14ac:dyDescent="0.3">
      <c r="BB1028745" s="38"/>
    </row>
    <row r="1028746" spans="54:54" ht="15.75" customHeight="1" x14ac:dyDescent="0.3">
      <c r="BB1028746" s="38"/>
    </row>
    <row r="1028747" spans="54:54" ht="15.75" customHeight="1" x14ac:dyDescent="0.3">
      <c r="BB1028747" s="38"/>
    </row>
    <row r="1028748" spans="54:54" ht="15.75" customHeight="1" x14ac:dyDescent="0.3">
      <c r="BB1028748" s="38"/>
    </row>
    <row r="1028749" spans="54:54" ht="15.75" customHeight="1" x14ac:dyDescent="0.3">
      <c r="BB1028749" s="38"/>
    </row>
    <row r="1028750" spans="54:54" ht="15.75" customHeight="1" x14ac:dyDescent="0.3">
      <c r="BB1028750" s="38"/>
    </row>
    <row r="1028751" spans="54:54" ht="15.75" customHeight="1" x14ac:dyDescent="0.3">
      <c r="BB1028751" s="38"/>
    </row>
    <row r="1028752" spans="54:54" ht="15.75" customHeight="1" x14ac:dyDescent="0.3">
      <c r="BB1028752" s="38"/>
    </row>
    <row r="1028753" spans="54:54" ht="15.75" customHeight="1" x14ac:dyDescent="0.3">
      <c r="BB1028753" s="38"/>
    </row>
    <row r="1028754" spans="54:54" ht="15.75" customHeight="1" x14ac:dyDescent="0.3">
      <c r="BB1028754" s="38"/>
    </row>
    <row r="1028755" spans="54:54" ht="15.75" customHeight="1" x14ac:dyDescent="0.3">
      <c r="BB1028755" s="38"/>
    </row>
    <row r="1028756" spans="54:54" ht="15.75" customHeight="1" x14ac:dyDescent="0.3">
      <c r="BB1028756" s="38"/>
    </row>
    <row r="1028757" spans="54:54" ht="15.75" customHeight="1" x14ac:dyDescent="0.3">
      <c r="BB1028757" s="38"/>
    </row>
    <row r="1028758" spans="54:54" ht="15.75" customHeight="1" x14ac:dyDescent="0.3">
      <c r="BB1028758" s="38"/>
    </row>
    <row r="1028759" spans="54:54" ht="15.75" customHeight="1" x14ac:dyDescent="0.3">
      <c r="BB1028759" s="38"/>
    </row>
    <row r="1028760" spans="54:54" ht="15.75" customHeight="1" x14ac:dyDescent="0.3">
      <c r="BB1028760" s="38"/>
    </row>
    <row r="1028761" spans="54:54" ht="15.75" customHeight="1" x14ac:dyDescent="0.3">
      <c r="BB1028761" s="38"/>
    </row>
    <row r="1028762" spans="54:54" ht="15.75" customHeight="1" x14ac:dyDescent="0.3">
      <c r="BB1028762" s="38"/>
    </row>
    <row r="1028763" spans="54:54" ht="15.75" customHeight="1" x14ac:dyDescent="0.3">
      <c r="BB1028763" s="38"/>
    </row>
    <row r="1028764" spans="54:54" ht="15.75" customHeight="1" x14ac:dyDescent="0.3">
      <c r="BB1028764" s="38"/>
    </row>
    <row r="1028765" spans="54:54" ht="15.75" customHeight="1" x14ac:dyDescent="0.3">
      <c r="BB1028765" s="38"/>
    </row>
    <row r="1028766" spans="54:54" ht="15.75" customHeight="1" x14ac:dyDescent="0.3">
      <c r="BB1028766" s="38"/>
    </row>
    <row r="1028767" spans="54:54" ht="15.75" customHeight="1" x14ac:dyDescent="0.3">
      <c r="BB1028767" s="38"/>
    </row>
    <row r="1028768" spans="54:54" ht="15.75" customHeight="1" x14ac:dyDescent="0.3">
      <c r="BB1028768" s="38"/>
    </row>
    <row r="1028769" spans="54:54" ht="15.75" customHeight="1" x14ac:dyDescent="0.3">
      <c r="BB1028769" s="38"/>
    </row>
    <row r="1028770" spans="54:54" ht="15.75" customHeight="1" x14ac:dyDescent="0.3">
      <c r="BB1028770" s="38"/>
    </row>
    <row r="1028771" spans="54:54" ht="15.75" customHeight="1" x14ac:dyDescent="0.3">
      <c r="BB1028771" s="38"/>
    </row>
    <row r="1028772" spans="54:54" ht="15.75" customHeight="1" x14ac:dyDescent="0.3">
      <c r="BB1028772" s="38"/>
    </row>
    <row r="1028773" spans="54:54" ht="15.75" customHeight="1" x14ac:dyDescent="0.3">
      <c r="BB1028773" s="38"/>
    </row>
    <row r="1028774" spans="54:54" ht="15.75" customHeight="1" x14ac:dyDescent="0.3">
      <c r="BB1028774" s="38"/>
    </row>
    <row r="1028775" spans="54:54" ht="15.75" customHeight="1" x14ac:dyDescent="0.3">
      <c r="BB1028775" s="38"/>
    </row>
    <row r="1028776" spans="54:54" ht="15.75" customHeight="1" x14ac:dyDescent="0.3">
      <c r="BB1028776" s="38"/>
    </row>
    <row r="1028777" spans="54:54" ht="15.75" customHeight="1" x14ac:dyDescent="0.3">
      <c r="BB1028777" s="38"/>
    </row>
    <row r="1028778" spans="54:54" ht="15.75" customHeight="1" x14ac:dyDescent="0.3">
      <c r="BB1028778" s="38"/>
    </row>
    <row r="1028779" spans="54:54" ht="15.75" customHeight="1" x14ac:dyDescent="0.3">
      <c r="BB1028779" s="38"/>
    </row>
    <row r="1028780" spans="54:54" ht="15.75" customHeight="1" x14ac:dyDescent="0.3">
      <c r="BB1028780" s="38"/>
    </row>
    <row r="1028781" spans="54:54" ht="15.75" customHeight="1" x14ac:dyDescent="0.3">
      <c r="BB1028781" s="38"/>
    </row>
    <row r="1028782" spans="54:54" ht="15.75" customHeight="1" x14ac:dyDescent="0.3">
      <c r="BB1028782" s="38"/>
    </row>
    <row r="1028783" spans="54:54" ht="15.75" customHeight="1" x14ac:dyDescent="0.3">
      <c r="BB1028783" s="38"/>
    </row>
    <row r="1028784" spans="54:54" ht="15.75" customHeight="1" x14ac:dyDescent="0.3">
      <c r="BB1028784" s="38"/>
    </row>
    <row r="1028785" spans="54:54" ht="15.75" customHeight="1" x14ac:dyDescent="0.3">
      <c r="BB1028785" s="38"/>
    </row>
    <row r="1028786" spans="54:54" ht="15.75" customHeight="1" x14ac:dyDescent="0.3">
      <c r="BB1028786" s="38"/>
    </row>
    <row r="1028787" spans="54:54" ht="15.75" customHeight="1" x14ac:dyDescent="0.3">
      <c r="BB1028787" s="38"/>
    </row>
    <row r="1028788" spans="54:54" ht="15.75" customHeight="1" x14ac:dyDescent="0.3">
      <c r="BB1028788" s="38"/>
    </row>
    <row r="1028789" spans="54:54" ht="15.75" customHeight="1" x14ac:dyDescent="0.3">
      <c r="BB1028789" s="38"/>
    </row>
    <row r="1028790" spans="54:54" ht="15.75" customHeight="1" x14ac:dyDescent="0.3">
      <c r="BB1028790" s="38"/>
    </row>
    <row r="1028791" spans="54:54" ht="15.75" customHeight="1" x14ac:dyDescent="0.3">
      <c r="BB1028791" s="38"/>
    </row>
    <row r="1028792" spans="54:54" ht="15.75" customHeight="1" x14ac:dyDescent="0.3">
      <c r="BB1028792" s="38"/>
    </row>
    <row r="1028793" spans="54:54" ht="15.75" customHeight="1" x14ac:dyDescent="0.3">
      <c r="BB1028793" s="38"/>
    </row>
    <row r="1028794" spans="54:54" ht="15.75" customHeight="1" x14ac:dyDescent="0.3">
      <c r="BB1028794" s="38"/>
    </row>
    <row r="1028795" spans="54:54" ht="15.75" customHeight="1" x14ac:dyDescent="0.3">
      <c r="BB1028795" s="38"/>
    </row>
    <row r="1028796" spans="54:54" ht="15.75" customHeight="1" x14ac:dyDescent="0.3">
      <c r="BB1028796" s="38"/>
    </row>
    <row r="1028797" spans="54:54" ht="15.75" customHeight="1" x14ac:dyDescent="0.3">
      <c r="BB1028797" s="38"/>
    </row>
    <row r="1028798" spans="54:54" ht="15.75" customHeight="1" x14ac:dyDescent="0.3">
      <c r="BB1028798" s="38"/>
    </row>
    <row r="1028799" spans="54:54" ht="15.75" customHeight="1" x14ac:dyDescent="0.3">
      <c r="BB1028799" s="38"/>
    </row>
    <row r="1028800" spans="54:54" ht="15.75" customHeight="1" x14ac:dyDescent="0.3">
      <c r="BB1028800" s="38"/>
    </row>
    <row r="1028801" spans="54:54" ht="15.75" customHeight="1" x14ac:dyDescent="0.3">
      <c r="BB1028801" s="38"/>
    </row>
    <row r="1028802" spans="54:54" ht="15.75" customHeight="1" x14ac:dyDescent="0.3">
      <c r="BB1028802" s="38"/>
    </row>
    <row r="1028803" spans="54:54" ht="15.75" customHeight="1" x14ac:dyDescent="0.3">
      <c r="BB1028803" s="38"/>
    </row>
    <row r="1028804" spans="54:54" ht="15.75" customHeight="1" x14ac:dyDescent="0.3">
      <c r="BB1028804" s="38"/>
    </row>
    <row r="1028805" spans="54:54" ht="15.75" customHeight="1" x14ac:dyDescent="0.3">
      <c r="BB1028805" s="38"/>
    </row>
    <row r="1028806" spans="54:54" ht="15.75" customHeight="1" x14ac:dyDescent="0.3">
      <c r="BB1028806" s="38"/>
    </row>
    <row r="1028807" spans="54:54" ht="15.75" customHeight="1" x14ac:dyDescent="0.3">
      <c r="BB1028807" s="38"/>
    </row>
    <row r="1028808" spans="54:54" ht="15.75" customHeight="1" x14ac:dyDescent="0.3">
      <c r="BB1028808" s="38"/>
    </row>
    <row r="1028809" spans="54:54" ht="15.75" customHeight="1" x14ac:dyDescent="0.3">
      <c r="BB1028809" s="38"/>
    </row>
    <row r="1028810" spans="54:54" ht="15.75" customHeight="1" x14ac:dyDescent="0.3">
      <c r="BB1028810" s="38"/>
    </row>
    <row r="1028811" spans="54:54" ht="15.75" customHeight="1" x14ac:dyDescent="0.3">
      <c r="BB1028811" s="38"/>
    </row>
    <row r="1028812" spans="54:54" ht="15.75" customHeight="1" x14ac:dyDescent="0.3">
      <c r="BB1028812" s="38"/>
    </row>
    <row r="1028813" spans="54:54" ht="15.75" customHeight="1" x14ac:dyDescent="0.3">
      <c r="BB1028813" s="38"/>
    </row>
    <row r="1028814" spans="54:54" ht="15.75" customHeight="1" x14ac:dyDescent="0.3">
      <c r="BB1028814" s="38"/>
    </row>
    <row r="1028815" spans="54:54" ht="15.75" customHeight="1" x14ac:dyDescent="0.3">
      <c r="BB1028815" s="38"/>
    </row>
    <row r="1028816" spans="54:54" ht="15.75" customHeight="1" x14ac:dyDescent="0.3">
      <c r="BB1028816" s="38"/>
    </row>
    <row r="1028817" spans="54:54" ht="15.75" customHeight="1" x14ac:dyDescent="0.3">
      <c r="BB1028817" s="38"/>
    </row>
    <row r="1028818" spans="54:54" ht="15.75" customHeight="1" x14ac:dyDescent="0.3">
      <c r="BB1028818" s="38"/>
    </row>
    <row r="1028819" spans="54:54" ht="15.75" customHeight="1" x14ac:dyDescent="0.3">
      <c r="BB1028819" s="38"/>
    </row>
    <row r="1028820" spans="54:54" ht="15.75" customHeight="1" x14ac:dyDescent="0.3">
      <c r="BB1028820" s="38"/>
    </row>
    <row r="1028821" spans="54:54" ht="15.75" customHeight="1" x14ac:dyDescent="0.3">
      <c r="BB1028821" s="38"/>
    </row>
    <row r="1028822" spans="54:54" ht="15.75" customHeight="1" x14ac:dyDescent="0.3">
      <c r="BB1028822" s="38"/>
    </row>
    <row r="1028823" spans="54:54" ht="15.75" customHeight="1" x14ac:dyDescent="0.3">
      <c r="BB1028823" s="38"/>
    </row>
    <row r="1028824" spans="54:54" ht="15.75" customHeight="1" x14ac:dyDescent="0.3">
      <c r="BB1028824" s="38"/>
    </row>
    <row r="1028825" spans="54:54" ht="15.75" customHeight="1" x14ac:dyDescent="0.3">
      <c r="BB1028825" s="38"/>
    </row>
    <row r="1028826" spans="54:54" ht="15.75" customHeight="1" x14ac:dyDescent="0.3">
      <c r="BB1028826" s="38"/>
    </row>
    <row r="1028827" spans="54:54" ht="15.75" customHeight="1" x14ac:dyDescent="0.3">
      <c r="BB1028827" s="38"/>
    </row>
    <row r="1028828" spans="54:54" ht="15.75" customHeight="1" x14ac:dyDescent="0.3">
      <c r="BB1028828" s="38"/>
    </row>
    <row r="1028829" spans="54:54" ht="15.75" customHeight="1" x14ac:dyDescent="0.3">
      <c r="BB1028829" s="38"/>
    </row>
    <row r="1028830" spans="54:54" ht="15.75" customHeight="1" x14ac:dyDescent="0.3">
      <c r="BB1028830" s="38"/>
    </row>
    <row r="1028831" spans="54:54" ht="15.75" customHeight="1" x14ac:dyDescent="0.3">
      <c r="BB1028831" s="38"/>
    </row>
    <row r="1028832" spans="54:54" ht="15.75" customHeight="1" x14ac:dyDescent="0.3">
      <c r="BB1028832" s="38"/>
    </row>
    <row r="1028833" spans="54:54" ht="15.75" customHeight="1" x14ac:dyDescent="0.3">
      <c r="BB1028833" s="38"/>
    </row>
    <row r="1028834" spans="54:54" ht="15.75" customHeight="1" x14ac:dyDescent="0.3">
      <c r="BB1028834" s="38"/>
    </row>
    <row r="1028835" spans="54:54" ht="15.75" customHeight="1" x14ac:dyDescent="0.3">
      <c r="BB1028835" s="38"/>
    </row>
    <row r="1028836" spans="54:54" ht="15.75" customHeight="1" x14ac:dyDescent="0.3">
      <c r="BB1028836" s="38"/>
    </row>
    <row r="1028837" spans="54:54" ht="15.75" customHeight="1" x14ac:dyDescent="0.3">
      <c r="BB1028837" s="38"/>
    </row>
    <row r="1028838" spans="54:54" ht="15.75" customHeight="1" x14ac:dyDescent="0.3">
      <c r="BB1028838" s="38"/>
    </row>
    <row r="1028839" spans="54:54" ht="15.75" customHeight="1" x14ac:dyDescent="0.3">
      <c r="BB1028839" s="38"/>
    </row>
    <row r="1028840" spans="54:54" ht="15.75" customHeight="1" x14ac:dyDescent="0.3">
      <c r="BB1028840" s="38"/>
    </row>
    <row r="1028841" spans="54:54" ht="15.75" customHeight="1" x14ac:dyDescent="0.3">
      <c r="BB1028841" s="38"/>
    </row>
    <row r="1028842" spans="54:54" ht="15.75" customHeight="1" x14ac:dyDescent="0.3">
      <c r="BB1028842" s="38"/>
    </row>
    <row r="1028843" spans="54:54" ht="15.75" customHeight="1" x14ac:dyDescent="0.3">
      <c r="BB1028843" s="38"/>
    </row>
    <row r="1028844" spans="54:54" ht="15.75" customHeight="1" x14ac:dyDescent="0.3">
      <c r="BB1028844" s="38"/>
    </row>
    <row r="1028845" spans="54:54" ht="15.75" customHeight="1" x14ac:dyDescent="0.3">
      <c r="BB1028845" s="38"/>
    </row>
    <row r="1028846" spans="54:54" ht="15.75" customHeight="1" x14ac:dyDescent="0.3">
      <c r="BB1028846" s="38"/>
    </row>
    <row r="1028847" spans="54:54" ht="15.75" customHeight="1" x14ac:dyDescent="0.3">
      <c r="BB1028847" s="38"/>
    </row>
    <row r="1028848" spans="54:54" ht="15.75" customHeight="1" x14ac:dyDescent="0.3">
      <c r="BB1028848" s="38"/>
    </row>
    <row r="1028849" spans="54:54" ht="15.75" customHeight="1" x14ac:dyDescent="0.3">
      <c r="BB1028849" s="38"/>
    </row>
    <row r="1028850" spans="54:54" ht="15.75" customHeight="1" x14ac:dyDescent="0.3">
      <c r="BB1028850" s="38"/>
    </row>
    <row r="1028851" spans="54:54" ht="15.75" customHeight="1" x14ac:dyDescent="0.3">
      <c r="BB1028851" s="38"/>
    </row>
    <row r="1028852" spans="54:54" ht="15.75" customHeight="1" x14ac:dyDescent="0.3">
      <c r="BB1028852" s="38"/>
    </row>
    <row r="1028853" spans="54:54" ht="15.75" customHeight="1" x14ac:dyDescent="0.3">
      <c r="BB1028853" s="38"/>
    </row>
    <row r="1028854" spans="54:54" ht="15.75" customHeight="1" x14ac:dyDescent="0.3">
      <c r="BB1028854" s="38"/>
    </row>
    <row r="1028855" spans="54:54" ht="15.75" customHeight="1" x14ac:dyDescent="0.3">
      <c r="BB1028855" s="38"/>
    </row>
    <row r="1028856" spans="54:54" ht="15.75" customHeight="1" x14ac:dyDescent="0.3">
      <c r="BB1028856" s="38"/>
    </row>
    <row r="1028857" spans="54:54" ht="15.75" customHeight="1" x14ac:dyDescent="0.3">
      <c r="BB1028857" s="38"/>
    </row>
    <row r="1028858" spans="54:54" ht="15.75" customHeight="1" x14ac:dyDescent="0.3">
      <c r="BB1028858" s="38"/>
    </row>
    <row r="1028859" spans="54:54" ht="15.75" customHeight="1" x14ac:dyDescent="0.3">
      <c r="BB1028859" s="38"/>
    </row>
    <row r="1028860" spans="54:54" ht="15.75" customHeight="1" x14ac:dyDescent="0.3">
      <c r="BB1028860" s="38"/>
    </row>
    <row r="1028861" spans="54:54" ht="15.75" customHeight="1" x14ac:dyDescent="0.3">
      <c r="BB1028861" s="38"/>
    </row>
    <row r="1028862" spans="54:54" ht="15.75" customHeight="1" x14ac:dyDescent="0.3">
      <c r="BB1028862" s="38"/>
    </row>
    <row r="1028863" spans="54:54" ht="15.75" customHeight="1" x14ac:dyDescent="0.3">
      <c r="BB1028863" s="38"/>
    </row>
    <row r="1028864" spans="54:54" ht="15.75" customHeight="1" x14ac:dyDescent="0.3">
      <c r="BB1028864" s="38"/>
    </row>
    <row r="1028865" spans="54:54" ht="15.75" customHeight="1" x14ac:dyDescent="0.3">
      <c r="BB1028865" s="38"/>
    </row>
    <row r="1028866" spans="54:54" ht="15.75" customHeight="1" x14ac:dyDescent="0.3">
      <c r="BB1028866" s="38"/>
    </row>
    <row r="1028867" spans="54:54" ht="15.75" customHeight="1" x14ac:dyDescent="0.3">
      <c r="BB1028867" s="38"/>
    </row>
    <row r="1028868" spans="54:54" ht="15.75" customHeight="1" x14ac:dyDescent="0.3">
      <c r="BB1028868" s="38"/>
    </row>
    <row r="1028869" spans="54:54" ht="15.75" customHeight="1" x14ac:dyDescent="0.3">
      <c r="BB1028869" s="38"/>
    </row>
    <row r="1028870" spans="54:54" ht="15.75" customHeight="1" x14ac:dyDescent="0.3">
      <c r="BB1028870" s="38"/>
    </row>
    <row r="1028871" spans="54:54" ht="15.75" customHeight="1" x14ac:dyDescent="0.3">
      <c r="BB1028871" s="38"/>
    </row>
    <row r="1028872" spans="54:54" ht="15.75" customHeight="1" x14ac:dyDescent="0.3">
      <c r="BB1028872" s="38"/>
    </row>
    <row r="1028873" spans="54:54" ht="15.75" customHeight="1" x14ac:dyDescent="0.3">
      <c r="BB1028873" s="38"/>
    </row>
    <row r="1028874" spans="54:54" ht="15.75" customHeight="1" x14ac:dyDescent="0.3">
      <c r="BB1028874" s="38"/>
    </row>
    <row r="1028875" spans="54:54" ht="15.75" customHeight="1" x14ac:dyDescent="0.3">
      <c r="BB1028875" s="38"/>
    </row>
    <row r="1028876" spans="54:54" ht="15.75" customHeight="1" x14ac:dyDescent="0.3">
      <c r="BB1028876" s="38"/>
    </row>
    <row r="1028877" spans="54:54" ht="15.75" customHeight="1" x14ac:dyDescent="0.3">
      <c r="BB1028877" s="38"/>
    </row>
    <row r="1028878" spans="54:54" ht="15.75" customHeight="1" x14ac:dyDescent="0.3">
      <c r="BB1028878" s="38"/>
    </row>
    <row r="1028879" spans="54:54" ht="15.75" customHeight="1" x14ac:dyDescent="0.3">
      <c r="BB1028879" s="38"/>
    </row>
    <row r="1028880" spans="54:54" ht="15.75" customHeight="1" x14ac:dyDescent="0.3">
      <c r="BB1028880" s="38"/>
    </row>
    <row r="1028881" spans="54:54" ht="15.75" customHeight="1" x14ac:dyDescent="0.3">
      <c r="BB1028881" s="38"/>
    </row>
    <row r="1028882" spans="54:54" ht="15.75" customHeight="1" x14ac:dyDescent="0.3">
      <c r="BB1028882" s="38"/>
    </row>
    <row r="1028883" spans="54:54" ht="15.75" customHeight="1" x14ac:dyDescent="0.3">
      <c r="BB1028883" s="38"/>
    </row>
    <row r="1028884" spans="54:54" ht="15.75" customHeight="1" x14ac:dyDescent="0.3">
      <c r="BB1028884" s="38"/>
    </row>
    <row r="1028885" spans="54:54" ht="15.75" customHeight="1" x14ac:dyDescent="0.3">
      <c r="BB1028885" s="38"/>
    </row>
    <row r="1028886" spans="54:54" ht="15.75" customHeight="1" x14ac:dyDescent="0.3">
      <c r="BB1028886" s="38"/>
    </row>
    <row r="1028887" spans="54:54" ht="15.75" customHeight="1" x14ac:dyDescent="0.3">
      <c r="BB1028887" s="38"/>
    </row>
    <row r="1028888" spans="54:54" ht="15.75" customHeight="1" x14ac:dyDescent="0.3">
      <c r="BB1028888" s="38"/>
    </row>
    <row r="1028889" spans="54:54" ht="15.75" customHeight="1" x14ac:dyDescent="0.3">
      <c r="BB1028889" s="38"/>
    </row>
    <row r="1028890" spans="54:54" ht="15.75" customHeight="1" x14ac:dyDescent="0.3">
      <c r="BB1028890" s="38"/>
    </row>
    <row r="1028891" spans="54:54" ht="15.75" customHeight="1" x14ac:dyDescent="0.3">
      <c r="BB1028891" s="38"/>
    </row>
    <row r="1028892" spans="54:54" ht="15.75" customHeight="1" x14ac:dyDescent="0.3">
      <c r="BB1028892" s="38"/>
    </row>
    <row r="1028893" spans="54:54" ht="15.75" customHeight="1" x14ac:dyDescent="0.3">
      <c r="BB1028893" s="38"/>
    </row>
    <row r="1028894" spans="54:54" ht="15.75" customHeight="1" x14ac:dyDescent="0.3">
      <c r="BB1028894" s="38"/>
    </row>
    <row r="1028895" spans="54:54" ht="15.75" customHeight="1" x14ac:dyDescent="0.3">
      <c r="BB1028895" s="38"/>
    </row>
    <row r="1028896" spans="54:54" ht="15.75" customHeight="1" x14ac:dyDescent="0.3">
      <c r="BB1028896" s="38"/>
    </row>
    <row r="1028897" spans="54:54" ht="15.75" customHeight="1" x14ac:dyDescent="0.3">
      <c r="BB1028897" s="38"/>
    </row>
    <row r="1028898" spans="54:54" ht="15.75" customHeight="1" x14ac:dyDescent="0.3">
      <c r="BB1028898" s="38"/>
    </row>
    <row r="1028899" spans="54:54" ht="15.75" customHeight="1" x14ac:dyDescent="0.3">
      <c r="BB1028899" s="38"/>
    </row>
    <row r="1028900" spans="54:54" ht="15.75" customHeight="1" x14ac:dyDescent="0.3">
      <c r="BB1028900" s="38"/>
    </row>
    <row r="1028901" spans="54:54" ht="15.75" customHeight="1" x14ac:dyDescent="0.3">
      <c r="BB1028901" s="38"/>
    </row>
    <row r="1028902" spans="54:54" ht="15.75" customHeight="1" x14ac:dyDescent="0.3">
      <c r="BB1028902" s="38"/>
    </row>
    <row r="1028903" spans="54:54" ht="15.75" customHeight="1" x14ac:dyDescent="0.3">
      <c r="BB1028903" s="38"/>
    </row>
    <row r="1028904" spans="54:54" ht="15.75" customHeight="1" x14ac:dyDescent="0.3">
      <c r="BB1028904" s="38"/>
    </row>
    <row r="1028905" spans="54:54" ht="15.75" customHeight="1" x14ac:dyDescent="0.3">
      <c r="BB1028905" s="38"/>
    </row>
    <row r="1028906" spans="54:54" ht="15.75" customHeight="1" x14ac:dyDescent="0.3">
      <c r="BB1028906" s="38"/>
    </row>
    <row r="1028907" spans="54:54" ht="15.75" customHeight="1" x14ac:dyDescent="0.3">
      <c r="BB1028907" s="38"/>
    </row>
    <row r="1028908" spans="54:54" ht="15.75" customHeight="1" x14ac:dyDescent="0.3">
      <c r="BB1028908" s="38"/>
    </row>
    <row r="1028909" spans="54:54" ht="15.75" customHeight="1" x14ac:dyDescent="0.3">
      <c r="BB1028909" s="38"/>
    </row>
    <row r="1028910" spans="54:54" ht="15.75" customHeight="1" x14ac:dyDescent="0.3">
      <c r="BB1028910" s="38"/>
    </row>
    <row r="1028911" spans="54:54" ht="15.75" customHeight="1" x14ac:dyDescent="0.3">
      <c r="BB1028911" s="38"/>
    </row>
    <row r="1028912" spans="54:54" ht="15.75" customHeight="1" x14ac:dyDescent="0.3">
      <c r="BB1028912" s="38"/>
    </row>
    <row r="1028913" spans="54:54" ht="15.75" customHeight="1" x14ac:dyDescent="0.3">
      <c r="BB1028913" s="38"/>
    </row>
    <row r="1028914" spans="54:54" ht="15.75" customHeight="1" x14ac:dyDescent="0.3">
      <c r="BB1028914" s="38"/>
    </row>
    <row r="1028915" spans="54:54" ht="15.75" customHeight="1" x14ac:dyDescent="0.3">
      <c r="BB1028915" s="38"/>
    </row>
    <row r="1028916" spans="54:54" ht="15.75" customHeight="1" x14ac:dyDescent="0.3">
      <c r="BB1028916" s="38"/>
    </row>
    <row r="1028917" spans="54:54" ht="15.75" customHeight="1" x14ac:dyDescent="0.3">
      <c r="BB1028917" s="38"/>
    </row>
    <row r="1028918" spans="54:54" ht="15.75" customHeight="1" x14ac:dyDescent="0.3">
      <c r="BB1028918" s="38"/>
    </row>
    <row r="1028919" spans="54:54" ht="15.75" customHeight="1" x14ac:dyDescent="0.3">
      <c r="BB1028919" s="38"/>
    </row>
    <row r="1028920" spans="54:54" ht="15.75" customHeight="1" x14ac:dyDescent="0.3">
      <c r="BB1028920" s="38"/>
    </row>
    <row r="1028921" spans="54:54" ht="15.75" customHeight="1" x14ac:dyDescent="0.3">
      <c r="BB1028921" s="38"/>
    </row>
    <row r="1028922" spans="54:54" ht="15.75" customHeight="1" x14ac:dyDescent="0.3">
      <c r="BB1028922" s="38"/>
    </row>
    <row r="1028923" spans="54:54" ht="15.75" customHeight="1" x14ac:dyDescent="0.3">
      <c r="BB1028923" s="38"/>
    </row>
    <row r="1028924" spans="54:54" ht="15.75" customHeight="1" x14ac:dyDescent="0.3">
      <c r="BB1028924" s="38"/>
    </row>
    <row r="1028925" spans="54:54" ht="15.75" customHeight="1" x14ac:dyDescent="0.3">
      <c r="BB1028925" s="38"/>
    </row>
    <row r="1028926" spans="54:54" ht="15.75" customHeight="1" x14ac:dyDescent="0.3">
      <c r="BB1028926" s="38"/>
    </row>
    <row r="1028927" spans="54:54" ht="15.75" customHeight="1" x14ac:dyDescent="0.3">
      <c r="BB1028927" s="38"/>
    </row>
    <row r="1028928" spans="54:54" ht="15.75" customHeight="1" x14ac:dyDescent="0.3">
      <c r="BB1028928" s="38"/>
    </row>
    <row r="1028929" spans="54:54" ht="15.75" customHeight="1" x14ac:dyDescent="0.3">
      <c r="BB1028929" s="38"/>
    </row>
    <row r="1028930" spans="54:54" ht="15.75" customHeight="1" x14ac:dyDescent="0.3">
      <c r="BB1028930" s="38"/>
    </row>
    <row r="1028931" spans="54:54" ht="15.75" customHeight="1" x14ac:dyDescent="0.3">
      <c r="BB1028931" s="38"/>
    </row>
    <row r="1028932" spans="54:54" ht="15.75" customHeight="1" x14ac:dyDescent="0.3">
      <c r="BB1028932" s="38"/>
    </row>
    <row r="1028933" spans="54:54" ht="15.75" customHeight="1" x14ac:dyDescent="0.3">
      <c r="BB1028933" s="38"/>
    </row>
    <row r="1028934" spans="54:54" ht="15.75" customHeight="1" x14ac:dyDescent="0.3">
      <c r="BB1028934" s="38"/>
    </row>
    <row r="1028935" spans="54:54" ht="15.75" customHeight="1" x14ac:dyDescent="0.3">
      <c r="BB1028935" s="38"/>
    </row>
    <row r="1028936" spans="54:54" ht="15.75" customHeight="1" x14ac:dyDescent="0.3">
      <c r="BB1028936" s="38"/>
    </row>
    <row r="1028937" spans="54:54" ht="15.75" customHeight="1" x14ac:dyDescent="0.3">
      <c r="BB1028937" s="38"/>
    </row>
    <row r="1028938" spans="54:54" ht="15.75" customHeight="1" x14ac:dyDescent="0.3">
      <c r="BB1028938" s="38"/>
    </row>
    <row r="1028939" spans="54:54" ht="15.75" customHeight="1" x14ac:dyDescent="0.3">
      <c r="BB1028939" s="38"/>
    </row>
    <row r="1028940" spans="54:54" ht="15.75" customHeight="1" x14ac:dyDescent="0.3">
      <c r="BB1028940" s="38"/>
    </row>
    <row r="1028941" spans="54:54" ht="15.75" customHeight="1" x14ac:dyDescent="0.3">
      <c r="BB1028941" s="38"/>
    </row>
    <row r="1028942" spans="54:54" ht="15.75" customHeight="1" x14ac:dyDescent="0.3">
      <c r="BB1028942" s="38"/>
    </row>
    <row r="1028943" spans="54:54" ht="15.75" customHeight="1" x14ac:dyDescent="0.3">
      <c r="BB1028943" s="38"/>
    </row>
    <row r="1028944" spans="54:54" ht="15.75" customHeight="1" x14ac:dyDescent="0.3">
      <c r="BB1028944" s="38"/>
    </row>
    <row r="1028945" spans="54:54" ht="15.75" customHeight="1" x14ac:dyDescent="0.3">
      <c r="BB1028945" s="38"/>
    </row>
    <row r="1028946" spans="54:54" ht="15.75" customHeight="1" x14ac:dyDescent="0.3">
      <c r="BB1028946" s="38"/>
    </row>
    <row r="1028947" spans="54:54" ht="15.75" customHeight="1" x14ac:dyDescent="0.3">
      <c r="BB1028947" s="38"/>
    </row>
    <row r="1028948" spans="54:54" ht="15.75" customHeight="1" x14ac:dyDescent="0.3">
      <c r="BB1028948" s="38"/>
    </row>
    <row r="1028949" spans="54:54" ht="15.75" customHeight="1" x14ac:dyDescent="0.3">
      <c r="BB1028949" s="38"/>
    </row>
    <row r="1028950" spans="54:54" ht="15.75" customHeight="1" x14ac:dyDescent="0.3">
      <c r="BB1028950" s="38"/>
    </row>
    <row r="1028951" spans="54:54" ht="15.75" customHeight="1" x14ac:dyDescent="0.3">
      <c r="BB1028951" s="38"/>
    </row>
    <row r="1028952" spans="54:54" ht="15.75" customHeight="1" x14ac:dyDescent="0.3">
      <c r="BB1028952" s="38"/>
    </row>
    <row r="1028953" spans="54:54" ht="15.75" customHeight="1" x14ac:dyDescent="0.3">
      <c r="BB1028953" s="38"/>
    </row>
    <row r="1028954" spans="54:54" ht="15.75" customHeight="1" x14ac:dyDescent="0.3">
      <c r="BB1028954" s="38"/>
    </row>
    <row r="1028955" spans="54:54" ht="15.75" customHeight="1" x14ac:dyDescent="0.3">
      <c r="BB1028955" s="38"/>
    </row>
    <row r="1028956" spans="54:54" ht="15.75" customHeight="1" x14ac:dyDescent="0.3">
      <c r="BB1028956" s="38"/>
    </row>
    <row r="1028957" spans="54:54" ht="15.75" customHeight="1" x14ac:dyDescent="0.3">
      <c r="BB1028957" s="38"/>
    </row>
    <row r="1028958" spans="54:54" ht="15.75" customHeight="1" x14ac:dyDescent="0.3">
      <c r="BB1028958" s="38"/>
    </row>
    <row r="1028959" spans="54:54" ht="15.75" customHeight="1" x14ac:dyDescent="0.3">
      <c r="BB1028959" s="38"/>
    </row>
    <row r="1028960" spans="54:54" ht="15.75" customHeight="1" x14ac:dyDescent="0.3">
      <c r="BB1028960" s="38"/>
    </row>
    <row r="1028961" spans="54:54" ht="15.75" customHeight="1" x14ac:dyDescent="0.3">
      <c r="BB1028961" s="38"/>
    </row>
    <row r="1028962" spans="54:54" ht="15.75" customHeight="1" x14ac:dyDescent="0.3">
      <c r="BB1028962" s="38"/>
    </row>
    <row r="1028963" spans="54:54" ht="15.75" customHeight="1" x14ac:dyDescent="0.3">
      <c r="BB1028963" s="38"/>
    </row>
    <row r="1028964" spans="54:54" ht="15.75" customHeight="1" x14ac:dyDescent="0.3">
      <c r="BB1028964" s="38"/>
    </row>
    <row r="1028965" spans="54:54" ht="15.75" customHeight="1" x14ac:dyDescent="0.3">
      <c r="BB1028965" s="38"/>
    </row>
    <row r="1028966" spans="54:54" ht="15.75" customHeight="1" x14ac:dyDescent="0.3">
      <c r="BB1028966" s="38"/>
    </row>
    <row r="1028967" spans="54:54" ht="15.75" customHeight="1" x14ac:dyDescent="0.3">
      <c r="BB1028967" s="38"/>
    </row>
    <row r="1028968" spans="54:54" ht="15.75" customHeight="1" x14ac:dyDescent="0.3">
      <c r="BB1028968" s="38"/>
    </row>
    <row r="1028969" spans="54:54" ht="15.75" customHeight="1" x14ac:dyDescent="0.3">
      <c r="BB1028969" s="38"/>
    </row>
    <row r="1028970" spans="54:54" ht="15.75" customHeight="1" x14ac:dyDescent="0.3">
      <c r="BB1028970" s="38"/>
    </row>
    <row r="1028971" spans="54:54" ht="15.75" customHeight="1" x14ac:dyDescent="0.3">
      <c r="BB1028971" s="38"/>
    </row>
    <row r="1028972" spans="54:54" ht="15.75" customHeight="1" x14ac:dyDescent="0.3">
      <c r="BB1028972" s="38"/>
    </row>
    <row r="1028973" spans="54:54" ht="15.75" customHeight="1" x14ac:dyDescent="0.3">
      <c r="BB1028973" s="38"/>
    </row>
    <row r="1028974" spans="54:54" ht="15.75" customHeight="1" x14ac:dyDescent="0.3">
      <c r="BB1028974" s="38"/>
    </row>
    <row r="1028975" spans="54:54" ht="15.75" customHeight="1" x14ac:dyDescent="0.3">
      <c r="BB1028975" s="38"/>
    </row>
    <row r="1028976" spans="54:54" ht="15.75" customHeight="1" x14ac:dyDescent="0.3">
      <c r="BB1028976" s="38"/>
    </row>
    <row r="1028977" spans="54:54" ht="15.75" customHeight="1" x14ac:dyDescent="0.3">
      <c r="BB1028977" s="38"/>
    </row>
    <row r="1028978" spans="54:54" ht="15.75" customHeight="1" x14ac:dyDescent="0.3">
      <c r="BB1028978" s="38"/>
    </row>
    <row r="1028979" spans="54:54" ht="15.75" customHeight="1" x14ac:dyDescent="0.3">
      <c r="BB1028979" s="38"/>
    </row>
    <row r="1028980" spans="54:54" ht="15.75" customHeight="1" x14ac:dyDescent="0.3">
      <c r="BB1028980" s="38"/>
    </row>
    <row r="1028981" spans="54:54" ht="15.75" customHeight="1" x14ac:dyDescent="0.3">
      <c r="BB1028981" s="38"/>
    </row>
    <row r="1028982" spans="54:54" ht="15.75" customHeight="1" x14ac:dyDescent="0.3">
      <c r="BB1028982" s="38"/>
    </row>
    <row r="1028983" spans="54:54" ht="15.75" customHeight="1" x14ac:dyDescent="0.3">
      <c r="BB1028983" s="38"/>
    </row>
    <row r="1028984" spans="54:54" ht="15.75" customHeight="1" x14ac:dyDescent="0.3">
      <c r="BB1028984" s="38"/>
    </row>
    <row r="1028985" spans="54:54" ht="15.75" customHeight="1" x14ac:dyDescent="0.3">
      <c r="BB1028985" s="38"/>
    </row>
    <row r="1028986" spans="54:54" ht="15.75" customHeight="1" x14ac:dyDescent="0.3">
      <c r="BB1028986" s="38"/>
    </row>
    <row r="1028987" spans="54:54" ht="15.75" customHeight="1" x14ac:dyDescent="0.3">
      <c r="BB1028987" s="38"/>
    </row>
    <row r="1028988" spans="54:54" ht="15.75" customHeight="1" x14ac:dyDescent="0.3">
      <c r="BB1028988" s="38"/>
    </row>
    <row r="1028989" spans="54:54" ht="15.75" customHeight="1" x14ac:dyDescent="0.3">
      <c r="BB1028989" s="38"/>
    </row>
    <row r="1028990" spans="54:54" ht="15.75" customHeight="1" x14ac:dyDescent="0.3">
      <c r="BB1028990" s="38"/>
    </row>
    <row r="1028991" spans="54:54" ht="15.75" customHeight="1" x14ac:dyDescent="0.3">
      <c r="BB1028991" s="38"/>
    </row>
    <row r="1028992" spans="54:54" ht="15.75" customHeight="1" x14ac:dyDescent="0.3">
      <c r="BB1028992" s="38"/>
    </row>
    <row r="1028993" spans="54:54" ht="15.75" customHeight="1" x14ac:dyDescent="0.3">
      <c r="BB1028993" s="38"/>
    </row>
    <row r="1028994" spans="54:54" ht="15.75" customHeight="1" x14ac:dyDescent="0.3">
      <c r="BB1028994" s="38"/>
    </row>
    <row r="1028995" spans="54:54" ht="15.75" customHeight="1" x14ac:dyDescent="0.3">
      <c r="BB1028995" s="38"/>
    </row>
    <row r="1028996" spans="54:54" ht="15.75" customHeight="1" x14ac:dyDescent="0.3">
      <c r="BB1028996" s="38"/>
    </row>
    <row r="1028997" spans="54:54" ht="15.75" customHeight="1" x14ac:dyDescent="0.3">
      <c r="BB1028997" s="38"/>
    </row>
    <row r="1028998" spans="54:54" ht="15.75" customHeight="1" x14ac:dyDescent="0.3">
      <c r="BB1028998" s="38"/>
    </row>
    <row r="1028999" spans="54:54" ht="15.75" customHeight="1" x14ac:dyDescent="0.3">
      <c r="BB1028999" s="38"/>
    </row>
    <row r="1029000" spans="54:54" ht="15.75" customHeight="1" x14ac:dyDescent="0.3">
      <c r="BB1029000" s="38"/>
    </row>
    <row r="1029001" spans="54:54" ht="15.75" customHeight="1" x14ac:dyDescent="0.3">
      <c r="BB1029001" s="38"/>
    </row>
    <row r="1029002" spans="54:54" ht="15.75" customHeight="1" x14ac:dyDescent="0.3">
      <c r="BB1029002" s="38"/>
    </row>
    <row r="1029003" spans="54:54" ht="15.75" customHeight="1" x14ac:dyDescent="0.3">
      <c r="BB1029003" s="38"/>
    </row>
    <row r="1029004" spans="54:54" ht="15.75" customHeight="1" x14ac:dyDescent="0.3">
      <c r="BB1029004" s="38"/>
    </row>
    <row r="1029005" spans="54:54" ht="15.75" customHeight="1" x14ac:dyDescent="0.3">
      <c r="BB1029005" s="38"/>
    </row>
    <row r="1029006" spans="54:54" ht="15.75" customHeight="1" x14ac:dyDescent="0.3">
      <c r="BB1029006" s="38"/>
    </row>
    <row r="1029007" spans="54:54" ht="15.75" customHeight="1" x14ac:dyDescent="0.3">
      <c r="BB1029007" s="38"/>
    </row>
    <row r="1029008" spans="54:54" ht="15.75" customHeight="1" x14ac:dyDescent="0.3">
      <c r="BB1029008" s="38"/>
    </row>
    <row r="1029009" spans="54:54" ht="15.75" customHeight="1" x14ac:dyDescent="0.3">
      <c r="BB1029009" s="38"/>
    </row>
    <row r="1029010" spans="54:54" ht="15.75" customHeight="1" x14ac:dyDescent="0.3">
      <c r="BB1029010" s="38"/>
    </row>
    <row r="1029011" spans="54:54" ht="15.75" customHeight="1" x14ac:dyDescent="0.3">
      <c r="BB1029011" s="38"/>
    </row>
    <row r="1029012" spans="54:54" ht="15.75" customHeight="1" x14ac:dyDescent="0.3">
      <c r="BB1029012" s="38"/>
    </row>
    <row r="1029013" spans="54:54" ht="15.75" customHeight="1" x14ac:dyDescent="0.3">
      <c r="BB1029013" s="38"/>
    </row>
    <row r="1029014" spans="54:54" ht="15.75" customHeight="1" x14ac:dyDescent="0.3">
      <c r="BB1029014" s="38"/>
    </row>
    <row r="1029015" spans="54:54" ht="15.75" customHeight="1" x14ac:dyDescent="0.3">
      <c r="BB1029015" s="38"/>
    </row>
    <row r="1029016" spans="54:54" ht="15.75" customHeight="1" x14ac:dyDescent="0.3">
      <c r="BB1029016" s="38"/>
    </row>
    <row r="1029017" spans="54:54" ht="15.75" customHeight="1" x14ac:dyDescent="0.3">
      <c r="BB1029017" s="38"/>
    </row>
    <row r="1029018" spans="54:54" ht="15.75" customHeight="1" x14ac:dyDescent="0.3">
      <c r="BB1029018" s="38"/>
    </row>
    <row r="1029019" spans="54:54" ht="15.75" customHeight="1" x14ac:dyDescent="0.3">
      <c r="BB1029019" s="38"/>
    </row>
    <row r="1029020" spans="54:54" ht="15.75" customHeight="1" x14ac:dyDescent="0.3">
      <c r="BB1029020" s="38"/>
    </row>
    <row r="1029021" spans="54:54" ht="15.75" customHeight="1" x14ac:dyDescent="0.3">
      <c r="BB1029021" s="38"/>
    </row>
    <row r="1029022" spans="54:54" ht="15.75" customHeight="1" x14ac:dyDescent="0.3">
      <c r="BB1029022" s="38"/>
    </row>
    <row r="1029023" spans="54:54" ht="15.75" customHeight="1" x14ac:dyDescent="0.3">
      <c r="BB1029023" s="38"/>
    </row>
    <row r="1029024" spans="54:54" ht="15.75" customHeight="1" x14ac:dyDescent="0.3">
      <c r="BB1029024" s="38"/>
    </row>
    <row r="1029025" spans="54:54" ht="15.75" customHeight="1" x14ac:dyDescent="0.3">
      <c r="BB1029025" s="38"/>
    </row>
    <row r="1029026" spans="54:54" ht="15.75" customHeight="1" x14ac:dyDescent="0.3">
      <c r="BB1029026" s="38"/>
    </row>
    <row r="1029027" spans="54:54" ht="15.75" customHeight="1" x14ac:dyDescent="0.3">
      <c r="BB1029027" s="38"/>
    </row>
    <row r="1029028" spans="54:54" ht="15.75" customHeight="1" x14ac:dyDescent="0.3">
      <c r="BB1029028" s="38"/>
    </row>
    <row r="1029029" spans="54:54" ht="15.75" customHeight="1" x14ac:dyDescent="0.3">
      <c r="BB1029029" s="38"/>
    </row>
    <row r="1029030" spans="54:54" ht="15.75" customHeight="1" x14ac:dyDescent="0.3">
      <c r="BB1029030" s="38"/>
    </row>
    <row r="1029031" spans="54:54" ht="15.75" customHeight="1" x14ac:dyDescent="0.3">
      <c r="BB1029031" s="38"/>
    </row>
    <row r="1029032" spans="54:54" ht="15.75" customHeight="1" x14ac:dyDescent="0.3">
      <c r="BB1029032" s="38"/>
    </row>
    <row r="1029033" spans="54:54" ht="15.75" customHeight="1" x14ac:dyDescent="0.3">
      <c r="BB1029033" s="38"/>
    </row>
    <row r="1029034" spans="54:54" ht="15.75" customHeight="1" x14ac:dyDescent="0.3">
      <c r="BB1029034" s="38"/>
    </row>
    <row r="1029035" spans="54:54" ht="15.75" customHeight="1" x14ac:dyDescent="0.3">
      <c r="BB1029035" s="38"/>
    </row>
    <row r="1029036" spans="54:54" ht="15.75" customHeight="1" x14ac:dyDescent="0.3">
      <c r="BB1029036" s="38"/>
    </row>
    <row r="1029037" spans="54:54" ht="15.75" customHeight="1" x14ac:dyDescent="0.3">
      <c r="BB1029037" s="38"/>
    </row>
    <row r="1029038" spans="54:54" ht="15.75" customHeight="1" x14ac:dyDescent="0.3">
      <c r="BB1029038" s="38"/>
    </row>
    <row r="1029039" spans="54:54" ht="15.75" customHeight="1" x14ac:dyDescent="0.3">
      <c r="BB1029039" s="38"/>
    </row>
    <row r="1029040" spans="54:54" ht="15.75" customHeight="1" x14ac:dyDescent="0.3">
      <c r="BB1029040" s="38"/>
    </row>
    <row r="1029041" spans="54:54" ht="15.75" customHeight="1" x14ac:dyDescent="0.3">
      <c r="BB1029041" s="38"/>
    </row>
    <row r="1029042" spans="54:54" ht="15.75" customHeight="1" x14ac:dyDescent="0.3">
      <c r="BB1029042" s="38"/>
    </row>
    <row r="1029043" spans="54:54" ht="15.75" customHeight="1" x14ac:dyDescent="0.3">
      <c r="BB1029043" s="38"/>
    </row>
    <row r="1029044" spans="54:54" ht="15.75" customHeight="1" x14ac:dyDescent="0.3">
      <c r="BB1029044" s="38"/>
    </row>
    <row r="1029045" spans="54:54" ht="15.75" customHeight="1" x14ac:dyDescent="0.3">
      <c r="BB1029045" s="38"/>
    </row>
    <row r="1029046" spans="54:54" ht="15.75" customHeight="1" x14ac:dyDescent="0.3">
      <c r="BB1029046" s="38"/>
    </row>
    <row r="1029047" spans="54:54" ht="15.75" customHeight="1" x14ac:dyDescent="0.3">
      <c r="BB1029047" s="38"/>
    </row>
    <row r="1029048" spans="54:54" ht="15.75" customHeight="1" x14ac:dyDescent="0.3">
      <c r="BB1029048" s="38"/>
    </row>
    <row r="1029049" spans="54:54" ht="15.75" customHeight="1" x14ac:dyDescent="0.3">
      <c r="BB1029049" s="38"/>
    </row>
    <row r="1029050" spans="54:54" ht="15.75" customHeight="1" x14ac:dyDescent="0.3">
      <c r="BB1029050" s="38"/>
    </row>
    <row r="1029051" spans="54:54" ht="15.75" customHeight="1" x14ac:dyDescent="0.3">
      <c r="BB1029051" s="38"/>
    </row>
    <row r="1029052" spans="54:54" ht="15.75" customHeight="1" x14ac:dyDescent="0.3">
      <c r="BB1029052" s="38"/>
    </row>
    <row r="1029053" spans="54:54" ht="15.75" customHeight="1" x14ac:dyDescent="0.3">
      <c r="BB1029053" s="38"/>
    </row>
    <row r="1029054" spans="54:54" ht="15.75" customHeight="1" x14ac:dyDescent="0.3">
      <c r="BB1029054" s="38"/>
    </row>
    <row r="1029055" spans="54:54" ht="15.75" customHeight="1" x14ac:dyDescent="0.3">
      <c r="BB1029055" s="38"/>
    </row>
    <row r="1029056" spans="54:54" ht="15.75" customHeight="1" x14ac:dyDescent="0.3">
      <c r="BB1029056" s="38"/>
    </row>
    <row r="1029057" spans="54:54" ht="15.75" customHeight="1" x14ac:dyDescent="0.3">
      <c r="BB1029057" s="38"/>
    </row>
    <row r="1029058" spans="54:54" ht="15.75" customHeight="1" x14ac:dyDescent="0.3">
      <c r="BB1029058" s="38"/>
    </row>
    <row r="1029059" spans="54:54" ht="15.75" customHeight="1" x14ac:dyDescent="0.3">
      <c r="BB1029059" s="38"/>
    </row>
    <row r="1029060" spans="54:54" ht="15.75" customHeight="1" x14ac:dyDescent="0.3">
      <c r="BB1029060" s="38"/>
    </row>
    <row r="1029061" spans="54:54" ht="15.75" customHeight="1" x14ac:dyDescent="0.3">
      <c r="BB1029061" s="38"/>
    </row>
    <row r="1029062" spans="54:54" ht="15.75" customHeight="1" x14ac:dyDescent="0.3">
      <c r="BB1029062" s="38"/>
    </row>
    <row r="1029063" spans="54:54" ht="15.75" customHeight="1" x14ac:dyDescent="0.3">
      <c r="BB1029063" s="38"/>
    </row>
    <row r="1029064" spans="54:54" ht="15.75" customHeight="1" x14ac:dyDescent="0.3">
      <c r="BB1029064" s="38"/>
    </row>
    <row r="1029065" spans="54:54" ht="15.75" customHeight="1" x14ac:dyDescent="0.3">
      <c r="BB1029065" s="38"/>
    </row>
    <row r="1029066" spans="54:54" ht="15.75" customHeight="1" x14ac:dyDescent="0.3">
      <c r="BB1029066" s="38"/>
    </row>
    <row r="1029067" spans="54:54" ht="15.75" customHeight="1" x14ac:dyDescent="0.3">
      <c r="BB1029067" s="38"/>
    </row>
    <row r="1029068" spans="54:54" ht="15.75" customHeight="1" x14ac:dyDescent="0.3">
      <c r="BB1029068" s="38"/>
    </row>
    <row r="1029069" spans="54:54" ht="15.75" customHeight="1" x14ac:dyDescent="0.3">
      <c r="BB1029069" s="38"/>
    </row>
    <row r="1029070" spans="54:54" ht="15.75" customHeight="1" x14ac:dyDescent="0.3">
      <c r="BB1029070" s="38"/>
    </row>
    <row r="1029071" spans="54:54" ht="15.75" customHeight="1" x14ac:dyDescent="0.3">
      <c r="BB1029071" s="38"/>
    </row>
    <row r="1029072" spans="54:54" ht="15.75" customHeight="1" x14ac:dyDescent="0.3">
      <c r="BB1029072" s="38"/>
    </row>
    <row r="1029073" spans="54:54" ht="15.75" customHeight="1" x14ac:dyDescent="0.3">
      <c r="BB1029073" s="38"/>
    </row>
    <row r="1029074" spans="54:54" ht="15.75" customHeight="1" x14ac:dyDescent="0.3">
      <c r="BB1029074" s="38"/>
    </row>
    <row r="1029075" spans="54:54" ht="15.75" customHeight="1" x14ac:dyDescent="0.3">
      <c r="BB1029075" s="38"/>
    </row>
    <row r="1029076" spans="54:54" ht="15.75" customHeight="1" x14ac:dyDescent="0.3">
      <c r="BB1029076" s="38"/>
    </row>
    <row r="1029077" spans="54:54" ht="15.75" customHeight="1" x14ac:dyDescent="0.3">
      <c r="BB1029077" s="38"/>
    </row>
    <row r="1029078" spans="54:54" ht="15.75" customHeight="1" x14ac:dyDescent="0.3">
      <c r="BB1029078" s="38"/>
    </row>
    <row r="1029079" spans="54:54" ht="15.75" customHeight="1" x14ac:dyDescent="0.3">
      <c r="BB1029079" s="38"/>
    </row>
    <row r="1029080" spans="54:54" ht="15.75" customHeight="1" x14ac:dyDescent="0.3">
      <c r="BB1029080" s="38"/>
    </row>
    <row r="1029081" spans="54:54" ht="15.75" customHeight="1" x14ac:dyDescent="0.3">
      <c r="BB1029081" s="38"/>
    </row>
    <row r="1029082" spans="54:54" ht="15.75" customHeight="1" x14ac:dyDescent="0.3">
      <c r="BB1029082" s="38"/>
    </row>
    <row r="1029083" spans="54:54" ht="15.75" customHeight="1" x14ac:dyDescent="0.3">
      <c r="BB1029083" s="38"/>
    </row>
    <row r="1029084" spans="54:54" ht="15.75" customHeight="1" x14ac:dyDescent="0.3">
      <c r="BB1029084" s="38"/>
    </row>
    <row r="1029085" spans="54:54" ht="15.75" customHeight="1" x14ac:dyDescent="0.3">
      <c r="BB1029085" s="38"/>
    </row>
    <row r="1029086" spans="54:54" ht="15.75" customHeight="1" x14ac:dyDescent="0.3">
      <c r="BB1029086" s="38"/>
    </row>
    <row r="1029087" spans="54:54" ht="15.75" customHeight="1" x14ac:dyDescent="0.3">
      <c r="BB1029087" s="38"/>
    </row>
    <row r="1029088" spans="54:54" ht="15.75" customHeight="1" x14ac:dyDescent="0.3">
      <c r="BB1029088" s="38"/>
    </row>
    <row r="1029089" spans="54:54" ht="15.75" customHeight="1" x14ac:dyDescent="0.3">
      <c r="BB1029089" s="38"/>
    </row>
    <row r="1029090" spans="54:54" ht="15.75" customHeight="1" x14ac:dyDescent="0.3">
      <c r="BB1029090" s="38"/>
    </row>
    <row r="1029091" spans="54:54" ht="15.75" customHeight="1" x14ac:dyDescent="0.3">
      <c r="BB1029091" s="38"/>
    </row>
    <row r="1029092" spans="54:54" ht="15.75" customHeight="1" x14ac:dyDescent="0.3">
      <c r="BB1029092" s="38"/>
    </row>
    <row r="1029093" spans="54:54" ht="15.75" customHeight="1" x14ac:dyDescent="0.3">
      <c r="BB1029093" s="38"/>
    </row>
    <row r="1029094" spans="54:54" ht="15.75" customHeight="1" x14ac:dyDescent="0.3">
      <c r="BB1029094" s="38"/>
    </row>
    <row r="1029095" spans="54:54" ht="15.75" customHeight="1" x14ac:dyDescent="0.3">
      <c r="BB1029095" s="38"/>
    </row>
    <row r="1029096" spans="54:54" ht="15.75" customHeight="1" x14ac:dyDescent="0.3">
      <c r="BB1029096" s="38"/>
    </row>
    <row r="1029097" spans="54:54" ht="15.75" customHeight="1" x14ac:dyDescent="0.3">
      <c r="BB1029097" s="38"/>
    </row>
    <row r="1029098" spans="54:54" ht="15.75" customHeight="1" x14ac:dyDescent="0.3">
      <c r="BB1029098" s="38"/>
    </row>
    <row r="1029099" spans="54:54" ht="15.75" customHeight="1" x14ac:dyDescent="0.3">
      <c r="BB1029099" s="38"/>
    </row>
    <row r="1029100" spans="54:54" ht="15.75" customHeight="1" x14ac:dyDescent="0.3">
      <c r="BB1029100" s="38"/>
    </row>
    <row r="1029101" spans="54:54" ht="15.75" customHeight="1" x14ac:dyDescent="0.3">
      <c r="BB1029101" s="38"/>
    </row>
    <row r="1029102" spans="54:54" ht="15.75" customHeight="1" x14ac:dyDescent="0.3">
      <c r="BB1029102" s="38"/>
    </row>
    <row r="1029103" spans="54:54" ht="15.75" customHeight="1" x14ac:dyDescent="0.3">
      <c r="BB1029103" s="38"/>
    </row>
    <row r="1029104" spans="54:54" ht="15.75" customHeight="1" x14ac:dyDescent="0.3">
      <c r="BB1029104" s="38"/>
    </row>
    <row r="1029105" spans="54:54" ht="15.75" customHeight="1" x14ac:dyDescent="0.3">
      <c r="BB1029105" s="38"/>
    </row>
    <row r="1029106" spans="54:54" ht="15.75" customHeight="1" x14ac:dyDescent="0.3">
      <c r="BB1029106" s="38"/>
    </row>
    <row r="1029107" spans="54:54" ht="15.75" customHeight="1" x14ac:dyDescent="0.3">
      <c r="BB1029107" s="38"/>
    </row>
    <row r="1029108" spans="54:54" ht="15.75" customHeight="1" x14ac:dyDescent="0.3">
      <c r="BB1029108" s="38"/>
    </row>
    <row r="1029109" spans="54:54" ht="15.75" customHeight="1" x14ac:dyDescent="0.3">
      <c r="BB1029109" s="38"/>
    </row>
    <row r="1029110" spans="54:54" ht="15.75" customHeight="1" x14ac:dyDescent="0.3">
      <c r="BB1029110" s="38"/>
    </row>
    <row r="1029111" spans="54:54" ht="15.75" customHeight="1" x14ac:dyDescent="0.3">
      <c r="BB1029111" s="38"/>
    </row>
    <row r="1029112" spans="54:54" ht="15.75" customHeight="1" x14ac:dyDescent="0.3">
      <c r="BB1029112" s="38"/>
    </row>
    <row r="1029113" spans="54:54" ht="15.75" customHeight="1" x14ac:dyDescent="0.3">
      <c r="BB1029113" s="38"/>
    </row>
    <row r="1029114" spans="54:54" ht="15.75" customHeight="1" x14ac:dyDescent="0.3">
      <c r="BB1029114" s="38"/>
    </row>
    <row r="1029115" spans="54:54" ht="15.75" customHeight="1" x14ac:dyDescent="0.3">
      <c r="BB1029115" s="38"/>
    </row>
    <row r="1029116" spans="54:54" ht="15.75" customHeight="1" x14ac:dyDescent="0.3">
      <c r="BB1029116" s="38"/>
    </row>
    <row r="1029117" spans="54:54" ht="15.75" customHeight="1" x14ac:dyDescent="0.3">
      <c r="BB1029117" s="38"/>
    </row>
    <row r="1029118" spans="54:54" ht="15.75" customHeight="1" x14ac:dyDescent="0.3">
      <c r="BB1029118" s="38"/>
    </row>
    <row r="1029119" spans="54:54" ht="15.75" customHeight="1" x14ac:dyDescent="0.3">
      <c r="BB1029119" s="38"/>
    </row>
    <row r="1029120" spans="54:54" ht="15.75" customHeight="1" x14ac:dyDescent="0.3">
      <c r="BB1029120" s="38"/>
    </row>
    <row r="1029121" spans="54:54" ht="15.75" customHeight="1" x14ac:dyDescent="0.3">
      <c r="BB1029121" s="38"/>
    </row>
    <row r="1029122" spans="54:54" ht="15.75" customHeight="1" x14ac:dyDescent="0.3">
      <c r="BB1029122" s="38"/>
    </row>
    <row r="1029123" spans="54:54" ht="15.75" customHeight="1" x14ac:dyDescent="0.3">
      <c r="BB1029123" s="38"/>
    </row>
    <row r="1029124" spans="54:54" ht="15.75" customHeight="1" x14ac:dyDescent="0.3">
      <c r="BB1029124" s="38"/>
    </row>
    <row r="1029125" spans="54:54" ht="15.75" customHeight="1" x14ac:dyDescent="0.3">
      <c r="BB1029125" s="38"/>
    </row>
    <row r="1029126" spans="54:54" ht="15.75" customHeight="1" x14ac:dyDescent="0.3">
      <c r="BB1029126" s="38"/>
    </row>
    <row r="1029127" spans="54:54" ht="15.75" customHeight="1" x14ac:dyDescent="0.3">
      <c r="BB1029127" s="38"/>
    </row>
    <row r="1029128" spans="54:54" ht="15.75" customHeight="1" x14ac:dyDescent="0.3">
      <c r="BB1029128" s="38"/>
    </row>
    <row r="1029129" spans="54:54" ht="15.75" customHeight="1" x14ac:dyDescent="0.3">
      <c r="BB1029129" s="38"/>
    </row>
    <row r="1029130" spans="54:54" ht="15.75" customHeight="1" x14ac:dyDescent="0.3">
      <c r="BB1029130" s="38"/>
    </row>
    <row r="1029131" spans="54:54" ht="15.75" customHeight="1" x14ac:dyDescent="0.3">
      <c r="BB1029131" s="38"/>
    </row>
    <row r="1029132" spans="54:54" ht="15.75" customHeight="1" x14ac:dyDescent="0.3">
      <c r="BB1029132" s="38"/>
    </row>
    <row r="1029133" spans="54:54" ht="15.75" customHeight="1" x14ac:dyDescent="0.3">
      <c r="BB1029133" s="38"/>
    </row>
    <row r="1029134" spans="54:54" ht="15.75" customHeight="1" x14ac:dyDescent="0.3">
      <c r="BB1029134" s="38"/>
    </row>
    <row r="1029135" spans="54:54" ht="15.75" customHeight="1" x14ac:dyDescent="0.3">
      <c r="BB1029135" s="38"/>
    </row>
    <row r="1029136" spans="54:54" ht="15.75" customHeight="1" x14ac:dyDescent="0.3">
      <c r="BB1029136" s="38"/>
    </row>
    <row r="1029137" spans="54:54" ht="15.75" customHeight="1" x14ac:dyDescent="0.3">
      <c r="BB1029137" s="38"/>
    </row>
    <row r="1029138" spans="54:54" ht="15.75" customHeight="1" x14ac:dyDescent="0.3">
      <c r="BB1029138" s="38"/>
    </row>
    <row r="1029139" spans="54:54" ht="15.75" customHeight="1" x14ac:dyDescent="0.3">
      <c r="BB1029139" s="38"/>
    </row>
    <row r="1029140" spans="54:54" ht="15.75" customHeight="1" x14ac:dyDescent="0.3">
      <c r="BB1029140" s="38"/>
    </row>
    <row r="1029141" spans="54:54" ht="15.75" customHeight="1" x14ac:dyDescent="0.3">
      <c r="BB1029141" s="38"/>
    </row>
    <row r="1029142" spans="54:54" ht="15.75" customHeight="1" x14ac:dyDescent="0.3">
      <c r="BB1029142" s="38"/>
    </row>
    <row r="1029143" spans="54:54" ht="15.75" customHeight="1" x14ac:dyDescent="0.3">
      <c r="BB1029143" s="38"/>
    </row>
    <row r="1029144" spans="54:54" ht="15.75" customHeight="1" x14ac:dyDescent="0.3">
      <c r="BB1029144" s="38"/>
    </row>
    <row r="1029145" spans="54:54" ht="15.75" customHeight="1" x14ac:dyDescent="0.3">
      <c r="BB1029145" s="38"/>
    </row>
    <row r="1029146" spans="54:54" ht="15.75" customHeight="1" x14ac:dyDescent="0.3">
      <c r="BB1029146" s="38"/>
    </row>
    <row r="1029147" spans="54:54" ht="15.75" customHeight="1" x14ac:dyDescent="0.3">
      <c r="BB1029147" s="38"/>
    </row>
    <row r="1029148" spans="54:54" ht="15.75" customHeight="1" x14ac:dyDescent="0.3">
      <c r="BB1029148" s="38"/>
    </row>
    <row r="1029149" spans="54:54" ht="15.75" customHeight="1" x14ac:dyDescent="0.3">
      <c r="BB1029149" s="38"/>
    </row>
    <row r="1029150" spans="54:54" ht="15.75" customHeight="1" x14ac:dyDescent="0.3">
      <c r="BB1029150" s="38"/>
    </row>
    <row r="1029151" spans="54:54" ht="15.75" customHeight="1" x14ac:dyDescent="0.3">
      <c r="BB1029151" s="38"/>
    </row>
    <row r="1029152" spans="54:54" ht="15.75" customHeight="1" x14ac:dyDescent="0.3">
      <c r="BB1029152" s="38"/>
    </row>
    <row r="1029153" spans="54:54" ht="15.75" customHeight="1" x14ac:dyDescent="0.3">
      <c r="BB1029153" s="38"/>
    </row>
    <row r="1029154" spans="54:54" ht="15.75" customHeight="1" x14ac:dyDescent="0.3">
      <c r="BB1029154" s="38"/>
    </row>
    <row r="1029155" spans="54:54" ht="15.75" customHeight="1" x14ac:dyDescent="0.3">
      <c r="BB1029155" s="38"/>
    </row>
    <row r="1029156" spans="54:54" ht="15.75" customHeight="1" x14ac:dyDescent="0.3">
      <c r="BB1029156" s="38"/>
    </row>
    <row r="1029157" spans="54:54" ht="15.75" customHeight="1" x14ac:dyDescent="0.3">
      <c r="BB1029157" s="38"/>
    </row>
    <row r="1029158" spans="54:54" ht="15.75" customHeight="1" x14ac:dyDescent="0.3">
      <c r="BB1029158" s="38"/>
    </row>
    <row r="1029159" spans="54:54" ht="15.75" customHeight="1" x14ac:dyDescent="0.3">
      <c r="BB1029159" s="38"/>
    </row>
    <row r="1029160" spans="54:54" ht="15.75" customHeight="1" x14ac:dyDescent="0.3">
      <c r="BB1029160" s="38"/>
    </row>
    <row r="1029161" spans="54:54" ht="15.75" customHeight="1" x14ac:dyDescent="0.3">
      <c r="BB1029161" s="38"/>
    </row>
    <row r="1029162" spans="54:54" ht="15.75" customHeight="1" x14ac:dyDescent="0.3">
      <c r="BB1029162" s="38"/>
    </row>
    <row r="1029163" spans="54:54" ht="15.75" customHeight="1" x14ac:dyDescent="0.3">
      <c r="BB1029163" s="38"/>
    </row>
    <row r="1029164" spans="54:54" ht="15.75" customHeight="1" x14ac:dyDescent="0.3">
      <c r="BB1029164" s="38"/>
    </row>
    <row r="1029165" spans="54:54" ht="15.75" customHeight="1" x14ac:dyDescent="0.3">
      <c r="BB1029165" s="38"/>
    </row>
    <row r="1029166" spans="54:54" ht="15.75" customHeight="1" x14ac:dyDescent="0.3">
      <c r="BB1029166" s="38"/>
    </row>
    <row r="1029167" spans="54:54" ht="15.75" customHeight="1" x14ac:dyDescent="0.3">
      <c r="BB1029167" s="38"/>
    </row>
    <row r="1029168" spans="54:54" ht="15.75" customHeight="1" x14ac:dyDescent="0.3">
      <c r="BB1029168" s="38"/>
    </row>
    <row r="1029169" spans="54:54" ht="15.75" customHeight="1" x14ac:dyDescent="0.3">
      <c r="BB1029169" s="38"/>
    </row>
    <row r="1029170" spans="54:54" ht="15.75" customHeight="1" x14ac:dyDescent="0.3">
      <c r="BB1029170" s="38"/>
    </row>
    <row r="1029171" spans="54:54" ht="15.75" customHeight="1" x14ac:dyDescent="0.3">
      <c r="BB1029171" s="38"/>
    </row>
    <row r="1029172" spans="54:54" ht="15.75" customHeight="1" x14ac:dyDescent="0.3">
      <c r="BB1029172" s="38"/>
    </row>
    <row r="1029173" spans="54:54" ht="15.75" customHeight="1" x14ac:dyDescent="0.3">
      <c r="BB1029173" s="38"/>
    </row>
    <row r="1029174" spans="54:54" ht="15.75" customHeight="1" x14ac:dyDescent="0.3">
      <c r="BB1029174" s="38"/>
    </row>
    <row r="1029175" spans="54:54" ht="15.75" customHeight="1" x14ac:dyDescent="0.3">
      <c r="BB1029175" s="38"/>
    </row>
    <row r="1029176" spans="54:54" ht="15.75" customHeight="1" x14ac:dyDescent="0.3">
      <c r="BB1029176" s="38"/>
    </row>
    <row r="1029177" spans="54:54" ht="15.75" customHeight="1" x14ac:dyDescent="0.3">
      <c r="BB1029177" s="38"/>
    </row>
    <row r="1029178" spans="54:54" ht="15.75" customHeight="1" x14ac:dyDescent="0.3">
      <c r="BB1029178" s="38"/>
    </row>
    <row r="1029179" spans="54:54" ht="15.75" customHeight="1" x14ac:dyDescent="0.3">
      <c r="BB1029179" s="38"/>
    </row>
    <row r="1029180" spans="54:54" ht="15.75" customHeight="1" x14ac:dyDescent="0.3">
      <c r="BB1029180" s="38"/>
    </row>
    <row r="1029181" spans="54:54" ht="15.75" customHeight="1" x14ac:dyDescent="0.3">
      <c r="BB1029181" s="38"/>
    </row>
    <row r="1029182" spans="54:54" ht="15.75" customHeight="1" x14ac:dyDescent="0.3">
      <c r="BB1029182" s="38"/>
    </row>
    <row r="1029183" spans="54:54" ht="15.75" customHeight="1" x14ac:dyDescent="0.3">
      <c r="BB1029183" s="38"/>
    </row>
    <row r="1029184" spans="54:54" ht="15.75" customHeight="1" x14ac:dyDescent="0.3">
      <c r="BB1029184" s="38"/>
    </row>
    <row r="1029185" spans="54:54" ht="15.75" customHeight="1" x14ac:dyDescent="0.3">
      <c r="BB1029185" s="38"/>
    </row>
    <row r="1029186" spans="54:54" ht="15.75" customHeight="1" x14ac:dyDescent="0.3">
      <c r="BB1029186" s="38"/>
    </row>
    <row r="1029187" spans="54:54" ht="15.75" customHeight="1" x14ac:dyDescent="0.3">
      <c r="BB1029187" s="38"/>
    </row>
    <row r="1029188" spans="54:54" ht="15.75" customHeight="1" x14ac:dyDescent="0.3">
      <c r="BB1029188" s="38"/>
    </row>
    <row r="1029189" spans="54:54" ht="15.75" customHeight="1" x14ac:dyDescent="0.3">
      <c r="BB1029189" s="38"/>
    </row>
    <row r="1029190" spans="54:54" ht="15.75" customHeight="1" x14ac:dyDescent="0.3">
      <c r="BB1029190" s="38"/>
    </row>
    <row r="1029191" spans="54:54" ht="15.75" customHeight="1" x14ac:dyDescent="0.3">
      <c r="BB1029191" s="38"/>
    </row>
    <row r="1029192" spans="54:54" ht="15.75" customHeight="1" x14ac:dyDescent="0.3">
      <c r="BB1029192" s="38"/>
    </row>
    <row r="1029193" spans="54:54" ht="15.75" customHeight="1" x14ac:dyDescent="0.3">
      <c r="BB1029193" s="38"/>
    </row>
    <row r="1029194" spans="54:54" ht="15.75" customHeight="1" x14ac:dyDescent="0.3">
      <c r="BB1029194" s="38"/>
    </row>
    <row r="1029195" spans="54:54" ht="15.75" customHeight="1" x14ac:dyDescent="0.3">
      <c r="BB1029195" s="38"/>
    </row>
    <row r="1029196" spans="54:54" ht="15.75" customHeight="1" x14ac:dyDescent="0.3">
      <c r="BB1029196" s="38"/>
    </row>
    <row r="1029197" spans="54:54" ht="15.75" customHeight="1" x14ac:dyDescent="0.3">
      <c r="BB1029197" s="38"/>
    </row>
    <row r="1029198" spans="54:54" ht="15.75" customHeight="1" x14ac:dyDescent="0.3">
      <c r="BB1029198" s="38"/>
    </row>
    <row r="1029199" spans="54:54" ht="15.75" customHeight="1" x14ac:dyDescent="0.3">
      <c r="BB1029199" s="38"/>
    </row>
    <row r="1029200" spans="54:54" ht="15.75" customHeight="1" x14ac:dyDescent="0.3">
      <c r="BB1029200" s="38"/>
    </row>
    <row r="1029201" spans="54:54" ht="15.75" customHeight="1" x14ac:dyDescent="0.3">
      <c r="BB1029201" s="38"/>
    </row>
    <row r="1029202" spans="54:54" ht="15.75" customHeight="1" x14ac:dyDescent="0.3">
      <c r="BB1029202" s="38"/>
    </row>
    <row r="1029203" spans="54:54" ht="15.75" customHeight="1" x14ac:dyDescent="0.3">
      <c r="BB1029203" s="38"/>
    </row>
    <row r="1029204" spans="54:54" ht="15.75" customHeight="1" x14ac:dyDescent="0.3">
      <c r="BB1029204" s="38"/>
    </row>
    <row r="1029205" spans="54:54" ht="15.75" customHeight="1" x14ac:dyDescent="0.3">
      <c r="BB1029205" s="38"/>
    </row>
    <row r="1029206" spans="54:54" ht="15.75" customHeight="1" x14ac:dyDescent="0.3">
      <c r="BB1029206" s="38"/>
    </row>
    <row r="1029207" spans="54:54" ht="15.75" customHeight="1" x14ac:dyDescent="0.3">
      <c r="BB1029207" s="38"/>
    </row>
    <row r="1029208" spans="54:54" ht="15.75" customHeight="1" x14ac:dyDescent="0.3">
      <c r="BB1029208" s="38"/>
    </row>
    <row r="1029209" spans="54:54" ht="15.75" customHeight="1" x14ac:dyDescent="0.3">
      <c r="BB1029209" s="38"/>
    </row>
    <row r="1029210" spans="54:54" ht="15.75" customHeight="1" x14ac:dyDescent="0.3">
      <c r="BB1029210" s="38"/>
    </row>
    <row r="1029211" spans="54:54" ht="15.75" customHeight="1" x14ac:dyDescent="0.3">
      <c r="BB1029211" s="38"/>
    </row>
    <row r="1029212" spans="54:54" ht="15.75" customHeight="1" x14ac:dyDescent="0.3">
      <c r="BB1029212" s="38"/>
    </row>
    <row r="1029213" spans="54:54" ht="15.75" customHeight="1" x14ac:dyDescent="0.3">
      <c r="BB1029213" s="38"/>
    </row>
    <row r="1029214" spans="54:54" ht="15.75" customHeight="1" x14ac:dyDescent="0.3">
      <c r="BB1029214" s="38"/>
    </row>
    <row r="1029215" spans="54:54" ht="15.75" customHeight="1" x14ac:dyDescent="0.3">
      <c r="BB1029215" s="38"/>
    </row>
    <row r="1029216" spans="54:54" ht="15.75" customHeight="1" x14ac:dyDescent="0.3">
      <c r="BB1029216" s="38"/>
    </row>
    <row r="1029217" spans="54:54" ht="15.75" customHeight="1" x14ac:dyDescent="0.3">
      <c r="BB1029217" s="38"/>
    </row>
    <row r="1029218" spans="54:54" ht="15.75" customHeight="1" x14ac:dyDescent="0.3">
      <c r="BB1029218" s="38"/>
    </row>
    <row r="1029219" spans="54:54" ht="15.75" customHeight="1" x14ac:dyDescent="0.3">
      <c r="BB1029219" s="38"/>
    </row>
    <row r="1029220" spans="54:54" ht="15.75" customHeight="1" x14ac:dyDescent="0.3">
      <c r="BB1029220" s="38"/>
    </row>
    <row r="1029221" spans="54:54" ht="15.75" customHeight="1" x14ac:dyDescent="0.3">
      <c r="BB1029221" s="38"/>
    </row>
    <row r="1029222" spans="54:54" ht="15.75" customHeight="1" x14ac:dyDescent="0.3">
      <c r="BB1029222" s="38"/>
    </row>
    <row r="1029223" spans="54:54" ht="15.75" customHeight="1" x14ac:dyDescent="0.3">
      <c r="BB1029223" s="38"/>
    </row>
    <row r="1029224" spans="54:54" ht="15.75" customHeight="1" x14ac:dyDescent="0.3">
      <c r="BB1029224" s="38"/>
    </row>
    <row r="1029225" spans="54:54" ht="15.75" customHeight="1" x14ac:dyDescent="0.3">
      <c r="BB1029225" s="38"/>
    </row>
    <row r="1029226" spans="54:54" ht="15.75" customHeight="1" x14ac:dyDescent="0.3">
      <c r="BB1029226" s="38"/>
    </row>
    <row r="1029227" spans="54:54" ht="15.75" customHeight="1" x14ac:dyDescent="0.3">
      <c r="BB1029227" s="38"/>
    </row>
    <row r="1029228" spans="54:54" ht="15.75" customHeight="1" x14ac:dyDescent="0.3">
      <c r="BB1029228" s="38"/>
    </row>
    <row r="1029229" spans="54:54" ht="15.75" customHeight="1" x14ac:dyDescent="0.3">
      <c r="BB1029229" s="38"/>
    </row>
    <row r="1029230" spans="54:54" ht="15.75" customHeight="1" x14ac:dyDescent="0.3">
      <c r="BB1029230" s="38"/>
    </row>
    <row r="1029231" spans="54:54" ht="15.75" customHeight="1" x14ac:dyDescent="0.3">
      <c r="BB1029231" s="38"/>
    </row>
    <row r="1029232" spans="54:54" ht="15.75" customHeight="1" x14ac:dyDescent="0.3">
      <c r="BB1029232" s="38"/>
    </row>
    <row r="1029233" spans="54:54" ht="15.75" customHeight="1" x14ac:dyDescent="0.3">
      <c r="BB1029233" s="38"/>
    </row>
    <row r="1029234" spans="54:54" ht="15.75" customHeight="1" x14ac:dyDescent="0.3">
      <c r="BB1029234" s="38"/>
    </row>
    <row r="1029235" spans="54:54" ht="15.75" customHeight="1" x14ac:dyDescent="0.3">
      <c r="BB1029235" s="38"/>
    </row>
    <row r="1029236" spans="54:54" ht="15.75" customHeight="1" x14ac:dyDescent="0.3">
      <c r="BB1029236" s="38"/>
    </row>
    <row r="1029237" spans="54:54" ht="15.75" customHeight="1" x14ac:dyDescent="0.3">
      <c r="BB1029237" s="38"/>
    </row>
    <row r="1029238" spans="54:54" ht="15.75" customHeight="1" x14ac:dyDescent="0.3">
      <c r="BB1029238" s="38"/>
    </row>
    <row r="1029239" spans="54:54" ht="15.75" customHeight="1" x14ac:dyDescent="0.3">
      <c r="BB1029239" s="38"/>
    </row>
    <row r="1029240" spans="54:54" ht="15.75" customHeight="1" x14ac:dyDescent="0.3">
      <c r="BB1029240" s="38"/>
    </row>
    <row r="1029241" spans="54:54" ht="15.75" customHeight="1" x14ac:dyDescent="0.3">
      <c r="BB1029241" s="38"/>
    </row>
    <row r="1029242" spans="54:54" ht="15.75" customHeight="1" x14ac:dyDescent="0.3">
      <c r="BB1029242" s="38"/>
    </row>
    <row r="1029243" spans="54:54" ht="15.75" customHeight="1" x14ac:dyDescent="0.3">
      <c r="BB1029243" s="38"/>
    </row>
    <row r="1029244" spans="54:54" ht="15.75" customHeight="1" x14ac:dyDescent="0.3">
      <c r="BB1029244" s="38"/>
    </row>
    <row r="1029245" spans="54:54" ht="15.75" customHeight="1" x14ac:dyDescent="0.3">
      <c r="BB1029245" s="38"/>
    </row>
    <row r="1029246" spans="54:54" ht="15.75" customHeight="1" x14ac:dyDescent="0.3">
      <c r="BB1029246" s="38"/>
    </row>
    <row r="1029247" spans="54:54" ht="15.75" customHeight="1" x14ac:dyDescent="0.3">
      <c r="BB1029247" s="38"/>
    </row>
    <row r="1029248" spans="54:54" ht="15.75" customHeight="1" x14ac:dyDescent="0.3">
      <c r="BB1029248" s="38"/>
    </row>
    <row r="1029249" spans="54:54" ht="15.75" customHeight="1" x14ac:dyDescent="0.3">
      <c r="BB1029249" s="38"/>
    </row>
    <row r="1029250" spans="54:54" ht="15.75" customHeight="1" x14ac:dyDescent="0.3">
      <c r="BB1029250" s="38"/>
    </row>
    <row r="1029251" spans="54:54" ht="15.75" customHeight="1" x14ac:dyDescent="0.3">
      <c r="BB1029251" s="38"/>
    </row>
    <row r="1029252" spans="54:54" ht="15.75" customHeight="1" x14ac:dyDescent="0.3">
      <c r="BB1029252" s="38"/>
    </row>
    <row r="1029253" spans="54:54" ht="15.75" customHeight="1" x14ac:dyDescent="0.3">
      <c r="BB1029253" s="38"/>
    </row>
    <row r="1029254" spans="54:54" ht="15.75" customHeight="1" x14ac:dyDescent="0.3">
      <c r="BB1029254" s="38"/>
    </row>
    <row r="1029255" spans="54:54" ht="15.75" customHeight="1" x14ac:dyDescent="0.3">
      <c r="BB1029255" s="38"/>
    </row>
    <row r="1029256" spans="54:54" ht="15.75" customHeight="1" x14ac:dyDescent="0.3">
      <c r="BB1029256" s="38"/>
    </row>
    <row r="1029257" spans="54:54" ht="15.75" customHeight="1" x14ac:dyDescent="0.3">
      <c r="BB1029257" s="38"/>
    </row>
    <row r="1029258" spans="54:54" ht="15.75" customHeight="1" x14ac:dyDescent="0.3">
      <c r="BB1029258" s="38"/>
    </row>
    <row r="1029259" spans="54:54" ht="15.75" customHeight="1" x14ac:dyDescent="0.3">
      <c r="BB1029259" s="38"/>
    </row>
    <row r="1029260" spans="54:54" ht="15.75" customHeight="1" x14ac:dyDescent="0.3">
      <c r="BB1029260" s="38"/>
    </row>
    <row r="1029261" spans="54:54" ht="15.75" customHeight="1" x14ac:dyDescent="0.3">
      <c r="BB1029261" s="38"/>
    </row>
    <row r="1029262" spans="54:54" ht="15.75" customHeight="1" x14ac:dyDescent="0.3">
      <c r="BB1029262" s="38"/>
    </row>
    <row r="1029263" spans="54:54" ht="15.75" customHeight="1" x14ac:dyDescent="0.3">
      <c r="BB1029263" s="38"/>
    </row>
    <row r="1029264" spans="54:54" ht="15.75" customHeight="1" x14ac:dyDescent="0.3">
      <c r="BB1029264" s="38"/>
    </row>
    <row r="1029265" spans="54:54" ht="15.75" customHeight="1" x14ac:dyDescent="0.3">
      <c r="BB1029265" s="38"/>
    </row>
    <row r="1029266" spans="54:54" ht="15.75" customHeight="1" x14ac:dyDescent="0.3">
      <c r="BB1029266" s="38"/>
    </row>
    <row r="1029267" spans="54:54" ht="15.75" customHeight="1" x14ac:dyDescent="0.3">
      <c r="BB1029267" s="38"/>
    </row>
    <row r="1029268" spans="54:54" ht="15.75" customHeight="1" x14ac:dyDescent="0.3">
      <c r="BB1029268" s="38"/>
    </row>
    <row r="1029269" spans="54:54" ht="15.75" customHeight="1" x14ac:dyDescent="0.3">
      <c r="BB1029269" s="38"/>
    </row>
    <row r="1029270" spans="54:54" ht="15.75" customHeight="1" x14ac:dyDescent="0.3">
      <c r="BB1029270" s="38"/>
    </row>
    <row r="1029271" spans="54:54" ht="15.75" customHeight="1" x14ac:dyDescent="0.3">
      <c r="BB1029271" s="38"/>
    </row>
    <row r="1029272" spans="54:54" ht="15.75" customHeight="1" x14ac:dyDescent="0.3">
      <c r="BB1029272" s="38"/>
    </row>
    <row r="1029273" spans="54:54" ht="15.75" customHeight="1" x14ac:dyDescent="0.3">
      <c r="BB1029273" s="38"/>
    </row>
    <row r="1029274" spans="54:54" ht="15.75" customHeight="1" x14ac:dyDescent="0.3">
      <c r="BB1029274" s="38"/>
    </row>
    <row r="1029275" spans="54:54" ht="15.75" customHeight="1" x14ac:dyDescent="0.3">
      <c r="BB1029275" s="38"/>
    </row>
    <row r="1029276" spans="54:54" ht="15.75" customHeight="1" x14ac:dyDescent="0.3">
      <c r="BB1029276" s="38"/>
    </row>
    <row r="1029277" spans="54:54" ht="15.75" customHeight="1" x14ac:dyDescent="0.3">
      <c r="BB1029277" s="38"/>
    </row>
    <row r="1029278" spans="54:54" ht="15.75" customHeight="1" x14ac:dyDescent="0.3">
      <c r="BB1029278" s="38"/>
    </row>
    <row r="1029279" spans="54:54" ht="15.75" customHeight="1" x14ac:dyDescent="0.3">
      <c r="BB1029279" s="38"/>
    </row>
    <row r="1029280" spans="54:54" ht="15.75" customHeight="1" x14ac:dyDescent="0.3">
      <c r="BB1029280" s="38"/>
    </row>
    <row r="1029281" spans="54:54" ht="15.75" customHeight="1" x14ac:dyDescent="0.3">
      <c r="BB1029281" s="38"/>
    </row>
    <row r="1029282" spans="54:54" ht="15.75" customHeight="1" x14ac:dyDescent="0.3">
      <c r="BB1029282" s="38"/>
    </row>
    <row r="1029283" spans="54:54" ht="15.75" customHeight="1" x14ac:dyDescent="0.3">
      <c r="BB1029283" s="38"/>
    </row>
    <row r="1029284" spans="54:54" ht="15.75" customHeight="1" x14ac:dyDescent="0.3">
      <c r="BB1029284" s="38"/>
    </row>
    <row r="1029285" spans="54:54" ht="15.75" customHeight="1" x14ac:dyDescent="0.3">
      <c r="BB1029285" s="38"/>
    </row>
    <row r="1029286" spans="54:54" ht="15.75" customHeight="1" x14ac:dyDescent="0.3">
      <c r="BB1029286" s="38"/>
    </row>
    <row r="1029287" spans="54:54" ht="15.75" customHeight="1" x14ac:dyDescent="0.3">
      <c r="BB1029287" s="38"/>
    </row>
    <row r="1029288" spans="54:54" ht="15.75" customHeight="1" x14ac:dyDescent="0.3">
      <c r="BB1029288" s="38"/>
    </row>
    <row r="1029289" spans="54:54" ht="15.75" customHeight="1" x14ac:dyDescent="0.3">
      <c r="BB1029289" s="38"/>
    </row>
    <row r="1029290" spans="54:54" ht="15.75" customHeight="1" x14ac:dyDescent="0.3">
      <c r="BB1029290" s="38"/>
    </row>
    <row r="1029291" spans="54:54" ht="15.75" customHeight="1" x14ac:dyDescent="0.3">
      <c r="BB1029291" s="38"/>
    </row>
    <row r="1029292" spans="54:54" ht="15.75" customHeight="1" x14ac:dyDescent="0.3">
      <c r="BB1029292" s="38"/>
    </row>
    <row r="1029293" spans="54:54" ht="15.75" customHeight="1" x14ac:dyDescent="0.3">
      <c r="BB1029293" s="38"/>
    </row>
    <row r="1029294" spans="54:54" ht="15.75" customHeight="1" x14ac:dyDescent="0.3">
      <c r="BB1029294" s="38"/>
    </row>
    <row r="1029295" spans="54:54" ht="15.75" customHeight="1" x14ac:dyDescent="0.3">
      <c r="BB1029295" s="38"/>
    </row>
    <row r="1029296" spans="54:54" ht="15.75" customHeight="1" x14ac:dyDescent="0.3">
      <c r="BB1029296" s="38"/>
    </row>
    <row r="1029297" spans="54:54" ht="15.75" customHeight="1" x14ac:dyDescent="0.3">
      <c r="BB1029297" s="38"/>
    </row>
    <row r="1029298" spans="54:54" ht="15.75" customHeight="1" x14ac:dyDescent="0.3">
      <c r="BB1029298" s="38"/>
    </row>
    <row r="1029299" spans="54:54" ht="15.75" customHeight="1" x14ac:dyDescent="0.3">
      <c r="BB1029299" s="38"/>
    </row>
    <row r="1029300" spans="54:54" ht="15.75" customHeight="1" x14ac:dyDescent="0.3">
      <c r="BB1029300" s="38"/>
    </row>
    <row r="1029301" spans="54:54" ht="15.75" customHeight="1" x14ac:dyDescent="0.3">
      <c r="BB1029301" s="38"/>
    </row>
    <row r="1029302" spans="54:54" ht="15.75" customHeight="1" x14ac:dyDescent="0.3">
      <c r="BB1029302" s="38"/>
    </row>
    <row r="1029303" spans="54:54" ht="15.75" customHeight="1" x14ac:dyDescent="0.3">
      <c r="BB1029303" s="38"/>
    </row>
    <row r="1029304" spans="54:54" ht="15.75" customHeight="1" x14ac:dyDescent="0.3">
      <c r="BB1029304" s="38"/>
    </row>
    <row r="1029305" spans="54:54" ht="15.75" customHeight="1" x14ac:dyDescent="0.3">
      <c r="BB1029305" s="38"/>
    </row>
    <row r="1029306" spans="54:54" ht="15.75" customHeight="1" x14ac:dyDescent="0.3">
      <c r="BB1029306" s="38"/>
    </row>
    <row r="1029307" spans="54:54" ht="15.75" customHeight="1" x14ac:dyDescent="0.3">
      <c r="BB1029307" s="38"/>
    </row>
    <row r="1029308" spans="54:54" ht="15.75" customHeight="1" x14ac:dyDescent="0.3">
      <c r="BB1029308" s="38"/>
    </row>
    <row r="1029309" spans="54:54" ht="15.75" customHeight="1" x14ac:dyDescent="0.3">
      <c r="BB1029309" s="38"/>
    </row>
    <row r="1029310" spans="54:54" ht="15.75" customHeight="1" x14ac:dyDescent="0.3">
      <c r="BB1029310" s="38"/>
    </row>
    <row r="1029311" spans="54:54" ht="15.75" customHeight="1" x14ac:dyDescent="0.3">
      <c r="BB1029311" s="38"/>
    </row>
    <row r="1029312" spans="54:54" ht="15.75" customHeight="1" x14ac:dyDescent="0.3">
      <c r="BB1029312" s="38"/>
    </row>
    <row r="1029313" spans="54:54" ht="15.75" customHeight="1" x14ac:dyDescent="0.3">
      <c r="BB1029313" s="38"/>
    </row>
    <row r="1029314" spans="54:54" ht="15.75" customHeight="1" x14ac:dyDescent="0.3">
      <c r="BB1029314" s="38"/>
    </row>
    <row r="1029315" spans="54:54" ht="15.75" customHeight="1" x14ac:dyDescent="0.3">
      <c r="BB1029315" s="38"/>
    </row>
    <row r="1029316" spans="54:54" ht="15.75" customHeight="1" x14ac:dyDescent="0.3">
      <c r="BB1029316" s="38"/>
    </row>
    <row r="1029317" spans="54:54" ht="15.75" customHeight="1" x14ac:dyDescent="0.3">
      <c r="BB1029317" s="38"/>
    </row>
    <row r="1029318" spans="54:54" ht="15.75" customHeight="1" x14ac:dyDescent="0.3">
      <c r="BB1029318" s="38"/>
    </row>
    <row r="1029319" spans="54:54" ht="15.75" customHeight="1" x14ac:dyDescent="0.3">
      <c r="BB1029319" s="38"/>
    </row>
    <row r="1029320" spans="54:54" ht="15.75" customHeight="1" x14ac:dyDescent="0.3">
      <c r="BB1029320" s="38"/>
    </row>
    <row r="1029321" spans="54:54" ht="15.75" customHeight="1" x14ac:dyDescent="0.3">
      <c r="BB1029321" s="38"/>
    </row>
    <row r="1029322" spans="54:54" ht="15.75" customHeight="1" x14ac:dyDescent="0.3">
      <c r="BB1029322" s="38"/>
    </row>
    <row r="1029323" spans="54:54" ht="15.75" customHeight="1" x14ac:dyDescent="0.3">
      <c r="BB1029323" s="38"/>
    </row>
    <row r="1029324" spans="54:54" ht="15.75" customHeight="1" x14ac:dyDescent="0.3">
      <c r="BB1029324" s="38"/>
    </row>
    <row r="1029325" spans="54:54" ht="15.75" customHeight="1" x14ac:dyDescent="0.3">
      <c r="BB1029325" s="38"/>
    </row>
    <row r="1029326" spans="54:54" ht="15.75" customHeight="1" x14ac:dyDescent="0.3">
      <c r="BB1029326" s="38"/>
    </row>
    <row r="1029327" spans="54:54" ht="15.75" customHeight="1" x14ac:dyDescent="0.3">
      <c r="BB1029327" s="38"/>
    </row>
    <row r="1029328" spans="54:54" ht="15.75" customHeight="1" x14ac:dyDescent="0.3">
      <c r="BB1029328" s="38"/>
    </row>
    <row r="1029329" spans="54:54" ht="15.75" customHeight="1" x14ac:dyDescent="0.3">
      <c r="BB1029329" s="38"/>
    </row>
    <row r="1029330" spans="54:54" ht="15.75" customHeight="1" x14ac:dyDescent="0.3">
      <c r="BB1029330" s="38"/>
    </row>
    <row r="1029331" spans="54:54" ht="15.75" customHeight="1" x14ac:dyDescent="0.3">
      <c r="BB1029331" s="38"/>
    </row>
    <row r="1029332" spans="54:54" ht="15.75" customHeight="1" x14ac:dyDescent="0.3">
      <c r="BB1029332" s="38"/>
    </row>
    <row r="1029333" spans="54:54" ht="15.75" customHeight="1" x14ac:dyDescent="0.3">
      <c r="BB1029333" s="38"/>
    </row>
    <row r="1029334" spans="54:54" ht="15.75" customHeight="1" x14ac:dyDescent="0.3">
      <c r="BB1029334" s="38"/>
    </row>
    <row r="1029335" spans="54:54" ht="15.75" customHeight="1" x14ac:dyDescent="0.3">
      <c r="BB1029335" s="38"/>
    </row>
    <row r="1029336" spans="54:54" ht="15.75" customHeight="1" x14ac:dyDescent="0.3">
      <c r="BB1029336" s="38"/>
    </row>
    <row r="1029337" spans="54:54" ht="15.75" customHeight="1" x14ac:dyDescent="0.3">
      <c r="BB1029337" s="38"/>
    </row>
    <row r="1029338" spans="54:54" ht="15.75" customHeight="1" x14ac:dyDescent="0.3">
      <c r="BB1029338" s="38"/>
    </row>
    <row r="1029339" spans="54:54" ht="15.75" customHeight="1" x14ac:dyDescent="0.3">
      <c r="BB1029339" s="38"/>
    </row>
    <row r="1029340" spans="54:54" ht="15.75" customHeight="1" x14ac:dyDescent="0.3">
      <c r="BB1029340" s="38"/>
    </row>
    <row r="1029341" spans="54:54" ht="15.75" customHeight="1" x14ac:dyDescent="0.3">
      <c r="BB1029341" s="38"/>
    </row>
    <row r="1029342" spans="54:54" ht="15.75" customHeight="1" x14ac:dyDescent="0.3">
      <c r="BB1029342" s="38"/>
    </row>
    <row r="1029343" spans="54:54" ht="15.75" customHeight="1" x14ac:dyDescent="0.3">
      <c r="BB1029343" s="38"/>
    </row>
    <row r="1029344" spans="54:54" ht="15.75" customHeight="1" x14ac:dyDescent="0.3">
      <c r="BB1029344" s="38"/>
    </row>
    <row r="1029345" spans="54:54" ht="15.75" customHeight="1" x14ac:dyDescent="0.3">
      <c r="BB1029345" s="38"/>
    </row>
    <row r="1029346" spans="54:54" ht="15.75" customHeight="1" x14ac:dyDescent="0.3">
      <c r="BB1029346" s="38"/>
    </row>
    <row r="1029347" spans="54:54" ht="15.75" customHeight="1" x14ac:dyDescent="0.3">
      <c r="BB1029347" s="38"/>
    </row>
    <row r="1029348" spans="54:54" ht="15.75" customHeight="1" x14ac:dyDescent="0.3">
      <c r="BB1029348" s="38"/>
    </row>
    <row r="1029349" spans="54:54" ht="15.75" customHeight="1" x14ac:dyDescent="0.3">
      <c r="BB1029349" s="38"/>
    </row>
    <row r="1029350" spans="54:54" ht="15.75" customHeight="1" x14ac:dyDescent="0.3">
      <c r="BB1029350" s="38"/>
    </row>
    <row r="1029351" spans="54:54" ht="15.75" customHeight="1" x14ac:dyDescent="0.3">
      <c r="BB1029351" s="38"/>
    </row>
    <row r="1029352" spans="54:54" ht="15.75" customHeight="1" x14ac:dyDescent="0.3">
      <c r="BB1029352" s="38"/>
    </row>
    <row r="1029353" spans="54:54" ht="15.75" customHeight="1" x14ac:dyDescent="0.3">
      <c r="BB1029353" s="38"/>
    </row>
    <row r="1029354" spans="54:54" ht="15.75" customHeight="1" x14ac:dyDescent="0.3">
      <c r="BB1029354" s="38"/>
    </row>
    <row r="1029355" spans="54:54" ht="15.75" customHeight="1" x14ac:dyDescent="0.3">
      <c r="BB1029355" s="38"/>
    </row>
    <row r="1029356" spans="54:54" ht="15.75" customHeight="1" x14ac:dyDescent="0.3">
      <c r="BB1029356" s="38"/>
    </row>
    <row r="1029357" spans="54:54" ht="15.75" customHeight="1" x14ac:dyDescent="0.3">
      <c r="BB1029357" s="38"/>
    </row>
    <row r="1029358" spans="54:54" ht="15.75" customHeight="1" x14ac:dyDescent="0.3">
      <c r="BB1029358" s="38"/>
    </row>
    <row r="1029359" spans="54:54" ht="15.75" customHeight="1" x14ac:dyDescent="0.3">
      <c r="BB1029359" s="38"/>
    </row>
    <row r="1029360" spans="54:54" ht="15.75" customHeight="1" x14ac:dyDescent="0.3">
      <c r="BB1029360" s="38"/>
    </row>
    <row r="1029361" spans="54:54" ht="15.75" customHeight="1" x14ac:dyDescent="0.3">
      <c r="BB1029361" s="38"/>
    </row>
    <row r="1029362" spans="54:54" ht="15.75" customHeight="1" x14ac:dyDescent="0.3">
      <c r="BB1029362" s="38"/>
    </row>
    <row r="1029363" spans="54:54" ht="15.75" customHeight="1" x14ac:dyDescent="0.3">
      <c r="BB1029363" s="38"/>
    </row>
    <row r="1029364" spans="54:54" ht="15.75" customHeight="1" x14ac:dyDescent="0.3">
      <c r="BB1029364" s="38"/>
    </row>
    <row r="1029365" spans="54:54" ht="15.75" customHeight="1" x14ac:dyDescent="0.3">
      <c r="BB1029365" s="38"/>
    </row>
    <row r="1029366" spans="54:54" ht="15.75" customHeight="1" x14ac:dyDescent="0.3">
      <c r="BB1029366" s="38"/>
    </row>
    <row r="1029367" spans="54:54" ht="15.75" customHeight="1" x14ac:dyDescent="0.3">
      <c r="BB1029367" s="38"/>
    </row>
    <row r="1029368" spans="54:54" ht="15.75" customHeight="1" x14ac:dyDescent="0.3">
      <c r="BB1029368" s="38"/>
    </row>
    <row r="1029369" spans="54:54" ht="15.75" customHeight="1" x14ac:dyDescent="0.3">
      <c r="BB1029369" s="38"/>
    </row>
    <row r="1029370" spans="54:54" ht="15.75" customHeight="1" x14ac:dyDescent="0.3">
      <c r="BB1029370" s="38"/>
    </row>
    <row r="1029371" spans="54:54" ht="15.75" customHeight="1" x14ac:dyDescent="0.3">
      <c r="BB1029371" s="38"/>
    </row>
    <row r="1029372" spans="54:54" ht="15.75" customHeight="1" x14ac:dyDescent="0.3">
      <c r="BB1029372" s="38"/>
    </row>
    <row r="1029373" spans="54:54" ht="15.75" customHeight="1" x14ac:dyDescent="0.3">
      <c r="BB1029373" s="38"/>
    </row>
    <row r="1029374" spans="54:54" ht="15.75" customHeight="1" x14ac:dyDescent="0.3">
      <c r="BB1029374" s="38"/>
    </row>
    <row r="1029375" spans="54:54" ht="15.75" customHeight="1" x14ac:dyDescent="0.3">
      <c r="BB1029375" s="38"/>
    </row>
    <row r="1029376" spans="54:54" ht="15.75" customHeight="1" x14ac:dyDescent="0.3">
      <c r="BB1029376" s="38"/>
    </row>
    <row r="1029377" spans="54:54" ht="15.75" customHeight="1" x14ac:dyDescent="0.3">
      <c r="BB1029377" s="38"/>
    </row>
    <row r="1029378" spans="54:54" ht="15.75" customHeight="1" x14ac:dyDescent="0.3">
      <c r="BB1029378" s="38"/>
    </row>
    <row r="1029379" spans="54:54" ht="15.75" customHeight="1" x14ac:dyDescent="0.3">
      <c r="BB1029379" s="38"/>
    </row>
    <row r="1029380" spans="54:54" ht="15.75" customHeight="1" x14ac:dyDescent="0.3">
      <c r="BB1029380" s="38"/>
    </row>
    <row r="1029381" spans="54:54" ht="15.75" customHeight="1" x14ac:dyDescent="0.3">
      <c r="BB1029381" s="38"/>
    </row>
    <row r="1029382" spans="54:54" ht="15.75" customHeight="1" x14ac:dyDescent="0.3">
      <c r="BB1029382" s="38"/>
    </row>
    <row r="1029383" spans="54:54" ht="15.75" customHeight="1" x14ac:dyDescent="0.3">
      <c r="BB1029383" s="38"/>
    </row>
    <row r="1029384" spans="54:54" ht="15.75" customHeight="1" x14ac:dyDescent="0.3">
      <c r="BB1029384" s="38"/>
    </row>
    <row r="1029385" spans="54:54" ht="15.75" customHeight="1" x14ac:dyDescent="0.3">
      <c r="BB1029385" s="38"/>
    </row>
    <row r="1029386" spans="54:54" ht="15.75" customHeight="1" x14ac:dyDescent="0.3">
      <c r="BB1029386" s="38"/>
    </row>
    <row r="1029387" spans="54:54" ht="15.75" customHeight="1" x14ac:dyDescent="0.3">
      <c r="BB1029387" s="38"/>
    </row>
    <row r="1029388" spans="54:54" ht="15.75" customHeight="1" x14ac:dyDescent="0.3">
      <c r="BB1029388" s="38"/>
    </row>
    <row r="1029389" spans="54:54" ht="15.75" customHeight="1" x14ac:dyDescent="0.3">
      <c r="BB1029389" s="38"/>
    </row>
    <row r="1029390" spans="54:54" ht="15.75" customHeight="1" x14ac:dyDescent="0.3">
      <c r="BB1029390" s="38"/>
    </row>
    <row r="1029391" spans="54:54" ht="15.75" customHeight="1" x14ac:dyDescent="0.3">
      <c r="BB1029391" s="38"/>
    </row>
    <row r="1029392" spans="54:54" ht="15.75" customHeight="1" x14ac:dyDescent="0.3">
      <c r="BB1029392" s="38"/>
    </row>
    <row r="1029393" spans="54:54" ht="15.75" customHeight="1" x14ac:dyDescent="0.3">
      <c r="BB1029393" s="38"/>
    </row>
    <row r="1029394" spans="54:54" ht="15.75" customHeight="1" x14ac:dyDescent="0.3">
      <c r="BB1029394" s="38"/>
    </row>
    <row r="1029395" spans="54:54" ht="15.75" customHeight="1" x14ac:dyDescent="0.3">
      <c r="BB1029395" s="38"/>
    </row>
    <row r="1029396" spans="54:54" ht="15.75" customHeight="1" x14ac:dyDescent="0.3">
      <c r="BB1029396" s="38"/>
    </row>
    <row r="1029397" spans="54:54" ht="15.75" customHeight="1" x14ac:dyDescent="0.3">
      <c r="BB1029397" s="38"/>
    </row>
    <row r="1029398" spans="54:54" ht="15.75" customHeight="1" x14ac:dyDescent="0.3">
      <c r="BB1029398" s="38"/>
    </row>
    <row r="1029399" spans="54:54" ht="15.75" customHeight="1" x14ac:dyDescent="0.3">
      <c r="BB1029399" s="38"/>
    </row>
    <row r="1029400" spans="54:54" ht="15.75" customHeight="1" x14ac:dyDescent="0.3">
      <c r="BB1029400" s="38"/>
    </row>
    <row r="1029401" spans="54:54" ht="15.75" customHeight="1" x14ac:dyDescent="0.3">
      <c r="BB1029401" s="38"/>
    </row>
    <row r="1029402" spans="54:54" ht="15.75" customHeight="1" x14ac:dyDescent="0.3">
      <c r="BB1029402" s="38"/>
    </row>
    <row r="1029403" spans="54:54" ht="15.75" customHeight="1" x14ac:dyDescent="0.3">
      <c r="BB1029403" s="38"/>
    </row>
    <row r="1029404" spans="54:54" ht="15.75" customHeight="1" x14ac:dyDescent="0.3">
      <c r="BB1029404" s="38"/>
    </row>
    <row r="1029405" spans="54:54" ht="15.75" customHeight="1" x14ac:dyDescent="0.3">
      <c r="BB1029405" s="38"/>
    </row>
    <row r="1029406" spans="54:54" ht="15.75" customHeight="1" x14ac:dyDescent="0.3">
      <c r="BB1029406" s="38"/>
    </row>
    <row r="1029407" spans="54:54" ht="15.75" customHeight="1" x14ac:dyDescent="0.3">
      <c r="BB1029407" s="38"/>
    </row>
    <row r="1029408" spans="54:54" ht="15.75" customHeight="1" x14ac:dyDescent="0.3">
      <c r="BB1029408" s="38"/>
    </row>
    <row r="1029409" spans="54:54" ht="15.75" customHeight="1" x14ac:dyDescent="0.3">
      <c r="BB1029409" s="38"/>
    </row>
    <row r="1029410" spans="54:54" ht="15.75" customHeight="1" x14ac:dyDescent="0.3">
      <c r="BB1029410" s="38"/>
    </row>
    <row r="1029411" spans="54:54" ht="15.75" customHeight="1" x14ac:dyDescent="0.3">
      <c r="BB1029411" s="38"/>
    </row>
    <row r="1029412" spans="54:54" ht="15.75" customHeight="1" x14ac:dyDescent="0.3">
      <c r="BB1029412" s="38"/>
    </row>
    <row r="1029413" spans="54:54" ht="15.75" customHeight="1" x14ac:dyDescent="0.3">
      <c r="BB1029413" s="38"/>
    </row>
    <row r="1029414" spans="54:54" ht="15.75" customHeight="1" x14ac:dyDescent="0.3">
      <c r="BB1029414" s="38"/>
    </row>
    <row r="1029415" spans="54:54" ht="15.75" customHeight="1" x14ac:dyDescent="0.3">
      <c r="BB1029415" s="38"/>
    </row>
    <row r="1029416" spans="54:54" ht="15.75" customHeight="1" x14ac:dyDescent="0.3">
      <c r="BB1029416" s="38"/>
    </row>
    <row r="1029417" spans="54:54" ht="15.75" customHeight="1" x14ac:dyDescent="0.3">
      <c r="BB1029417" s="38"/>
    </row>
    <row r="1029418" spans="54:54" ht="15.75" customHeight="1" x14ac:dyDescent="0.3">
      <c r="BB1029418" s="38"/>
    </row>
    <row r="1029419" spans="54:54" ht="15.75" customHeight="1" x14ac:dyDescent="0.3">
      <c r="BB1029419" s="38"/>
    </row>
    <row r="1029420" spans="54:54" ht="15.75" customHeight="1" x14ac:dyDescent="0.3">
      <c r="BB1029420" s="38"/>
    </row>
    <row r="1029421" spans="54:54" ht="15.75" customHeight="1" x14ac:dyDescent="0.3">
      <c r="BB1029421" s="38"/>
    </row>
    <row r="1029422" spans="54:54" ht="15.75" customHeight="1" x14ac:dyDescent="0.3">
      <c r="BB1029422" s="38"/>
    </row>
    <row r="1029423" spans="54:54" ht="15.75" customHeight="1" x14ac:dyDescent="0.3">
      <c r="BB1029423" s="38"/>
    </row>
    <row r="1029424" spans="54:54" ht="15.75" customHeight="1" x14ac:dyDescent="0.3">
      <c r="BB1029424" s="38"/>
    </row>
    <row r="1029425" spans="54:54" ht="15.75" customHeight="1" x14ac:dyDescent="0.3">
      <c r="BB1029425" s="38"/>
    </row>
    <row r="1029426" spans="54:54" ht="15.75" customHeight="1" x14ac:dyDescent="0.3">
      <c r="BB1029426" s="38"/>
    </row>
    <row r="1029427" spans="54:54" ht="15.75" customHeight="1" x14ac:dyDescent="0.3">
      <c r="BB1029427" s="38"/>
    </row>
    <row r="1029428" spans="54:54" ht="15.75" customHeight="1" x14ac:dyDescent="0.3">
      <c r="BB1029428" s="38"/>
    </row>
    <row r="1029429" spans="54:54" ht="15.75" customHeight="1" x14ac:dyDescent="0.3">
      <c r="BB1029429" s="38"/>
    </row>
    <row r="1029430" spans="54:54" ht="15.75" customHeight="1" x14ac:dyDescent="0.3">
      <c r="BB1029430" s="38"/>
    </row>
    <row r="1029431" spans="54:54" ht="15.75" customHeight="1" x14ac:dyDescent="0.3">
      <c r="BB1029431" s="38"/>
    </row>
    <row r="1029432" spans="54:54" ht="15.75" customHeight="1" x14ac:dyDescent="0.3">
      <c r="BB1029432" s="38"/>
    </row>
    <row r="1029433" spans="54:54" ht="15.75" customHeight="1" x14ac:dyDescent="0.3">
      <c r="BB1029433" s="38"/>
    </row>
    <row r="1029434" spans="54:54" ht="15.75" customHeight="1" x14ac:dyDescent="0.3">
      <c r="BB1029434" s="38"/>
    </row>
    <row r="1029435" spans="54:54" ht="15.75" customHeight="1" x14ac:dyDescent="0.3">
      <c r="BB1029435" s="38"/>
    </row>
    <row r="1029436" spans="54:54" ht="15.75" customHeight="1" x14ac:dyDescent="0.3">
      <c r="BB1029436" s="38"/>
    </row>
    <row r="1029437" spans="54:54" ht="15.75" customHeight="1" x14ac:dyDescent="0.3">
      <c r="BB1029437" s="38"/>
    </row>
    <row r="1029438" spans="54:54" ht="15.75" customHeight="1" x14ac:dyDescent="0.3">
      <c r="BB1029438" s="38"/>
    </row>
    <row r="1029439" spans="54:54" ht="15.75" customHeight="1" x14ac:dyDescent="0.3">
      <c r="BB1029439" s="38"/>
    </row>
    <row r="1029440" spans="54:54" ht="15.75" customHeight="1" x14ac:dyDescent="0.3">
      <c r="BB1029440" s="38"/>
    </row>
    <row r="1029441" spans="54:54" ht="15.75" customHeight="1" x14ac:dyDescent="0.3">
      <c r="BB1029441" s="38"/>
    </row>
    <row r="1029442" spans="54:54" ht="15.75" customHeight="1" x14ac:dyDescent="0.3">
      <c r="BB1029442" s="38"/>
    </row>
    <row r="1029443" spans="54:54" ht="15.75" customHeight="1" x14ac:dyDescent="0.3">
      <c r="BB1029443" s="38"/>
    </row>
    <row r="1029444" spans="54:54" ht="15.75" customHeight="1" x14ac:dyDescent="0.3">
      <c r="BB1029444" s="38"/>
    </row>
    <row r="1029445" spans="54:54" ht="15.75" customHeight="1" x14ac:dyDescent="0.3">
      <c r="BB1029445" s="38"/>
    </row>
    <row r="1029446" spans="54:54" ht="15.75" customHeight="1" x14ac:dyDescent="0.3">
      <c r="BB1029446" s="38"/>
    </row>
    <row r="1029447" spans="54:54" ht="15.75" customHeight="1" x14ac:dyDescent="0.3">
      <c r="BB1029447" s="38"/>
    </row>
    <row r="1029448" spans="54:54" ht="15.75" customHeight="1" x14ac:dyDescent="0.3">
      <c r="BB1029448" s="38"/>
    </row>
    <row r="1029449" spans="54:54" ht="15.75" customHeight="1" x14ac:dyDescent="0.3">
      <c r="BB1029449" s="38"/>
    </row>
    <row r="1029450" spans="54:54" ht="15.75" customHeight="1" x14ac:dyDescent="0.3">
      <c r="BB1029450" s="38"/>
    </row>
    <row r="1029451" spans="54:54" ht="15.75" customHeight="1" x14ac:dyDescent="0.3">
      <c r="BB1029451" s="38"/>
    </row>
    <row r="1029452" spans="54:54" ht="15.75" customHeight="1" x14ac:dyDescent="0.3">
      <c r="BB1029452" s="38"/>
    </row>
    <row r="1029453" spans="54:54" ht="15.75" customHeight="1" x14ac:dyDescent="0.3">
      <c r="BB1029453" s="38"/>
    </row>
    <row r="1029454" spans="54:54" ht="15.75" customHeight="1" x14ac:dyDescent="0.3">
      <c r="BB1029454" s="38"/>
    </row>
    <row r="1029455" spans="54:54" ht="15.75" customHeight="1" x14ac:dyDescent="0.3">
      <c r="BB1029455" s="38"/>
    </row>
    <row r="1029456" spans="54:54" ht="15.75" customHeight="1" x14ac:dyDescent="0.3">
      <c r="BB1029456" s="38"/>
    </row>
    <row r="1029457" spans="54:54" ht="15.75" customHeight="1" x14ac:dyDescent="0.3">
      <c r="BB1029457" s="38"/>
    </row>
    <row r="1029458" spans="54:54" ht="15.75" customHeight="1" x14ac:dyDescent="0.3">
      <c r="BB1029458" s="38"/>
    </row>
    <row r="1029459" spans="54:54" ht="15.75" customHeight="1" x14ac:dyDescent="0.3">
      <c r="BB1029459" s="38"/>
    </row>
    <row r="1029460" spans="54:54" ht="15.75" customHeight="1" x14ac:dyDescent="0.3">
      <c r="BB1029460" s="38"/>
    </row>
    <row r="1029461" spans="54:54" ht="15.75" customHeight="1" x14ac:dyDescent="0.3">
      <c r="BB1029461" s="38"/>
    </row>
    <row r="1029462" spans="54:54" ht="15.75" customHeight="1" x14ac:dyDescent="0.3">
      <c r="BB1029462" s="38"/>
    </row>
    <row r="1029463" spans="54:54" ht="15.75" customHeight="1" x14ac:dyDescent="0.3">
      <c r="BB1029463" s="38"/>
    </row>
    <row r="1029464" spans="54:54" ht="15.75" customHeight="1" x14ac:dyDescent="0.3">
      <c r="BB1029464" s="38"/>
    </row>
    <row r="1029465" spans="54:54" ht="15.75" customHeight="1" x14ac:dyDescent="0.3">
      <c r="BB1029465" s="38"/>
    </row>
    <row r="1029466" spans="54:54" ht="15.75" customHeight="1" x14ac:dyDescent="0.3">
      <c r="BB1029466" s="38"/>
    </row>
    <row r="1029467" spans="54:54" ht="15.75" customHeight="1" x14ac:dyDescent="0.3">
      <c r="BB1029467" s="38"/>
    </row>
    <row r="1029468" spans="54:54" ht="15.75" customHeight="1" x14ac:dyDescent="0.3">
      <c r="BB1029468" s="38"/>
    </row>
    <row r="1029469" spans="54:54" ht="15.75" customHeight="1" x14ac:dyDescent="0.3">
      <c r="BB1029469" s="38"/>
    </row>
    <row r="1029470" spans="54:54" ht="15.75" customHeight="1" x14ac:dyDescent="0.3">
      <c r="BB1029470" s="38"/>
    </row>
    <row r="1029471" spans="54:54" ht="15.75" customHeight="1" x14ac:dyDescent="0.3">
      <c r="BB1029471" s="38"/>
    </row>
    <row r="1029472" spans="54:54" ht="15.75" customHeight="1" x14ac:dyDescent="0.3">
      <c r="BB1029472" s="38"/>
    </row>
    <row r="1029473" spans="54:54" ht="15.75" customHeight="1" x14ac:dyDescent="0.3">
      <c r="BB1029473" s="38"/>
    </row>
    <row r="1029474" spans="54:54" ht="15.75" customHeight="1" x14ac:dyDescent="0.3">
      <c r="BB1029474" s="38"/>
    </row>
    <row r="1029475" spans="54:54" ht="15.75" customHeight="1" x14ac:dyDescent="0.3">
      <c r="BB1029475" s="38"/>
    </row>
    <row r="1029476" spans="54:54" ht="15.75" customHeight="1" x14ac:dyDescent="0.3">
      <c r="BB1029476" s="38"/>
    </row>
    <row r="1029477" spans="54:54" ht="15.75" customHeight="1" x14ac:dyDescent="0.3">
      <c r="BB1029477" s="38"/>
    </row>
    <row r="1029478" spans="54:54" ht="15.75" customHeight="1" x14ac:dyDescent="0.3">
      <c r="BB1029478" s="38"/>
    </row>
    <row r="1029479" spans="54:54" ht="15.75" customHeight="1" x14ac:dyDescent="0.3">
      <c r="BB1029479" s="38"/>
    </row>
    <row r="1029480" spans="54:54" ht="15.75" customHeight="1" x14ac:dyDescent="0.3">
      <c r="BB1029480" s="38"/>
    </row>
    <row r="1029481" spans="54:54" ht="15.75" customHeight="1" x14ac:dyDescent="0.3">
      <c r="BB1029481" s="38"/>
    </row>
    <row r="1029482" spans="54:54" ht="15.75" customHeight="1" x14ac:dyDescent="0.3">
      <c r="BB1029482" s="38"/>
    </row>
    <row r="1029483" spans="54:54" ht="15.75" customHeight="1" x14ac:dyDescent="0.3">
      <c r="BB1029483" s="38"/>
    </row>
    <row r="1029484" spans="54:54" ht="15.75" customHeight="1" x14ac:dyDescent="0.3">
      <c r="BB1029484" s="38"/>
    </row>
    <row r="1029485" spans="54:54" ht="15.75" customHeight="1" x14ac:dyDescent="0.3">
      <c r="BB1029485" s="38"/>
    </row>
    <row r="1029486" spans="54:54" ht="15.75" customHeight="1" x14ac:dyDescent="0.3">
      <c r="BB1029486" s="38"/>
    </row>
    <row r="1029487" spans="54:54" ht="15.75" customHeight="1" x14ac:dyDescent="0.3">
      <c r="BB1029487" s="38"/>
    </row>
    <row r="1029488" spans="54:54" ht="15.75" customHeight="1" x14ac:dyDescent="0.3">
      <c r="BB1029488" s="38"/>
    </row>
    <row r="1029489" spans="54:54" ht="15.75" customHeight="1" x14ac:dyDescent="0.3">
      <c r="BB1029489" s="38"/>
    </row>
    <row r="1029490" spans="54:54" ht="15.75" customHeight="1" x14ac:dyDescent="0.3">
      <c r="BB1029490" s="38"/>
    </row>
    <row r="1029491" spans="54:54" ht="15.75" customHeight="1" x14ac:dyDescent="0.3">
      <c r="BB1029491" s="38"/>
    </row>
    <row r="1029492" spans="54:54" ht="15.75" customHeight="1" x14ac:dyDescent="0.3">
      <c r="BB1029492" s="38"/>
    </row>
    <row r="1029493" spans="54:54" ht="15.75" customHeight="1" x14ac:dyDescent="0.3">
      <c r="BB1029493" s="38"/>
    </row>
    <row r="1029494" spans="54:54" ht="15.75" customHeight="1" x14ac:dyDescent="0.3">
      <c r="BB1029494" s="38"/>
    </row>
    <row r="1029495" spans="54:54" ht="15.75" customHeight="1" x14ac:dyDescent="0.3">
      <c r="BB1029495" s="38"/>
    </row>
    <row r="1029496" spans="54:54" ht="15.75" customHeight="1" x14ac:dyDescent="0.3">
      <c r="BB1029496" s="38"/>
    </row>
    <row r="1029497" spans="54:54" ht="15.75" customHeight="1" x14ac:dyDescent="0.3">
      <c r="BB1029497" s="38"/>
    </row>
    <row r="1029498" spans="54:54" ht="15.75" customHeight="1" x14ac:dyDescent="0.3">
      <c r="BB1029498" s="38"/>
    </row>
    <row r="1029499" spans="54:54" ht="15.75" customHeight="1" x14ac:dyDescent="0.3">
      <c r="BB1029499" s="38"/>
    </row>
    <row r="1029500" spans="54:54" ht="15.75" customHeight="1" x14ac:dyDescent="0.3">
      <c r="BB1029500" s="38"/>
    </row>
    <row r="1029501" spans="54:54" ht="15.75" customHeight="1" x14ac:dyDescent="0.3">
      <c r="BB1029501" s="38"/>
    </row>
    <row r="1029502" spans="54:54" ht="15.75" customHeight="1" x14ac:dyDescent="0.3">
      <c r="BB1029502" s="38"/>
    </row>
    <row r="1029503" spans="54:54" ht="15.75" customHeight="1" x14ac:dyDescent="0.3">
      <c r="BB1029503" s="38"/>
    </row>
    <row r="1029504" spans="54:54" ht="15.75" customHeight="1" x14ac:dyDescent="0.3">
      <c r="BB1029504" s="38"/>
    </row>
    <row r="1029505" spans="54:54" ht="15.75" customHeight="1" x14ac:dyDescent="0.3">
      <c r="BB1029505" s="38"/>
    </row>
    <row r="1029506" spans="54:54" ht="15.75" customHeight="1" x14ac:dyDescent="0.3">
      <c r="BB1029506" s="38"/>
    </row>
    <row r="1029507" spans="54:54" ht="15.75" customHeight="1" x14ac:dyDescent="0.3">
      <c r="BB1029507" s="38"/>
    </row>
    <row r="1029508" spans="54:54" ht="15.75" customHeight="1" x14ac:dyDescent="0.3">
      <c r="BB1029508" s="38"/>
    </row>
    <row r="1029509" spans="54:54" ht="15.75" customHeight="1" x14ac:dyDescent="0.3">
      <c r="BB1029509" s="38"/>
    </row>
    <row r="1029510" spans="54:54" ht="15.75" customHeight="1" x14ac:dyDescent="0.3">
      <c r="BB1029510" s="38"/>
    </row>
    <row r="1029511" spans="54:54" ht="15.75" customHeight="1" x14ac:dyDescent="0.3">
      <c r="BB1029511" s="38"/>
    </row>
    <row r="1029512" spans="54:54" ht="15.75" customHeight="1" x14ac:dyDescent="0.3">
      <c r="BB1029512" s="38"/>
    </row>
    <row r="1029513" spans="54:54" ht="15.75" customHeight="1" x14ac:dyDescent="0.3">
      <c r="BB1029513" s="38"/>
    </row>
    <row r="1029514" spans="54:54" ht="15.75" customHeight="1" x14ac:dyDescent="0.3">
      <c r="BB1029514" s="38"/>
    </row>
    <row r="1029515" spans="54:54" ht="15.75" customHeight="1" x14ac:dyDescent="0.3">
      <c r="BB1029515" s="38"/>
    </row>
    <row r="1029516" spans="54:54" ht="15.75" customHeight="1" x14ac:dyDescent="0.3">
      <c r="BB1029516" s="38"/>
    </row>
    <row r="1029517" spans="54:54" ht="15.75" customHeight="1" x14ac:dyDescent="0.3">
      <c r="BB1029517" s="38"/>
    </row>
    <row r="1029518" spans="54:54" ht="15.75" customHeight="1" x14ac:dyDescent="0.3">
      <c r="BB1029518" s="38"/>
    </row>
    <row r="1029519" spans="54:54" ht="15.75" customHeight="1" x14ac:dyDescent="0.3">
      <c r="BB1029519" s="38"/>
    </row>
    <row r="1029520" spans="54:54" ht="15.75" customHeight="1" x14ac:dyDescent="0.3">
      <c r="BB1029520" s="38"/>
    </row>
    <row r="1029521" spans="54:54" ht="15.75" customHeight="1" x14ac:dyDescent="0.3">
      <c r="BB1029521" s="38"/>
    </row>
    <row r="1029522" spans="54:54" ht="15.75" customHeight="1" x14ac:dyDescent="0.3">
      <c r="BB1029522" s="38"/>
    </row>
    <row r="1029523" spans="54:54" ht="15.75" customHeight="1" x14ac:dyDescent="0.3">
      <c r="BB1029523" s="38"/>
    </row>
    <row r="1029524" spans="54:54" ht="15.75" customHeight="1" x14ac:dyDescent="0.3">
      <c r="BB1029524" s="38"/>
    </row>
    <row r="1029525" spans="54:54" ht="15.75" customHeight="1" x14ac:dyDescent="0.3">
      <c r="BB1029525" s="38"/>
    </row>
    <row r="1029526" spans="54:54" ht="15.75" customHeight="1" x14ac:dyDescent="0.3">
      <c r="BB1029526" s="38"/>
    </row>
    <row r="1029527" spans="54:54" ht="15.75" customHeight="1" x14ac:dyDescent="0.3">
      <c r="BB1029527" s="38"/>
    </row>
    <row r="1029528" spans="54:54" ht="15.75" customHeight="1" x14ac:dyDescent="0.3">
      <c r="BB1029528" s="38"/>
    </row>
    <row r="1029529" spans="54:54" ht="15.75" customHeight="1" x14ac:dyDescent="0.3">
      <c r="BB1029529" s="38"/>
    </row>
    <row r="1029530" spans="54:54" ht="15.75" customHeight="1" x14ac:dyDescent="0.3">
      <c r="BB1029530" s="38"/>
    </row>
    <row r="1029531" spans="54:54" ht="15.75" customHeight="1" x14ac:dyDescent="0.3">
      <c r="BB1029531" s="38"/>
    </row>
    <row r="1029532" spans="54:54" ht="15.75" customHeight="1" x14ac:dyDescent="0.3">
      <c r="BB1029532" s="38"/>
    </row>
    <row r="1029533" spans="54:54" ht="15.75" customHeight="1" x14ac:dyDescent="0.3">
      <c r="BB1029533" s="38"/>
    </row>
    <row r="1029534" spans="54:54" ht="15.75" customHeight="1" x14ac:dyDescent="0.3">
      <c r="BB1029534" s="38"/>
    </row>
    <row r="1029535" spans="54:54" ht="15.75" customHeight="1" x14ac:dyDescent="0.3">
      <c r="BB1029535" s="38"/>
    </row>
    <row r="1029536" spans="54:54" ht="15.75" customHeight="1" x14ac:dyDescent="0.3">
      <c r="BB1029536" s="38"/>
    </row>
    <row r="1029537" spans="54:54" ht="15.75" customHeight="1" x14ac:dyDescent="0.3">
      <c r="BB1029537" s="38"/>
    </row>
    <row r="1029538" spans="54:54" ht="15.75" customHeight="1" x14ac:dyDescent="0.3">
      <c r="BB1029538" s="38"/>
    </row>
    <row r="1029539" spans="54:54" ht="15.75" customHeight="1" x14ac:dyDescent="0.3">
      <c r="BB1029539" s="38"/>
    </row>
    <row r="1029540" spans="54:54" ht="15.75" customHeight="1" x14ac:dyDescent="0.3">
      <c r="BB1029540" s="38"/>
    </row>
    <row r="1029541" spans="54:54" ht="15.75" customHeight="1" x14ac:dyDescent="0.3">
      <c r="BB1029541" s="38"/>
    </row>
    <row r="1029542" spans="54:54" ht="15.75" customHeight="1" x14ac:dyDescent="0.3">
      <c r="BB1029542" s="38"/>
    </row>
    <row r="1029543" spans="54:54" ht="15.75" customHeight="1" x14ac:dyDescent="0.3">
      <c r="BB1029543" s="38"/>
    </row>
    <row r="1029544" spans="54:54" ht="15.75" customHeight="1" x14ac:dyDescent="0.3">
      <c r="BB1029544" s="38"/>
    </row>
    <row r="1029545" spans="54:54" ht="15.75" customHeight="1" x14ac:dyDescent="0.3">
      <c r="BB1029545" s="38"/>
    </row>
    <row r="1029546" spans="54:54" ht="15.75" customHeight="1" x14ac:dyDescent="0.3">
      <c r="BB1029546" s="38"/>
    </row>
    <row r="1029547" spans="54:54" ht="15.75" customHeight="1" x14ac:dyDescent="0.3">
      <c r="BB1029547" s="38"/>
    </row>
    <row r="1029548" spans="54:54" ht="15.75" customHeight="1" x14ac:dyDescent="0.3">
      <c r="BB1029548" s="38"/>
    </row>
    <row r="1029549" spans="54:54" ht="15.75" customHeight="1" x14ac:dyDescent="0.3">
      <c r="BB1029549" s="38"/>
    </row>
    <row r="1029550" spans="54:54" ht="15.75" customHeight="1" x14ac:dyDescent="0.3">
      <c r="BB1029550" s="38"/>
    </row>
    <row r="1029551" spans="54:54" ht="15.75" customHeight="1" x14ac:dyDescent="0.3">
      <c r="BB1029551" s="38"/>
    </row>
    <row r="1029552" spans="54:54" ht="15.75" customHeight="1" x14ac:dyDescent="0.3">
      <c r="BB1029552" s="38"/>
    </row>
    <row r="1029553" spans="54:54" ht="15.75" customHeight="1" x14ac:dyDescent="0.3">
      <c r="BB1029553" s="38"/>
    </row>
    <row r="1029554" spans="54:54" ht="15.75" customHeight="1" x14ac:dyDescent="0.3">
      <c r="BB1029554" s="38"/>
    </row>
    <row r="1029555" spans="54:54" ht="15.75" customHeight="1" x14ac:dyDescent="0.3">
      <c r="BB1029555" s="38"/>
    </row>
    <row r="1029556" spans="54:54" ht="15.75" customHeight="1" x14ac:dyDescent="0.3">
      <c r="BB1029556" s="38"/>
    </row>
    <row r="1029557" spans="54:54" ht="15.75" customHeight="1" x14ac:dyDescent="0.3">
      <c r="BB1029557" s="38"/>
    </row>
    <row r="1029558" spans="54:54" ht="15.75" customHeight="1" x14ac:dyDescent="0.3">
      <c r="BB1029558" s="38"/>
    </row>
    <row r="1029559" spans="54:54" ht="15.75" customHeight="1" x14ac:dyDescent="0.3">
      <c r="BB1029559" s="38"/>
    </row>
    <row r="1029560" spans="54:54" ht="15.75" customHeight="1" x14ac:dyDescent="0.3">
      <c r="BB1029560" s="38"/>
    </row>
    <row r="1029561" spans="54:54" ht="15.75" customHeight="1" x14ac:dyDescent="0.3">
      <c r="BB1029561" s="38"/>
    </row>
    <row r="1029562" spans="54:54" ht="15.75" customHeight="1" x14ac:dyDescent="0.3">
      <c r="BB1029562" s="38"/>
    </row>
    <row r="1029563" spans="54:54" ht="15.75" customHeight="1" x14ac:dyDescent="0.3">
      <c r="BB1029563" s="38"/>
    </row>
    <row r="1029564" spans="54:54" ht="15.75" customHeight="1" x14ac:dyDescent="0.3">
      <c r="BB1029564" s="38"/>
    </row>
    <row r="1029565" spans="54:54" ht="15.75" customHeight="1" x14ac:dyDescent="0.3">
      <c r="BB1029565" s="38"/>
    </row>
    <row r="1029566" spans="54:54" ht="15.75" customHeight="1" x14ac:dyDescent="0.3">
      <c r="BB1029566" s="38"/>
    </row>
    <row r="1029567" spans="54:54" ht="15.75" customHeight="1" x14ac:dyDescent="0.3">
      <c r="BB1029567" s="38"/>
    </row>
    <row r="1029568" spans="54:54" ht="15.75" customHeight="1" x14ac:dyDescent="0.3">
      <c r="BB1029568" s="38"/>
    </row>
    <row r="1029569" spans="54:54" ht="15.75" customHeight="1" x14ac:dyDescent="0.3">
      <c r="BB1029569" s="38"/>
    </row>
    <row r="1029570" spans="54:54" ht="15.75" customHeight="1" x14ac:dyDescent="0.3">
      <c r="BB1029570" s="38"/>
    </row>
    <row r="1029571" spans="54:54" ht="15.75" customHeight="1" x14ac:dyDescent="0.3">
      <c r="BB1029571" s="38"/>
    </row>
    <row r="1029572" spans="54:54" ht="15.75" customHeight="1" x14ac:dyDescent="0.3">
      <c r="BB1029572" s="38"/>
    </row>
    <row r="1029573" spans="54:54" ht="15.75" customHeight="1" x14ac:dyDescent="0.3">
      <c r="BB1029573" s="38"/>
    </row>
    <row r="1029574" spans="54:54" ht="15.75" customHeight="1" x14ac:dyDescent="0.3">
      <c r="BB1029574" s="38"/>
    </row>
    <row r="1029575" spans="54:54" ht="15.75" customHeight="1" x14ac:dyDescent="0.3">
      <c r="BB1029575" s="38"/>
    </row>
    <row r="1029576" spans="54:54" ht="15.75" customHeight="1" x14ac:dyDescent="0.3">
      <c r="BB1029576" s="38"/>
    </row>
    <row r="1029577" spans="54:54" ht="15.75" customHeight="1" x14ac:dyDescent="0.3">
      <c r="BB1029577" s="38"/>
    </row>
    <row r="1029578" spans="54:54" ht="15.75" customHeight="1" x14ac:dyDescent="0.3">
      <c r="BB1029578" s="38"/>
    </row>
    <row r="1029579" spans="54:54" ht="15.75" customHeight="1" x14ac:dyDescent="0.3">
      <c r="BB1029579" s="38"/>
    </row>
    <row r="1029580" spans="54:54" ht="15.75" customHeight="1" x14ac:dyDescent="0.3">
      <c r="BB1029580" s="38"/>
    </row>
    <row r="1029581" spans="54:54" ht="15.75" customHeight="1" x14ac:dyDescent="0.3">
      <c r="BB1029581" s="38"/>
    </row>
    <row r="1029582" spans="54:54" ht="15.75" customHeight="1" x14ac:dyDescent="0.3">
      <c r="BB1029582" s="38"/>
    </row>
    <row r="1029583" spans="54:54" ht="15.75" customHeight="1" x14ac:dyDescent="0.3">
      <c r="BB1029583" s="38"/>
    </row>
    <row r="1029584" spans="54:54" ht="15.75" customHeight="1" x14ac:dyDescent="0.3">
      <c r="BB1029584" s="38"/>
    </row>
    <row r="1029585" spans="54:54" ht="15.75" customHeight="1" x14ac:dyDescent="0.3">
      <c r="BB1029585" s="38"/>
    </row>
    <row r="1029586" spans="54:54" ht="15.75" customHeight="1" x14ac:dyDescent="0.3">
      <c r="BB1029586" s="38"/>
    </row>
    <row r="1029587" spans="54:54" ht="15.75" customHeight="1" x14ac:dyDescent="0.3">
      <c r="BB1029587" s="38"/>
    </row>
    <row r="1029588" spans="54:54" ht="15.75" customHeight="1" x14ac:dyDescent="0.3">
      <c r="BB1029588" s="38"/>
    </row>
    <row r="1029589" spans="54:54" ht="15.75" customHeight="1" x14ac:dyDescent="0.3">
      <c r="BB1029589" s="38"/>
    </row>
    <row r="1029590" spans="54:54" ht="15.75" customHeight="1" x14ac:dyDescent="0.3">
      <c r="BB1029590" s="38"/>
    </row>
    <row r="1029591" spans="54:54" ht="15.75" customHeight="1" x14ac:dyDescent="0.3">
      <c r="BB1029591" s="38"/>
    </row>
    <row r="1029592" spans="54:54" ht="15.75" customHeight="1" x14ac:dyDescent="0.3">
      <c r="BB1029592" s="38"/>
    </row>
    <row r="1029593" spans="54:54" ht="15.75" customHeight="1" x14ac:dyDescent="0.3">
      <c r="BB1029593" s="38"/>
    </row>
    <row r="1029594" spans="54:54" ht="15.75" customHeight="1" x14ac:dyDescent="0.3">
      <c r="BB1029594" s="38"/>
    </row>
    <row r="1029595" spans="54:54" ht="15.75" customHeight="1" x14ac:dyDescent="0.3">
      <c r="BB1029595" s="38"/>
    </row>
    <row r="1029596" spans="54:54" ht="15.75" customHeight="1" x14ac:dyDescent="0.3">
      <c r="BB1029596" s="38"/>
    </row>
    <row r="1029597" spans="54:54" ht="15.75" customHeight="1" x14ac:dyDescent="0.3">
      <c r="BB1029597" s="38"/>
    </row>
    <row r="1029598" spans="54:54" ht="15.75" customHeight="1" x14ac:dyDescent="0.3">
      <c r="BB1029598" s="38"/>
    </row>
    <row r="1029599" spans="54:54" ht="15.75" customHeight="1" x14ac:dyDescent="0.3">
      <c r="BB1029599" s="38"/>
    </row>
    <row r="1029600" spans="54:54" ht="15.75" customHeight="1" x14ac:dyDescent="0.3">
      <c r="BB1029600" s="38"/>
    </row>
    <row r="1029601" spans="54:54" ht="15.75" customHeight="1" x14ac:dyDescent="0.3">
      <c r="BB1029601" s="38"/>
    </row>
    <row r="1029602" spans="54:54" ht="15.75" customHeight="1" x14ac:dyDescent="0.3">
      <c r="BB1029602" s="38"/>
    </row>
    <row r="1029603" spans="54:54" ht="15.75" customHeight="1" x14ac:dyDescent="0.3">
      <c r="BB1029603" s="38"/>
    </row>
    <row r="1029604" spans="54:54" ht="15.75" customHeight="1" x14ac:dyDescent="0.3">
      <c r="BB1029604" s="38"/>
    </row>
    <row r="1029605" spans="54:54" ht="15.75" customHeight="1" x14ac:dyDescent="0.3">
      <c r="BB1029605" s="38"/>
    </row>
    <row r="1029606" spans="54:54" ht="15.75" customHeight="1" x14ac:dyDescent="0.3">
      <c r="BB1029606" s="38"/>
    </row>
    <row r="1029607" spans="54:54" ht="15.75" customHeight="1" x14ac:dyDescent="0.3">
      <c r="BB1029607" s="38"/>
    </row>
    <row r="1029608" spans="54:54" ht="15.75" customHeight="1" x14ac:dyDescent="0.3">
      <c r="BB1029608" s="38"/>
    </row>
    <row r="1029609" spans="54:54" ht="15.75" customHeight="1" x14ac:dyDescent="0.3">
      <c r="BB1029609" s="38"/>
    </row>
    <row r="1029610" spans="54:54" ht="15.75" customHeight="1" x14ac:dyDescent="0.3">
      <c r="BB1029610" s="38"/>
    </row>
    <row r="1029611" spans="54:54" ht="15.75" customHeight="1" x14ac:dyDescent="0.3">
      <c r="BB1029611" s="38"/>
    </row>
    <row r="1029612" spans="54:54" ht="15.75" customHeight="1" x14ac:dyDescent="0.3">
      <c r="BB1029612" s="38"/>
    </row>
    <row r="1029613" spans="54:54" ht="15.75" customHeight="1" x14ac:dyDescent="0.3">
      <c r="BB1029613" s="38"/>
    </row>
    <row r="1029614" spans="54:54" ht="15.75" customHeight="1" x14ac:dyDescent="0.3">
      <c r="BB1029614" s="38"/>
    </row>
    <row r="1029615" spans="54:54" ht="15.75" customHeight="1" x14ac:dyDescent="0.3">
      <c r="BB1029615" s="38"/>
    </row>
    <row r="1029616" spans="54:54" ht="15.75" customHeight="1" x14ac:dyDescent="0.3">
      <c r="BB1029616" s="38"/>
    </row>
    <row r="1029617" spans="54:54" ht="15.75" customHeight="1" x14ac:dyDescent="0.3">
      <c r="BB1029617" s="38"/>
    </row>
    <row r="1029618" spans="54:54" ht="15.75" customHeight="1" x14ac:dyDescent="0.3">
      <c r="BB1029618" s="38"/>
    </row>
    <row r="1029619" spans="54:54" ht="15.75" customHeight="1" x14ac:dyDescent="0.3">
      <c r="BB1029619" s="38"/>
    </row>
    <row r="1029620" spans="54:54" ht="15.75" customHeight="1" x14ac:dyDescent="0.3">
      <c r="BB1029620" s="38"/>
    </row>
    <row r="1029621" spans="54:54" ht="15.75" customHeight="1" x14ac:dyDescent="0.3">
      <c r="BB1029621" s="38"/>
    </row>
    <row r="1029622" spans="54:54" ht="15.75" customHeight="1" x14ac:dyDescent="0.3">
      <c r="BB1029622" s="38"/>
    </row>
    <row r="1029623" spans="54:54" ht="15.75" customHeight="1" x14ac:dyDescent="0.3">
      <c r="BB1029623" s="38"/>
    </row>
    <row r="1029624" spans="54:54" ht="15.75" customHeight="1" x14ac:dyDescent="0.3">
      <c r="BB1029624" s="38"/>
    </row>
    <row r="1029625" spans="54:54" ht="15.75" customHeight="1" x14ac:dyDescent="0.3">
      <c r="BB1029625" s="38"/>
    </row>
    <row r="1029626" spans="54:54" ht="15.75" customHeight="1" x14ac:dyDescent="0.3">
      <c r="BB1029626" s="38"/>
    </row>
    <row r="1029627" spans="54:54" ht="15.75" customHeight="1" x14ac:dyDescent="0.3">
      <c r="BB1029627" s="38"/>
    </row>
    <row r="1029628" spans="54:54" ht="15.75" customHeight="1" x14ac:dyDescent="0.3">
      <c r="BB1029628" s="38"/>
    </row>
    <row r="1029629" spans="54:54" ht="15.75" customHeight="1" x14ac:dyDescent="0.3">
      <c r="BB1029629" s="38"/>
    </row>
    <row r="1029630" spans="54:54" ht="15.75" customHeight="1" x14ac:dyDescent="0.3">
      <c r="BB1029630" s="38"/>
    </row>
    <row r="1029631" spans="54:54" ht="15.75" customHeight="1" x14ac:dyDescent="0.3">
      <c r="BB1029631" s="38"/>
    </row>
    <row r="1029632" spans="54:54" ht="15.75" customHeight="1" x14ac:dyDescent="0.3">
      <c r="BB1029632" s="38"/>
    </row>
    <row r="1029633" spans="54:54" ht="15.75" customHeight="1" x14ac:dyDescent="0.3">
      <c r="BB1029633" s="38"/>
    </row>
    <row r="1029634" spans="54:54" ht="15.75" customHeight="1" x14ac:dyDescent="0.3">
      <c r="BB1029634" s="38"/>
    </row>
    <row r="1029635" spans="54:54" ht="15.75" customHeight="1" x14ac:dyDescent="0.3">
      <c r="BB1029635" s="38"/>
    </row>
    <row r="1029636" spans="54:54" ht="15.75" customHeight="1" x14ac:dyDescent="0.3">
      <c r="BB1029636" s="38"/>
    </row>
    <row r="1029637" spans="54:54" ht="15.75" customHeight="1" x14ac:dyDescent="0.3">
      <c r="BB1029637" s="38"/>
    </row>
    <row r="1029638" spans="54:54" ht="15.75" customHeight="1" x14ac:dyDescent="0.3">
      <c r="BB1029638" s="38"/>
    </row>
    <row r="1029639" spans="54:54" ht="15.75" customHeight="1" x14ac:dyDescent="0.3">
      <c r="BB1029639" s="38"/>
    </row>
    <row r="1029640" spans="54:54" ht="15.75" customHeight="1" x14ac:dyDescent="0.3">
      <c r="BB1029640" s="38"/>
    </row>
    <row r="1029641" spans="54:54" ht="15.75" customHeight="1" x14ac:dyDescent="0.3">
      <c r="BB1029641" s="38"/>
    </row>
    <row r="1029642" spans="54:54" ht="15.75" customHeight="1" x14ac:dyDescent="0.3">
      <c r="BB1029642" s="38"/>
    </row>
    <row r="1029643" spans="54:54" ht="15.75" customHeight="1" x14ac:dyDescent="0.3">
      <c r="BB1029643" s="38"/>
    </row>
    <row r="1029644" spans="54:54" ht="15.75" customHeight="1" x14ac:dyDescent="0.3">
      <c r="BB1029644" s="38"/>
    </row>
    <row r="1029645" spans="54:54" ht="15.75" customHeight="1" x14ac:dyDescent="0.3">
      <c r="BB1029645" s="38"/>
    </row>
    <row r="1029646" spans="54:54" ht="15.75" customHeight="1" x14ac:dyDescent="0.3">
      <c r="BB1029646" s="38"/>
    </row>
    <row r="1029647" spans="54:54" ht="15.75" customHeight="1" x14ac:dyDescent="0.3">
      <c r="BB1029647" s="38"/>
    </row>
    <row r="1029648" spans="54:54" ht="15.75" customHeight="1" x14ac:dyDescent="0.3">
      <c r="BB1029648" s="38"/>
    </row>
    <row r="1029649" spans="54:54" ht="15.75" customHeight="1" x14ac:dyDescent="0.3">
      <c r="BB1029649" s="38"/>
    </row>
    <row r="1029650" spans="54:54" ht="15.75" customHeight="1" x14ac:dyDescent="0.3">
      <c r="BB1029650" s="38"/>
    </row>
    <row r="1029651" spans="54:54" ht="15.75" customHeight="1" x14ac:dyDescent="0.3">
      <c r="BB1029651" s="38"/>
    </row>
    <row r="1029652" spans="54:54" ht="15.75" customHeight="1" x14ac:dyDescent="0.3">
      <c r="BB1029652" s="38"/>
    </row>
    <row r="1029653" spans="54:54" ht="15.75" customHeight="1" x14ac:dyDescent="0.3">
      <c r="BB1029653" s="38"/>
    </row>
    <row r="1029654" spans="54:54" ht="15.75" customHeight="1" x14ac:dyDescent="0.3">
      <c r="BB1029654" s="38"/>
    </row>
    <row r="1029655" spans="54:54" ht="15.75" customHeight="1" x14ac:dyDescent="0.3">
      <c r="BB1029655" s="38"/>
    </row>
    <row r="1029656" spans="54:54" ht="15.75" customHeight="1" x14ac:dyDescent="0.3">
      <c r="BB1029656" s="38"/>
    </row>
    <row r="1029657" spans="54:54" ht="15.75" customHeight="1" x14ac:dyDescent="0.3">
      <c r="BB1029657" s="38"/>
    </row>
    <row r="1029658" spans="54:54" ht="15.75" customHeight="1" x14ac:dyDescent="0.3">
      <c r="BB1029658" s="38"/>
    </row>
    <row r="1029659" spans="54:54" ht="15.75" customHeight="1" x14ac:dyDescent="0.3">
      <c r="BB1029659" s="38"/>
    </row>
    <row r="1029660" spans="54:54" ht="15.75" customHeight="1" x14ac:dyDescent="0.3">
      <c r="BB1029660" s="38"/>
    </row>
    <row r="1029661" spans="54:54" ht="15.75" customHeight="1" x14ac:dyDescent="0.3">
      <c r="BB1029661" s="38"/>
    </row>
    <row r="1029662" spans="54:54" ht="15.75" customHeight="1" x14ac:dyDescent="0.3">
      <c r="BB1029662" s="38"/>
    </row>
    <row r="1029663" spans="54:54" ht="15.75" customHeight="1" x14ac:dyDescent="0.3">
      <c r="BB1029663" s="38"/>
    </row>
    <row r="1029664" spans="54:54" ht="15.75" customHeight="1" x14ac:dyDescent="0.3">
      <c r="BB1029664" s="38"/>
    </row>
    <row r="1029665" spans="54:54" ht="15.75" customHeight="1" x14ac:dyDescent="0.3">
      <c r="BB1029665" s="38"/>
    </row>
    <row r="1029666" spans="54:54" ht="15.75" customHeight="1" x14ac:dyDescent="0.3">
      <c r="BB1029666" s="38"/>
    </row>
    <row r="1029667" spans="54:54" ht="15.75" customHeight="1" x14ac:dyDescent="0.3">
      <c r="BB1029667" s="38"/>
    </row>
    <row r="1029668" spans="54:54" ht="15.75" customHeight="1" x14ac:dyDescent="0.3">
      <c r="BB1029668" s="38"/>
    </row>
    <row r="1029669" spans="54:54" ht="15.75" customHeight="1" x14ac:dyDescent="0.3">
      <c r="BB1029669" s="38"/>
    </row>
    <row r="1029670" spans="54:54" ht="15.75" customHeight="1" x14ac:dyDescent="0.3">
      <c r="BB1029670" s="38"/>
    </row>
    <row r="1029671" spans="54:54" ht="15.75" customHeight="1" x14ac:dyDescent="0.3">
      <c r="BB1029671" s="38"/>
    </row>
    <row r="1029672" spans="54:54" ht="15.75" customHeight="1" x14ac:dyDescent="0.3">
      <c r="BB1029672" s="38"/>
    </row>
    <row r="1029673" spans="54:54" ht="15.75" customHeight="1" x14ac:dyDescent="0.3">
      <c r="BB1029673" s="38"/>
    </row>
    <row r="1029674" spans="54:54" ht="15.75" customHeight="1" x14ac:dyDescent="0.3">
      <c r="BB1029674" s="38"/>
    </row>
    <row r="1029675" spans="54:54" ht="15.75" customHeight="1" x14ac:dyDescent="0.3">
      <c r="BB1029675" s="38"/>
    </row>
    <row r="1029676" spans="54:54" ht="15.75" customHeight="1" x14ac:dyDescent="0.3">
      <c r="BB1029676" s="38"/>
    </row>
    <row r="1029677" spans="54:54" ht="15.75" customHeight="1" x14ac:dyDescent="0.3">
      <c r="BB1029677" s="38"/>
    </row>
    <row r="1029678" spans="54:54" ht="15.75" customHeight="1" x14ac:dyDescent="0.3">
      <c r="BB1029678" s="38"/>
    </row>
    <row r="1029679" spans="54:54" ht="15.75" customHeight="1" x14ac:dyDescent="0.3">
      <c r="BB1029679" s="38"/>
    </row>
    <row r="1029680" spans="54:54" ht="15.75" customHeight="1" x14ac:dyDescent="0.3">
      <c r="BB1029680" s="38"/>
    </row>
    <row r="1029681" spans="54:54" ht="15.75" customHeight="1" x14ac:dyDescent="0.3">
      <c r="BB1029681" s="38"/>
    </row>
    <row r="1029682" spans="54:54" ht="15.75" customHeight="1" x14ac:dyDescent="0.3">
      <c r="BB1029682" s="38"/>
    </row>
    <row r="1029683" spans="54:54" ht="15.75" customHeight="1" x14ac:dyDescent="0.3">
      <c r="BB1029683" s="38"/>
    </row>
    <row r="1029684" spans="54:54" ht="15.75" customHeight="1" x14ac:dyDescent="0.3">
      <c r="BB1029684" s="38"/>
    </row>
    <row r="1029685" spans="54:54" ht="15.75" customHeight="1" x14ac:dyDescent="0.3">
      <c r="BB1029685" s="38"/>
    </row>
    <row r="1029686" spans="54:54" ht="15.75" customHeight="1" x14ac:dyDescent="0.3">
      <c r="BB1029686" s="38"/>
    </row>
    <row r="1029687" spans="54:54" ht="15.75" customHeight="1" x14ac:dyDescent="0.3">
      <c r="BB1029687" s="38"/>
    </row>
    <row r="1029688" spans="54:54" ht="15.75" customHeight="1" x14ac:dyDescent="0.3">
      <c r="BB1029688" s="38"/>
    </row>
    <row r="1029689" spans="54:54" ht="15.75" customHeight="1" x14ac:dyDescent="0.3">
      <c r="BB1029689" s="38"/>
    </row>
    <row r="1029690" spans="54:54" ht="15.75" customHeight="1" x14ac:dyDescent="0.3">
      <c r="BB1029690" s="38"/>
    </row>
    <row r="1029691" spans="54:54" ht="15.75" customHeight="1" x14ac:dyDescent="0.3">
      <c r="BB1029691" s="38"/>
    </row>
    <row r="1029692" spans="54:54" ht="15.75" customHeight="1" x14ac:dyDescent="0.3">
      <c r="BB1029692" s="38"/>
    </row>
    <row r="1029693" spans="54:54" ht="15.75" customHeight="1" x14ac:dyDescent="0.3">
      <c r="BB1029693" s="38"/>
    </row>
    <row r="1029694" spans="54:54" ht="15.75" customHeight="1" x14ac:dyDescent="0.3">
      <c r="BB1029694" s="38"/>
    </row>
    <row r="1029695" spans="54:54" ht="15.75" customHeight="1" x14ac:dyDescent="0.3">
      <c r="BB1029695" s="38"/>
    </row>
    <row r="1029696" spans="54:54" ht="15.75" customHeight="1" x14ac:dyDescent="0.3">
      <c r="BB1029696" s="38"/>
    </row>
    <row r="1029697" spans="54:54" ht="15.75" customHeight="1" x14ac:dyDescent="0.3">
      <c r="BB1029697" s="38"/>
    </row>
    <row r="1029698" spans="54:54" ht="15.75" customHeight="1" x14ac:dyDescent="0.3">
      <c r="BB1029698" s="38"/>
    </row>
    <row r="1029699" spans="54:54" ht="15.75" customHeight="1" x14ac:dyDescent="0.3">
      <c r="BB1029699" s="38"/>
    </row>
    <row r="1029700" spans="54:54" ht="15.75" customHeight="1" x14ac:dyDescent="0.3">
      <c r="BB1029700" s="38"/>
    </row>
    <row r="1029701" spans="54:54" ht="15.75" customHeight="1" x14ac:dyDescent="0.3">
      <c r="BB1029701" s="38"/>
    </row>
    <row r="1029702" spans="54:54" ht="15.75" customHeight="1" x14ac:dyDescent="0.3">
      <c r="BB1029702" s="38"/>
    </row>
    <row r="1029703" spans="54:54" ht="15.75" customHeight="1" x14ac:dyDescent="0.3">
      <c r="BB1029703" s="38"/>
    </row>
    <row r="1029704" spans="54:54" ht="15.75" customHeight="1" x14ac:dyDescent="0.3">
      <c r="BB1029704" s="38"/>
    </row>
    <row r="1029705" spans="54:54" ht="15.75" customHeight="1" x14ac:dyDescent="0.3">
      <c r="BB1029705" s="38"/>
    </row>
    <row r="1029706" spans="54:54" ht="15.75" customHeight="1" x14ac:dyDescent="0.3">
      <c r="BB1029706" s="38"/>
    </row>
    <row r="1029707" spans="54:54" ht="15.75" customHeight="1" x14ac:dyDescent="0.3">
      <c r="BB1029707" s="38"/>
    </row>
    <row r="1029708" spans="54:54" ht="15.75" customHeight="1" x14ac:dyDescent="0.3">
      <c r="BB1029708" s="38"/>
    </row>
    <row r="1029709" spans="54:54" ht="15.75" customHeight="1" x14ac:dyDescent="0.3">
      <c r="BB1029709" s="38"/>
    </row>
    <row r="1029710" spans="54:54" ht="15.75" customHeight="1" x14ac:dyDescent="0.3">
      <c r="BB1029710" s="38"/>
    </row>
    <row r="1029711" spans="54:54" ht="15.75" customHeight="1" x14ac:dyDescent="0.3">
      <c r="BB1029711" s="38"/>
    </row>
    <row r="1029712" spans="54:54" ht="15.75" customHeight="1" x14ac:dyDescent="0.3">
      <c r="BB1029712" s="38"/>
    </row>
    <row r="1029713" spans="54:54" ht="15.75" customHeight="1" x14ac:dyDescent="0.3">
      <c r="BB1029713" s="38"/>
    </row>
    <row r="1029714" spans="54:54" ht="15.75" customHeight="1" x14ac:dyDescent="0.3">
      <c r="BB1029714" s="38"/>
    </row>
    <row r="1029715" spans="54:54" ht="15.75" customHeight="1" x14ac:dyDescent="0.3">
      <c r="BB1029715" s="38"/>
    </row>
    <row r="1029716" spans="54:54" ht="15.75" customHeight="1" x14ac:dyDescent="0.3">
      <c r="BB1029716" s="38"/>
    </row>
    <row r="1029717" spans="54:54" ht="15.75" customHeight="1" x14ac:dyDescent="0.3">
      <c r="BB1029717" s="38"/>
    </row>
    <row r="1029718" spans="54:54" ht="15.75" customHeight="1" x14ac:dyDescent="0.3">
      <c r="BB1029718" s="38"/>
    </row>
    <row r="1029719" spans="54:54" ht="15.75" customHeight="1" x14ac:dyDescent="0.3">
      <c r="BB1029719" s="38"/>
    </row>
    <row r="1029720" spans="54:54" ht="15.75" customHeight="1" x14ac:dyDescent="0.3">
      <c r="BB1029720" s="38"/>
    </row>
    <row r="1029721" spans="54:54" ht="15.75" customHeight="1" x14ac:dyDescent="0.3">
      <c r="BB1029721" s="38"/>
    </row>
    <row r="1029722" spans="54:54" ht="15.75" customHeight="1" x14ac:dyDescent="0.3">
      <c r="BB1029722" s="38"/>
    </row>
    <row r="1029723" spans="54:54" ht="15.75" customHeight="1" x14ac:dyDescent="0.3">
      <c r="BB1029723" s="38"/>
    </row>
    <row r="1029724" spans="54:54" ht="15.75" customHeight="1" x14ac:dyDescent="0.3">
      <c r="BB1029724" s="38"/>
    </row>
    <row r="1029725" spans="54:54" ht="15.75" customHeight="1" x14ac:dyDescent="0.3">
      <c r="BB1029725" s="38"/>
    </row>
    <row r="1029726" spans="54:54" ht="15.75" customHeight="1" x14ac:dyDescent="0.3">
      <c r="BB1029726" s="38"/>
    </row>
    <row r="1029727" spans="54:54" ht="15.75" customHeight="1" x14ac:dyDescent="0.3">
      <c r="BB1029727" s="38"/>
    </row>
    <row r="1029728" spans="54:54" ht="15.75" customHeight="1" x14ac:dyDescent="0.3">
      <c r="BB1029728" s="38"/>
    </row>
    <row r="1029729" spans="54:54" ht="15.75" customHeight="1" x14ac:dyDescent="0.3">
      <c r="BB1029729" s="38"/>
    </row>
    <row r="1029730" spans="54:54" ht="15.75" customHeight="1" x14ac:dyDescent="0.3">
      <c r="BB1029730" s="38"/>
    </row>
    <row r="1029731" spans="54:54" ht="15.75" customHeight="1" x14ac:dyDescent="0.3">
      <c r="BB1029731" s="38"/>
    </row>
    <row r="1029732" spans="54:54" ht="15.75" customHeight="1" x14ac:dyDescent="0.3">
      <c r="BB1029732" s="38"/>
    </row>
    <row r="1029733" spans="54:54" ht="15.75" customHeight="1" x14ac:dyDescent="0.3">
      <c r="BB1029733" s="38"/>
    </row>
    <row r="1029734" spans="54:54" ht="15.75" customHeight="1" x14ac:dyDescent="0.3">
      <c r="BB1029734" s="38"/>
    </row>
    <row r="1029735" spans="54:54" ht="15.75" customHeight="1" x14ac:dyDescent="0.3">
      <c r="BB1029735" s="38"/>
    </row>
    <row r="1029736" spans="54:54" ht="15.75" customHeight="1" x14ac:dyDescent="0.3">
      <c r="BB1029736" s="38"/>
    </row>
    <row r="1029737" spans="54:54" ht="15.75" customHeight="1" x14ac:dyDescent="0.3">
      <c r="BB1029737" s="38"/>
    </row>
    <row r="1029738" spans="54:54" ht="15.75" customHeight="1" x14ac:dyDescent="0.3">
      <c r="BB1029738" s="38"/>
    </row>
    <row r="1029739" spans="54:54" ht="15.75" customHeight="1" x14ac:dyDescent="0.3">
      <c r="BB1029739" s="38"/>
    </row>
    <row r="1029740" spans="54:54" ht="15.75" customHeight="1" x14ac:dyDescent="0.3">
      <c r="BB1029740" s="38"/>
    </row>
    <row r="1029741" spans="54:54" ht="15.75" customHeight="1" x14ac:dyDescent="0.3">
      <c r="BB1029741" s="38"/>
    </row>
    <row r="1029742" spans="54:54" ht="15.75" customHeight="1" x14ac:dyDescent="0.3">
      <c r="BB1029742" s="38"/>
    </row>
    <row r="1029743" spans="54:54" ht="15.75" customHeight="1" x14ac:dyDescent="0.3">
      <c r="BB1029743" s="38"/>
    </row>
    <row r="1029744" spans="54:54" ht="15.75" customHeight="1" x14ac:dyDescent="0.3">
      <c r="BB1029744" s="38"/>
    </row>
    <row r="1029745" spans="54:54" ht="15.75" customHeight="1" x14ac:dyDescent="0.3">
      <c r="BB1029745" s="38"/>
    </row>
    <row r="1029746" spans="54:54" ht="15.75" customHeight="1" x14ac:dyDescent="0.3">
      <c r="BB1029746" s="38"/>
    </row>
    <row r="1029747" spans="54:54" ht="15.75" customHeight="1" x14ac:dyDescent="0.3">
      <c r="BB1029747" s="38"/>
    </row>
    <row r="1029748" spans="54:54" ht="15.75" customHeight="1" x14ac:dyDescent="0.3">
      <c r="BB1029748" s="38"/>
    </row>
    <row r="1029749" spans="54:54" ht="15.75" customHeight="1" x14ac:dyDescent="0.3">
      <c r="BB1029749" s="38"/>
    </row>
    <row r="1029750" spans="54:54" ht="15.75" customHeight="1" x14ac:dyDescent="0.3">
      <c r="BB1029750" s="38"/>
    </row>
    <row r="1029751" spans="54:54" ht="15.75" customHeight="1" x14ac:dyDescent="0.3">
      <c r="BB1029751" s="38"/>
    </row>
    <row r="1029752" spans="54:54" ht="15.75" customHeight="1" x14ac:dyDescent="0.3">
      <c r="BB1029752" s="38"/>
    </row>
    <row r="1029753" spans="54:54" ht="15.75" customHeight="1" x14ac:dyDescent="0.3">
      <c r="BB1029753" s="38"/>
    </row>
    <row r="1029754" spans="54:54" ht="15.75" customHeight="1" x14ac:dyDescent="0.3">
      <c r="BB1029754" s="38"/>
    </row>
    <row r="1029755" spans="54:54" ht="15.75" customHeight="1" x14ac:dyDescent="0.3">
      <c r="BB1029755" s="38"/>
    </row>
    <row r="1029756" spans="54:54" ht="15.75" customHeight="1" x14ac:dyDescent="0.3">
      <c r="BB1029756" s="38"/>
    </row>
    <row r="1029757" spans="54:54" ht="15.75" customHeight="1" x14ac:dyDescent="0.3">
      <c r="BB1029757" s="38"/>
    </row>
    <row r="1029758" spans="54:54" ht="15.75" customHeight="1" x14ac:dyDescent="0.3">
      <c r="BB1029758" s="38"/>
    </row>
    <row r="1029759" spans="54:54" ht="15.75" customHeight="1" x14ac:dyDescent="0.3">
      <c r="BB1029759" s="38"/>
    </row>
    <row r="1029760" spans="54:54" ht="15.75" customHeight="1" x14ac:dyDescent="0.3">
      <c r="BB1029760" s="38"/>
    </row>
    <row r="1029761" spans="54:54" ht="15.75" customHeight="1" x14ac:dyDescent="0.3">
      <c r="BB1029761" s="38"/>
    </row>
    <row r="1029762" spans="54:54" ht="15.75" customHeight="1" x14ac:dyDescent="0.3">
      <c r="BB1029762" s="38"/>
    </row>
    <row r="1029763" spans="54:54" ht="15.75" customHeight="1" x14ac:dyDescent="0.3">
      <c r="BB1029763" s="38"/>
    </row>
    <row r="1029764" spans="54:54" ht="15.75" customHeight="1" x14ac:dyDescent="0.3">
      <c r="BB1029764" s="38"/>
    </row>
    <row r="1029765" spans="54:54" ht="15.75" customHeight="1" x14ac:dyDescent="0.3">
      <c r="BB1029765" s="38"/>
    </row>
    <row r="1029766" spans="54:54" ht="15.75" customHeight="1" x14ac:dyDescent="0.3">
      <c r="BB1029766" s="38"/>
    </row>
    <row r="1029767" spans="54:54" ht="15.75" customHeight="1" x14ac:dyDescent="0.3">
      <c r="BB1029767" s="38"/>
    </row>
    <row r="1029768" spans="54:54" ht="15.75" customHeight="1" x14ac:dyDescent="0.3">
      <c r="BB1029768" s="38"/>
    </row>
    <row r="1029769" spans="54:54" ht="15.75" customHeight="1" x14ac:dyDescent="0.3">
      <c r="BB1029769" s="38"/>
    </row>
    <row r="1029770" spans="54:54" ht="15.75" customHeight="1" x14ac:dyDescent="0.3">
      <c r="BB1029770" s="38"/>
    </row>
    <row r="1029771" spans="54:54" ht="15.75" customHeight="1" x14ac:dyDescent="0.3">
      <c r="BB1029771" s="38"/>
    </row>
    <row r="1029772" spans="54:54" ht="15.75" customHeight="1" x14ac:dyDescent="0.3">
      <c r="BB1029772" s="38"/>
    </row>
    <row r="1029773" spans="54:54" ht="15.75" customHeight="1" x14ac:dyDescent="0.3">
      <c r="BB1029773" s="38"/>
    </row>
    <row r="1029774" spans="54:54" ht="15.75" customHeight="1" x14ac:dyDescent="0.3">
      <c r="BB1029774" s="38"/>
    </row>
    <row r="1029775" spans="54:54" ht="15.75" customHeight="1" x14ac:dyDescent="0.3">
      <c r="BB1029775" s="38"/>
    </row>
    <row r="1029776" spans="54:54" ht="15.75" customHeight="1" x14ac:dyDescent="0.3">
      <c r="BB1029776" s="38"/>
    </row>
    <row r="1029777" spans="54:54" ht="15.75" customHeight="1" x14ac:dyDescent="0.3">
      <c r="BB1029777" s="38"/>
    </row>
    <row r="1029778" spans="54:54" ht="15.75" customHeight="1" x14ac:dyDescent="0.3">
      <c r="BB1029778" s="38"/>
    </row>
    <row r="1029779" spans="54:54" ht="15.75" customHeight="1" x14ac:dyDescent="0.3">
      <c r="BB1029779" s="38"/>
    </row>
    <row r="1029780" spans="54:54" ht="15.75" customHeight="1" x14ac:dyDescent="0.3">
      <c r="BB1029780" s="38"/>
    </row>
    <row r="1029781" spans="54:54" ht="15.75" customHeight="1" x14ac:dyDescent="0.3">
      <c r="BB1029781" s="38"/>
    </row>
    <row r="1029782" spans="54:54" ht="15.75" customHeight="1" x14ac:dyDescent="0.3">
      <c r="BB1029782" s="38"/>
    </row>
    <row r="1029783" spans="54:54" ht="15.75" customHeight="1" x14ac:dyDescent="0.3">
      <c r="BB1029783" s="38"/>
    </row>
    <row r="1029784" spans="54:54" ht="15.75" customHeight="1" x14ac:dyDescent="0.3">
      <c r="BB1029784" s="38"/>
    </row>
    <row r="1029785" spans="54:54" ht="15.75" customHeight="1" x14ac:dyDescent="0.3">
      <c r="BB1029785" s="38"/>
    </row>
    <row r="1029786" spans="54:54" ht="15.75" customHeight="1" x14ac:dyDescent="0.3">
      <c r="BB1029786" s="38"/>
    </row>
    <row r="1029787" spans="54:54" ht="15.75" customHeight="1" x14ac:dyDescent="0.3">
      <c r="BB1029787" s="38"/>
    </row>
    <row r="1029788" spans="54:54" ht="15.75" customHeight="1" x14ac:dyDescent="0.3">
      <c r="BB1029788" s="38"/>
    </row>
    <row r="1029789" spans="54:54" ht="15.75" customHeight="1" x14ac:dyDescent="0.3">
      <c r="BB1029789" s="38"/>
    </row>
    <row r="1029790" spans="54:54" ht="15.75" customHeight="1" x14ac:dyDescent="0.3">
      <c r="BB1029790" s="38"/>
    </row>
    <row r="1029791" spans="54:54" ht="15.75" customHeight="1" x14ac:dyDescent="0.3">
      <c r="BB1029791" s="38"/>
    </row>
    <row r="1029792" spans="54:54" ht="15.75" customHeight="1" x14ac:dyDescent="0.3">
      <c r="BB1029792" s="38"/>
    </row>
    <row r="1029793" spans="54:54" ht="15.75" customHeight="1" x14ac:dyDescent="0.3">
      <c r="BB1029793" s="38"/>
    </row>
    <row r="1029794" spans="54:54" ht="15.75" customHeight="1" x14ac:dyDescent="0.3">
      <c r="BB1029794" s="38"/>
    </row>
    <row r="1029795" spans="54:54" ht="15.75" customHeight="1" x14ac:dyDescent="0.3">
      <c r="BB1029795" s="38"/>
    </row>
    <row r="1029796" spans="54:54" ht="15.75" customHeight="1" x14ac:dyDescent="0.3">
      <c r="BB1029796" s="38"/>
    </row>
    <row r="1029797" spans="54:54" ht="15.75" customHeight="1" x14ac:dyDescent="0.3">
      <c r="BB1029797" s="38"/>
    </row>
    <row r="1029798" spans="54:54" ht="15.75" customHeight="1" x14ac:dyDescent="0.3">
      <c r="BB1029798" s="38"/>
    </row>
    <row r="1029799" spans="54:54" ht="15.75" customHeight="1" x14ac:dyDescent="0.3">
      <c r="BB1029799" s="38"/>
    </row>
    <row r="1029800" spans="54:54" ht="15.75" customHeight="1" x14ac:dyDescent="0.3">
      <c r="BB1029800" s="38"/>
    </row>
    <row r="1029801" spans="54:54" ht="15.75" customHeight="1" x14ac:dyDescent="0.3">
      <c r="BB1029801" s="38"/>
    </row>
    <row r="1029802" spans="54:54" ht="15.75" customHeight="1" x14ac:dyDescent="0.3">
      <c r="BB1029802" s="38"/>
    </row>
    <row r="1029803" spans="54:54" ht="15.75" customHeight="1" x14ac:dyDescent="0.3">
      <c r="BB1029803" s="38"/>
    </row>
    <row r="1029804" spans="54:54" ht="15.75" customHeight="1" x14ac:dyDescent="0.3">
      <c r="BB1029804" s="38"/>
    </row>
    <row r="1029805" spans="54:54" ht="15.75" customHeight="1" x14ac:dyDescent="0.3">
      <c r="BB1029805" s="38"/>
    </row>
    <row r="1029806" spans="54:54" ht="15.75" customHeight="1" x14ac:dyDescent="0.3">
      <c r="BB1029806" s="38"/>
    </row>
    <row r="1029807" spans="54:54" ht="15.75" customHeight="1" x14ac:dyDescent="0.3">
      <c r="BB1029807" s="38"/>
    </row>
    <row r="1029808" spans="54:54" ht="15.75" customHeight="1" x14ac:dyDescent="0.3">
      <c r="BB1029808" s="38"/>
    </row>
    <row r="1029809" spans="54:54" ht="15.75" customHeight="1" x14ac:dyDescent="0.3">
      <c r="BB1029809" s="38"/>
    </row>
    <row r="1029810" spans="54:54" ht="15.75" customHeight="1" x14ac:dyDescent="0.3">
      <c r="BB1029810" s="38"/>
    </row>
    <row r="1029811" spans="54:54" ht="15.75" customHeight="1" x14ac:dyDescent="0.3">
      <c r="BB1029811" s="38"/>
    </row>
    <row r="1029812" spans="54:54" ht="15.75" customHeight="1" x14ac:dyDescent="0.3">
      <c r="BB1029812" s="38"/>
    </row>
    <row r="1029813" spans="54:54" ht="15.75" customHeight="1" x14ac:dyDescent="0.3">
      <c r="BB1029813" s="38"/>
    </row>
    <row r="1029814" spans="54:54" ht="15.75" customHeight="1" x14ac:dyDescent="0.3">
      <c r="BB1029814" s="38"/>
    </row>
    <row r="1029815" spans="54:54" ht="15.75" customHeight="1" x14ac:dyDescent="0.3">
      <c r="BB1029815" s="38"/>
    </row>
    <row r="1029816" spans="54:54" ht="15.75" customHeight="1" x14ac:dyDescent="0.3">
      <c r="BB1029816" s="38"/>
    </row>
    <row r="1029817" spans="54:54" ht="15.75" customHeight="1" x14ac:dyDescent="0.3">
      <c r="BB1029817" s="38"/>
    </row>
    <row r="1029818" spans="54:54" ht="15.75" customHeight="1" x14ac:dyDescent="0.3">
      <c r="BB1029818" s="38"/>
    </row>
    <row r="1029819" spans="54:54" ht="15.75" customHeight="1" x14ac:dyDescent="0.3">
      <c r="BB1029819" s="38"/>
    </row>
    <row r="1029820" spans="54:54" ht="15.75" customHeight="1" x14ac:dyDescent="0.3">
      <c r="BB1029820" s="38"/>
    </row>
    <row r="1029821" spans="54:54" ht="15.75" customHeight="1" x14ac:dyDescent="0.3">
      <c r="BB1029821" s="38"/>
    </row>
    <row r="1029822" spans="54:54" ht="15.75" customHeight="1" x14ac:dyDescent="0.3">
      <c r="BB1029822" s="38"/>
    </row>
    <row r="1029823" spans="54:54" ht="15.75" customHeight="1" x14ac:dyDescent="0.3">
      <c r="BB1029823" s="38"/>
    </row>
    <row r="1029824" spans="54:54" ht="15.75" customHeight="1" x14ac:dyDescent="0.3">
      <c r="BB1029824" s="38"/>
    </row>
    <row r="1029825" spans="54:54" ht="15.75" customHeight="1" x14ac:dyDescent="0.3">
      <c r="BB1029825" s="38"/>
    </row>
    <row r="1029826" spans="54:54" ht="15.75" customHeight="1" x14ac:dyDescent="0.3">
      <c r="BB1029826" s="38"/>
    </row>
    <row r="1029827" spans="54:54" ht="15.75" customHeight="1" x14ac:dyDescent="0.3">
      <c r="BB1029827" s="38"/>
    </row>
    <row r="1029828" spans="54:54" ht="15.75" customHeight="1" x14ac:dyDescent="0.3">
      <c r="BB1029828" s="38"/>
    </row>
    <row r="1029829" spans="54:54" ht="15.75" customHeight="1" x14ac:dyDescent="0.3">
      <c r="BB1029829" s="38"/>
    </row>
    <row r="1029830" spans="54:54" ht="15.75" customHeight="1" x14ac:dyDescent="0.3">
      <c r="BB1029830" s="38"/>
    </row>
    <row r="1029831" spans="54:54" ht="15.75" customHeight="1" x14ac:dyDescent="0.3">
      <c r="BB1029831" s="38"/>
    </row>
    <row r="1029832" spans="54:54" ht="15.75" customHeight="1" x14ac:dyDescent="0.3">
      <c r="BB1029832" s="38"/>
    </row>
    <row r="1029833" spans="54:54" ht="15.75" customHeight="1" x14ac:dyDescent="0.3">
      <c r="BB1029833" s="38"/>
    </row>
    <row r="1029834" spans="54:54" ht="15.75" customHeight="1" x14ac:dyDescent="0.3">
      <c r="BB1029834" s="38"/>
    </row>
    <row r="1029835" spans="54:54" ht="15.75" customHeight="1" x14ac:dyDescent="0.3">
      <c r="BB1029835" s="38"/>
    </row>
    <row r="1029836" spans="54:54" ht="15.75" customHeight="1" x14ac:dyDescent="0.3">
      <c r="BB1029836" s="38"/>
    </row>
    <row r="1029837" spans="54:54" ht="15.75" customHeight="1" x14ac:dyDescent="0.3">
      <c r="BB1029837" s="38"/>
    </row>
    <row r="1029838" spans="54:54" ht="15.75" customHeight="1" x14ac:dyDescent="0.3">
      <c r="BB1029838" s="38"/>
    </row>
    <row r="1029839" spans="54:54" ht="15.75" customHeight="1" x14ac:dyDescent="0.3">
      <c r="BB1029839" s="38"/>
    </row>
    <row r="1029840" spans="54:54" ht="15.75" customHeight="1" x14ac:dyDescent="0.3">
      <c r="BB1029840" s="38"/>
    </row>
    <row r="1029841" spans="54:54" ht="15.75" customHeight="1" x14ac:dyDescent="0.3">
      <c r="BB1029841" s="38"/>
    </row>
    <row r="1029842" spans="54:54" ht="15.75" customHeight="1" x14ac:dyDescent="0.3">
      <c r="BB1029842" s="38"/>
    </row>
    <row r="1029843" spans="54:54" ht="15.75" customHeight="1" x14ac:dyDescent="0.3">
      <c r="BB1029843" s="38"/>
    </row>
    <row r="1029844" spans="54:54" ht="15.75" customHeight="1" x14ac:dyDescent="0.3">
      <c r="BB1029844" s="38"/>
    </row>
    <row r="1029845" spans="54:54" ht="15.75" customHeight="1" x14ac:dyDescent="0.3">
      <c r="BB1029845" s="38"/>
    </row>
    <row r="1029846" spans="54:54" ht="15.75" customHeight="1" x14ac:dyDescent="0.3">
      <c r="BB1029846" s="38"/>
    </row>
    <row r="1029847" spans="54:54" ht="15.75" customHeight="1" x14ac:dyDescent="0.3">
      <c r="BB1029847" s="38"/>
    </row>
    <row r="1029848" spans="54:54" ht="15.75" customHeight="1" x14ac:dyDescent="0.3">
      <c r="BB1029848" s="38"/>
    </row>
    <row r="1029849" spans="54:54" ht="15.75" customHeight="1" x14ac:dyDescent="0.3">
      <c r="BB1029849" s="38"/>
    </row>
    <row r="1029850" spans="54:54" ht="15.75" customHeight="1" x14ac:dyDescent="0.3">
      <c r="BB1029850" s="38"/>
    </row>
    <row r="1029851" spans="54:54" ht="15.75" customHeight="1" x14ac:dyDescent="0.3">
      <c r="BB1029851" s="38"/>
    </row>
    <row r="1029852" spans="54:54" ht="15.75" customHeight="1" x14ac:dyDescent="0.3">
      <c r="BB1029852" s="38"/>
    </row>
    <row r="1029853" spans="54:54" ht="15.75" customHeight="1" x14ac:dyDescent="0.3">
      <c r="BB1029853" s="38"/>
    </row>
    <row r="1029854" spans="54:54" ht="15.75" customHeight="1" x14ac:dyDescent="0.3">
      <c r="BB1029854" s="38"/>
    </row>
    <row r="1029855" spans="54:54" ht="15.75" customHeight="1" x14ac:dyDescent="0.3">
      <c r="BB1029855" s="38"/>
    </row>
    <row r="1029856" spans="54:54" ht="15.75" customHeight="1" x14ac:dyDescent="0.3">
      <c r="BB1029856" s="38"/>
    </row>
    <row r="1029857" spans="54:54" ht="15.75" customHeight="1" x14ac:dyDescent="0.3">
      <c r="BB1029857" s="38"/>
    </row>
    <row r="1029858" spans="54:54" ht="15.75" customHeight="1" x14ac:dyDescent="0.3">
      <c r="BB1029858" s="38"/>
    </row>
    <row r="1029859" spans="54:54" ht="15.75" customHeight="1" x14ac:dyDescent="0.3">
      <c r="BB1029859" s="38"/>
    </row>
    <row r="1029860" spans="54:54" ht="15.75" customHeight="1" x14ac:dyDescent="0.3">
      <c r="BB1029860" s="38"/>
    </row>
    <row r="1029861" spans="54:54" ht="15.75" customHeight="1" x14ac:dyDescent="0.3">
      <c r="BB1029861" s="38"/>
    </row>
    <row r="1029862" spans="54:54" ht="15.75" customHeight="1" x14ac:dyDescent="0.3">
      <c r="BB1029862" s="38"/>
    </row>
    <row r="1029863" spans="54:54" ht="15.75" customHeight="1" x14ac:dyDescent="0.3">
      <c r="BB1029863" s="38"/>
    </row>
    <row r="1029864" spans="54:54" ht="15.75" customHeight="1" x14ac:dyDescent="0.3">
      <c r="BB1029864" s="38"/>
    </row>
    <row r="1029865" spans="54:54" ht="15.75" customHeight="1" x14ac:dyDescent="0.3">
      <c r="BB1029865" s="38"/>
    </row>
    <row r="1029866" spans="54:54" ht="15.75" customHeight="1" x14ac:dyDescent="0.3">
      <c r="BB1029866" s="38"/>
    </row>
    <row r="1029867" spans="54:54" ht="15.75" customHeight="1" x14ac:dyDescent="0.3">
      <c r="BB1029867" s="38"/>
    </row>
    <row r="1029868" spans="54:54" ht="15.75" customHeight="1" x14ac:dyDescent="0.3">
      <c r="BB1029868" s="38"/>
    </row>
    <row r="1029869" spans="54:54" ht="15.75" customHeight="1" x14ac:dyDescent="0.3">
      <c r="BB1029869" s="38"/>
    </row>
    <row r="1029870" spans="54:54" ht="15.75" customHeight="1" x14ac:dyDescent="0.3">
      <c r="BB1029870" s="38"/>
    </row>
    <row r="1029871" spans="54:54" ht="15.75" customHeight="1" x14ac:dyDescent="0.3">
      <c r="BB1029871" s="38"/>
    </row>
    <row r="1029872" spans="54:54" ht="15.75" customHeight="1" x14ac:dyDescent="0.3">
      <c r="BB1029872" s="38"/>
    </row>
    <row r="1029873" spans="54:54" ht="15.75" customHeight="1" x14ac:dyDescent="0.3">
      <c r="BB1029873" s="38"/>
    </row>
    <row r="1029874" spans="54:54" ht="15.75" customHeight="1" x14ac:dyDescent="0.3">
      <c r="BB1029874" s="38"/>
    </row>
    <row r="1029875" spans="54:54" ht="15.75" customHeight="1" x14ac:dyDescent="0.3">
      <c r="BB1029875" s="38"/>
    </row>
    <row r="1029876" spans="54:54" ht="15.75" customHeight="1" x14ac:dyDescent="0.3">
      <c r="BB1029876" s="38"/>
    </row>
    <row r="1029877" spans="54:54" ht="15.75" customHeight="1" x14ac:dyDescent="0.3">
      <c r="BB1029877" s="38"/>
    </row>
    <row r="1029878" spans="54:54" ht="15.75" customHeight="1" x14ac:dyDescent="0.3">
      <c r="BB1029878" s="38"/>
    </row>
    <row r="1029879" spans="54:54" ht="15.75" customHeight="1" x14ac:dyDescent="0.3">
      <c r="BB1029879" s="38"/>
    </row>
    <row r="1029880" spans="54:54" ht="15.75" customHeight="1" x14ac:dyDescent="0.3">
      <c r="BB1029880" s="38"/>
    </row>
    <row r="1029881" spans="54:54" ht="15.75" customHeight="1" x14ac:dyDescent="0.3">
      <c r="BB1029881" s="38"/>
    </row>
    <row r="1029882" spans="54:54" ht="15.75" customHeight="1" x14ac:dyDescent="0.3">
      <c r="BB1029882" s="38"/>
    </row>
    <row r="1029883" spans="54:54" ht="15.75" customHeight="1" x14ac:dyDescent="0.3">
      <c r="BB1029883" s="38"/>
    </row>
    <row r="1029884" spans="54:54" ht="15.75" customHeight="1" x14ac:dyDescent="0.3">
      <c r="BB1029884" s="38"/>
    </row>
    <row r="1029885" spans="54:54" ht="15.75" customHeight="1" x14ac:dyDescent="0.3">
      <c r="BB1029885" s="38"/>
    </row>
    <row r="1029886" spans="54:54" ht="15.75" customHeight="1" x14ac:dyDescent="0.3">
      <c r="BB1029886" s="38"/>
    </row>
    <row r="1029887" spans="54:54" ht="15.75" customHeight="1" x14ac:dyDescent="0.3">
      <c r="BB1029887" s="38"/>
    </row>
    <row r="1029888" spans="54:54" ht="15.75" customHeight="1" x14ac:dyDescent="0.3">
      <c r="BB1029888" s="38"/>
    </row>
    <row r="1029889" spans="54:54" ht="15.75" customHeight="1" x14ac:dyDescent="0.3">
      <c r="BB1029889" s="38"/>
    </row>
    <row r="1029890" spans="54:54" ht="15.75" customHeight="1" x14ac:dyDescent="0.3">
      <c r="BB1029890" s="38"/>
    </row>
    <row r="1029891" spans="54:54" ht="15.75" customHeight="1" x14ac:dyDescent="0.3">
      <c r="BB1029891" s="38"/>
    </row>
    <row r="1029892" spans="54:54" ht="15.75" customHeight="1" x14ac:dyDescent="0.3">
      <c r="BB1029892" s="38"/>
    </row>
    <row r="1029893" spans="54:54" ht="15.75" customHeight="1" x14ac:dyDescent="0.3">
      <c r="BB1029893" s="38"/>
    </row>
    <row r="1029894" spans="54:54" ht="15.75" customHeight="1" x14ac:dyDescent="0.3">
      <c r="BB1029894" s="38"/>
    </row>
    <row r="1029895" spans="54:54" ht="15.75" customHeight="1" x14ac:dyDescent="0.3">
      <c r="BB1029895" s="38"/>
    </row>
    <row r="1029896" spans="54:54" ht="15.75" customHeight="1" x14ac:dyDescent="0.3">
      <c r="BB1029896" s="38"/>
    </row>
    <row r="1029897" spans="54:54" ht="15.75" customHeight="1" x14ac:dyDescent="0.3">
      <c r="BB1029897" s="38"/>
    </row>
    <row r="1029898" spans="54:54" ht="15.75" customHeight="1" x14ac:dyDescent="0.3">
      <c r="BB1029898" s="38"/>
    </row>
    <row r="1029899" spans="54:54" ht="15.75" customHeight="1" x14ac:dyDescent="0.3">
      <c r="BB1029899" s="38"/>
    </row>
    <row r="1029900" spans="54:54" ht="15.75" customHeight="1" x14ac:dyDescent="0.3">
      <c r="BB1029900" s="38"/>
    </row>
    <row r="1029901" spans="54:54" ht="15.75" customHeight="1" x14ac:dyDescent="0.3">
      <c r="BB1029901" s="38"/>
    </row>
    <row r="1029902" spans="54:54" ht="15.75" customHeight="1" x14ac:dyDescent="0.3">
      <c r="BB1029902" s="38"/>
    </row>
    <row r="1029903" spans="54:54" ht="15.75" customHeight="1" x14ac:dyDescent="0.3">
      <c r="BB1029903" s="38"/>
    </row>
    <row r="1029904" spans="54:54" ht="15.75" customHeight="1" x14ac:dyDescent="0.3">
      <c r="BB1029904" s="38"/>
    </row>
    <row r="1029905" spans="54:54" ht="15.75" customHeight="1" x14ac:dyDescent="0.3">
      <c r="BB1029905" s="38"/>
    </row>
    <row r="1029906" spans="54:54" ht="15.75" customHeight="1" x14ac:dyDescent="0.3">
      <c r="BB1029906" s="38"/>
    </row>
    <row r="1029907" spans="54:54" ht="15.75" customHeight="1" x14ac:dyDescent="0.3">
      <c r="BB1029907" s="38"/>
    </row>
    <row r="1029908" spans="54:54" ht="15.75" customHeight="1" x14ac:dyDescent="0.3">
      <c r="BB1029908" s="38"/>
    </row>
    <row r="1029909" spans="54:54" ht="15.75" customHeight="1" x14ac:dyDescent="0.3">
      <c r="BB1029909" s="38"/>
    </row>
    <row r="1029910" spans="54:54" ht="15.75" customHeight="1" x14ac:dyDescent="0.3">
      <c r="BB1029910" s="38"/>
    </row>
    <row r="1029911" spans="54:54" ht="15.75" customHeight="1" x14ac:dyDescent="0.3">
      <c r="BB1029911" s="38"/>
    </row>
    <row r="1029912" spans="54:54" ht="15.75" customHeight="1" x14ac:dyDescent="0.3">
      <c r="BB1029912" s="38"/>
    </row>
    <row r="1029913" spans="54:54" ht="15.75" customHeight="1" x14ac:dyDescent="0.3">
      <c r="BB1029913" s="38"/>
    </row>
    <row r="1029914" spans="54:54" ht="15.75" customHeight="1" x14ac:dyDescent="0.3">
      <c r="BB1029914" s="38"/>
    </row>
    <row r="1029915" spans="54:54" ht="15.75" customHeight="1" x14ac:dyDescent="0.3">
      <c r="BB1029915" s="38"/>
    </row>
    <row r="1029916" spans="54:54" ht="15.75" customHeight="1" x14ac:dyDescent="0.3">
      <c r="BB1029916" s="38"/>
    </row>
    <row r="1029917" spans="54:54" ht="15.75" customHeight="1" x14ac:dyDescent="0.3">
      <c r="BB1029917" s="38"/>
    </row>
    <row r="1029918" spans="54:54" ht="15.75" customHeight="1" x14ac:dyDescent="0.3">
      <c r="BB1029918" s="38"/>
    </row>
    <row r="1029919" spans="54:54" ht="15.75" customHeight="1" x14ac:dyDescent="0.3">
      <c r="BB1029919" s="38"/>
    </row>
    <row r="1029920" spans="54:54" ht="15.75" customHeight="1" x14ac:dyDescent="0.3">
      <c r="BB1029920" s="38"/>
    </row>
    <row r="1029921" spans="54:54" ht="15.75" customHeight="1" x14ac:dyDescent="0.3">
      <c r="BB1029921" s="38"/>
    </row>
    <row r="1029922" spans="54:54" ht="15.75" customHeight="1" x14ac:dyDescent="0.3">
      <c r="BB1029922" s="38"/>
    </row>
    <row r="1029923" spans="54:54" ht="15.75" customHeight="1" x14ac:dyDescent="0.3">
      <c r="BB1029923" s="38"/>
    </row>
    <row r="1029924" spans="54:54" ht="15.75" customHeight="1" x14ac:dyDescent="0.3">
      <c r="BB1029924" s="38"/>
    </row>
    <row r="1029925" spans="54:54" ht="15.75" customHeight="1" x14ac:dyDescent="0.3">
      <c r="BB1029925" s="38"/>
    </row>
    <row r="1029926" spans="54:54" ht="15.75" customHeight="1" x14ac:dyDescent="0.3">
      <c r="BB1029926" s="38"/>
    </row>
    <row r="1029927" spans="54:54" ht="15.75" customHeight="1" x14ac:dyDescent="0.3">
      <c r="BB1029927" s="38"/>
    </row>
    <row r="1029928" spans="54:54" ht="15.75" customHeight="1" x14ac:dyDescent="0.3">
      <c r="BB1029928" s="38"/>
    </row>
    <row r="1029929" spans="54:54" ht="15.75" customHeight="1" x14ac:dyDescent="0.3">
      <c r="BB1029929" s="38"/>
    </row>
    <row r="1029930" spans="54:54" ht="15.75" customHeight="1" x14ac:dyDescent="0.3">
      <c r="BB1029930" s="38"/>
    </row>
    <row r="1029931" spans="54:54" ht="15.75" customHeight="1" x14ac:dyDescent="0.3">
      <c r="BB1029931" s="38"/>
    </row>
    <row r="1029932" spans="54:54" ht="15.75" customHeight="1" x14ac:dyDescent="0.3">
      <c r="BB1029932" s="38"/>
    </row>
    <row r="1029933" spans="54:54" ht="15.75" customHeight="1" x14ac:dyDescent="0.3">
      <c r="BB1029933" s="38"/>
    </row>
    <row r="1029934" spans="54:54" ht="15.75" customHeight="1" x14ac:dyDescent="0.3">
      <c r="BB1029934" s="38"/>
    </row>
    <row r="1029935" spans="54:54" ht="15.75" customHeight="1" x14ac:dyDescent="0.3">
      <c r="BB1029935" s="38"/>
    </row>
    <row r="1029936" spans="54:54" ht="15.75" customHeight="1" x14ac:dyDescent="0.3">
      <c r="BB1029936" s="38"/>
    </row>
    <row r="1029937" spans="54:54" ht="15.75" customHeight="1" x14ac:dyDescent="0.3">
      <c r="BB1029937" s="38"/>
    </row>
    <row r="1029938" spans="54:54" ht="15.75" customHeight="1" x14ac:dyDescent="0.3">
      <c r="BB1029938" s="38"/>
    </row>
    <row r="1029939" spans="54:54" ht="15.75" customHeight="1" x14ac:dyDescent="0.3">
      <c r="BB1029939" s="38"/>
    </row>
    <row r="1029940" spans="54:54" ht="15.75" customHeight="1" x14ac:dyDescent="0.3">
      <c r="BB1029940" s="38"/>
    </row>
    <row r="1029941" spans="54:54" ht="15.75" customHeight="1" x14ac:dyDescent="0.3">
      <c r="BB1029941" s="38"/>
    </row>
    <row r="1029942" spans="54:54" ht="15.75" customHeight="1" x14ac:dyDescent="0.3">
      <c r="BB1029942" s="38"/>
    </row>
    <row r="1029943" spans="54:54" ht="15.75" customHeight="1" x14ac:dyDescent="0.3">
      <c r="BB1029943" s="38"/>
    </row>
    <row r="1029944" spans="54:54" ht="15.75" customHeight="1" x14ac:dyDescent="0.3">
      <c r="BB1029944" s="38"/>
    </row>
    <row r="1029945" spans="54:54" ht="15.75" customHeight="1" x14ac:dyDescent="0.3">
      <c r="BB1029945" s="38"/>
    </row>
    <row r="1029946" spans="54:54" ht="15.75" customHeight="1" x14ac:dyDescent="0.3">
      <c r="BB1029946" s="38"/>
    </row>
    <row r="1029947" spans="54:54" ht="15.75" customHeight="1" x14ac:dyDescent="0.3">
      <c r="BB1029947" s="38"/>
    </row>
    <row r="1029948" spans="54:54" ht="15.75" customHeight="1" x14ac:dyDescent="0.3">
      <c r="BB1029948" s="38"/>
    </row>
    <row r="1029949" spans="54:54" ht="15.75" customHeight="1" x14ac:dyDescent="0.3">
      <c r="BB1029949" s="38"/>
    </row>
    <row r="1029950" spans="54:54" ht="15.75" customHeight="1" x14ac:dyDescent="0.3">
      <c r="BB1029950" s="38"/>
    </row>
    <row r="1029951" spans="54:54" ht="15.75" customHeight="1" x14ac:dyDescent="0.3">
      <c r="BB1029951" s="38"/>
    </row>
    <row r="1029952" spans="54:54" ht="15.75" customHeight="1" x14ac:dyDescent="0.3">
      <c r="BB1029952" s="38"/>
    </row>
    <row r="1029953" spans="54:54" ht="15.75" customHeight="1" x14ac:dyDescent="0.3">
      <c r="BB1029953" s="38"/>
    </row>
    <row r="1029954" spans="54:54" ht="15.75" customHeight="1" x14ac:dyDescent="0.3">
      <c r="BB1029954" s="38"/>
    </row>
    <row r="1029955" spans="54:54" ht="15.75" customHeight="1" x14ac:dyDescent="0.3">
      <c r="BB1029955" s="38"/>
    </row>
    <row r="1029956" spans="54:54" ht="15.75" customHeight="1" x14ac:dyDescent="0.3">
      <c r="BB1029956" s="38"/>
    </row>
    <row r="1029957" spans="54:54" ht="15.75" customHeight="1" x14ac:dyDescent="0.3">
      <c r="BB1029957" s="38"/>
    </row>
    <row r="1029958" spans="54:54" ht="15.75" customHeight="1" x14ac:dyDescent="0.3">
      <c r="BB1029958" s="38"/>
    </row>
    <row r="1029959" spans="54:54" ht="15.75" customHeight="1" x14ac:dyDescent="0.3">
      <c r="BB1029959" s="38"/>
    </row>
    <row r="1029960" spans="54:54" ht="15.75" customHeight="1" x14ac:dyDescent="0.3">
      <c r="BB1029960" s="38"/>
    </row>
    <row r="1029961" spans="54:54" ht="15.75" customHeight="1" x14ac:dyDescent="0.3">
      <c r="BB1029961" s="38"/>
    </row>
    <row r="1029962" spans="54:54" ht="15.75" customHeight="1" x14ac:dyDescent="0.3">
      <c r="BB1029962" s="38"/>
    </row>
    <row r="1029963" spans="54:54" ht="15.75" customHeight="1" x14ac:dyDescent="0.3">
      <c r="BB1029963" s="38"/>
    </row>
    <row r="1029964" spans="54:54" ht="15.75" customHeight="1" x14ac:dyDescent="0.3">
      <c r="BB1029964" s="38"/>
    </row>
    <row r="1029965" spans="54:54" ht="15.75" customHeight="1" x14ac:dyDescent="0.3">
      <c r="BB1029965" s="38"/>
    </row>
    <row r="1029966" spans="54:54" ht="15.75" customHeight="1" x14ac:dyDescent="0.3">
      <c r="BB1029966" s="38"/>
    </row>
    <row r="1029967" spans="54:54" ht="15.75" customHeight="1" x14ac:dyDescent="0.3">
      <c r="BB1029967" s="38"/>
    </row>
    <row r="1029968" spans="54:54" ht="15.75" customHeight="1" x14ac:dyDescent="0.3">
      <c r="BB1029968" s="38"/>
    </row>
    <row r="1029969" spans="54:54" ht="15.75" customHeight="1" x14ac:dyDescent="0.3">
      <c r="BB1029969" s="38"/>
    </row>
    <row r="1029970" spans="54:54" ht="15.75" customHeight="1" x14ac:dyDescent="0.3">
      <c r="BB1029970" s="38"/>
    </row>
    <row r="1029971" spans="54:54" ht="15.75" customHeight="1" x14ac:dyDescent="0.3">
      <c r="BB1029971" s="38"/>
    </row>
    <row r="1029972" spans="54:54" ht="15.75" customHeight="1" x14ac:dyDescent="0.3">
      <c r="BB1029972" s="38"/>
    </row>
    <row r="1029973" spans="54:54" ht="15.75" customHeight="1" x14ac:dyDescent="0.3">
      <c r="BB1029973" s="38"/>
    </row>
    <row r="1029974" spans="54:54" ht="15.75" customHeight="1" x14ac:dyDescent="0.3">
      <c r="BB1029974" s="38"/>
    </row>
    <row r="1029975" spans="54:54" ht="15.75" customHeight="1" x14ac:dyDescent="0.3">
      <c r="BB1029975" s="38"/>
    </row>
    <row r="1029976" spans="54:54" ht="15.75" customHeight="1" x14ac:dyDescent="0.3">
      <c r="BB1029976" s="38"/>
    </row>
    <row r="1029977" spans="54:54" ht="15.75" customHeight="1" x14ac:dyDescent="0.3">
      <c r="BB1029977" s="38"/>
    </row>
    <row r="1029978" spans="54:54" ht="15.75" customHeight="1" x14ac:dyDescent="0.3">
      <c r="BB1029978" s="38"/>
    </row>
    <row r="1029979" spans="54:54" ht="15.75" customHeight="1" x14ac:dyDescent="0.3">
      <c r="BB1029979" s="38"/>
    </row>
    <row r="1029980" spans="54:54" ht="15.75" customHeight="1" x14ac:dyDescent="0.3">
      <c r="BB1029980" s="38"/>
    </row>
    <row r="1029981" spans="54:54" ht="15.75" customHeight="1" x14ac:dyDescent="0.3">
      <c r="BB1029981" s="38"/>
    </row>
    <row r="1029982" spans="54:54" ht="15.75" customHeight="1" x14ac:dyDescent="0.3">
      <c r="BB1029982" s="38"/>
    </row>
    <row r="1029983" spans="54:54" ht="15.75" customHeight="1" x14ac:dyDescent="0.3">
      <c r="BB1029983" s="38"/>
    </row>
    <row r="1029984" spans="54:54" ht="15.75" customHeight="1" x14ac:dyDescent="0.3">
      <c r="BB1029984" s="38"/>
    </row>
    <row r="1029985" spans="54:54" ht="15.75" customHeight="1" x14ac:dyDescent="0.3">
      <c r="BB1029985" s="38"/>
    </row>
    <row r="1029986" spans="54:54" ht="15.75" customHeight="1" x14ac:dyDescent="0.3">
      <c r="BB1029986" s="38"/>
    </row>
    <row r="1029987" spans="54:54" ht="15.75" customHeight="1" x14ac:dyDescent="0.3">
      <c r="BB1029987" s="38"/>
    </row>
    <row r="1029988" spans="54:54" ht="15.75" customHeight="1" x14ac:dyDescent="0.3">
      <c r="BB1029988" s="38"/>
    </row>
    <row r="1029989" spans="54:54" ht="15.75" customHeight="1" x14ac:dyDescent="0.3">
      <c r="BB1029989" s="38"/>
    </row>
    <row r="1029990" spans="54:54" ht="15.75" customHeight="1" x14ac:dyDescent="0.3">
      <c r="BB1029990" s="38"/>
    </row>
    <row r="1029991" spans="54:54" ht="15.75" customHeight="1" x14ac:dyDescent="0.3">
      <c r="BB1029991" s="38"/>
    </row>
    <row r="1029992" spans="54:54" ht="15.75" customHeight="1" x14ac:dyDescent="0.3">
      <c r="BB1029992" s="38"/>
    </row>
    <row r="1029993" spans="54:54" ht="15.75" customHeight="1" x14ac:dyDescent="0.3">
      <c r="BB1029993" s="38"/>
    </row>
    <row r="1029994" spans="54:54" ht="15.75" customHeight="1" x14ac:dyDescent="0.3">
      <c r="BB1029994" s="38"/>
    </row>
    <row r="1029995" spans="54:54" ht="15.75" customHeight="1" x14ac:dyDescent="0.3">
      <c r="BB1029995" s="38"/>
    </row>
    <row r="1029996" spans="54:54" ht="15.75" customHeight="1" x14ac:dyDescent="0.3">
      <c r="BB1029996" s="38"/>
    </row>
    <row r="1029997" spans="54:54" ht="15.75" customHeight="1" x14ac:dyDescent="0.3">
      <c r="BB1029997" s="38"/>
    </row>
    <row r="1029998" spans="54:54" ht="15.75" customHeight="1" x14ac:dyDescent="0.3">
      <c r="BB1029998" s="38"/>
    </row>
    <row r="1029999" spans="54:54" ht="15.75" customHeight="1" x14ac:dyDescent="0.3">
      <c r="BB1029999" s="38"/>
    </row>
    <row r="1030000" spans="54:54" ht="15.75" customHeight="1" x14ac:dyDescent="0.3">
      <c r="BB1030000" s="38"/>
    </row>
    <row r="1030001" spans="54:54" ht="15.75" customHeight="1" x14ac:dyDescent="0.3">
      <c r="BB1030001" s="38"/>
    </row>
    <row r="1030002" spans="54:54" ht="15.75" customHeight="1" x14ac:dyDescent="0.3">
      <c r="BB1030002" s="38"/>
    </row>
    <row r="1030003" spans="54:54" ht="15.75" customHeight="1" x14ac:dyDescent="0.3">
      <c r="BB1030003" s="38"/>
    </row>
    <row r="1030004" spans="54:54" ht="15.75" customHeight="1" x14ac:dyDescent="0.3">
      <c r="BB1030004" s="38"/>
    </row>
    <row r="1030005" spans="54:54" ht="15.75" customHeight="1" x14ac:dyDescent="0.3">
      <c r="BB1030005" s="38"/>
    </row>
    <row r="1030006" spans="54:54" ht="15.75" customHeight="1" x14ac:dyDescent="0.3">
      <c r="BB1030006" s="38"/>
    </row>
    <row r="1030007" spans="54:54" ht="15.75" customHeight="1" x14ac:dyDescent="0.3">
      <c r="BB1030007" s="38"/>
    </row>
    <row r="1030008" spans="54:54" ht="15.75" customHeight="1" x14ac:dyDescent="0.3">
      <c r="BB1030008" s="38"/>
    </row>
    <row r="1030009" spans="54:54" ht="15.75" customHeight="1" x14ac:dyDescent="0.3">
      <c r="BB1030009" s="38"/>
    </row>
    <row r="1030010" spans="54:54" ht="15.75" customHeight="1" x14ac:dyDescent="0.3">
      <c r="BB1030010" s="38"/>
    </row>
    <row r="1030011" spans="54:54" ht="15.75" customHeight="1" x14ac:dyDescent="0.3">
      <c r="BB1030011" s="38"/>
    </row>
    <row r="1030012" spans="54:54" ht="15.75" customHeight="1" x14ac:dyDescent="0.3">
      <c r="BB1030012" s="38"/>
    </row>
    <row r="1030013" spans="54:54" ht="15.75" customHeight="1" x14ac:dyDescent="0.3">
      <c r="BB1030013" s="38"/>
    </row>
    <row r="1030014" spans="54:54" ht="15.75" customHeight="1" x14ac:dyDescent="0.3">
      <c r="BB1030014" s="38"/>
    </row>
    <row r="1030015" spans="54:54" ht="15.75" customHeight="1" x14ac:dyDescent="0.3">
      <c r="BB1030015" s="38"/>
    </row>
    <row r="1030016" spans="54:54" ht="15.75" customHeight="1" x14ac:dyDescent="0.3">
      <c r="BB1030016" s="38"/>
    </row>
    <row r="1030017" spans="54:54" ht="15.75" customHeight="1" x14ac:dyDescent="0.3">
      <c r="BB1030017" s="38"/>
    </row>
    <row r="1030018" spans="54:54" ht="15.75" customHeight="1" x14ac:dyDescent="0.3">
      <c r="BB1030018" s="38"/>
    </row>
    <row r="1030019" spans="54:54" ht="15.75" customHeight="1" x14ac:dyDescent="0.3">
      <c r="BB1030019" s="38"/>
    </row>
    <row r="1030020" spans="54:54" ht="15.75" customHeight="1" x14ac:dyDescent="0.3">
      <c r="BB1030020" s="38"/>
    </row>
    <row r="1030021" spans="54:54" ht="15.75" customHeight="1" x14ac:dyDescent="0.3">
      <c r="BB1030021" s="38"/>
    </row>
    <row r="1030022" spans="54:54" ht="15.75" customHeight="1" x14ac:dyDescent="0.3">
      <c r="BB1030022" s="38"/>
    </row>
    <row r="1030023" spans="54:54" ht="15.75" customHeight="1" x14ac:dyDescent="0.3">
      <c r="BB1030023" s="38"/>
    </row>
    <row r="1030024" spans="54:54" ht="15.75" customHeight="1" x14ac:dyDescent="0.3">
      <c r="BB1030024" s="38"/>
    </row>
    <row r="1030025" spans="54:54" ht="15.75" customHeight="1" x14ac:dyDescent="0.3">
      <c r="BB1030025" s="38"/>
    </row>
    <row r="1030026" spans="54:54" ht="15.75" customHeight="1" x14ac:dyDescent="0.3">
      <c r="BB1030026" s="38"/>
    </row>
    <row r="1030027" spans="54:54" ht="15.75" customHeight="1" x14ac:dyDescent="0.3">
      <c r="BB1030027" s="38"/>
    </row>
    <row r="1030028" spans="54:54" ht="15.75" customHeight="1" x14ac:dyDescent="0.3">
      <c r="BB1030028" s="38"/>
    </row>
    <row r="1030029" spans="54:54" ht="15.75" customHeight="1" x14ac:dyDescent="0.3">
      <c r="BB1030029" s="38"/>
    </row>
    <row r="1030030" spans="54:54" ht="15.75" customHeight="1" x14ac:dyDescent="0.3">
      <c r="BB1030030" s="38"/>
    </row>
    <row r="1030031" spans="54:54" ht="15.75" customHeight="1" x14ac:dyDescent="0.3">
      <c r="BB1030031" s="38"/>
    </row>
    <row r="1030032" spans="54:54" ht="15.75" customHeight="1" x14ac:dyDescent="0.3">
      <c r="BB1030032" s="38"/>
    </row>
    <row r="1030033" spans="54:54" ht="15.75" customHeight="1" x14ac:dyDescent="0.3">
      <c r="BB1030033" s="38"/>
    </row>
    <row r="1030034" spans="54:54" ht="15.75" customHeight="1" x14ac:dyDescent="0.3">
      <c r="BB1030034" s="38"/>
    </row>
    <row r="1030035" spans="54:54" ht="15.75" customHeight="1" x14ac:dyDescent="0.3">
      <c r="BB1030035" s="38"/>
    </row>
    <row r="1030036" spans="54:54" ht="15.75" customHeight="1" x14ac:dyDescent="0.3">
      <c r="BB1030036" s="38"/>
    </row>
    <row r="1030037" spans="54:54" ht="15.75" customHeight="1" x14ac:dyDescent="0.3">
      <c r="BB1030037" s="38"/>
    </row>
    <row r="1030038" spans="54:54" ht="15.75" customHeight="1" x14ac:dyDescent="0.3">
      <c r="BB1030038" s="38"/>
    </row>
    <row r="1030039" spans="54:54" ht="15.75" customHeight="1" x14ac:dyDescent="0.3">
      <c r="BB1030039" s="38"/>
    </row>
    <row r="1030040" spans="54:54" ht="15.75" customHeight="1" x14ac:dyDescent="0.3">
      <c r="BB1030040" s="38"/>
    </row>
    <row r="1030041" spans="54:54" ht="15.75" customHeight="1" x14ac:dyDescent="0.3">
      <c r="BB1030041" s="38"/>
    </row>
    <row r="1030042" spans="54:54" ht="15.75" customHeight="1" x14ac:dyDescent="0.3">
      <c r="BB1030042" s="38"/>
    </row>
    <row r="1030043" spans="54:54" ht="15.75" customHeight="1" x14ac:dyDescent="0.3">
      <c r="BB1030043" s="38"/>
    </row>
    <row r="1030044" spans="54:54" ht="15.75" customHeight="1" x14ac:dyDescent="0.3">
      <c r="BB1030044" s="38"/>
    </row>
    <row r="1030045" spans="54:54" ht="15.75" customHeight="1" x14ac:dyDescent="0.3">
      <c r="BB1030045" s="38"/>
    </row>
    <row r="1030046" spans="54:54" ht="15.75" customHeight="1" x14ac:dyDescent="0.3">
      <c r="BB1030046" s="38"/>
    </row>
    <row r="1030047" spans="54:54" ht="15.75" customHeight="1" x14ac:dyDescent="0.3">
      <c r="BB1030047" s="38"/>
    </row>
    <row r="1030048" spans="54:54" ht="15.75" customHeight="1" x14ac:dyDescent="0.3">
      <c r="BB1030048" s="38"/>
    </row>
    <row r="1030049" spans="54:54" ht="15.75" customHeight="1" x14ac:dyDescent="0.3">
      <c r="BB1030049" s="38"/>
    </row>
    <row r="1030050" spans="54:54" ht="15.75" customHeight="1" x14ac:dyDescent="0.3">
      <c r="BB1030050" s="38"/>
    </row>
    <row r="1030051" spans="54:54" ht="15.75" customHeight="1" x14ac:dyDescent="0.3">
      <c r="BB1030051" s="38"/>
    </row>
    <row r="1030052" spans="54:54" ht="15.75" customHeight="1" x14ac:dyDescent="0.3">
      <c r="BB1030052" s="38"/>
    </row>
    <row r="1030053" spans="54:54" ht="15.75" customHeight="1" x14ac:dyDescent="0.3">
      <c r="BB1030053" s="38"/>
    </row>
    <row r="1030054" spans="54:54" ht="15.75" customHeight="1" x14ac:dyDescent="0.3">
      <c r="BB1030054" s="38"/>
    </row>
    <row r="1030055" spans="54:54" ht="15.75" customHeight="1" x14ac:dyDescent="0.3">
      <c r="BB1030055" s="38"/>
    </row>
    <row r="1030056" spans="54:54" ht="15.75" customHeight="1" x14ac:dyDescent="0.3">
      <c r="BB1030056" s="38"/>
    </row>
    <row r="1030057" spans="54:54" ht="15.75" customHeight="1" x14ac:dyDescent="0.3">
      <c r="BB1030057" s="38"/>
    </row>
    <row r="1030058" spans="54:54" ht="15.75" customHeight="1" x14ac:dyDescent="0.3">
      <c r="BB1030058" s="38"/>
    </row>
    <row r="1030059" spans="54:54" ht="15.75" customHeight="1" x14ac:dyDescent="0.3">
      <c r="BB1030059" s="38"/>
    </row>
    <row r="1030060" spans="54:54" ht="15.75" customHeight="1" x14ac:dyDescent="0.3">
      <c r="BB1030060" s="38"/>
    </row>
    <row r="1030061" spans="54:54" ht="15.75" customHeight="1" x14ac:dyDescent="0.3">
      <c r="BB1030061" s="38"/>
    </row>
    <row r="1030062" spans="54:54" ht="15.75" customHeight="1" x14ac:dyDescent="0.3">
      <c r="BB1030062" s="38"/>
    </row>
    <row r="1030063" spans="54:54" ht="15.75" customHeight="1" x14ac:dyDescent="0.3">
      <c r="BB1030063" s="38"/>
    </row>
    <row r="1030064" spans="54:54" ht="15.75" customHeight="1" x14ac:dyDescent="0.3">
      <c r="BB1030064" s="38"/>
    </row>
    <row r="1030065" spans="54:54" ht="15.75" customHeight="1" x14ac:dyDescent="0.3">
      <c r="BB1030065" s="38"/>
    </row>
    <row r="1030066" spans="54:54" ht="15.75" customHeight="1" x14ac:dyDescent="0.3">
      <c r="BB1030066" s="38"/>
    </row>
    <row r="1030067" spans="54:54" ht="15.75" customHeight="1" x14ac:dyDescent="0.3">
      <c r="BB1030067" s="38"/>
    </row>
    <row r="1030068" spans="54:54" ht="15.75" customHeight="1" x14ac:dyDescent="0.3">
      <c r="BB1030068" s="38"/>
    </row>
    <row r="1030069" spans="54:54" ht="15.75" customHeight="1" x14ac:dyDescent="0.3">
      <c r="BB1030069" s="38"/>
    </row>
    <row r="1030070" spans="54:54" ht="15.75" customHeight="1" x14ac:dyDescent="0.3">
      <c r="BB1030070" s="38"/>
    </row>
    <row r="1030071" spans="54:54" ht="15.75" customHeight="1" x14ac:dyDescent="0.3">
      <c r="BB1030071" s="38"/>
    </row>
    <row r="1030072" spans="54:54" ht="15.75" customHeight="1" x14ac:dyDescent="0.3">
      <c r="BB1030072" s="38"/>
    </row>
    <row r="1030073" spans="54:54" ht="15.75" customHeight="1" x14ac:dyDescent="0.3">
      <c r="BB1030073" s="38"/>
    </row>
    <row r="1030074" spans="54:54" ht="15.75" customHeight="1" x14ac:dyDescent="0.3">
      <c r="BB1030074" s="38"/>
    </row>
    <row r="1030075" spans="54:54" ht="15.75" customHeight="1" x14ac:dyDescent="0.3">
      <c r="BB1030075" s="38"/>
    </row>
    <row r="1030076" spans="54:54" ht="15.75" customHeight="1" x14ac:dyDescent="0.3">
      <c r="BB1030076" s="38"/>
    </row>
    <row r="1030077" spans="54:54" ht="15.75" customHeight="1" x14ac:dyDescent="0.3">
      <c r="BB1030077" s="38"/>
    </row>
    <row r="1030078" spans="54:54" ht="15.75" customHeight="1" x14ac:dyDescent="0.3">
      <c r="BB1030078" s="38"/>
    </row>
    <row r="1030079" spans="54:54" ht="15.75" customHeight="1" x14ac:dyDescent="0.3">
      <c r="BB1030079" s="38"/>
    </row>
    <row r="1030080" spans="54:54" ht="15.75" customHeight="1" x14ac:dyDescent="0.3">
      <c r="BB1030080" s="38"/>
    </row>
    <row r="1030081" spans="54:54" ht="15.75" customHeight="1" x14ac:dyDescent="0.3">
      <c r="BB1030081" s="38"/>
    </row>
    <row r="1030082" spans="54:54" ht="15.75" customHeight="1" x14ac:dyDescent="0.3">
      <c r="BB1030082" s="38"/>
    </row>
    <row r="1030083" spans="54:54" ht="15.75" customHeight="1" x14ac:dyDescent="0.3">
      <c r="BB1030083" s="38"/>
    </row>
    <row r="1030084" spans="54:54" ht="15.75" customHeight="1" x14ac:dyDescent="0.3">
      <c r="BB1030084" s="38"/>
    </row>
    <row r="1030085" spans="54:54" ht="15.75" customHeight="1" x14ac:dyDescent="0.3">
      <c r="BB1030085" s="38"/>
    </row>
    <row r="1030086" spans="54:54" ht="15.75" customHeight="1" x14ac:dyDescent="0.3">
      <c r="BB1030086" s="38"/>
    </row>
    <row r="1030087" spans="54:54" ht="15.75" customHeight="1" x14ac:dyDescent="0.3">
      <c r="BB1030087" s="38"/>
    </row>
    <row r="1030088" spans="54:54" ht="15.75" customHeight="1" x14ac:dyDescent="0.3">
      <c r="BB1030088" s="38"/>
    </row>
    <row r="1030089" spans="54:54" ht="15.75" customHeight="1" x14ac:dyDescent="0.3">
      <c r="BB1030089" s="38"/>
    </row>
    <row r="1030090" spans="54:54" ht="15.75" customHeight="1" x14ac:dyDescent="0.3">
      <c r="BB1030090" s="38"/>
    </row>
    <row r="1030091" spans="54:54" ht="15.75" customHeight="1" x14ac:dyDescent="0.3">
      <c r="BB1030091" s="38"/>
    </row>
    <row r="1030092" spans="54:54" ht="15.75" customHeight="1" x14ac:dyDescent="0.3">
      <c r="BB1030092" s="38"/>
    </row>
    <row r="1030093" spans="54:54" ht="15.75" customHeight="1" x14ac:dyDescent="0.3">
      <c r="BB1030093" s="38"/>
    </row>
    <row r="1030094" spans="54:54" ht="15.75" customHeight="1" x14ac:dyDescent="0.3">
      <c r="BB1030094" s="38"/>
    </row>
    <row r="1030095" spans="54:54" ht="15.75" customHeight="1" x14ac:dyDescent="0.3">
      <c r="BB1030095" s="38"/>
    </row>
    <row r="1030096" spans="54:54" ht="15.75" customHeight="1" x14ac:dyDescent="0.3">
      <c r="BB1030096" s="38"/>
    </row>
    <row r="1030097" spans="54:54" ht="15.75" customHeight="1" x14ac:dyDescent="0.3">
      <c r="BB1030097" s="38"/>
    </row>
    <row r="1030098" spans="54:54" ht="15.75" customHeight="1" x14ac:dyDescent="0.3">
      <c r="BB1030098" s="38"/>
    </row>
    <row r="1030099" spans="54:54" ht="15.75" customHeight="1" x14ac:dyDescent="0.3">
      <c r="BB1030099" s="38"/>
    </row>
    <row r="1030100" spans="54:54" ht="15.75" customHeight="1" x14ac:dyDescent="0.3">
      <c r="BB1030100" s="38"/>
    </row>
    <row r="1030101" spans="54:54" ht="15.75" customHeight="1" x14ac:dyDescent="0.3">
      <c r="BB1030101" s="38"/>
    </row>
    <row r="1030102" spans="54:54" ht="15.75" customHeight="1" x14ac:dyDescent="0.3">
      <c r="BB1030102" s="38"/>
    </row>
    <row r="1030103" spans="54:54" ht="15.75" customHeight="1" x14ac:dyDescent="0.3">
      <c r="BB1030103" s="38"/>
    </row>
    <row r="1030104" spans="54:54" ht="15.75" customHeight="1" x14ac:dyDescent="0.3">
      <c r="BB1030104" s="38"/>
    </row>
    <row r="1030105" spans="54:54" ht="15.75" customHeight="1" x14ac:dyDescent="0.3">
      <c r="BB1030105" s="38"/>
    </row>
    <row r="1030106" spans="54:54" ht="15.75" customHeight="1" x14ac:dyDescent="0.3">
      <c r="BB1030106" s="38"/>
    </row>
    <row r="1030107" spans="54:54" ht="15.75" customHeight="1" x14ac:dyDescent="0.3">
      <c r="BB1030107" s="38"/>
    </row>
    <row r="1030108" spans="54:54" ht="15.75" customHeight="1" x14ac:dyDescent="0.3">
      <c r="BB1030108" s="38"/>
    </row>
    <row r="1030109" spans="54:54" ht="15.75" customHeight="1" x14ac:dyDescent="0.3">
      <c r="BB1030109" s="38"/>
    </row>
    <row r="1030110" spans="54:54" ht="15.75" customHeight="1" x14ac:dyDescent="0.3">
      <c r="BB1030110" s="38"/>
    </row>
    <row r="1030111" spans="54:54" ht="15.75" customHeight="1" x14ac:dyDescent="0.3">
      <c r="BB1030111" s="38"/>
    </row>
    <row r="1030112" spans="54:54" ht="15.75" customHeight="1" x14ac:dyDescent="0.3">
      <c r="BB1030112" s="38"/>
    </row>
    <row r="1030113" spans="54:54" ht="15.75" customHeight="1" x14ac:dyDescent="0.3">
      <c r="BB1030113" s="38"/>
    </row>
    <row r="1030114" spans="54:54" ht="15.75" customHeight="1" x14ac:dyDescent="0.3">
      <c r="BB1030114" s="38"/>
    </row>
    <row r="1030115" spans="54:54" ht="15.75" customHeight="1" x14ac:dyDescent="0.3">
      <c r="BB1030115" s="38"/>
    </row>
    <row r="1030116" spans="54:54" ht="15.75" customHeight="1" x14ac:dyDescent="0.3">
      <c r="BB1030116" s="38"/>
    </row>
    <row r="1030117" spans="54:54" ht="15.75" customHeight="1" x14ac:dyDescent="0.3">
      <c r="BB1030117" s="38"/>
    </row>
    <row r="1030118" spans="54:54" ht="15.75" customHeight="1" x14ac:dyDescent="0.3">
      <c r="BB1030118" s="38"/>
    </row>
    <row r="1030119" spans="54:54" ht="15.75" customHeight="1" x14ac:dyDescent="0.3">
      <c r="BB1030119" s="38"/>
    </row>
    <row r="1030120" spans="54:54" ht="15.75" customHeight="1" x14ac:dyDescent="0.3">
      <c r="BB1030120" s="38"/>
    </row>
    <row r="1030121" spans="54:54" ht="15.75" customHeight="1" x14ac:dyDescent="0.3">
      <c r="BB1030121" s="38"/>
    </row>
    <row r="1030122" spans="54:54" ht="15.75" customHeight="1" x14ac:dyDescent="0.3">
      <c r="BB1030122" s="38"/>
    </row>
    <row r="1030123" spans="54:54" ht="15.75" customHeight="1" x14ac:dyDescent="0.3">
      <c r="BB1030123" s="38"/>
    </row>
    <row r="1030124" spans="54:54" ht="15.75" customHeight="1" x14ac:dyDescent="0.3">
      <c r="BB1030124" s="38"/>
    </row>
    <row r="1030125" spans="54:54" ht="15.75" customHeight="1" x14ac:dyDescent="0.3">
      <c r="BB1030125" s="38"/>
    </row>
    <row r="1030126" spans="54:54" ht="15.75" customHeight="1" x14ac:dyDescent="0.3">
      <c r="BB1030126" s="38"/>
    </row>
    <row r="1030127" spans="54:54" ht="15.75" customHeight="1" x14ac:dyDescent="0.3">
      <c r="BB1030127" s="38"/>
    </row>
    <row r="1030128" spans="54:54" ht="15.75" customHeight="1" x14ac:dyDescent="0.3">
      <c r="BB1030128" s="38"/>
    </row>
    <row r="1030129" spans="54:54" ht="15.75" customHeight="1" x14ac:dyDescent="0.3">
      <c r="BB1030129" s="38"/>
    </row>
    <row r="1030130" spans="54:54" ht="15.75" customHeight="1" x14ac:dyDescent="0.3">
      <c r="BB1030130" s="38"/>
    </row>
    <row r="1030131" spans="54:54" ht="15.75" customHeight="1" x14ac:dyDescent="0.3">
      <c r="BB1030131" s="38"/>
    </row>
    <row r="1030132" spans="54:54" ht="15.75" customHeight="1" x14ac:dyDescent="0.3">
      <c r="BB1030132" s="38"/>
    </row>
    <row r="1030133" spans="54:54" ht="15.75" customHeight="1" x14ac:dyDescent="0.3">
      <c r="BB1030133" s="38"/>
    </row>
    <row r="1030134" spans="54:54" ht="15.75" customHeight="1" x14ac:dyDescent="0.3">
      <c r="BB1030134" s="38"/>
    </row>
    <row r="1030135" spans="54:54" ht="15.75" customHeight="1" x14ac:dyDescent="0.3">
      <c r="BB1030135" s="38"/>
    </row>
    <row r="1030136" spans="54:54" ht="15.75" customHeight="1" x14ac:dyDescent="0.3">
      <c r="BB1030136" s="38"/>
    </row>
    <row r="1030137" spans="54:54" ht="15.75" customHeight="1" x14ac:dyDescent="0.3">
      <c r="BB1030137" s="38"/>
    </row>
    <row r="1030138" spans="54:54" ht="15.75" customHeight="1" x14ac:dyDescent="0.3">
      <c r="BB1030138" s="38"/>
    </row>
    <row r="1030139" spans="54:54" ht="15.75" customHeight="1" x14ac:dyDescent="0.3">
      <c r="BB1030139" s="38"/>
    </row>
    <row r="1030140" spans="54:54" ht="15.75" customHeight="1" x14ac:dyDescent="0.3">
      <c r="BB1030140" s="38"/>
    </row>
    <row r="1030141" spans="54:54" ht="15.75" customHeight="1" x14ac:dyDescent="0.3">
      <c r="BB1030141" s="38"/>
    </row>
    <row r="1030142" spans="54:54" ht="15.75" customHeight="1" x14ac:dyDescent="0.3">
      <c r="BB1030142" s="38"/>
    </row>
    <row r="1030143" spans="54:54" ht="15.75" customHeight="1" x14ac:dyDescent="0.3">
      <c r="BB1030143" s="38"/>
    </row>
    <row r="1030144" spans="54:54" ht="15.75" customHeight="1" x14ac:dyDescent="0.3">
      <c r="BB1030144" s="38"/>
    </row>
    <row r="1030145" spans="54:54" ht="15.75" customHeight="1" x14ac:dyDescent="0.3">
      <c r="BB1030145" s="38"/>
    </row>
    <row r="1030146" spans="54:54" ht="15.75" customHeight="1" x14ac:dyDescent="0.3">
      <c r="BB1030146" s="38"/>
    </row>
    <row r="1030147" spans="54:54" ht="15.75" customHeight="1" x14ac:dyDescent="0.3">
      <c r="BB1030147" s="38"/>
    </row>
    <row r="1030148" spans="54:54" ht="15.75" customHeight="1" x14ac:dyDescent="0.3">
      <c r="BB1030148" s="38"/>
    </row>
    <row r="1030149" spans="54:54" ht="15.75" customHeight="1" x14ac:dyDescent="0.3">
      <c r="BB1030149" s="38"/>
    </row>
    <row r="1030150" spans="54:54" ht="15.75" customHeight="1" x14ac:dyDescent="0.3">
      <c r="BB1030150" s="38"/>
    </row>
    <row r="1030151" spans="54:54" ht="15.75" customHeight="1" x14ac:dyDescent="0.3">
      <c r="BB1030151" s="38"/>
    </row>
    <row r="1030152" spans="54:54" ht="15.75" customHeight="1" x14ac:dyDescent="0.3">
      <c r="BB1030152" s="38"/>
    </row>
    <row r="1030153" spans="54:54" ht="15.75" customHeight="1" x14ac:dyDescent="0.3">
      <c r="BB1030153" s="38"/>
    </row>
    <row r="1030154" spans="54:54" ht="15.75" customHeight="1" x14ac:dyDescent="0.3">
      <c r="BB1030154" s="38"/>
    </row>
    <row r="1030155" spans="54:54" ht="15.75" customHeight="1" x14ac:dyDescent="0.3">
      <c r="BB1030155" s="38"/>
    </row>
    <row r="1030156" spans="54:54" ht="15.75" customHeight="1" x14ac:dyDescent="0.3">
      <c r="BB1030156" s="38"/>
    </row>
    <row r="1030157" spans="54:54" ht="15.75" customHeight="1" x14ac:dyDescent="0.3">
      <c r="BB1030157" s="38"/>
    </row>
    <row r="1030158" spans="54:54" ht="15.75" customHeight="1" x14ac:dyDescent="0.3">
      <c r="BB1030158" s="38"/>
    </row>
    <row r="1030159" spans="54:54" ht="15.75" customHeight="1" x14ac:dyDescent="0.3">
      <c r="BB1030159" s="38"/>
    </row>
    <row r="1030160" spans="54:54" ht="15.75" customHeight="1" x14ac:dyDescent="0.3">
      <c r="BB1030160" s="38"/>
    </row>
    <row r="1030161" spans="54:54" ht="15.75" customHeight="1" x14ac:dyDescent="0.3">
      <c r="BB1030161" s="38"/>
    </row>
    <row r="1030162" spans="54:54" ht="15.75" customHeight="1" x14ac:dyDescent="0.3">
      <c r="BB1030162" s="38"/>
    </row>
    <row r="1030163" spans="54:54" ht="15.75" customHeight="1" x14ac:dyDescent="0.3">
      <c r="BB1030163" s="38"/>
    </row>
    <row r="1030164" spans="54:54" ht="15.75" customHeight="1" x14ac:dyDescent="0.3">
      <c r="BB1030164" s="38"/>
    </row>
    <row r="1030165" spans="54:54" ht="15.75" customHeight="1" x14ac:dyDescent="0.3">
      <c r="BB1030165" s="38"/>
    </row>
    <row r="1030166" spans="54:54" ht="15.75" customHeight="1" x14ac:dyDescent="0.3">
      <c r="BB1030166" s="38"/>
    </row>
    <row r="1030167" spans="54:54" ht="15.75" customHeight="1" x14ac:dyDescent="0.3">
      <c r="BB1030167" s="38"/>
    </row>
    <row r="1030168" spans="54:54" ht="15.75" customHeight="1" x14ac:dyDescent="0.3">
      <c r="BB1030168" s="38"/>
    </row>
    <row r="1030169" spans="54:54" ht="15.75" customHeight="1" x14ac:dyDescent="0.3">
      <c r="BB1030169" s="38"/>
    </row>
    <row r="1030170" spans="54:54" ht="15.75" customHeight="1" x14ac:dyDescent="0.3">
      <c r="BB1030170" s="38"/>
    </row>
    <row r="1030171" spans="54:54" ht="15.75" customHeight="1" x14ac:dyDescent="0.3">
      <c r="BB1030171" s="38"/>
    </row>
    <row r="1030172" spans="54:54" ht="15.75" customHeight="1" x14ac:dyDescent="0.3">
      <c r="BB1030172" s="38"/>
    </row>
    <row r="1030173" spans="54:54" ht="15.75" customHeight="1" x14ac:dyDescent="0.3">
      <c r="BB1030173" s="38"/>
    </row>
    <row r="1030174" spans="54:54" ht="15.75" customHeight="1" x14ac:dyDescent="0.3">
      <c r="BB1030174" s="38"/>
    </row>
    <row r="1030175" spans="54:54" ht="15.75" customHeight="1" x14ac:dyDescent="0.3">
      <c r="BB1030175" s="38"/>
    </row>
    <row r="1030176" spans="54:54" ht="15.75" customHeight="1" x14ac:dyDescent="0.3">
      <c r="BB1030176" s="38"/>
    </row>
    <row r="1030177" spans="54:54" ht="15.75" customHeight="1" x14ac:dyDescent="0.3">
      <c r="BB1030177" s="38"/>
    </row>
    <row r="1030178" spans="54:54" ht="15.75" customHeight="1" x14ac:dyDescent="0.3">
      <c r="BB1030178" s="38"/>
    </row>
    <row r="1030179" spans="54:54" ht="15.75" customHeight="1" x14ac:dyDescent="0.3">
      <c r="BB1030179" s="38"/>
    </row>
    <row r="1030180" spans="54:54" ht="15.75" customHeight="1" x14ac:dyDescent="0.3">
      <c r="BB1030180" s="38"/>
    </row>
    <row r="1030181" spans="54:54" ht="15.75" customHeight="1" x14ac:dyDescent="0.3">
      <c r="BB1030181" s="38"/>
    </row>
    <row r="1030182" spans="54:54" ht="15.75" customHeight="1" x14ac:dyDescent="0.3">
      <c r="BB1030182" s="38"/>
    </row>
    <row r="1030183" spans="54:54" ht="15.75" customHeight="1" x14ac:dyDescent="0.3">
      <c r="BB1030183" s="38"/>
    </row>
    <row r="1030184" spans="54:54" ht="15.75" customHeight="1" x14ac:dyDescent="0.3">
      <c r="BB1030184" s="38"/>
    </row>
    <row r="1030185" spans="54:54" ht="15.75" customHeight="1" x14ac:dyDescent="0.3">
      <c r="BB1030185" s="38"/>
    </row>
    <row r="1030186" spans="54:54" ht="15.75" customHeight="1" x14ac:dyDescent="0.3">
      <c r="BB1030186" s="38"/>
    </row>
    <row r="1030187" spans="54:54" ht="15.75" customHeight="1" x14ac:dyDescent="0.3">
      <c r="BB1030187" s="38"/>
    </row>
    <row r="1030188" spans="54:54" ht="15.75" customHeight="1" x14ac:dyDescent="0.3">
      <c r="BB1030188" s="38"/>
    </row>
    <row r="1030189" spans="54:54" ht="15.75" customHeight="1" x14ac:dyDescent="0.3">
      <c r="BB1030189" s="38"/>
    </row>
    <row r="1030190" spans="54:54" ht="15.75" customHeight="1" x14ac:dyDescent="0.3">
      <c r="BB1030190" s="38"/>
    </row>
    <row r="1030191" spans="54:54" ht="15.75" customHeight="1" x14ac:dyDescent="0.3">
      <c r="BB1030191" s="38"/>
    </row>
    <row r="1030192" spans="54:54" ht="15.75" customHeight="1" x14ac:dyDescent="0.3">
      <c r="BB1030192" s="38"/>
    </row>
    <row r="1030193" spans="54:54" ht="15.75" customHeight="1" x14ac:dyDescent="0.3">
      <c r="BB1030193" s="38"/>
    </row>
    <row r="1030194" spans="54:54" ht="15.75" customHeight="1" x14ac:dyDescent="0.3">
      <c r="BB1030194" s="38"/>
    </row>
    <row r="1030195" spans="54:54" ht="15.75" customHeight="1" x14ac:dyDescent="0.3">
      <c r="BB1030195" s="38"/>
    </row>
    <row r="1030196" spans="54:54" ht="15.75" customHeight="1" x14ac:dyDescent="0.3">
      <c r="BB1030196" s="38"/>
    </row>
    <row r="1030197" spans="54:54" ht="15.75" customHeight="1" x14ac:dyDescent="0.3">
      <c r="BB1030197" s="38"/>
    </row>
    <row r="1030198" spans="54:54" ht="15.75" customHeight="1" x14ac:dyDescent="0.3">
      <c r="BB1030198" s="38"/>
    </row>
    <row r="1030199" spans="54:54" ht="15.75" customHeight="1" x14ac:dyDescent="0.3">
      <c r="BB1030199" s="38"/>
    </row>
    <row r="1030200" spans="54:54" ht="15.75" customHeight="1" x14ac:dyDescent="0.3">
      <c r="BB1030200" s="38"/>
    </row>
    <row r="1030201" spans="54:54" ht="15.75" customHeight="1" x14ac:dyDescent="0.3">
      <c r="BB1030201" s="38"/>
    </row>
    <row r="1030202" spans="54:54" ht="15.75" customHeight="1" x14ac:dyDescent="0.3">
      <c r="BB1030202" s="38"/>
    </row>
    <row r="1030203" spans="54:54" ht="15.75" customHeight="1" x14ac:dyDescent="0.3">
      <c r="BB1030203" s="38"/>
    </row>
    <row r="1030204" spans="54:54" ht="15.75" customHeight="1" x14ac:dyDescent="0.3">
      <c r="BB1030204" s="38"/>
    </row>
    <row r="1030205" spans="54:54" ht="15.75" customHeight="1" x14ac:dyDescent="0.3">
      <c r="BB1030205" s="38"/>
    </row>
    <row r="1030206" spans="54:54" ht="15.75" customHeight="1" x14ac:dyDescent="0.3">
      <c r="BB1030206" s="38"/>
    </row>
    <row r="1030207" spans="54:54" ht="15.75" customHeight="1" x14ac:dyDescent="0.3">
      <c r="BB1030207" s="38"/>
    </row>
    <row r="1030208" spans="54:54" ht="15.75" customHeight="1" x14ac:dyDescent="0.3">
      <c r="BB1030208" s="38"/>
    </row>
    <row r="1030209" spans="54:54" ht="15.75" customHeight="1" x14ac:dyDescent="0.3">
      <c r="BB1030209" s="38"/>
    </row>
    <row r="1030210" spans="54:54" ht="15.75" customHeight="1" x14ac:dyDescent="0.3">
      <c r="BB1030210" s="38"/>
    </row>
    <row r="1030211" spans="54:54" ht="15.75" customHeight="1" x14ac:dyDescent="0.3">
      <c r="BB1030211" s="38"/>
    </row>
    <row r="1030212" spans="54:54" ht="15.75" customHeight="1" x14ac:dyDescent="0.3">
      <c r="BB1030212" s="38"/>
    </row>
    <row r="1030213" spans="54:54" ht="15.75" customHeight="1" x14ac:dyDescent="0.3">
      <c r="BB1030213" s="38"/>
    </row>
    <row r="1030214" spans="54:54" ht="15.75" customHeight="1" x14ac:dyDescent="0.3">
      <c r="BB1030214" s="38"/>
    </row>
    <row r="1030215" spans="54:54" ht="15.75" customHeight="1" x14ac:dyDescent="0.3">
      <c r="BB1030215" s="38"/>
    </row>
    <row r="1030216" spans="54:54" ht="15.75" customHeight="1" x14ac:dyDescent="0.3">
      <c r="BB1030216" s="38"/>
    </row>
    <row r="1030217" spans="54:54" ht="15.75" customHeight="1" x14ac:dyDescent="0.3">
      <c r="BB1030217" s="38"/>
    </row>
    <row r="1030218" spans="54:54" ht="15.75" customHeight="1" x14ac:dyDescent="0.3">
      <c r="BB1030218" s="38"/>
    </row>
    <row r="1030219" spans="54:54" ht="15.75" customHeight="1" x14ac:dyDescent="0.3">
      <c r="BB1030219" s="38"/>
    </row>
    <row r="1030220" spans="54:54" ht="15.75" customHeight="1" x14ac:dyDescent="0.3">
      <c r="BB1030220" s="38"/>
    </row>
    <row r="1030221" spans="54:54" ht="15.75" customHeight="1" x14ac:dyDescent="0.3">
      <c r="BB1030221" s="38"/>
    </row>
    <row r="1030222" spans="54:54" ht="15.75" customHeight="1" x14ac:dyDescent="0.3">
      <c r="BB1030222" s="38"/>
    </row>
    <row r="1030223" spans="54:54" ht="15.75" customHeight="1" x14ac:dyDescent="0.3">
      <c r="BB1030223" s="38"/>
    </row>
    <row r="1030224" spans="54:54" ht="15.75" customHeight="1" x14ac:dyDescent="0.3">
      <c r="BB1030224" s="38"/>
    </row>
    <row r="1030225" spans="54:54" ht="15.75" customHeight="1" x14ac:dyDescent="0.3">
      <c r="BB1030225" s="38"/>
    </row>
    <row r="1030226" spans="54:54" ht="15.75" customHeight="1" x14ac:dyDescent="0.3">
      <c r="BB1030226" s="38"/>
    </row>
    <row r="1030227" spans="54:54" ht="15.75" customHeight="1" x14ac:dyDescent="0.3">
      <c r="BB1030227" s="38"/>
    </row>
    <row r="1030228" spans="54:54" ht="15.75" customHeight="1" x14ac:dyDescent="0.3">
      <c r="BB1030228" s="38"/>
    </row>
    <row r="1030229" spans="54:54" ht="15.75" customHeight="1" x14ac:dyDescent="0.3">
      <c r="BB1030229" s="38"/>
    </row>
    <row r="1030230" spans="54:54" ht="15.75" customHeight="1" x14ac:dyDescent="0.3">
      <c r="BB1030230" s="38"/>
    </row>
    <row r="1030231" spans="54:54" ht="15.75" customHeight="1" x14ac:dyDescent="0.3">
      <c r="BB1030231" s="38"/>
    </row>
    <row r="1030232" spans="54:54" ht="15.75" customHeight="1" x14ac:dyDescent="0.3">
      <c r="BB1030232" s="38"/>
    </row>
    <row r="1030233" spans="54:54" ht="15.75" customHeight="1" x14ac:dyDescent="0.3">
      <c r="BB1030233" s="38"/>
    </row>
    <row r="1030234" spans="54:54" ht="15.75" customHeight="1" x14ac:dyDescent="0.3">
      <c r="BB1030234" s="38"/>
    </row>
    <row r="1030235" spans="54:54" ht="15.75" customHeight="1" x14ac:dyDescent="0.3">
      <c r="BB1030235" s="38"/>
    </row>
    <row r="1030236" spans="54:54" ht="15.75" customHeight="1" x14ac:dyDescent="0.3">
      <c r="BB1030236" s="38"/>
    </row>
    <row r="1030237" spans="54:54" ht="15.75" customHeight="1" x14ac:dyDescent="0.3">
      <c r="BB1030237" s="38"/>
    </row>
    <row r="1030238" spans="54:54" ht="15.75" customHeight="1" x14ac:dyDescent="0.3">
      <c r="BB1030238" s="38"/>
    </row>
    <row r="1030239" spans="54:54" ht="15.75" customHeight="1" x14ac:dyDescent="0.3">
      <c r="BB1030239" s="38"/>
    </row>
    <row r="1030240" spans="54:54" ht="15.75" customHeight="1" x14ac:dyDescent="0.3">
      <c r="BB1030240" s="38"/>
    </row>
    <row r="1030241" spans="54:54" ht="15.75" customHeight="1" x14ac:dyDescent="0.3">
      <c r="BB1030241" s="38"/>
    </row>
    <row r="1030242" spans="54:54" ht="15.75" customHeight="1" x14ac:dyDescent="0.3">
      <c r="BB1030242" s="38"/>
    </row>
    <row r="1030243" spans="54:54" ht="15.75" customHeight="1" x14ac:dyDescent="0.3">
      <c r="BB1030243" s="38"/>
    </row>
    <row r="1030244" spans="54:54" ht="15.75" customHeight="1" x14ac:dyDescent="0.3">
      <c r="BB1030244" s="38"/>
    </row>
    <row r="1030245" spans="54:54" ht="15.75" customHeight="1" x14ac:dyDescent="0.3">
      <c r="BB1030245" s="38"/>
    </row>
    <row r="1030246" spans="54:54" ht="15.75" customHeight="1" x14ac:dyDescent="0.3">
      <c r="BB1030246" s="38"/>
    </row>
    <row r="1030247" spans="54:54" ht="15.75" customHeight="1" x14ac:dyDescent="0.3">
      <c r="BB1030247" s="38"/>
    </row>
    <row r="1030248" spans="54:54" ht="15.75" customHeight="1" x14ac:dyDescent="0.3">
      <c r="BB1030248" s="38"/>
    </row>
    <row r="1030249" spans="54:54" ht="15.75" customHeight="1" x14ac:dyDescent="0.3">
      <c r="BB1030249" s="38"/>
    </row>
    <row r="1030250" spans="54:54" ht="15.75" customHeight="1" x14ac:dyDescent="0.3">
      <c r="BB1030250" s="38"/>
    </row>
    <row r="1030251" spans="54:54" ht="15.75" customHeight="1" x14ac:dyDescent="0.3">
      <c r="BB1030251" s="38"/>
    </row>
    <row r="1030252" spans="54:54" ht="15.75" customHeight="1" x14ac:dyDescent="0.3">
      <c r="BB1030252" s="38"/>
    </row>
    <row r="1030253" spans="54:54" ht="15.75" customHeight="1" x14ac:dyDescent="0.3">
      <c r="BB1030253" s="38"/>
    </row>
    <row r="1030254" spans="54:54" ht="15.75" customHeight="1" x14ac:dyDescent="0.3">
      <c r="BB1030254" s="38"/>
    </row>
    <row r="1030255" spans="54:54" ht="15.75" customHeight="1" x14ac:dyDescent="0.3">
      <c r="BB1030255" s="38"/>
    </row>
    <row r="1030256" spans="54:54" ht="15.75" customHeight="1" x14ac:dyDescent="0.3">
      <c r="BB1030256" s="38"/>
    </row>
    <row r="1030257" spans="54:54" ht="15.75" customHeight="1" x14ac:dyDescent="0.3">
      <c r="BB1030257" s="38"/>
    </row>
    <row r="1030258" spans="54:54" ht="15.75" customHeight="1" x14ac:dyDescent="0.3">
      <c r="BB1030258" s="38"/>
    </row>
    <row r="1030259" spans="54:54" ht="15.75" customHeight="1" x14ac:dyDescent="0.3">
      <c r="BB1030259" s="38"/>
    </row>
    <row r="1030260" spans="54:54" ht="15.75" customHeight="1" x14ac:dyDescent="0.3">
      <c r="BB1030260" s="38"/>
    </row>
    <row r="1030261" spans="54:54" ht="15.75" customHeight="1" x14ac:dyDescent="0.3">
      <c r="BB1030261" s="38"/>
    </row>
    <row r="1030262" spans="54:54" ht="15.75" customHeight="1" x14ac:dyDescent="0.3">
      <c r="BB1030262" s="38"/>
    </row>
    <row r="1030263" spans="54:54" ht="15.75" customHeight="1" x14ac:dyDescent="0.3">
      <c r="BB1030263" s="38"/>
    </row>
    <row r="1030264" spans="54:54" ht="15.75" customHeight="1" x14ac:dyDescent="0.3">
      <c r="BB1030264" s="38"/>
    </row>
    <row r="1030265" spans="54:54" ht="15.75" customHeight="1" x14ac:dyDescent="0.3">
      <c r="BB1030265" s="38"/>
    </row>
    <row r="1030266" spans="54:54" ht="15.75" customHeight="1" x14ac:dyDescent="0.3">
      <c r="BB1030266" s="38"/>
    </row>
    <row r="1030267" spans="54:54" ht="15.75" customHeight="1" x14ac:dyDescent="0.3">
      <c r="BB1030267" s="38"/>
    </row>
    <row r="1030268" spans="54:54" ht="15.75" customHeight="1" x14ac:dyDescent="0.3">
      <c r="BB1030268" s="38"/>
    </row>
    <row r="1030269" spans="54:54" ht="15.75" customHeight="1" x14ac:dyDescent="0.3">
      <c r="BB1030269" s="38"/>
    </row>
    <row r="1030270" spans="54:54" ht="15.75" customHeight="1" x14ac:dyDescent="0.3">
      <c r="BB1030270" s="38"/>
    </row>
    <row r="1030271" spans="54:54" ht="15.75" customHeight="1" x14ac:dyDescent="0.3">
      <c r="BB1030271" s="38"/>
    </row>
    <row r="1030272" spans="54:54" ht="15.75" customHeight="1" x14ac:dyDescent="0.3">
      <c r="BB1030272" s="38"/>
    </row>
    <row r="1030273" spans="54:54" ht="15.75" customHeight="1" x14ac:dyDescent="0.3">
      <c r="BB1030273" s="38"/>
    </row>
    <row r="1030274" spans="54:54" ht="15.75" customHeight="1" x14ac:dyDescent="0.3">
      <c r="BB1030274" s="38"/>
    </row>
    <row r="1030275" spans="54:54" ht="15.75" customHeight="1" x14ac:dyDescent="0.3">
      <c r="BB1030275" s="38"/>
    </row>
    <row r="1030276" spans="54:54" ht="15.75" customHeight="1" x14ac:dyDescent="0.3">
      <c r="BB1030276" s="38"/>
    </row>
    <row r="1030277" spans="54:54" ht="15.75" customHeight="1" x14ac:dyDescent="0.3">
      <c r="BB1030277" s="38"/>
    </row>
    <row r="1030278" spans="54:54" ht="15.75" customHeight="1" x14ac:dyDescent="0.3">
      <c r="BB1030278" s="38"/>
    </row>
    <row r="1030279" spans="54:54" ht="15.75" customHeight="1" x14ac:dyDescent="0.3">
      <c r="BB1030279" s="38"/>
    </row>
    <row r="1030280" spans="54:54" ht="15.75" customHeight="1" x14ac:dyDescent="0.3">
      <c r="BB1030280" s="38"/>
    </row>
    <row r="1030281" spans="54:54" ht="15.75" customHeight="1" x14ac:dyDescent="0.3">
      <c r="BB1030281" s="38"/>
    </row>
    <row r="1030282" spans="54:54" ht="15.75" customHeight="1" x14ac:dyDescent="0.3">
      <c r="BB1030282" s="38"/>
    </row>
    <row r="1030283" spans="54:54" ht="15.75" customHeight="1" x14ac:dyDescent="0.3">
      <c r="BB1030283" s="38"/>
    </row>
    <row r="1030284" spans="54:54" ht="15.75" customHeight="1" x14ac:dyDescent="0.3">
      <c r="BB1030284" s="38"/>
    </row>
    <row r="1030285" spans="54:54" ht="15.75" customHeight="1" x14ac:dyDescent="0.3">
      <c r="BB1030285" s="38"/>
    </row>
    <row r="1030286" spans="54:54" ht="15.75" customHeight="1" x14ac:dyDescent="0.3">
      <c r="BB1030286" s="38"/>
    </row>
    <row r="1030287" spans="54:54" ht="15.75" customHeight="1" x14ac:dyDescent="0.3">
      <c r="BB1030287" s="38"/>
    </row>
    <row r="1030288" spans="54:54" ht="15.75" customHeight="1" x14ac:dyDescent="0.3">
      <c r="BB1030288" s="38"/>
    </row>
    <row r="1030289" spans="54:54" ht="15.75" customHeight="1" x14ac:dyDescent="0.3">
      <c r="BB1030289" s="38"/>
    </row>
    <row r="1030290" spans="54:54" ht="15.75" customHeight="1" x14ac:dyDescent="0.3">
      <c r="BB1030290" s="38"/>
    </row>
    <row r="1030291" spans="54:54" ht="15.75" customHeight="1" x14ac:dyDescent="0.3">
      <c r="BB1030291" s="38"/>
    </row>
    <row r="1030292" spans="54:54" ht="15.75" customHeight="1" x14ac:dyDescent="0.3">
      <c r="BB1030292" s="38"/>
    </row>
    <row r="1030293" spans="54:54" ht="15.75" customHeight="1" x14ac:dyDescent="0.3">
      <c r="BB1030293" s="38"/>
    </row>
    <row r="1030294" spans="54:54" ht="15.75" customHeight="1" x14ac:dyDescent="0.3">
      <c r="BB1030294" s="38"/>
    </row>
    <row r="1030295" spans="54:54" ht="15.75" customHeight="1" x14ac:dyDescent="0.3">
      <c r="BB1030295" s="38"/>
    </row>
    <row r="1030296" spans="54:54" ht="15.75" customHeight="1" x14ac:dyDescent="0.3">
      <c r="BB1030296" s="38"/>
    </row>
    <row r="1030297" spans="54:54" ht="15.75" customHeight="1" x14ac:dyDescent="0.3">
      <c r="BB1030297" s="38"/>
    </row>
    <row r="1030298" spans="54:54" ht="15.75" customHeight="1" x14ac:dyDescent="0.3">
      <c r="BB1030298" s="38"/>
    </row>
    <row r="1030299" spans="54:54" ht="15.75" customHeight="1" x14ac:dyDescent="0.3">
      <c r="BB1030299" s="38"/>
    </row>
    <row r="1030300" spans="54:54" ht="15.75" customHeight="1" x14ac:dyDescent="0.3">
      <c r="BB1030300" s="38"/>
    </row>
    <row r="1030301" spans="54:54" ht="15.75" customHeight="1" x14ac:dyDescent="0.3">
      <c r="BB1030301" s="38"/>
    </row>
    <row r="1030302" spans="54:54" ht="15.75" customHeight="1" x14ac:dyDescent="0.3">
      <c r="BB1030302" s="38"/>
    </row>
    <row r="1030303" spans="54:54" ht="15.75" customHeight="1" x14ac:dyDescent="0.3">
      <c r="BB1030303" s="38"/>
    </row>
    <row r="1030304" spans="54:54" ht="15.75" customHeight="1" x14ac:dyDescent="0.3">
      <c r="BB1030304" s="38"/>
    </row>
    <row r="1030305" spans="54:54" ht="15.75" customHeight="1" x14ac:dyDescent="0.3">
      <c r="BB1030305" s="38"/>
    </row>
    <row r="1030306" spans="54:54" ht="15.75" customHeight="1" x14ac:dyDescent="0.3">
      <c r="BB1030306" s="38"/>
    </row>
    <row r="1030307" spans="54:54" ht="15.75" customHeight="1" x14ac:dyDescent="0.3">
      <c r="BB1030307" s="38"/>
    </row>
    <row r="1030308" spans="54:54" ht="15.75" customHeight="1" x14ac:dyDescent="0.3">
      <c r="BB1030308" s="38"/>
    </row>
    <row r="1030309" spans="54:54" ht="15.75" customHeight="1" x14ac:dyDescent="0.3">
      <c r="BB1030309" s="38"/>
    </row>
    <row r="1030310" spans="54:54" ht="15.75" customHeight="1" x14ac:dyDescent="0.3">
      <c r="BB1030310" s="38"/>
    </row>
    <row r="1030311" spans="54:54" ht="15.75" customHeight="1" x14ac:dyDescent="0.3">
      <c r="BB1030311" s="38"/>
    </row>
    <row r="1030312" spans="54:54" ht="15.75" customHeight="1" x14ac:dyDescent="0.3">
      <c r="BB1030312" s="38"/>
    </row>
    <row r="1030313" spans="54:54" ht="15.75" customHeight="1" x14ac:dyDescent="0.3">
      <c r="BB1030313" s="38"/>
    </row>
    <row r="1030314" spans="54:54" ht="15.75" customHeight="1" x14ac:dyDescent="0.3">
      <c r="BB1030314" s="38"/>
    </row>
    <row r="1030315" spans="54:54" ht="15.75" customHeight="1" x14ac:dyDescent="0.3">
      <c r="BB1030315" s="38"/>
    </row>
    <row r="1030316" spans="54:54" ht="15.75" customHeight="1" x14ac:dyDescent="0.3">
      <c r="BB1030316" s="38"/>
    </row>
    <row r="1030317" spans="54:54" ht="15.75" customHeight="1" x14ac:dyDescent="0.3">
      <c r="BB1030317" s="38"/>
    </row>
    <row r="1030318" spans="54:54" ht="15.75" customHeight="1" x14ac:dyDescent="0.3">
      <c r="BB1030318" s="38"/>
    </row>
    <row r="1030319" spans="54:54" ht="15.75" customHeight="1" x14ac:dyDescent="0.3">
      <c r="BB1030319" s="38"/>
    </row>
    <row r="1030320" spans="54:54" ht="15.75" customHeight="1" x14ac:dyDescent="0.3">
      <c r="BB1030320" s="38"/>
    </row>
    <row r="1030321" spans="54:54" ht="15.75" customHeight="1" x14ac:dyDescent="0.3">
      <c r="BB1030321" s="38"/>
    </row>
    <row r="1030322" spans="54:54" ht="15.75" customHeight="1" x14ac:dyDescent="0.3">
      <c r="BB1030322" s="38"/>
    </row>
    <row r="1030323" spans="54:54" ht="15.75" customHeight="1" x14ac:dyDescent="0.3">
      <c r="BB1030323" s="38"/>
    </row>
    <row r="1030324" spans="54:54" ht="15.75" customHeight="1" x14ac:dyDescent="0.3">
      <c r="BB1030324" s="38"/>
    </row>
    <row r="1030325" spans="54:54" ht="15.75" customHeight="1" x14ac:dyDescent="0.3">
      <c r="BB1030325" s="38"/>
    </row>
    <row r="1030326" spans="54:54" ht="15.75" customHeight="1" x14ac:dyDescent="0.3">
      <c r="BB1030326" s="38"/>
    </row>
    <row r="1030327" spans="54:54" ht="15.75" customHeight="1" x14ac:dyDescent="0.3">
      <c r="BB1030327" s="38"/>
    </row>
    <row r="1030328" spans="54:54" ht="15.75" customHeight="1" x14ac:dyDescent="0.3">
      <c r="BB1030328" s="38"/>
    </row>
    <row r="1030329" spans="54:54" ht="15.75" customHeight="1" x14ac:dyDescent="0.3">
      <c r="BB1030329" s="38"/>
    </row>
    <row r="1030330" spans="54:54" ht="15.75" customHeight="1" x14ac:dyDescent="0.3">
      <c r="BB1030330" s="38"/>
    </row>
    <row r="1030331" spans="54:54" ht="15.75" customHeight="1" x14ac:dyDescent="0.3">
      <c r="BB1030331" s="38"/>
    </row>
    <row r="1030332" spans="54:54" ht="15.75" customHeight="1" x14ac:dyDescent="0.3">
      <c r="BB1030332" s="38"/>
    </row>
    <row r="1030333" spans="54:54" ht="15.75" customHeight="1" x14ac:dyDescent="0.3">
      <c r="BB1030333" s="38"/>
    </row>
    <row r="1030334" spans="54:54" ht="15.75" customHeight="1" x14ac:dyDescent="0.3">
      <c r="BB1030334" s="38"/>
    </row>
    <row r="1030335" spans="54:54" ht="15.75" customHeight="1" x14ac:dyDescent="0.3">
      <c r="BB1030335" s="38"/>
    </row>
    <row r="1030336" spans="54:54" ht="15.75" customHeight="1" x14ac:dyDescent="0.3">
      <c r="BB1030336" s="38"/>
    </row>
    <row r="1030337" spans="54:54" ht="15.75" customHeight="1" x14ac:dyDescent="0.3">
      <c r="BB1030337" s="38"/>
    </row>
    <row r="1030338" spans="54:54" ht="15.75" customHeight="1" x14ac:dyDescent="0.3">
      <c r="BB1030338" s="38"/>
    </row>
    <row r="1030339" spans="54:54" ht="15.75" customHeight="1" x14ac:dyDescent="0.3">
      <c r="BB1030339" s="38"/>
    </row>
    <row r="1030340" spans="54:54" ht="15.75" customHeight="1" x14ac:dyDescent="0.3">
      <c r="BB1030340" s="38"/>
    </row>
    <row r="1030341" spans="54:54" ht="15.75" customHeight="1" x14ac:dyDescent="0.3">
      <c r="BB1030341" s="38"/>
    </row>
    <row r="1030342" spans="54:54" ht="15.75" customHeight="1" x14ac:dyDescent="0.3">
      <c r="BB1030342" s="38"/>
    </row>
    <row r="1030343" spans="54:54" ht="15.75" customHeight="1" x14ac:dyDescent="0.3">
      <c r="BB1030343" s="38"/>
    </row>
    <row r="1030344" spans="54:54" ht="15.75" customHeight="1" x14ac:dyDescent="0.3">
      <c r="BB1030344" s="38"/>
    </row>
    <row r="1030345" spans="54:54" ht="15.75" customHeight="1" x14ac:dyDescent="0.3">
      <c r="BB1030345" s="38"/>
    </row>
    <row r="1030346" spans="54:54" ht="15.75" customHeight="1" x14ac:dyDescent="0.3">
      <c r="BB1030346" s="38"/>
    </row>
    <row r="1030347" spans="54:54" ht="15.75" customHeight="1" x14ac:dyDescent="0.3">
      <c r="BB1030347" s="38"/>
    </row>
    <row r="1030348" spans="54:54" ht="15.75" customHeight="1" x14ac:dyDescent="0.3">
      <c r="BB1030348" s="38"/>
    </row>
    <row r="1030349" spans="54:54" ht="15.75" customHeight="1" x14ac:dyDescent="0.3">
      <c r="BB1030349" s="38"/>
    </row>
    <row r="1030350" spans="54:54" ht="15.75" customHeight="1" x14ac:dyDescent="0.3">
      <c r="BB1030350" s="38"/>
    </row>
    <row r="1030351" spans="54:54" ht="15.75" customHeight="1" x14ac:dyDescent="0.3">
      <c r="BB1030351" s="38"/>
    </row>
    <row r="1030352" spans="54:54" ht="15.75" customHeight="1" x14ac:dyDescent="0.3">
      <c r="BB1030352" s="38"/>
    </row>
    <row r="1030353" spans="54:54" ht="15.75" customHeight="1" x14ac:dyDescent="0.3">
      <c r="BB1030353" s="38"/>
    </row>
    <row r="1030354" spans="54:54" ht="15.75" customHeight="1" x14ac:dyDescent="0.3">
      <c r="BB1030354" s="38"/>
    </row>
    <row r="1030355" spans="54:54" ht="15.75" customHeight="1" x14ac:dyDescent="0.3">
      <c r="BB1030355" s="38"/>
    </row>
    <row r="1030356" spans="54:54" ht="15.75" customHeight="1" x14ac:dyDescent="0.3">
      <c r="BB1030356" s="38"/>
    </row>
    <row r="1030357" spans="54:54" ht="15.75" customHeight="1" x14ac:dyDescent="0.3">
      <c r="BB1030357" s="38"/>
    </row>
    <row r="1030358" spans="54:54" ht="15.75" customHeight="1" x14ac:dyDescent="0.3">
      <c r="BB1030358" s="38"/>
    </row>
    <row r="1030359" spans="54:54" ht="15.75" customHeight="1" x14ac:dyDescent="0.3">
      <c r="BB1030359" s="38"/>
    </row>
    <row r="1030360" spans="54:54" ht="15.75" customHeight="1" x14ac:dyDescent="0.3">
      <c r="BB1030360" s="38"/>
    </row>
    <row r="1030361" spans="54:54" ht="15.75" customHeight="1" x14ac:dyDescent="0.3">
      <c r="BB1030361" s="38"/>
    </row>
    <row r="1030362" spans="54:54" ht="15.75" customHeight="1" x14ac:dyDescent="0.3">
      <c r="BB1030362" s="38"/>
    </row>
    <row r="1030363" spans="54:54" ht="15.75" customHeight="1" x14ac:dyDescent="0.3">
      <c r="BB1030363" s="38"/>
    </row>
    <row r="1030364" spans="54:54" ht="15.75" customHeight="1" x14ac:dyDescent="0.3">
      <c r="BB1030364" s="38"/>
    </row>
    <row r="1030365" spans="54:54" ht="15.75" customHeight="1" x14ac:dyDescent="0.3">
      <c r="BB1030365" s="38"/>
    </row>
    <row r="1030366" spans="54:54" ht="15.75" customHeight="1" x14ac:dyDescent="0.3">
      <c r="BB1030366" s="38"/>
    </row>
    <row r="1030367" spans="54:54" ht="15.75" customHeight="1" x14ac:dyDescent="0.3">
      <c r="BB1030367" s="38"/>
    </row>
    <row r="1030368" spans="54:54" ht="15.75" customHeight="1" x14ac:dyDescent="0.3">
      <c r="BB1030368" s="38"/>
    </row>
    <row r="1030369" spans="54:54" ht="15.75" customHeight="1" x14ac:dyDescent="0.3">
      <c r="BB1030369" s="38"/>
    </row>
    <row r="1030370" spans="54:54" ht="15.75" customHeight="1" x14ac:dyDescent="0.3">
      <c r="BB1030370" s="38"/>
    </row>
    <row r="1030371" spans="54:54" ht="15.75" customHeight="1" x14ac:dyDescent="0.3">
      <c r="BB1030371" s="38"/>
    </row>
    <row r="1030372" spans="54:54" ht="15.75" customHeight="1" x14ac:dyDescent="0.3">
      <c r="BB1030372" s="38"/>
    </row>
    <row r="1030373" spans="54:54" ht="15.75" customHeight="1" x14ac:dyDescent="0.3">
      <c r="BB1030373" s="38"/>
    </row>
    <row r="1030374" spans="54:54" ht="15.75" customHeight="1" x14ac:dyDescent="0.3">
      <c r="BB1030374" s="38"/>
    </row>
    <row r="1030375" spans="54:54" ht="15.75" customHeight="1" x14ac:dyDescent="0.3">
      <c r="BB1030375" s="38"/>
    </row>
    <row r="1030376" spans="54:54" ht="15.75" customHeight="1" x14ac:dyDescent="0.3">
      <c r="BB1030376" s="38"/>
    </row>
    <row r="1030377" spans="54:54" ht="15.75" customHeight="1" x14ac:dyDescent="0.3">
      <c r="BB1030377" s="38"/>
    </row>
    <row r="1030378" spans="54:54" ht="15.75" customHeight="1" x14ac:dyDescent="0.3">
      <c r="BB1030378" s="38"/>
    </row>
    <row r="1030379" spans="54:54" ht="15.75" customHeight="1" x14ac:dyDescent="0.3">
      <c r="BB1030379" s="38"/>
    </row>
    <row r="1030380" spans="54:54" ht="15.75" customHeight="1" x14ac:dyDescent="0.3">
      <c r="BB1030380" s="38"/>
    </row>
    <row r="1030381" spans="54:54" ht="15.75" customHeight="1" x14ac:dyDescent="0.3">
      <c r="BB1030381" s="38"/>
    </row>
    <row r="1030382" spans="54:54" ht="15.75" customHeight="1" x14ac:dyDescent="0.3">
      <c r="BB1030382" s="38"/>
    </row>
    <row r="1030383" spans="54:54" ht="15.75" customHeight="1" x14ac:dyDescent="0.3">
      <c r="BB1030383" s="38"/>
    </row>
    <row r="1030384" spans="54:54" ht="15.75" customHeight="1" x14ac:dyDescent="0.3">
      <c r="BB1030384" s="38"/>
    </row>
    <row r="1030385" spans="54:54" ht="15.75" customHeight="1" x14ac:dyDescent="0.3">
      <c r="BB1030385" s="38"/>
    </row>
    <row r="1030386" spans="54:54" ht="15.75" customHeight="1" x14ac:dyDescent="0.3">
      <c r="BB1030386" s="38"/>
    </row>
    <row r="1030387" spans="54:54" ht="15.75" customHeight="1" x14ac:dyDescent="0.3">
      <c r="BB1030387" s="38"/>
    </row>
    <row r="1030388" spans="54:54" ht="15.75" customHeight="1" x14ac:dyDescent="0.3">
      <c r="BB1030388" s="38"/>
    </row>
    <row r="1030389" spans="54:54" ht="15.75" customHeight="1" x14ac:dyDescent="0.3">
      <c r="BB1030389" s="38"/>
    </row>
    <row r="1030390" spans="54:54" ht="15.75" customHeight="1" x14ac:dyDescent="0.3">
      <c r="BB1030390" s="38"/>
    </row>
    <row r="1030391" spans="54:54" ht="15.75" customHeight="1" x14ac:dyDescent="0.3">
      <c r="BB1030391" s="38"/>
    </row>
    <row r="1030392" spans="54:54" ht="15.75" customHeight="1" x14ac:dyDescent="0.3">
      <c r="BB1030392" s="38"/>
    </row>
    <row r="1030393" spans="54:54" ht="15.75" customHeight="1" x14ac:dyDescent="0.3">
      <c r="BB1030393" s="38"/>
    </row>
    <row r="1030394" spans="54:54" ht="15.75" customHeight="1" x14ac:dyDescent="0.3">
      <c r="BB1030394" s="38"/>
    </row>
    <row r="1030395" spans="54:54" ht="15.75" customHeight="1" x14ac:dyDescent="0.3">
      <c r="BB1030395" s="38"/>
    </row>
    <row r="1030396" spans="54:54" ht="15.75" customHeight="1" x14ac:dyDescent="0.3">
      <c r="BB1030396" s="38"/>
    </row>
    <row r="1030397" spans="54:54" ht="15.75" customHeight="1" x14ac:dyDescent="0.3">
      <c r="BB1030397" s="38"/>
    </row>
    <row r="1030398" spans="54:54" ht="15.75" customHeight="1" x14ac:dyDescent="0.3">
      <c r="BB1030398" s="38"/>
    </row>
    <row r="1030399" spans="54:54" ht="15.75" customHeight="1" x14ac:dyDescent="0.3">
      <c r="BB1030399" s="38"/>
    </row>
    <row r="1030400" spans="54:54" ht="15.75" customHeight="1" x14ac:dyDescent="0.3">
      <c r="BB1030400" s="38"/>
    </row>
    <row r="1030401" spans="54:54" ht="15.75" customHeight="1" x14ac:dyDescent="0.3">
      <c r="BB1030401" s="38"/>
    </row>
    <row r="1030402" spans="54:54" ht="15.75" customHeight="1" x14ac:dyDescent="0.3">
      <c r="BB1030402" s="38"/>
    </row>
    <row r="1030403" spans="54:54" ht="15.75" customHeight="1" x14ac:dyDescent="0.3">
      <c r="BB1030403" s="38"/>
    </row>
    <row r="1030404" spans="54:54" ht="15.75" customHeight="1" x14ac:dyDescent="0.3">
      <c r="BB1030404" s="38"/>
    </row>
    <row r="1030405" spans="54:54" ht="15.75" customHeight="1" x14ac:dyDescent="0.3">
      <c r="BB1030405" s="38"/>
    </row>
    <row r="1030406" spans="54:54" ht="15.75" customHeight="1" x14ac:dyDescent="0.3">
      <c r="BB1030406" s="38"/>
    </row>
    <row r="1030407" spans="54:54" ht="15.75" customHeight="1" x14ac:dyDescent="0.3">
      <c r="BB1030407" s="38"/>
    </row>
    <row r="1030408" spans="54:54" ht="15.75" customHeight="1" x14ac:dyDescent="0.3">
      <c r="BB1030408" s="38"/>
    </row>
    <row r="1030409" spans="54:54" ht="15.75" customHeight="1" x14ac:dyDescent="0.3">
      <c r="BB1030409" s="38"/>
    </row>
    <row r="1030410" spans="54:54" ht="15.75" customHeight="1" x14ac:dyDescent="0.3">
      <c r="BB1030410" s="38"/>
    </row>
    <row r="1030411" spans="54:54" ht="15.75" customHeight="1" x14ac:dyDescent="0.3">
      <c r="BB1030411" s="38"/>
    </row>
    <row r="1030412" spans="54:54" ht="15.75" customHeight="1" x14ac:dyDescent="0.3">
      <c r="BB1030412" s="38"/>
    </row>
    <row r="1030413" spans="54:54" ht="15.75" customHeight="1" x14ac:dyDescent="0.3">
      <c r="BB1030413" s="38"/>
    </row>
    <row r="1030414" spans="54:54" ht="15.75" customHeight="1" x14ac:dyDescent="0.3">
      <c r="BB1030414" s="38"/>
    </row>
    <row r="1030415" spans="54:54" ht="15.75" customHeight="1" x14ac:dyDescent="0.3">
      <c r="BB1030415" s="38"/>
    </row>
    <row r="1030416" spans="54:54" ht="15.75" customHeight="1" x14ac:dyDescent="0.3">
      <c r="BB1030416" s="38"/>
    </row>
    <row r="1030417" spans="54:54" ht="15.75" customHeight="1" x14ac:dyDescent="0.3">
      <c r="BB1030417" s="38"/>
    </row>
    <row r="1030418" spans="54:54" ht="15.75" customHeight="1" x14ac:dyDescent="0.3">
      <c r="BB1030418" s="38"/>
    </row>
    <row r="1030419" spans="54:54" ht="15.75" customHeight="1" x14ac:dyDescent="0.3">
      <c r="BB1030419" s="38"/>
    </row>
    <row r="1030420" spans="54:54" ht="15.75" customHeight="1" x14ac:dyDescent="0.3">
      <c r="BB1030420" s="38"/>
    </row>
    <row r="1030421" spans="54:54" ht="15.75" customHeight="1" x14ac:dyDescent="0.3">
      <c r="BB1030421" s="38"/>
    </row>
    <row r="1030422" spans="54:54" ht="15.75" customHeight="1" x14ac:dyDescent="0.3">
      <c r="BB1030422" s="38"/>
    </row>
    <row r="1030423" spans="54:54" ht="15.75" customHeight="1" x14ac:dyDescent="0.3">
      <c r="BB1030423" s="38"/>
    </row>
    <row r="1030424" spans="54:54" ht="15.75" customHeight="1" x14ac:dyDescent="0.3">
      <c r="BB1030424" s="38"/>
    </row>
    <row r="1030425" spans="54:54" ht="15.75" customHeight="1" x14ac:dyDescent="0.3">
      <c r="BB1030425" s="38"/>
    </row>
    <row r="1030426" spans="54:54" ht="15.75" customHeight="1" x14ac:dyDescent="0.3">
      <c r="BB1030426" s="38"/>
    </row>
    <row r="1030427" spans="54:54" ht="15.75" customHeight="1" x14ac:dyDescent="0.3">
      <c r="BB1030427" s="38"/>
    </row>
    <row r="1030428" spans="54:54" ht="15.75" customHeight="1" x14ac:dyDescent="0.3">
      <c r="BB1030428" s="38"/>
    </row>
    <row r="1030429" spans="54:54" ht="15.75" customHeight="1" x14ac:dyDescent="0.3">
      <c r="BB1030429" s="38"/>
    </row>
    <row r="1030430" spans="54:54" ht="15.75" customHeight="1" x14ac:dyDescent="0.3">
      <c r="BB1030430" s="38"/>
    </row>
    <row r="1030431" spans="54:54" ht="15.75" customHeight="1" x14ac:dyDescent="0.3">
      <c r="BB1030431" s="38"/>
    </row>
    <row r="1030432" spans="54:54" ht="15.75" customHeight="1" x14ac:dyDescent="0.3">
      <c r="BB1030432" s="38"/>
    </row>
    <row r="1030433" spans="54:54" ht="15.75" customHeight="1" x14ac:dyDescent="0.3">
      <c r="BB1030433" s="38"/>
    </row>
    <row r="1030434" spans="54:54" ht="15.75" customHeight="1" x14ac:dyDescent="0.3">
      <c r="BB1030434" s="38"/>
    </row>
    <row r="1030435" spans="54:54" ht="15.75" customHeight="1" x14ac:dyDescent="0.3">
      <c r="BB1030435" s="38"/>
    </row>
    <row r="1030436" spans="54:54" ht="15.75" customHeight="1" x14ac:dyDescent="0.3">
      <c r="BB1030436" s="38"/>
    </row>
    <row r="1030437" spans="54:54" ht="15.75" customHeight="1" x14ac:dyDescent="0.3">
      <c r="BB1030437" s="38"/>
    </row>
    <row r="1030438" spans="54:54" ht="15.75" customHeight="1" x14ac:dyDescent="0.3">
      <c r="BB1030438" s="38"/>
    </row>
    <row r="1030439" spans="54:54" ht="15.75" customHeight="1" x14ac:dyDescent="0.3">
      <c r="BB1030439" s="38"/>
    </row>
    <row r="1030440" spans="54:54" ht="15.75" customHeight="1" x14ac:dyDescent="0.3">
      <c r="BB1030440" s="38"/>
    </row>
    <row r="1030441" spans="54:54" ht="15.75" customHeight="1" x14ac:dyDescent="0.3">
      <c r="BB1030441" s="38"/>
    </row>
    <row r="1030442" spans="54:54" ht="15.75" customHeight="1" x14ac:dyDescent="0.3">
      <c r="BB1030442" s="38"/>
    </row>
    <row r="1030443" spans="54:54" ht="15.75" customHeight="1" x14ac:dyDescent="0.3">
      <c r="BB1030443" s="38"/>
    </row>
    <row r="1030444" spans="54:54" ht="15.75" customHeight="1" x14ac:dyDescent="0.3">
      <c r="BB1030444" s="38"/>
    </row>
    <row r="1030445" spans="54:54" ht="15.75" customHeight="1" x14ac:dyDescent="0.3">
      <c r="BB1030445" s="38"/>
    </row>
    <row r="1030446" spans="54:54" ht="15.75" customHeight="1" x14ac:dyDescent="0.3">
      <c r="BB1030446" s="38"/>
    </row>
    <row r="1030447" spans="54:54" ht="15.75" customHeight="1" x14ac:dyDescent="0.3">
      <c r="BB1030447" s="38"/>
    </row>
    <row r="1030448" spans="54:54" ht="15.75" customHeight="1" x14ac:dyDescent="0.3">
      <c r="BB1030448" s="38"/>
    </row>
    <row r="1030449" spans="54:54" ht="15.75" customHeight="1" x14ac:dyDescent="0.3">
      <c r="BB1030449" s="38"/>
    </row>
    <row r="1030450" spans="54:54" ht="15.75" customHeight="1" x14ac:dyDescent="0.3">
      <c r="BB1030450" s="38"/>
    </row>
    <row r="1030451" spans="54:54" ht="15.75" customHeight="1" x14ac:dyDescent="0.3">
      <c r="BB1030451" s="38"/>
    </row>
    <row r="1030452" spans="54:54" ht="15.75" customHeight="1" x14ac:dyDescent="0.3">
      <c r="BB1030452" s="38"/>
    </row>
    <row r="1030453" spans="54:54" ht="15.75" customHeight="1" x14ac:dyDescent="0.3">
      <c r="BB1030453" s="38"/>
    </row>
    <row r="1030454" spans="54:54" ht="15.75" customHeight="1" x14ac:dyDescent="0.3">
      <c r="BB1030454" s="38"/>
    </row>
    <row r="1030455" spans="54:54" ht="15.75" customHeight="1" x14ac:dyDescent="0.3">
      <c r="BB1030455" s="38"/>
    </row>
    <row r="1030456" spans="54:54" ht="15.75" customHeight="1" x14ac:dyDescent="0.3">
      <c r="BB1030456" s="38"/>
    </row>
    <row r="1030457" spans="54:54" ht="15.75" customHeight="1" x14ac:dyDescent="0.3">
      <c r="BB1030457" s="38"/>
    </row>
    <row r="1030458" spans="54:54" ht="15.75" customHeight="1" x14ac:dyDescent="0.3">
      <c r="BB1030458" s="38"/>
    </row>
    <row r="1030459" spans="54:54" ht="15.75" customHeight="1" x14ac:dyDescent="0.3">
      <c r="BB1030459" s="38"/>
    </row>
    <row r="1030460" spans="54:54" ht="15.75" customHeight="1" x14ac:dyDescent="0.3">
      <c r="BB1030460" s="38"/>
    </row>
    <row r="1030461" spans="54:54" ht="15.75" customHeight="1" x14ac:dyDescent="0.3">
      <c r="BB1030461" s="38"/>
    </row>
    <row r="1030462" spans="54:54" ht="15.75" customHeight="1" x14ac:dyDescent="0.3">
      <c r="BB1030462" s="38"/>
    </row>
    <row r="1030463" spans="54:54" ht="15.75" customHeight="1" x14ac:dyDescent="0.3">
      <c r="BB1030463" s="38"/>
    </row>
    <row r="1030464" spans="54:54" ht="15.75" customHeight="1" x14ac:dyDescent="0.3">
      <c r="BB1030464" s="38"/>
    </row>
    <row r="1030465" spans="54:54" ht="15.75" customHeight="1" x14ac:dyDescent="0.3">
      <c r="BB1030465" s="38"/>
    </row>
    <row r="1030466" spans="54:54" ht="15.75" customHeight="1" x14ac:dyDescent="0.3">
      <c r="BB1030466" s="38"/>
    </row>
    <row r="1030467" spans="54:54" ht="15.75" customHeight="1" x14ac:dyDescent="0.3">
      <c r="BB1030467" s="38"/>
    </row>
    <row r="1030468" spans="54:54" ht="15.75" customHeight="1" x14ac:dyDescent="0.3">
      <c r="BB1030468" s="38"/>
    </row>
    <row r="1030469" spans="54:54" ht="15.75" customHeight="1" x14ac:dyDescent="0.3">
      <c r="BB1030469" s="38"/>
    </row>
    <row r="1030470" spans="54:54" ht="15.75" customHeight="1" x14ac:dyDescent="0.3">
      <c r="BB1030470" s="38"/>
    </row>
    <row r="1030471" spans="54:54" ht="15.75" customHeight="1" x14ac:dyDescent="0.3">
      <c r="BB1030471" s="38"/>
    </row>
    <row r="1030472" spans="54:54" ht="15.75" customHeight="1" x14ac:dyDescent="0.3">
      <c r="BB1030472" s="38"/>
    </row>
    <row r="1030473" spans="54:54" ht="15.75" customHeight="1" x14ac:dyDescent="0.3">
      <c r="BB1030473" s="38"/>
    </row>
    <row r="1030474" spans="54:54" ht="15.75" customHeight="1" x14ac:dyDescent="0.3">
      <c r="BB1030474" s="38"/>
    </row>
    <row r="1030475" spans="54:54" ht="15.75" customHeight="1" x14ac:dyDescent="0.3">
      <c r="BB1030475" s="38"/>
    </row>
    <row r="1030476" spans="54:54" ht="15.75" customHeight="1" x14ac:dyDescent="0.3">
      <c r="BB1030476" s="38"/>
    </row>
    <row r="1030477" spans="54:54" ht="15.75" customHeight="1" x14ac:dyDescent="0.3">
      <c r="BB1030477" s="38"/>
    </row>
    <row r="1030478" spans="54:54" ht="15.75" customHeight="1" x14ac:dyDescent="0.3">
      <c r="BB1030478" s="38"/>
    </row>
    <row r="1030479" spans="54:54" ht="15.75" customHeight="1" x14ac:dyDescent="0.3">
      <c r="BB1030479" s="38"/>
    </row>
    <row r="1030480" spans="54:54" ht="15.75" customHeight="1" x14ac:dyDescent="0.3">
      <c r="BB1030480" s="38"/>
    </row>
    <row r="1030481" spans="54:54" ht="15.75" customHeight="1" x14ac:dyDescent="0.3">
      <c r="BB1030481" s="38"/>
    </row>
    <row r="1030482" spans="54:54" ht="15.75" customHeight="1" x14ac:dyDescent="0.3">
      <c r="BB1030482" s="38"/>
    </row>
    <row r="1030483" spans="54:54" ht="15.75" customHeight="1" x14ac:dyDescent="0.3">
      <c r="BB1030483" s="38"/>
    </row>
    <row r="1030484" spans="54:54" ht="15.75" customHeight="1" x14ac:dyDescent="0.3">
      <c r="BB1030484" s="38"/>
    </row>
    <row r="1030485" spans="54:54" ht="15.75" customHeight="1" x14ac:dyDescent="0.3">
      <c r="BB1030485" s="38"/>
    </row>
    <row r="1030486" spans="54:54" ht="15.75" customHeight="1" x14ac:dyDescent="0.3">
      <c r="BB1030486" s="38"/>
    </row>
    <row r="1030487" spans="54:54" ht="15.75" customHeight="1" x14ac:dyDescent="0.3">
      <c r="BB1030487" s="38"/>
    </row>
    <row r="1030488" spans="54:54" ht="15.75" customHeight="1" x14ac:dyDescent="0.3">
      <c r="BB1030488" s="38"/>
    </row>
    <row r="1030489" spans="54:54" ht="15.75" customHeight="1" x14ac:dyDescent="0.3">
      <c r="BB1030489" s="38"/>
    </row>
    <row r="1030490" spans="54:54" ht="15.75" customHeight="1" x14ac:dyDescent="0.3">
      <c r="BB1030490" s="38"/>
    </row>
    <row r="1030491" spans="54:54" ht="15.75" customHeight="1" x14ac:dyDescent="0.3">
      <c r="BB1030491" s="38"/>
    </row>
    <row r="1030492" spans="54:54" ht="15.75" customHeight="1" x14ac:dyDescent="0.3">
      <c r="BB1030492" s="38"/>
    </row>
    <row r="1030493" spans="54:54" ht="15.75" customHeight="1" x14ac:dyDescent="0.3">
      <c r="BB1030493" s="38"/>
    </row>
    <row r="1030494" spans="54:54" ht="15.75" customHeight="1" x14ac:dyDescent="0.3">
      <c r="BB1030494" s="38"/>
    </row>
    <row r="1030495" spans="54:54" ht="15.75" customHeight="1" x14ac:dyDescent="0.3">
      <c r="BB1030495" s="38"/>
    </row>
    <row r="1030496" spans="54:54" ht="15.75" customHeight="1" x14ac:dyDescent="0.3">
      <c r="BB1030496" s="38"/>
    </row>
    <row r="1030497" spans="54:54" ht="15.75" customHeight="1" x14ac:dyDescent="0.3">
      <c r="BB1030497" s="38"/>
    </row>
    <row r="1030498" spans="54:54" ht="15.75" customHeight="1" x14ac:dyDescent="0.3">
      <c r="BB1030498" s="38"/>
    </row>
    <row r="1030499" spans="54:54" ht="15.75" customHeight="1" x14ac:dyDescent="0.3">
      <c r="BB1030499" s="38"/>
    </row>
    <row r="1030500" spans="54:54" ht="15.75" customHeight="1" x14ac:dyDescent="0.3">
      <c r="BB1030500" s="38"/>
    </row>
    <row r="1030501" spans="54:54" ht="15.75" customHeight="1" x14ac:dyDescent="0.3">
      <c r="BB1030501" s="38"/>
    </row>
    <row r="1030502" spans="54:54" ht="15.75" customHeight="1" x14ac:dyDescent="0.3">
      <c r="BB1030502" s="38"/>
    </row>
    <row r="1030503" spans="54:54" ht="15.75" customHeight="1" x14ac:dyDescent="0.3">
      <c r="BB1030503" s="38"/>
    </row>
    <row r="1030504" spans="54:54" ht="15.75" customHeight="1" x14ac:dyDescent="0.3">
      <c r="BB1030504" s="38"/>
    </row>
    <row r="1030505" spans="54:54" ht="15.75" customHeight="1" x14ac:dyDescent="0.3">
      <c r="BB1030505" s="38"/>
    </row>
    <row r="1030506" spans="54:54" ht="15.75" customHeight="1" x14ac:dyDescent="0.3">
      <c r="BB1030506" s="38"/>
    </row>
    <row r="1030507" spans="54:54" ht="15.75" customHeight="1" x14ac:dyDescent="0.3">
      <c r="BB1030507" s="38"/>
    </row>
    <row r="1030508" spans="54:54" ht="15.75" customHeight="1" x14ac:dyDescent="0.3">
      <c r="BB1030508" s="38"/>
    </row>
    <row r="1030509" spans="54:54" ht="15.75" customHeight="1" x14ac:dyDescent="0.3">
      <c r="BB1030509" s="38"/>
    </row>
    <row r="1030510" spans="54:54" ht="15.75" customHeight="1" x14ac:dyDescent="0.3">
      <c r="BB1030510" s="38"/>
    </row>
    <row r="1030511" spans="54:54" ht="15.75" customHeight="1" x14ac:dyDescent="0.3">
      <c r="BB1030511" s="38"/>
    </row>
    <row r="1030512" spans="54:54" ht="15.75" customHeight="1" x14ac:dyDescent="0.3">
      <c r="BB1030512" s="38"/>
    </row>
    <row r="1030513" spans="54:54" ht="15.75" customHeight="1" x14ac:dyDescent="0.3">
      <c r="BB1030513" s="38"/>
    </row>
    <row r="1030514" spans="54:54" ht="15.75" customHeight="1" x14ac:dyDescent="0.3">
      <c r="BB1030514" s="38"/>
    </row>
    <row r="1030515" spans="54:54" ht="15.75" customHeight="1" x14ac:dyDescent="0.3">
      <c r="BB1030515" s="38"/>
    </row>
    <row r="1030516" spans="54:54" ht="15.75" customHeight="1" x14ac:dyDescent="0.3">
      <c r="BB1030516" s="38"/>
    </row>
    <row r="1030517" spans="54:54" ht="15.75" customHeight="1" x14ac:dyDescent="0.3">
      <c r="BB1030517" s="38"/>
    </row>
    <row r="1030518" spans="54:54" ht="15.75" customHeight="1" x14ac:dyDescent="0.3">
      <c r="BB1030518" s="38"/>
    </row>
    <row r="1030519" spans="54:54" ht="15.75" customHeight="1" x14ac:dyDescent="0.3">
      <c r="BB1030519" s="38"/>
    </row>
    <row r="1030520" spans="54:54" ht="15.75" customHeight="1" x14ac:dyDescent="0.3">
      <c r="BB1030520" s="38"/>
    </row>
    <row r="1030521" spans="54:54" ht="15.75" customHeight="1" x14ac:dyDescent="0.3">
      <c r="BB1030521" s="38"/>
    </row>
    <row r="1030522" spans="54:54" ht="15.75" customHeight="1" x14ac:dyDescent="0.3">
      <c r="BB1030522" s="38"/>
    </row>
    <row r="1030523" spans="54:54" ht="15.75" customHeight="1" x14ac:dyDescent="0.3">
      <c r="BB1030523" s="38"/>
    </row>
    <row r="1030524" spans="54:54" ht="15.75" customHeight="1" x14ac:dyDescent="0.3">
      <c r="BB1030524" s="38"/>
    </row>
    <row r="1030525" spans="54:54" ht="15.75" customHeight="1" x14ac:dyDescent="0.3">
      <c r="BB1030525" s="38"/>
    </row>
    <row r="1030526" spans="54:54" ht="15.75" customHeight="1" x14ac:dyDescent="0.3">
      <c r="BB1030526" s="38"/>
    </row>
    <row r="1030527" spans="54:54" ht="15.75" customHeight="1" x14ac:dyDescent="0.3">
      <c r="BB1030527" s="38"/>
    </row>
    <row r="1030528" spans="54:54" ht="15.75" customHeight="1" x14ac:dyDescent="0.3">
      <c r="BB1030528" s="38"/>
    </row>
    <row r="1030529" spans="54:54" ht="15.75" customHeight="1" x14ac:dyDescent="0.3">
      <c r="BB1030529" s="38"/>
    </row>
    <row r="1030530" spans="54:54" ht="15.75" customHeight="1" x14ac:dyDescent="0.3">
      <c r="BB1030530" s="38"/>
    </row>
    <row r="1030531" spans="54:54" ht="15.75" customHeight="1" x14ac:dyDescent="0.3">
      <c r="BB1030531" s="38"/>
    </row>
    <row r="1030532" spans="54:54" ht="15.75" customHeight="1" x14ac:dyDescent="0.3">
      <c r="BB1030532" s="38"/>
    </row>
    <row r="1030533" spans="54:54" ht="15.75" customHeight="1" x14ac:dyDescent="0.3">
      <c r="BB1030533" s="38"/>
    </row>
    <row r="1030534" spans="54:54" ht="15.75" customHeight="1" x14ac:dyDescent="0.3">
      <c r="BB1030534" s="38"/>
    </row>
    <row r="1030535" spans="54:54" ht="15.75" customHeight="1" x14ac:dyDescent="0.3">
      <c r="BB1030535" s="38"/>
    </row>
    <row r="1030536" spans="54:54" ht="15.75" customHeight="1" x14ac:dyDescent="0.3">
      <c r="BB1030536" s="38"/>
    </row>
    <row r="1030537" spans="54:54" ht="15.75" customHeight="1" x14ac:dyDescent="0.3">
      <c r="BB1030537" s="38"/>
    </row>
    <row r="1030538" spans="54:54" ht="15.75" customHeight="1" x14ac:dyDescent="0.3">
      <c r="BB1030538" s="38"/>
    </row>
    <row r="1030539" spans="54:54" ht="15.75" customHeight="1" x14ac:dyDescent="0.3">
      <c r="BB1030539" s="38"/>
    </row>
    <row r="1030540" spans="54:54" ht="15.75" customHeight="1" x14ac:dyDescent="0.3">
      <c r="BB1030540" s="38"/>
    </row>
    <row r="1030541" spans="54:54" ht="15.75" customHeight="1" x14ac:dyDescent="0.3">
      <c r="BB1030541" s="38"/>
    </row>
    <row r="1030542" spans="54:54" ht="15.75" customHeight="1" x14ac:dyDescent="0.3">
      <c r="BB1030542" s="38"/>
    </row>
    <row r="1030543" spans="54:54" ht="15.75" customHeight="1" x14ac:dyDescent="0.3">
      <c r="BB1030543" s="38"/>
    </row>
    <row r="1030544" spans="54:54" ht="15.75" customHeight="1" x14ac:dyDescent="0.3">
      <c r="BB1030544" s="38"/>
    </row>
    <row r="1030545" spans="54:54" ht="15.75" customHeight="1" x14ac:dyDescent="0.3">
      <c r="BB1030545" s="38"/>
    </row>
    <row r="1030546" spans="54:54" ht="15.75" customHeight="1" x14ac:dyDescent="0.3">
      <c r="BB1030546" s="38"/>
    </row>
    <row r="1030547" spans="54:54" ht="15.75" customHeight="1" x14ac:dyDescent="0.3">
      <c r="BB1030547" s="38"/>
    </row>
    <row r="1030548" spans="54:54" ht="15.75" customHeight="1" x14ac:dyDescent="0.3">
      <c r="BB1030548" s="38"/>
    </row>
    <row r="1030549" spans="54:54" ht="15.75" customHeight="1" x14ac:dyDescent="0.3">
      <c r="BB1030549" s="38"/>
    </row>
    <row r="1030550" spans="54:54" ht="15.75" customHeight="1" x14ac:dyDescent="0.3">
      <c r="BB1030550" s="38"/>
    </row>
    <row r="1030551" spans="54:54" ht="15.75" customHeight="1" x14ac:dyDescent="0.3">
      <c r="BB1030551" s="38"/>
    </row>
    <row r="1030552" spans="54:54" ht="15.75" customHeight="1" x14ac:dyDescent="0.3">
      <c r="BB1030552" s="38"/>
    </row>
    <row r="1030553" spans="54:54" ht="15.75" customHeight="1" x14ac:dyDescent="0.3">
      <c r="BB1030553" s="38"/>
    </row>
    <row r="1030554" spans="54:54" ht="15.75" customHeight="1" x14ac:dyDescent="0.3">
      <c r="BB1030554" s="38"/>
    </row>
    <row r="1030555" spans="54:54" ht="15.75" customHeight="1" x14ac:dyDescent="0.3">
      <c r="BB1030555" s="38"/>
    </row>
    <row r="1030556" spans="54:54" ht="15.75" customHeight="1" x14ac:dyDescent="0.3">
      <c r="BB1030556" s="38"/>
    </row>
    <row r="1030557" spans="54:54" ht="15.75" customHeight="1" x14ac:dyDescent="0.3">
      <c r="BB1030557" s="38"/>
    </row>
    <row r="1030558" spans="54:54" ht="15.75" customHeight="1" x14ac:dyDescent="0.3">
      <c r="BB1030558" s="38"/>
    </row>
    <row r="1030559" spans="54:54" ht="15.75" customHeight="1" x14ac:dyDescent="0.3">
      <c r="BB1030559" s="38"/>
    </row>
    <row r="1030560" spans="54:54" ht="15.75" customHeight="1" x14ac:dyDescent="0.3">
      <c r="BB1030560" s="38"/>
    </row>
    <row r="1030561" spans="54:54" ht="15.75" customHeight="1" x14ac:dyDescent="0.3">
      <c r="BB1030561" s="38"/>
    </row>
    <row r="1030562" spans="54:54" ht="15.75" customHeight="1" x14ac:dyDescent="0.3">
      <c r="BB1030562" s="38"/>
    </row>
    <row r="1030563" spans="54:54" ht="15.75" customHeight="1" x14ac:dyDescent="0.3">
      <c r="BB1030563" s="38"/>
    </row>
    <row r="1030564" spans="54:54" ht="15.75" customHeight="1" x14ac:dyDescent="0.3">
      <c r="BB1030564" s="38"/>
    </row>
    <row r="1030565" spans="54:54" ht="15.75" customHeight="1" x14ac:dyDescent="0.3">
      <c r="BB1030565" s="38"/>
    </row>
    <row r="1030566" spans="54:54" ht="15.75" customHeight="1" x14ac:dyDescent="0.3">
      <c r="BB1030566" s="38"/>
    </row>
    <row r="1030567" spans="54:54" ht="15.75" customHeight="1" x14ac:dyDescent="0.3">
      <c r="BB1030567" s="38"/>
    </row>
    <row r="1030568" spans="54:54" ht="15.75" customHeight="1" x14ac:dyDescent="0.3">
      <c r="BB1030568" s="38"/>
    </row>
    <row r="1030569" spans="54:54" ht="15.75" customHeight="1" x14ac:dyDescent="0.3">
      <c r="BB1030569" s="38"/>
    </row>
    <row r="1030570" spans="54:54" ht="15.75" customHeight="1" x14ac:dyDescent="0.3">
      <c r="BB1030570" s="38"/>
    </row>
    <row r="1030571" spans="54:54" ht="15.75" customHeight="1" x14ac:dyDescent="0.3">
      <c r="BB1030571" s="38"/>
    </row>
    <row r="1030572" spans="54:54" ht="15.75" customHeight="1" x14ac:dyDescent="0.3">
      <c r="BB1030572" s="38"/>
    </row>
    <row r="1030573" spans="54:54" ht="15.75" customHeight="1" x14ac:dyDescent="0.3">
      <c r="BB1030573" s="38"/>
    </row>
    <row r="1030574" spans="54:54" ht="15.75" customHeight="1" x14ac:dyDescent="0.3">
      <c r="BB1030574" s="38"/>
    </row>
    <row r="1030575" spans="54:54" ht="15.75" customHeight="1" x14ac:dyDescent="0.3">
      <c r="BB1030575" s="38"/>
    </row>
    <row r="1030576" spans="54:54" ht="15.75" customHeight="1" x14ac:dyDescent="0.3">
      <c r="BB1030576" s="38"/>
    </row>
    <row r="1030577" spans="54:54" ht="15.75" customHeight="1" x14ac:dyDescent="0.3">
      <c r="BB1030577" s="38"/>
    </row>
    <row r="1030578" spans="54:54" ht="15.75" customHeight="1" x14ac:dyDescent="0.3">
      <c r="BB1030578" s="38"/>
    </row>
    <row r="1030579" spans="54:54" ht="15.75" customHeight="1" x14ac:dyDescent="0.3">
      <c r="BB1030579" s="38"/>
    </row>
    <row r="1030580" spans="54:54" ht="15.75" customHeight="1" x14ac:dyDescent="0.3">
      <c r="BB1030580" s="38"/>
    </row>
    <row r="1030581" spans="54:54" ht="15.75" customHeight="1" x14ac:dyDescent="0.3">
      <c r="BB1030581" s="38"/>
    </row>
    <row r="1030582" spans="54:54" ht="15.75" customHeight="1" x14ac:dyDescent="0.3">
      <c r="BB1030582" s="38"/>
    </row>
    <row r="1030583" spans="54:54" ht="15.75" customHeight="1" x14ac:dyDescent="0.3">
      <c r="BB1030583" s="38"/>
    </row>
    <row r="1030584" spans="54:54" ht="15.75" customHeight="1" x14ac:dyDescent="0.3">
      <c r="BB1030584" s="38"/>
    </row>
    <row r="1030585" spans="54:54" ht="15.75" customHeight="1" x14ac:dyDescent="0.3">
      <c r="BB1030585" s="38"/>
    </row>
    <row r="1030586" spans="54:54" ht="15.75" customHeight="1" x14ac:dyDescent="0.3">
      <c r="BB1030586" s="38"/>
    </row>
    <row r="1030587" spans="54:54" ht="15.75" customHeight="1" x14ac:dyDescent="0.3">
      <c r="BB1030587" s="38"/>
    </row>
    <row r="1030588" spans="54:54" ht="15.75" customHeight="1" x14ac:dyDescent="0.3">
      <c r="BB1030588" s="38"/>
    </row>
    <row r="1030589" spans="54:54" ht="15.75" customHeight="1" x14ac:dyDescent="0.3">
      <c r="BB1030589" s="38"/>
    </row>
    <row r="1030590" spans="54:54" ht="15.75" customHeight="1" x14ac:dyDescent="0.3">
      <c r="BB1030590" s="38"/>
    </row>
    <row r="1030591" spans="54:54" ht="15.75" customHeight="1" x14ac:dyDescent="0.3">
      <c r="BB1030591" s="38"/>
    </row>
    <row r="1030592" spans="54:54" ht="15.75" customHeight="1" x14ac:dyDescent="0.3">
      <c r="BB1030592" s="38"/>
    </row>
    <row r="1030593" spans="54:54" ht="15.75" customHeight="1" x14ac:dyDescent="0.3">
      <c r="BB1030593" s="38"/>
    </row>
    <row r="1030594" spans="54:54" ht="15.75" customHeight="1" x14ac:dyDescent="0.3">
      <c r="BB1030594" s="38"/>
    </row>
    <row r="1030595" spans="54:54" ht="15.75" customHeight="1" x14ac:dyDescent="0.3">
      <c r="BB1030595" s="38"/>
    </row>
    <row r="1030596" spans="54:54" ht="15.75" customHeight="1" x14ac:dyDescent="0.3">
      <c r="BB1030596" s="38"/>
    </row>
    <row r="1030597" spans="54:54" ht="15.75" customHeight="1" x14ac:dyDescent="0.3">
      <c r="BB1030597" s="38"/>
    </row>
    <row r="1030598" spans="54:54" ht="15.75" customHeight="1" x14ac:dyDescent="0.3">
      <c r="BB1030598" s="38"/>
    </row>
    <row r="1030599" spans="54:54" ht="15.75" customHeight="1" x14ac:dyDescent="0.3">
      <c r="BB1030599" s="38"/>
    </row>
    <row r="1030600" spans="54:54" ht="15.75" customHeight="1" x14ac:dyDescent="0.3">
      <c r="BB1030600" s="38"/>
    </row>
    <row r="1030601" spans="54:54" ht="15.75" customHeight="1" x14ac:dyDescent="0.3">
      <c r="BB1030601" s="38"/>
    </row>
    <row r="1030602" spans="54:54" ht="15.75" customHeight="1" x14ac:dyDescent="0.3">
      <c r="BB1030602" s="38"/>
    </row>
    <row r="1030603" spans="54:54" ht="15.75" customHeight="1" x14ac:dyDescent="0.3">
      <c r="BB1030603" s="38"/>
    </row>
    <row r="1030604" spans="54:54" ht="15.75" customHeight="1" x14ac:dyDescent="0.3">
      <c r="BB1030604" s="38"/>
    </row>
    <row r="1030605" spans="54:54" ht="15.75" customHeight="1" x14ac:dyDescent="0.3">
      <c r="BB1030605" s="38"/>
    </row>
    <row r="1030606" spans="54:54" ht="15.75" customHeight="1" x14ac:dyDescent="0.3">
      <c r="BB1030606" s="38"/>
    </row>
    <row r="1030607" spans="54:54" ht="15.75" customHeight="1" x14ac:dyDescent="0.3">
      <c r="BB1030607" s="38"/>
    </row>
    <row r="1030608" spans="54:54" ht="15.75" customHeight="1" x14ac:dyDescent="0.3">
      <c r="BB1030608" s="38"/>
    </row>
    <row r="1030609" spans="54:54" ht="15.75" customHeight="1" x14ac:dyDescent="0.3">
      <c r="BB1030609" s="38"/>
    </row>
    <row r="1030610" spans="54:54" ht="15.75" customHeight="1" x14ac:dyDescent="0.3">
      <c r="BB1030610" s="38"/>
    </row>
    <row r="1030611" spans="54:54" ht="15.75" customHeight="1" x14ac:dyDescent="0.3">
      <c r="BB1030611" s="38"/>
    </row>
    <row r="1030612" spans="54:54" ht="15.75" customHeight="1" x14ac:dyDescent="0.3">
      <c r="BB1030612" s="38"/>
    </row>
    <row r="1030613" spans="54:54" ht="15.75" customHeight="1" x14ac:dyDescent="0.3">
      <c r="BB1030613" s="38"/>
    </row>
    <row r="1030614" spans="54:54" ht="15.75" customHeight="1" x14ac:dyDescent="0.3">
      <c r="BB1030614" s="38"/>
    </row>
    <row r="1030615" spans="54:54" ht="15.75" customHeight="1" x14ac:dyDescent="0.3">
      <c r="BB1030615" s="38"/>
    </row>
    <row r="1030616" spans="54:54" ht="15.75" customHeight="1" x14ac:dyDescent="0.3">
      <c r="BB1030616" s="38"/>
    </row>
    <row r="1030617" spans="54:54" ht="15.75" customHeight="1" x14ac:dyDescent="0.3">
      <c r="BB1030617" s="38"/>
    </row>
    <row r="1030618" spans="54:54" ht="15.75" customHeight="1" x14ac:dyDescent="0.3">
      <c r="BB1030618" s="38"/>
    </row>
    <row r="1030619" spans="54:54" ht="15.75" customHeight="1" x14ac:dyDescent="0.3">
      <c r="BB1030619" s="38"/>
    </row>
    <row r="1030620" spans="54:54" ht="15.75" customHeight="1" x14ac:dyDescent="0.3">
      <c r="BB1030620" s="38"/>
    </row>
    <row r="1030621" spans="54:54" ht="15.75" customHeight="1" x14ac:dyDescent="0.3">
      <c r="BB1030621" s="38"/>
    </row>
    <row r="1030622" spans="54:54" ht="15.75" customHeight="1" x14ac:dyDescent="0.3">
      <c r="BB1030622" s="38"/>
    </row>
    <row r="1030623" spans="54:54" ht="15.75" customHeight="1" x14ac:dyDescent="0.3">
      <c r="BB1030623" s="38"/>
    </row>
    <row r="1030624" spans="54:54" ht="15.75" customHeight="1" x14ac:dyDescent="0.3">
      <c r="BB1030624" s="38"/>
    </row>
    <row r="1030625" spans="54:54" ht="15.75" customHeight="1" x14ac:dyDescent="0.3">
      <c r="BB1030625" s="38"/>
    </row>
    <row r="1030626" spans="54:54" ht="15.75" customHeight="1" x14ac:dyDescent="0.3">
      <c r="BB1030626" s="38"/>
    </row>
    <row r="1030627" spans="54:54" ht="15.75" customHeight="1" x14ac:dyDescent="0.3">
      <c r="BB1030627" s="38"/>
    </row>
    <row r="1030628" spans="54:54" ht="15.75" customHeight="1" x14ac:dyDescent="0.3">
      <c r="BB1030628" s="38"/>
    </row>
    <row r="1030629" spans="54:54" ht="15.75" customHeight="1" x14ac:dyDescent="0.3">
      <c r="BB1030629" s="38"/>
    </row>
    <row r="1030630" spans="54:54" ht="15.75" customHeight="1" x14ac:dyDescent="0.3">
      <c r="BB1030630" s="38"/>
    </row>
    <row r="1030631" spans="54:54" ht="15.75" customHeight="1" x14ac:dyDescent="0.3">
      <c r="BB1030631" s="38"/>
    </row>
    <row r="1030632" spans="54:54" ht="15.75" customHeight="1" x14ac:dyDescent="0.3">
      <c r="BB1030632" s="38"/>
    </row>
    <row r="1030633" spans="54:54" ht="15.75" customHeight="1" x14ac:dyDescent="0.3">
      <c r="BB1030633" s="38"/>
    </row>
    <row r="1030634" spans="54:54" ht="15.75" customHeight="1" x14ac:dyDescent="0.3">
      <c r="BB1030634" s="38"/>
    </row>
    <row r="1030635" spans="54:54" ht="15.75" customHeight="1" x14ac:dyDescent="0.3">
      <c r="BB1030635" s="38"/>
    </row>
    <row r="1030636" spans="54:54" ht="15.75" customHeight="1" x14ac:dyDescent="0.3">
      <c r="BB1030636" s="38"/>
    </row>
    <row r="1030637" spans="54:54" ht="15.75" customHeight="1" x14ac:dyDescent="0.3">
      <c r="BB1030637" s="38"/>
    </row>
    <row r="1030638" spans="54:54" ht="15.75" customHeight="1" x14ac:dyDescent="0.3">
      <c r="BB1030638" s="38"/>
    </row>
    <row r="1030639" spans="54:54" ht="15.75" customHeight="1" x14ac:dyDescent="0.3">
      <c r="BB1030639" s="38"/>
    </row>
    <row r="1030640" spans="54:54" ht="15.75" customHeight="1" x14ac:dyDescent="0.3">
      <c r="BB1030640" s="38"/>
    </row>
    <row r="1030641" spans="54:54" ht="15.75" customHeight="1" x14ac:dyDescent="0.3">
      <c r="BB1030641" s="38"/>
    </row>
    <row r="1030642" spans="54:54" ht="15.75" customHeight="1" x14ac:dyDescent="0.3">
      <c r="BB1030642" s="38"/>
    </row>
    <row r="1030643" spans="54:54" ht="15.75" customHeight="1" x14ac:dyDescent="0.3">
      <c r="BB1030643" s="38"/>
    </row>
    <row r="1030644" spans="54:54" ht="15.75" customHeight="1" x14ac:dyDescent="0.3">
      <c r="BB1030644" s="38"/>
    </row>
    <row r="1030645" spans="54:54" ht="15.75" customHeight="1" x14ac:dyDescent="0.3">
      <c r="BB1030645" s="38"/>
    </row>
    <row r="1030646" spans="54:54" ht="15.75" customHeight="1" x14ac:dyDescent="0.3">
      <c r="BB1030646" s="38"/>
    </row>
    <row r="1030647" spans="54:54" ht="15.75" customHeight="1" x14ac:dyDescent="0.3">
      <c r="BB1030647" s="38"/>
    </row>
    <row r="1030648" spans="54:54" ht="15.75" customHeight="1" x14ac:dyDescent="0.3">
      <c r="BB1030648" s="38"/>
    </row>
    <row r="1030649" spans="54:54" ht="15.75" customHeight="1" x14ac:dyDescent="0.3">
      <c r="BB1030649" s="38"/>
    </row>
    <row r="1030650" spans="54:54" ht="15.75" customHeight="1" x14ac:dyDescent="0.3">
      <c r="BB1030650" s="38"/>
    </row>
    <row r="1030651" spans="54:54" ht="15.75" customHeight="1" x14ac:dyDescent="0.3">
      <c r="BB1030651" s="38"/>
    </row>
    <row r="1030652" spans="54:54" ht="15.75" customHeight="1" x14ac:dyDescent="0.3">
      <c r="BB1030652" s="38"/>
    </row>
    <row r="1030653" spans="54:54" ht="15.75" customHeight="1" x14ac:dyDescent="0.3">
      <c r="BB1030653" s="38"/>
    </row>
    <row r="1030654" spans="54:54" ht="15.75" customHeight="1" x14ac:dyDescent="0.3">
      <c r="BB1030654" s="38"/>
    </row>
    <row r="1030655" spans="54:54" ht="15.75" customHeight="1" x14ac:dyDescent="0.3">
      <c r="BB1030655" s="38"/>
    </row>
    <row r="1030656" spans="54:54" ht="15.75" customHeight="1" x14ac:dyDescent="0.3">
      <c r="BB1030656" s="38"/>
    </row>
    <row r="1030657" spans="54:54" ht="15.75" customHeight="1" x14ac:dyDescent="0.3">
      <c r="BB1030657" s="38"/>
    </row>
    <row r="1030658" spans="54:54" ht="15.75" customHeight="1" x14ac:dyDescent="0.3">
      <c r="BB1030658" s="38"/>
    </row>
    <row r="1030659" spans="54:54" ht="15.75" customHeight="1" x14ac:dyDescent="0.3">
      <c r="BB1030659" s="38"/>
    </row>
    <row r="1030660" spans="54:54" ht="15.75" customHeight="1" x14ac:dyDescent="0.3">
      <c r="BB1030660" s="38"/>
    </row>
    <row r="1030661" spans="54:54" ht="15.75" customHeight="1" x14ac:dyDescent="0.3">
      <c r="BB1030661" s="38"/>
    </row>
    <row r="1030662" spans="54:54" ht="15.75" customHeight="1" x14ac:dyDescent="0.3">
      <c r="BB1030662" s="38"/>
    </row>
    <row r="1030663" spans="54:54" ht="15.75" customHeight="1" x14ac:dyDescent="0.3">
      <c r="BB1030663" s="38"/>
    </row>
    <row r="1030664" spans="54:54" ht="15.75" customHeight="1" x14ac:dyDescent="0.3">
      <c r="BB1030664" s="38"/>
    </row>
    <row r="1030665" spans="54:54" ht="15.75" customHeight="1" x14ac:dyDescent="0.3">
      <c r="BB1030665" s="38"/>
    </row>
    <row r="1030666" spans="54:54" ht="15.75" customHeight="1" x14ac:dyDescent="0.3">
      <c r="BB1030666" s="38"/>
    </row>
    <row r="1030667" spans="54:54" ht="15.75" customHeight="1" x14ac:dyDescent="0.3">
      <c r="BB1030667" s="38"/>
    </row>
    <row r="1030668" spans="54:54" ht="15.75" customHeight="1" x14ac:dyDescent="0.3">
      <c r="BB1030668" s="38"/>
    </row>
    <row r="1030669" spans="54:54" ht="15.75" customHeight="1" x14ac:dyDescent="0.3">
      <c r="BB1030669" s="38"/>
    </row>
    <row r="1030670" spans="54:54" ht="15.75" customHeight="1" x14ac:dyDescent="0.3">
      <c r="BB1030670" s="38"/>
    </row>
    <row r="1030671" spans="54:54" ht="15.75" customHeight="1" x14ac:dyDescent="0.3">
      <c r="BB1030671" s="38"/>
    </row>
    <row r="1030672" spans="54:54" ht="15.75" customHeight="1" x14ac:dyDescent="0.3">
      <c r="BB1030672" s="38"/>
    </row>
    <row r="1030673" spans="54:54" ht="15.75" customHeight="1" x14ac:dyDescent="0.3">
      <c r="BB1030673" s="38"/>
    </row>
    <row r="1030674" spans="54:54" ht="15.75" customHeight="1" x14ac:dyDescent="0.3">
      <c r="BB1030674" s="38"/>
    </row>
    <row r="1030675" spans="54:54" ht="15.75" customHeight="1" x14ac:dyDescent="0.3">
      <c r="BB1030675" s="38"/>
    </row>
    <row r="1030676" spans="54:54" ht="15.75" customHeight="1" x14ac:dyDescent="0.3">
      <c r="BB1030676" s="38"/>
    </row>
    <row r="1030677" spans="54:54" ht="15.75" customHeight="1" x14ac:dyDescent="0.3">
      <c r="BB1030677" s="38"/>
    </row>
    <row r="1030678" spans="54:54" ht="15.75" customHeight="1" x14ac:dyDescent="0.3">
      <c r="BB1030678" s="38"/>
    </row>
    <row r="1030679" spans="54:54" ht="15.75" customHeight="1" x14ac:dyDescent="0.3">
      <c r="BB1030679" s="38"/>
    </row>
    <row r="1030680" spans="54:54" ht="15.75" customHeight="1" x14ac:dyDescent="0.3">
      <c r="BB1030680" s="38"/>
    </row>
    <row r="1030681" spans="54:54" ht="15.75" customHeight="1" x14ac:dyDescent="0.3">
      <c r="BB1030681" s="38"/>
    </row>
    <row r="1030682" spans="54:54" ht="15.75" customHeight="1" x14ac:dyDescent="0.3">
      <c r="BB1030682" s="38"/>
    </row>
    <row r="1030683" spans="54:54" ht="15.75" customHeight="1" x14ac:dyDescent="0.3">
      <c r="BB1030683" s="38"/>
    </row>
    <row r="1030684" spans="54:54" ht="15.75" customHeight="1" x14ac:dyDescent="0.3">
      <c r="BB1030684" s="38"/>
    </row>
    <row r="1030685" spans="54:54" ht="15.75" customHeight="1" x14ac:dyDescent="0.3">
      <c r="BB1030685" s="38"/>
    </row>
    <row r="1030686" spans="54:54" ht="15.75" customHeight="1" x14ac:dyDescent="0.3">
      <c r="BB1030686" s="38"/>
    </row>
    <row r="1030687" spans="54:54" ht="15.75" customHeight="1" x14ac:dyDescent="0.3">
      <c r="BB1030687" s="38"/>
    </row>
    <row r="1030688" spans="54:54" ht="15.75" customHeight="1" x14ac:dyDescent="0.3">
      <c r="BB1030688" s="38"/>
    </row>
    <row r="1030689" spans="54:54" ht="15.75" customHeight="1" x14ac:dyDescent="0.3">
      <c r="BB1030689" s="38"/>
    </row>
    <row r="1030690" spans="54:54" ht="15.75" customHeight="1" x14ac:dyDescent="0.3">
      <c r="BB1030690" s="38"/>
    </row>
    <row r="1030691" spans="54:54" ht="15.75" customHeight="1" x14ac:dyDescent="0.3">
      <c r="BB1030691" s="38"/>
    </row>
    <row r="1030692" spans="54:54" ht="15.75" customHeight="1" x14ac:dyDescent="0.3">
      <c r="BB1030692" s="38"/>
    </row>
    <row r="1030693" spans="54:54" ht="15.75" customHeight="1" x14ac:dyDescent="0.3">
      <c r="BB1030693" s="38"/>
    </row>
    <row r="1030694" spans="54:54" ht="15.75" customHeight="1" x14ac:dyDescent="0.3">
      <c r="BB1030694" s="38"/>
    </row>
    <row r="1030695" spans="54:54" ht="15.75" customHeight="1" x14ac:dyDescent="0.3">
      <c r="BB1030695" s="38"/>
    </row>
    <row r="1030696" spans="54:54" ht="15.75" customHeight="1" x14ac:dyDescent="0.3">
      <c r="BB1030696" s="38"/>
    </row>
    <row r="1030697" spans="54:54" ht="15.75" customHeight="1" x14ac:dyDescent="0.3">
      <c r="BB1030697" s="38"/>
    </row>
    <row r="1030698" spans="54:54" ht="15.75" customHeight="1" x14ac:dyDescent="0.3">
      <c r="BB1030698" s="38"/>
    </row>
    <row r="1030699" spans="54:54" ht="15.75" customHeight="1" x14ac:dyDescent="0.3">
      <c r="BB1030699" s="38"/>
    </row>
    <row r="1030700" spans="54:54" ht="15.75" customHeight="1" x14ac:dyDescent="0.3">
      <c r="BB1030700" s="38"/>
    </row>
    <row r="1030701" spans="54:54" ht="15.75" customHeight="1" x14ac:dyDescent="0.3">
      <c r="BB1030701" s="38"/>
    </row>
    <row r="1030702" spans="54:54" ht="15.75" customHeight="1" x14ac:dyDescent="0.3">
      <c r="BB1030702" s="38"/>
    </row>
    <row r="1030703" spans="54:54" ht="15.75" customHeight="1" x14ac:dyDescent="0.3">
      <c r="BB1030703" s="38"/>
    </row>
    <row r="1030704" spans="54:54" ht="15.75" customHeight="1" x14ac:dyDescent="0.3">
      <c r="BB1030704" s="38"/>
    </row>
    <row r="1030705" spans="54:54" ht="15.75" customHeight="1" x14ac:dyDescent="0.3">
      <c r="BB1030705" s="38"/>
    </row>
    <row r="1030706" spans="54:54" ht="15.75" customHeight="1" x14ac:dyDescent="0.3">
      <c r="BB1030706" s="38"/>
    </row>
    <row r="1030707" spans="54:54" ht="15.75" customHeight="1" x14ac:dyDescent="0.3">
      <c r="BB1030707" s="38"/>
    </row>
    <row r="1030708" spans="54:54" ht="15.75" customHeight="1" x14ac:dyDescent="0.3">
      <c r="BB1030708" s="38"/>
    </row>
    <row r="1030709" spans="54:54" ht="15.75" customHeight="1" x14ac:dyDescent="0.3">
      <c r="BB1030709" s="38"/>
    </row>
    <row r="1030710" spans="54:54" ht="15.75" customHeight="1" x14ac:dyDescent="0.3">
      <c r="BB1030710" s="38"/>
    </row>
    <row r="1030711" spans="54:54" ht="15.75" customHeight="1" x14ac:dyDescent="0.3">
      <c r="BB1030711" s="38"/>
    </row>
    <row r="1030712" spans="54:54" ht="15.75" customHeight="1" x14ac:dyDescent="0.3">
      <c r="BB1030712" s="38"/>
    </row>
    <row r="1030713" spans="54:54" ht="15.75" customHeight="1" x14ac:dyDescent="0.3">
      <c r="BB1030713" s="38"/>
    </row>
    <row r="1030714" spans="54:54" ht="15.75" customHeight="1" x14ac:dyDescent="0.3">
      <c r="BB1030714" s="38"/>
    </row>
    <row r="1030715" spans="54:54" ht="15.75" customHeight="1" x14ac:dyDescent="0.3">
      <c r="BB1030715" s="38"/>
    </row>
    <row r="1030716" spans="54:54" ht="15.75" customHeight="1" x14ac:dyDescent="0.3">
      <c r="BB1030716" s="38"/>
    </row>
    <row r="1030717" spans="54:54" ht="15.75" customHeight="1" x14ac:dyDescent="0.3">
      <c r="BB1030717" s="38"/>
    </row>
    <row r="1030718" spans="54:54" ht="15.75" customHeight="1" x14ac:dyDescent="0.3">
      <c r="BB1030718" s="38"/>
    </row>
    <row r="1030719" spans="54:54" ht="15.75" customHeight="1" x14ac:dyDescent="0.3">
      <c r="BB1030719" s="38"/>
    </row>
    <row r="1030720" spans="54:54" ht="15.75" customHeight="1" x14ac:dyDescent="0.3">
      <c r="BB1030720" s="38"/>
    </row>
    <row r="1030721" spans="54:54" ht="15.75" customHeight="1" x14ac:dyDescent="0.3">
      <c r="BB1030721" s="38"/>
    </row>
    <row r="1030722" spans="54:54" ht="15.75" customHeight="1" x14ac:dyDescent="0.3">
      <c r="BB1030722" s="38"/>
    </row>
    <row r="1030723" spans="54:54" ht="15.75" customHeight="1" x14ac:dyDescent="0.3">
      <c r="BB1030723" s="38"/>
    </row>
    <row r="1030724" spans="54:54" ht="15.75" customHeight="1" x14ac:dyDescent="0.3">
      <c r="BB1030724" s="38"/>
    </row>
    <row r="1030725" spans="54:54" ht="15.75" customHeight="1" x14ac:dyDescent="0.3">
      <c r="BB1030725" s="38"/>
    </row>
    <row r="1030726" spans="54:54" ht="15.75" customHeight="1" x14ac:dyDescent="0.3">
      <c r="BB1030726" s="38"/>
    </row>
    <row r="1030727" spans="54:54" ht="15.75" customHeight="1" x14ac:dyDescent="0.3">
      <c r="BB1030727" s="38"/>
    </row>
    <row r="1030728" spans="54:54" ht="15.75" customHeight="1" x14ac:dyDescent="0.3">
      <c r="BB1030728" s="38"/>
    </row>
    <row r="1030729" spans="54:54" ht="15.75" customHeight="1" x14ac:dyDescent="0.3">
      <c r="BB1030729" s="38"/>
    </row>
    <row r="1030730" spans="54:54" ht="15.75" customHeight="1" x14ac:dyDescent="0.3">
      <c r="BB1030730" s="38"/>
    </row>
    <row r="1030731" spans="54:54" ht="15.75" customHeight="1" x14ac:dyDescent="0.3">
      <c r="BB1030731" s="38"/>
    </row>
    <row r="1030732" spans="54:54" ht="15.75" customHeight="1" x14ac:dyDescent="0.3">
      <c r="BB1030732" s="38"/>
    </row>
    <row r="1030733" spans="54:54" ht="15.75" customHeight="1" x14ac:dyDescent="0.3">
      <c r="BB1030733" s="38"/>
    </row>
    <row r="1030734" spans="54:54" ht="15.75" customHeight="1" x14ac:dyDescent="0.3">
      <c r="BB1030734" s="38"/>
    </row>
    <row r="1030735" spans="54:54" ht="15.75" customHeight="1" x14ac:dyDescent="0.3">
      <c r="BB1030735" s="38"/>
    </row>
    <row r="1030736" spans="54:54" ht="15.75" customHeight="1" x14ac:dyDescent="0.3">
      <c r="BB1030736" s="38"/>
    </row>
    <row r="1030737" spans="54:54" ht="15.75" customHeight="1" x14ac:dyDescent="0.3">
      <c r="BB1030737" s="38"/>
    </row>
    <row r="1030738" spans="54:54" ht="15.75" customHeight="1" x14ac:dyDescent="0.3">
      <c r="BB1030738" s="38"/>
    </row>
    <row r="1030739" spans="54:54" ht="15.75" customHeight="1" x14ac:dyDescent="0.3">
      <c r="BB1030739" s="38"/>
    </row>
    <row r="1030740" spans="54:54" ht="15.75" customHeight="1" x14ac:dyDescent="0.3">
      <c r="BB1030740" s="38"/>
    </row>
    <row r="1030741" spans="54:54" ht="15.75" customHeight="1" x14ac:dyDescent="0.3">
      <c r="BB1030741" s="38"/>
    </row>
    <row r="1030742" spans="54:54" ht="15.75" customHeight="1" x14ac:dyDescent="0.3">
      <c r="BB1030742" s="38"/>
    </row>
    <row r="1030743" spans="54:54" ht="15.75" customHeight="1" x14ac:dyDescent="0.3">
      <c r="BB1030743" s="38"/>
    </row>
    <row r="1030744" spans="54:54" ht="15.75" customHeight="1" x14ac:dyDescent="0.3">
      <c r="BB1030744" s="38"/>
    </row>
    <row r="1030745" spans="54:54" ht="15.75" customHeight="1" x14ac:dyDescent="0.3">
      <c r="BB1030745" s="38"/>
    </row>
    <row r="1030746" spans="54:54" ht="15.75" customHeight="1" x14ac:dyDescent="0.3">
      <c r="BB1030746" s="38"/>
    </row>
    <row r="1030747" spans="54:54" ht="15.75" customHeight="1" x14ac:dyDescent="0.3">
      <c r="BB1030747" s="38"/>
    </row>
    <row r="1030748" spans="54:54" ht="15.75" customHeight="1" x14ac:dyDescent="0.3">
      <c r="BB1030748" s="38"/>
    </row>
    <row r="1030749" spans="54:54" ht="15.75" customHeight="1" x14ac:dyDescent="0.3">
      <c r="BB1030749" s="38"/>
    </row>
    <row r="1030750" spans="54:54" ht="15.75" customHeight="1" x14ac:dyDescent="0.3">
      <c r="BB1030750" s="38"/>
    </row>
    <row r="1030751" spans="54:54" ht="15.75" customHeight="1" x14ac:dyDescent="0.3">
      <c r="BB1030751" s="38"/>
    </row>
    <row r="1030752" spans="54:54" ht="15.75" customHeight="1" x14ac:dyDescent="0.3">
      <c r="BB1030752" s="38"/>
    </row>
    <row r="1030753" spans="54:54" ht="15.75" customHeight="1" x14ac:dyDescent="0.3">
      <c r="BB1030753" s="38"/>
    </row>
    <row r="1030754" spans="54:54" ht="15.75" customHeight="1" x14ac:dyDescent="0.3">
      <c r="BB1030754" s="38"/>
    </row>
    <row r="1030755" spans="54:54" ht="15.75" customHeight="1" x14ac:dyDescent="0.3">
      <c r="BB1030755" s="38"/>
    </row>
    <row r="1030756" spans="54:54" ht="15.75" customHeight="1" x14ac:dyDescent="0.3">
      <c r="BB1030756" s="38"/>
    </row>
    <row r="1030757" spans="54:54" ht="15.75" customHeight="1" x14ac:dyDescent="0.3">
      <c r="BB1030757" s="38"/>
    </row>
    <row r="1030758" spans="54:54" ht="15.75" customHeight="1" x14ac:dyDescent="0.3">
      <c r="BB1030758" s="38"/>
    </row>
    <row r="1030759" spans="54:54" ht="15.75" customHeight="1" x14ac:dyDescent="0.3">
      <c r="BB1030759" s="38"/>
    </row>
    <row r="1030760" spans="54:54" ht="15.75" customHeight="1" x14ac:dyDescent="0.3">
      <c r="BB1030760" s="38"/>
    </row>
    <row r="1030761" spans="54:54" ht="15.75" customHeight="1" x14ac:dyDescent="0.3">
      <c r="BB1030761" s="38"/>
    </row>
    <row r="1030762" spans="54:54" ht="15.75" customHeight="1" x14ac:dyDescent="0.3">
      <c r="BB1030762" s="38"/>
    </row>
    <row r="1030763" spans="54:54" ht="15.75" customHeight="1" x14ac:dyDescent="0.3">
      <c r="BB1030763" s="38"/>
    </row>
    <row r="1030764" spans="54:54" ht="15.75" customHeight="1" x14ac:dyDescent="0.3">
      <c r="BB1030764" s="38"/>
    </row>
    <row r="1030765" spans="54:54" ht="15.75" customHeight="1" x14ac:dyDescent="0.3">
      <c r="BB1030765" s="38"/>
    </row>
    <row r="1030766" spans="54:54" ht="15.75" customHeight="1" x14ac:dyDescent="0.3">
      <c r="BB1030766" s="38"/>
    </row>
    <row r="1030767" spans="54:54" ht="15.75" customHeight="1" x14ac:dyDescent="0.3">
      <c r="BB1030767" s="38"/>
    </row>
    <row r="1030768" spans="54:54" ht="15.75" customHeight="1" x14ac:dyDescent="0.3">
      <c r="BB1030768" s="38"/>
    </row>
    <row r="1030769" spans="54:54" ht="15.75" customHeight="1" x14ac:dyDescent="0.3">
      <c r="BB1030769" s="38"/>
    </row>
    <row r="1030770" spans="54:54" ht="15.75" customHeight="1" x14ac:dyDescent="0.3">
      <c r="BB1030770" s="38"/>
    </row>
    <row r="1030771" spans="54:54" ht="15.75" customHeight="1" x14ac:dyDescent="0.3">
      <c r="BB1030771" s="38"/>
    </row>
    <row r="1030772" spans="54:54" ht="15.75" customHeight="1" x14ac:dyDescent="0.3">
      <c r="BB1030772" s="38"/>
    </row>
    <row r="1030773" spans="54:54" ht="15.75" customHeight="1" x14ac:dyDescent="0.3">
      <c r="BB1030773" s="38"/>
    </row>
    <row r="1030774" spans="54:54" ht="15.75" customHeight="1" x14ac:dyDescent="0.3">
      <c r="BB1030774" s="38"/>
    </row>
    <row r="1030775" spans="54:54" ht="15.75" customHeight="1" x14ac:dyDescent="0.3">
      <c r="BB1030775" s="38"/>
    </row>
    <row r="1030776" spans="54:54" ht="15.75" customHeight="1" x14ac:dyDescent="0.3">
      <c r="BB1030776" s="38"/>
    </row>
    <row r="1030777" spans="54:54" ht="15.75" customHeight="1" x14ac:dyDescent="0.3">
      <c r="BB1030777" s="38"/>
    </row>
    <row r="1030778" spans="54:54" ht="15.75" customHeight="1" x14ac:dyDescent="0.3">
      <c r="BB1030778" s="38"/>
    </row>
    <row r="1030779" spans="54:54" ht="15.75" customHeight="1" x14ac:dyDescent="0.3">
      <c r="BB1030779" s="38"/>
    </row>
    <row r="1030780" spans="54:54" ht="15.75" customHeight="1" x14ac:dyDescent="0.3">
      <c r="BB1030780" s="38"/>
    </row>
    <row r="1030781" spans="54:54" ht="15.75" customHeight="1" x14ac:dyDescent="0.3">
      <c r="BB1030781" s="38"/>
    </row>
    <row r="1030782" spans="54:54" ht="15.75" customHeight="1" x14ac:dyDescent="0.3">
      <c r="BB1030782" s="38"/>
    </row>
    <row r="1030783" spans="54:54" ht="15.75" customHeight="1" x14ac:dyDescent="0.3">
      <c r="BB1030783" s="38"/>
    </row>
    <row r="1030784" spans="54:54" ht="15.75" customHeight="1" x14ac:dyDescent="0.3">
      <c r="BB1030784" s="38"/>
    </row>
    <row r="1030785" spans="54:54" ht="15.75" customHeight="1" x14ac:dyDescent="0.3">
      <c r="BB1030785" s="38"/>
    </row>
    <row r="1030786" spans="54:54" ht="15.75" customHeight="1" x14ac:dyDescent="0.3">
      <c r="BB1030786" s="38"/>
    </row>
    <row r="1030787" spans="54:54" ht="15.75" customHeight="1" x14ac:dyDescent="0.3">
      <c r="BB1030787" s="38"/>
    </row>
    <row r="1030788" spans="54:54" ht="15.75" customHeight="1" x14ac:dyDescent="0.3">
      <c r="BB1030788" s="38"/>
    </row>
    <row r="1030789" spans="54:54" ht="15.75" customHeight="1" x14ac:dyDescent="0.3">
      <c r="BB1030789" s="38"/>
    </row>
    <row r="1030790" spans="54:54" ht="15.75" customHeight="1" x14ac:dyDescent="0.3">
      <c r="BB1030790" s="38"/>
    </row>
    <row r="1030791" spans="54:54" ht="15.75" customHeight="1" x14ac:dyDescent="0.3">
      <c r="BB1030791" s="38"/>
    </row>
    <row r="1030792" spans="54:54" ht="15.75" customHeight="1" x14ac:dyDescent="0.3">
      <c r="BB1030792" s="38"/>
    </row>
    <row r="1030793" spans="54:54" ht="15.75" customHeight="1" x14ac:dyDescent="0.3">
      <c r="BB1030793" s="38"/>
    </row>
    <row r="1030794" spans="54:54" ht="15.75" customHeight="1" x14ac:dyDescent="0.3">
      <c r="BB1030794" s="38"/>
    </row>
    <row r="1030795" spans="54:54" ht="15.75" customHeight="1" x14ac:dyDescent="0.3">
      <c r="BB1030795" s="38"/>
    </row>
    <row r="1030796" spans="54:54" ht="15.75" customHeight="1" x14ac:dyDescent="0.3">
      <c r="BB1030796" s="38"/>
    </row>
    <row r="1030797" spans="54:54" ht="15.75" customHeight="1" x14ac:dyDescent="0.3">
      <c r="BB1030797" s="38"/>
    </row>
    <row r="1030798" spans="54:54" ht="15.75" customHeight="1" x14ac:dyDescent="0.3">
      <c r="BB1030798" s="38"/>
    </row>
    <row r="1030799" spans="54:54" ht="15.75" customHeight="1" x14ac:dyDescent="0.3">
      <c r="BB1030799" s="38"/>
    </row>
    <row r="1030800" spans="54:54" ht="15.75" customHeight="1" x14ac:dyDescent="0.3">
      <c r="BB1030800" s="38"/>
    </row>
    <row r="1030801" spans="54:54" ht="15.75" customHeight="1" x14ac:dyDescent="0.3">
      <c r="BB1030801" s="38"/>
    </row>
    <row r="1030802" spans="54:54" ht="15.75" customHeight="1" x14ac:dyDescent="0.3">
      <c r="BB1030802" s="38"/>
    </row>
    <row r="1030803" spans="54:54" ht="15.75" customHeight="1" x14ac:dyDescent="0.3">
      <c r="BB1030803" s="38"/>
    </row>
    <row r="1030804" spans="54:54" ht="15.75" customHeight="1" x14ac:dyDescent="0.3">
      <c r="BB1030804" s="38"/>
    </row>
    <row r="1030805" spans="54:54" ht="15.75" customHeight="1" x14ac:dyDescent="0.3">
      <c r="BB1030805" s="38"/>
    </row>
    <row r="1030806" spans="54:54" ht="15.75" customHeight="1" x14ac:dyDescent="0.3">
      <c r="BB1030806" s="38"/>
    </row>
    <row r="1030807" spans="54:54" ht="15.75" customHeight="1" x14ac:dyDescent="0.3">
      <c r="BB1030807" s="38"/>
    </row>
    <row r="1030808" spans="54:54" ht="15.75" customHeight="1" x14ac:dyDescent="0.3">
      <c r="BB1030808" s="38"/>
    </row>
    <row r="1030809" spans="54:54" ht="15.75" customHeight="1" x14ac:dyDescent="0.3">
      <c r="BB1030809" s="38"/>
    </row>
    <row r="1030810" spans="54:54" ht="15.75" customHeight="1" x14ac:dyDescent="0.3">
      <c r="BB1030810" s="38"/>
    </row>
    <row r="1030811" spans="54:54" ht="15.75" customHeight="1" x14ac:dyDescent="0.3">
      <c r="BB1030811" s="38"/>
    </row>
    <row r="1030812" spans="54:54" ht="15.75" customHeight="1" x14ac:dyDescent="0.3">
      <c r="BB1030812" s="38"/>
    </row>
    <row r="1030813" spans="54:54" ht="15.75" customHeight="1" x14ac:dyDescent="0.3">
      <c r="BB1030813" s="38"/>
    </row>
    <row r="1030814" spans="54:54" ht="15.75" customHeight="1" x14ac:dyDescent="0.3">
      <c r="BB1030814" s="38"/>
    </row>
    <row r="1030815" spans="54:54" ht="15.75" customHeight="1" x14ac:dyDescent="0.3">
      <c r="BB1030815" s="38"/>
    </row>
    <row r="1030816" spans="54:54" ht="15.75" customHeight="1" x14ac:dyDescent="0.3">
      <c r="BB1030816" s="38"/>
    </row>
    <row r="1030817" spans="54:54" ht="15.75" customHeight="1" x14ac:dyDescent="0.3">
      <c r="BB1030817" s="38"/>
    </row>
    <row r="1030818" spans="54:54" ht="15.75" customHeight="1" x14ac:dyDescent="0.3">
      <c r="BB1030818" s="38"/>
    </row>
    <row r="1030819" spans="54:54" ht="15.75" customHeight="1" x14ac:dyDescent="0.3">
      <c r="BB1030819" s="38"/>
    </row>
    <row r="1030820" spans="54:54" ht="15.75" customHeight="1" x14ac:dyDescent="0.3">
      <c r="BB1030820" s="38"/>
    </row>
    <row r="1030821" spans="54:54" ht="15.75" customHeight="1" x14ac:dyDescent="0.3">
      <c r="BB1030821" s="38"/>
    </row>
    <row r="1030822" spans="54:54" ht="15.75" customHeight="1" x14ac:dyDescent="0.3">
      <c r="BB1030822" s="38"/>
    </row>
    <row r="1030823" spans="54:54" ht="15.75" customHeight="1" x14ac:dyDescent="0.3">
      <c r="BB1030823" s="38"/>
    </row>
    <row r="1030824" spans="54:54" ht="15.75" customHeight="1" x14ac:dyDescent="0.3">
      <c r="BB1030824" s="38"/>
    </row>
    <row r="1030825" spans="54:54" ht="15.75" customHeight="1" x14ac:dyDescent="0.3">
      <c r="BB1030825" s="38"/>
    </row>
    <row r="1030826" spans="54:54" ht="15.75" customHeight="1" x14ac:dyDescent="0.3">
      <c r="BB1030826" s="38"/>
    </row>
    <row r="1030827" spans="54:54" ht="15.75" customHeight="1" x14ac:dyDescent="0.3">
      <c r="BB1030827" s="38"/>
    </row>
    <row r="1030828" spans="54:54" ht="15.75" customHeight="1" x14ac:dyDescent="0.3">
      <c r="BB1030828" s="38"/>
    </row>
    <row r="1030829" spans="54:54" ht="15.75" customHeight="1" x14ac:dyDescent="0.3">
      <c r="BB1030829" s="38"/>
    </row>
    <row r="1030830" spans="54:54" ht="15.75" customHeight="1" x14ac:dyDescent="0.3">
      <c r="BB1030830" s="38"/>
    </row>
    <row r="1030831" spans="54:54" ht="15.75" customHeight="1" x14ac:dyDescent="0.3">
      <c r="BB1030831" s="38"/>
    </row>
    <row r="1030832" spans="54:54" ht="15.75" customHeight="1" x14ac:dyDescent="0.3">
      <c r="BB1030832" s="38"/>
    </row>
    <row r="1030833" spans="54:54" ht="15.75" customHeight="1" x14ac:dyDescent="0.3">
      <c r="BB1030833" s="38"/>
    </row>
    <row r="1030834" spans="54:54" ht="15.75" customHeight="1" x14ac:dyDescent="0.3">
      <c r="BB1030834" s="38"/>
    </row>
    <row r="1030835" spans="54:54" ht="15.75" customHeight="1" x14ac:dyDescent="0.3">
      <c r="BB1030835" s="38"/>
    </row>
    <row r="1030836" spans="54:54" ht="15.75" customHeight="1" x14ac:dyDescent="0.3">
      <c r="BB1030836" s="38"/>
    </row>
    <row r="1030837" spans="54:54" ht="15.75" customHeight="1" x14ac:dyDescent="0.3">
      <c r="BB1030837" s="38"/>
    </row>
    <row r="1030838" spans="54:54" ht="15.75" customHeight="1" x14ac:dyDescent="0.3">
      <c r="BB1030838" s="38"/>
    </row>
    <row r="1030839" spans="54:54" ht="15.75" customHeight="1" x14ac:dyDescent="0.3">
      <c r="BB1030839" s="38"/>
    </row>
    <row r="1030840" spans="54:54" ht="15.75" customHeight="1" x14ac:dyDescent="0.3">
      <c r="BB1030840" s="38"/>
    </row>
    <row r="1030841" spans="54:54" ht="15.75" customHeight="1" x14ac:dyDescent="0.3">
      <c r="BB1030841" s="38"/>
    </row>
    <row r="1030842" spans="54:54" ht="15.75" customHeight="1" x14ac:dyDescent="0.3">
      <c r="BB1030842" s="38"/>
    </row>
    <row r="1030843" spans="54:54" ht="15.75" customHeight="1" x14ac:dyDescent="0.3">
      <c r="BB1030843" s="38"/>
    </row>
    <row r="1030844" spans="54:54" ht="15.75" customHeight="1" x14ac:dyDescent="0.3">
      <c r="BB1030844" s="38"/>
    </row>
    <row r="1030845" spans="54:54" ht="15.75" customHeight="1" x14ac:dyDescent="0.3">
      <c r="BB1030845" s="38"/>
    </row>
    <row r="1030846" spans="54:54" ht="15.75" customHeight="1" x14ac:dyDescent="0.3">
      <c r="BB1030846" s="38"/>
    </row>
    <row r="1030847" spans="54:54" ht="15.75" customHeight="1" x14ac:dyDescent="0.3">
      <c r="BB1030847" s="38"/>
    </row>
    <row r="1030848" spans="54:54" ht="15.75" customHeight="1" x14ac:dyDescent="0.3">
      <c r="BB1030848" s="38"/>
    </row>
    <row r="1030849" spans="54:54" ht="15.75" customHeight="1" x14ac:dyDescent="0.3">
      <c r="BB1030849" s="38"/>
    </row>
    <row r="1030850" spans="54:54" ht="15.75" customHeight="1" x14ac:dyDescent="0.3">
      <c r="BB1030850" s="38"/>
    </row>
    <row r="1030851" spans="54:54" ht="15.75" customHeight="1" x14ac:dyDescent="0.3">
      <c r="BB1030851" s="38"/>
    </row>
    <row r="1030852" spans="54:54" ht="15.75" customHeight="1" x14ac:dyDescent="0.3">
      <c r="BB1030852" s="38"/>
    </row>
    <row r="1030853" spans="54:54" ht="15.75" customHeight="1" x14ac:dyDescent="0.3">
      <c r="BB1030853" s="38"/>
    </row>
    <row r="1030854" spans="54:54" ht="15.75" customHeight="1" x14ac:dyDescent="0.3">
      <c r="BB1030854" s="38"/>
    </row>
    <row r="1030855" spans="54:54" ht="15.75" customHeight="1" x14ac:dyDescent="0.3">
      <c r="BB1030855" s="38"/>
    </row>
    <row r="1030856" spans="54:54" ht="15.75" customHeight="1" x14ac:dyDescent="0.3">
      <c r="BB1030856" s="38"/>
    </row>
    <row r="1030857" spans="54:54" ht="15.75" customHeight="1" x14ac:dyDescent="0.3">
      <c r="BB1030857" s="38"/>
    </row>
    <row r="1030858" spans="54:54" ht="15.75" customHeight="1" x14ac:dyDescent="0.3">
      <c r="BB1030858" s="38"/>
    </row>
    <row r="1030859" spans="54:54" ht="15.75" customHeight="1" x14ac:dyDescent="0.3">
      <c r="BB1030859" s="38"/>
    </row>
    <row r="1030860" spans="54:54" ht="15.75" customHeight="1" x14ac:dyDescent="0.3">
      <c r="BB1030860" s="38"/>
    </row>
    <row r="1030861" spans="54:54" ht="15.75" customHeight="1" x14ac:dyDescent="0.3">
      <c r="BB1030861" s="38"/>
    </row>
    <row r="1030862" spans="54:54" ht="15.75" customHeight="1" x14ac:dyDescent="0.3">
      <c r="BB1030862" s="38"/>
    </row>
    <row r="1030863" spans="54:54" ht="15.75" customHeight="1" x14ac:dyDescent="0.3">
      <c r="BB1030863" s="38"/>
    </row>
    <row r="1030864" spans="54:54" ht="15.75" customHeight="1" x14ac:dyDescent="0.3">
      <c r="BB1030864" s="38"/>
    </row>
    <row r="1030865" spans="54:54" ht="15.75" customHeight="1" x14ac:dyDescent="0.3">
      <c r="BB1030865" s="38"/>
    </row>
    <row r="1030866" spans="54:54" ht="15.75" customHeight="1" x14ac:dyDescent="0.3">
      <c r="BB1030866" s="38"/>
    </row>
    <row r="1030867" spans="54:54" ht="15.75" customHeight="1" x14ac:dyDescent="0.3">
      <c r="BB1030867" s="38"/>
    </row>
    <row r="1030868" spans="54:54" ht="15.75" customHeight="1" x14ac:dyDescent="0.3">
      <c r="BB1030868" s="38"/>
    </row>
    <row r="1030869" spans="54:54" ht="15.75" customHeight="1" x14ac:dyDescent="0.3">
      <c r="BB1030869" s="38"/>
    </row>
    <row r="1030870" spans="54:54" ht="15.75" customHeight="1" x14ac:dyDescent="0.3">
      <c r="BB1030870" s="38"/>
    </row>
    <row r="1030871" spans="54:54" ht="15.75" customHeight="1" x14ac:dyDescent="0.3">
      <c r="BB1030871" s="38"/>
    </row>
    <row r="1030872" spans="54:54" ht="15.75" customHeight="1" x14ac:dyDescent="0.3">
      <c r="BB1030872" s="38"/>
    </row>
    <row r="1030873" spans="54:54" ht="15.75" customHeight="1" x14ac:dyDescent="0.3">
      <c r="BB1030873" s="38"/>
    </row>
    <row r="1030874" spans="54:54" ht="15.75" customHeight="1" x14ac:dyDescent="0.3">
      <c r="BB1030874" s="38"/>
    </row>
    <row r="1030875" spans="54:54" ht="15.75" customHeight="1" x14ac:dyDescent="0.3">
      <c r="BB1030875" s="38"/>
    </row>
    <row r="1030876" spans="54:54" ht="15.75" customHeight="1" x14ac:dyDescent="0.3">
      <c r="BB1030876" s="38"/>
    </row>
    <row r="1030877" spans="54:54" ht="15.75" customHeight="1" x14ac:dyDescent="0.3">
      <c r="BB1030877" s="38"/>
    </row>
    <row r="1030878" spans="54:54" ht="15.75" customHeight="1" x14ac:dyDescent="0.3">
      <c r="BB1030878" s="38"/>
    </row>
    <row r="1030879" spans="54:54" ht="15.75" customHeight="1" x14ac:dyDescent="0.3">
      <c r="BB1030879" s="38"/>
    </row>
    <row r="1030880" spans="54:54" ht="15.75" customHeight="1" x14ac:dyDescent="0.3">
      <c r="BB1030880" s="38"/>
    </row>
    <row r="1030881" spans="54:54" ht="15.75" customHeight="1" x14ac:dyDescent="0.3">
      <c r="BB1030881" s="38"/>
    </row>
    <row r="1030882" spans="54:54" ht="15.75" customHeight="1" x14ac:dyDescent="0.3">
      <c r="BB1030882" s="38"/>
    </row>
    <row r="1030883" spans="54:54" ht="15.75" customHeight="1" x14ac:dyDescent="0.3">
      <c r="BB1030883" s="38"/>
    </row>
    <row r="1030884" spans="54:54" ht="15.75" customHeight="1" x14ac:dyDescent="0.3">
      <c r="BB1030884" s="38"/>
    </row>
    <row r="1030885" spans="54:54" ht="15.75" customHeight="1" x14ac:dyDescent="0.3">
      <c r="BB1030885" s="38"/>
    </row>
    <row r="1030886" spans="54:54" ht="15.75" customHeight="1" x14ac:dyDescent="0.3">
      <c r="BB1030886" s="38"/>
    </row>
    <row r="1030887" spans="54:54" ht="15.75" customHeight="1" x14ac:dyDescent="0.3">
      <c r="BB1030887" s="38"/>
    </row>
    <row r="1030888" spans="54:54" ht="15.75" customHeight="1" x14ac:dyDescent="0.3">
      <c r="BB1030888" s="38"/>
    </row>
    <row r="1030889" spans="54:54" ht="15.75" customHeight="1" x14ac:dyDescent="0.3">
      <c r="BB1030889" s="38"/>
    </row>
    <row r="1030890" spans="54:54" ht="15.75" customHeight="1" x14ac:dyDescent="0.3">
      <c r="BB1030890" s="38"/>
    </row>
    <row r="1030891" spans="54:54" ht="15.75" customHeight="1" x14ac:dyDescent="0.3">
      <c r="BB1030891" s="38"/>
    </row>
    <row r="1030892" spans="54:54" ht="15.75" customHeight="1" x14ac:dyDescent="0.3">
      <c r="BB1030892" s="38"/>
    </row>
    <row r="1030893" spans="54:54" ht="15.75" customHeight="1" x14ac:dyDescent="0.3">
      <c r="BB1030893" s="38"/>
    </row>
    <row r="1030894" spans="54:54" ht="15.75" customHeight="1" x14ac:dyDescent="0.3">
      <c r="BB1030894" s="38"/>
    </row>
    <row r="1030895" spans="54:54" ht="15.75" customHeight="1" x14ac:dyDescent="0.3">
      <c r="BB1030895" s="38"/>
    </row>
    <row r="1030896" spans="54:54" ht="15.75" customHeight="1" x14ac:dyDescent="0.3">
      <c r="BB1030896" s="38"/>
    </row>
    <row r="1030897" spans="54:54" ht="15.75" customHeight="1" x14ac:dyDescent="0.3">
      <c r="BB1030897" s="38"/>
    </row>
    <row r="1030898" spans="54:54" ht="15.75" customHeight="1" x14ac:dyDescent="0.3">
      <c r="BB1030898" s="38"/>
    </row>
    <row r="1030899" spans="54:54" ht="15.75" customHeight="1" x14ac:dyDescent="0.3">
      <c r="BB1030899" s="38"/>
    </row>
    <row r="1030900" spans="54:54" ht="15.75" customHeight="1" x14ac:dyDescent="0.3">
      <c r="BB1030900" s="38"/>
    </row>
    <row r="1030901" spans="54:54" ht="15.75" customHeight="1" x14ac:dyDescent="0.3">
      <c r="BB1030901" s="38"/>
    </row>
    <row r="1030902" spans="54:54" ht="15.75" customHeight="1" x14ac:dyDescent="0.3">
      <c r="BB1030902" s="38"/>
    </row>
    <row r="1030903" spans="54:54" ht="15.75" customHeight="1" x14ac:dyDescent="0.3">
      <c r="BB1030903" s="38"/>
    </row>
    <row r="1030904" spans="54:54" ht="15.75" customHeight="1" x14ac:dyDescent="0.3">
      <c r="BB1030904" s="38"/>
    </row>
    <row r="1030905" spans="54:54" ht="15.75" customHeight="1" x14ac:dyDescent="0.3">
      <c r="BB1030905" s="38"/>
    </row>
    <row r="1030906" spans="54:54" ht="15.75" customHeight="1" x14ac:dyDescent="0.3">
      <c r="BB1030906" s="38"/>
    </row>
    <row r="1030907" spans="54:54" ht="15.75" customHeight="1" x14ac:dyDescent="0.3">
      <c r="BB1030907" s="38"/>
    </row>
    <row r="1030908" spans="54:54" ht="15.75" customHeight="1" x14ac:dyDescent="0.3">
      <c r="BB1030908" s="38"/>
    </row>
    <row r="1030909" spans="54:54" ht="15.75" customHeight="1" x14ac:dyDescent="0.3">
      <c r="BB1030909" s="38"/>
    </row>
    <row r="1030910" spans="54:54" ht="15.75" customHeight="1" x14ac:dyDescent="0.3">
      <c r="BB1030910" s="38"/>
    </row>
    <row r="1030911" spans="54:54" ht="15.75" customHeight="1" x14ac:dyDescent="0.3">
      <c r="BB1030911" s="38"/>
    </row>
    <row r="1030912" spans="54:54" ht="15.75" customHeight="1" x14ac:dyDescent="0.3">
      <c r="BB1030912" s="38"/>
    </row>
    <row r="1030913" spans="54:54" ht="15.75" customHeight="1" x14ac:dyDescent="0.3">
      <c r="BB1030913" s="38"/>
    </row>
    <row r="1030914" spans="54:54" ht="15.75" customHeight="1" x14ac:dyDescent="0.3">
      <c r="BB1030914" s="38"/>
    </row>
    <row r="1030915" spans="54:54" ht="15.75" customHeight="1" x14ac:dyDescent="0.3">
      <c r="BB1030915" s="38"/>
    </row>
    <row r="1030916" spans="54:54" ht="15.75" customHeight="1" x14ac:dyDescent="0.3">
      <c r="BB1030916" s="38"/>
    </row>
    <row r="1030917" spans="54:54" ht="15.75" customHeight="1" x14ac:dyDescent="0.3">
      <c r="BB1030917" s="38"/>
    </row>
    <row r="1030918" spans="54:54" ht="15.75" customHeight="1" x14ac:dyDescent="0.3">
      <c r="BB1030918" s="38"/>
    </row>
    <row r="1030919" spans="54:54" ht="15.75" customHeight="1" x14ac:dyDescent="0.3">
      <c r="BB1030919" s="38"/>
    </row>
    <row r="1030920" spans="54:54" ht="15.75" customHeight="1" x14ac:dyDescent="0.3">
      <c r="BB1030920" s="38"/>
    </row>
    <row r="1030921" spans="54:54" ht="15.75" customHeight="1" x14ac:dyDescent="0.3">
      <c r="BB1030921" s="38"/>
    </row>
    <row r="1030922" spans="54:54" ht="15.75" customHeight="1" x14ac:dyDescent="0.3">
      <c r="BB1030922" s="38"/>
    </row>
    <row r="1030923" spans="54:54" ht="15.75" customHeight="1" x14ac:dyDescent="0.3">
      <c r="BB1030923" s="38"/>
    </row>
    <row r="1030924" spans="54:54" ht="15.75" customHeight="1" x14ac:dyDescent="0.3">
      <c r="BB1030924" s="38"/>
    </row>
    <row r="1030925" spans="54:54" ht="15.75" customHeight="1" x14ac:dyDescent="0.3">
      <c r="BB1030925" s="38"/>
    </row>
    <row r="1030926" spans="54:54" ht="15.75" customHeight="1" x14ac:dyDescent="0.3">
      <c r="BB1030926" s="38"/>
    </row>
    <row r="1030927" spans="54:54" ht="15.75" customHeight="1" x14ac:dyDescent="0.3">
      <c r="BB1030927" s="38"/>
    </row>
    <row r="1030928" spans="54:54" ht="15.75" customHeight="1" x14ac:dyDescent="0.3">
      <c r="BB1030928" s="38"/>
    </row>
    <row r="1030929" spans="54:54" ht="15.75" customHeight="1" x14ac:dyDescent="0.3">
      <c r="BB1030929" s="38"/>
    </row>
    <row r="1030930" spans="54:54" ht="15.75" customHeight="1" x14ac:dyDescent="0.3">
      <c r="BB1030930" s="38"/>
    </row>
    <row r="1030931" spans="54:54" ht="15.75" customHeight="1" x14ac:dyDescent="0.3">
      <c r="BB1030931" s="38"/>
    </row>
    <row r="1030932" spans="54:54" ht="15.75" customHeight="1" x14ac:dyDescent="0.3">
      <c r="BB1030932" s="38"/>
    </row>
    <row r="1030933" spans="54:54" ht="15.75" customHeight="1" x14ac:dyDescent="0.3">
      <c r="BB1030933" s="38"/>
    </row>
    <row r="1030934" spans="54:54" ht="15.75" customHeight="1" x14ac:dyDescent="0.3">
      <c r="BB1030934" s="38"/>
    </row>
    <row r="1030935" spans="54:54" ht="15.75" customHeight="1" x14ac:dyDescent="0.3">
      <c r="BB1030935" s="38"/>
    </row>
    <row r="1030936" spans="54:54" ht="15.75" customHeight="1" x14ac:dyDescent="0.3">
      <c r="BB1030936" s="38"/>
    </row>
    <row r="1030937" spans="54:54" ht="15.75" customHeight="1" x14ac:dyDescent="0.3">
      <c r="BB1030937" s="38"/>
    </row>
    <row r="1030938" spans="54:54" ht="15.75" customHeight="1" x14ac:dyDescent="0.3">
      <c r="BB1030938" s="38"/>
    </row>
    <row r="1030939" spans="54:54" ht="15.75" customHeight="1" x14ac:dyDescent="0.3">
      <c r="BB1030939" s="38"/>
    </row>
    <row r="1030940" spans="54:54" ht="15.75" customHeight="1" x14ac:dyDescent="0.3">
      <c r="BB1030940" s="38"/>
    </row>
    <row r="1030941" spans="54:54" ht="15.75" customHeight="1" x14ac:dyDescent="0.3">
      <c r="BB1030941" s="38"/>
    </row>
    <row r="1030942" spans="54:54" ht="15.75" customHeight="1" x14ac:dyDescent="0.3">
      <c r="BB1030942" s="38"/>
    </row>
    <row r="1030943" spans="54:54" ht="15.75" customHeight="1" x14ac:dyDescent="0.3">
      <c r="BB1030943" s="38"/>
    </row>
    <row r="1030944" spans="54:54" ht="15.75" customHeight="1" x14ac:dyDescent="0.3">
      <c r="BB1030944" s="38"/>
    </row>
    <row r="1030945" spans="54:54" ht="15.75" customHeight="1" x14ac:dyDescent="0.3">
      <c r="BB1030945" s="38"/>
    </row>
    <row r="1030946" spans="54:54" ht="15.75" customHeight="1" x14ac:dyDescent="0.3">
      <c r="BB1030946" s="38"/>
    </row>
    <row r="1030947" spans="54:54" ht="15.75" customHeight="1" x14ac:dyDescent="0.3">
      <c r="BB1030947" s="38"/>
    </row>
    <row r="1030948" spans="54:54" ht="15.75" customHeight="1" x14ac:dyDescent="0.3">
      <c r="BB1030948" s="38"/>
    </row>
    <row r="1030949" spans="54:54" ht="15.75" customHeight="1" x14ac:dyDescent="0.3">
      <c r="BB1030949" s="38"/>
    </row>
    <row r="1030950" spans="54:54" ht="15.75" customHeight="1" x14ac:dyDescent="0.3">
      <c r="BB1030950" s="38"/>
    </row>
    <row r="1030951" spans="54:54" ht="15.75" customHeight="1" x14ac:dyDescent="0.3">
      <c r="BB1030951" s="38"/>
    </row>
    <row r="1030952" spans="54:54" ht="15.75" customHeight="1" x14ac:dyDescent="0.3">
      <c r="BB1030952" s="38"/>
    </row>
    <row r="1030953" spans="54:54" ht="15.75" customHeight="1" x14ac:dyDescent="0.3">
      <c r="BB1030953" s="38"/>
    </row>
    <row r="1030954" spans="54:54" ht="15.75" customHeight="1" x14ac:dyDescent="0.3">
      <c r="BB1030954" s="38"/>
    </row>
    <row r="1030955" spans="54:54" ht="15.75" customHeight="1" x14ac:dyDescent="0.3">
      <c r="BB1030955" s="38"/>
    </row>
    <row r="1030956" spans="54:54" ht="15.75" customHeight="1" x14ac:dyDescent="0.3">
      <c r="BB1030956" s="38"/>
    </row>
    <row r="1030957" spans="54:54" ht="15.75" customHeight="1" x14ac:dyDescent="0.3">
      <c r="BB1030957" s="38"/>
    </row>
    <row r="1030958" spans="54:54" ht="15.75" customHeight="1" x14ac:dyDescent="0.3">
      <c r="BB1030958" s="38"/>
    </row>
    <row r="1030959" spans="54:54" ht="15.75" customHeight="1" x14ac:dyDescent="0.3">
      <c r="BB1030959" s="38"/>
    </row>
    <row r="1030960" spans="54:54" ht="15.75" customHeight="1" x14ac:dyDescent="0.3">
      <c r="BB1030960" s="38"/>
    </row>
    <row r="1030961" spans="54:54" ht="15.75" customHeight="1" x14ac:dyDescent="0.3">
      <c r="BB1030961" s="38"/>
    </row>
    <row r="1030962" spans="54:54" ht="15.75" customHeight="1" x14ac:dyDescent="0.3">
      <c r="BB1030962" s="38"/>
    </row>
    <row r="1030963" spans="54:54" ht="15.75" customHeight="1" x14ac:dyDescent="0.3">
      <c r="BB1030963" s="38"/>
    </row>
    <row r="1030964" spans="54:54" ht="15.75" customHeight="1" x14ac:dyDescent="0.3">
      <c r="BB1030964" s="38"/>
    </row>
    <row r="1030965" spans="54:54" ht="15.75" customHeight="1" x14ac:dyDescent="0.3">
      <c r="BB1030965" s="38"/>
    </row>
    <row r="1030966" spans="54:54" ht="15.75" customHeight="1" x14ac:dyDescent="0.3">
      <c r="BB1030966" s="38"/>
    </row>
    <row r="1030967" spans="54:54" ht="15.75" customHeight="1" x14ac:dyDescent="0.3">
      <c r="BB1030967" s="38"/>
    </row>
    <row r="1030968" spans="54:54" ht="15.75" customHeight="1" x14ac:dyDescent="0.3">
      <c r="BB1030968" s="38"/>
    </row>
    <row r="1030969" spans="54:54" ht="15.75" customHeight="1" x14ac:dyDescent="0.3">
      <c r="BB1030969" s="38"/>
    </row>
    <row r="1030970" spans="54:54" ht="15.75" customHeight="1" x14ac:dyDescent="0.3">
      <c r="BB1030970" s="38"/>
    </row>
    <row r="1030971" spans="54:54" ht="15.75" customHeight="1" x14ac:dyDescent="0.3">
      <c r="BB1030971" s="38"/>
    </row>
    <row r="1030972" spans="54:54" ht="15.75" customHeight="1" x14ac:dyDescent="0.3">
      <c r="BB1030972" s="38"/>
    </row>
    <row r="1030973" spans="54:54" ht="15.75" customHeight="1" x14ac:dyDescent="0.3">
      <c r="BB1030973" s="38"/>
    </row>
    <row r="1030974" spans="54:54" ht="15.75" customHeight="1" x14ac:dyDescent="0.3">
      <c r="BB1030974" s="38"/>
    </row>
    <row r="1030975" spans="54:54" ht="15.75" customHeight="1" x14ac:dyDescent="0.3">
      <c r="BB1030975" s="38"/>
    </row>
    <row r="1030976" spans="54:54" ht="15.75" customHeight="1" x14ac:dyDescent="0.3">
      <c r="BB1030976" s="38"/>
    </row>
    <row r="1030977" spans="54:54" ht="15.75" customHeight="1" x14ac:dyDescent="0.3">
      <c r="BB1030977" s="38"/>
    </row>
    <row r="1030978" spans="54:54" ht="15.75" customHeight="1" x14ac:dyDescent="0.3">
      <c r="BB1030978" s="38"/>
    </row>
    <row r="1030979" spans="54:54" ht="15.75" customHeight="1" x14ac:dyDescent="0.3">
      <c r="BB1030979" s="38"/>
    </row>
    <row r="1030980" spans="54:54" ht="15.75" customHeight="1" x14ac:dyDescent="0.3">
      <c r="BB1030980" s="38"/>
    </row>
    <row r="1030981" spans="54:54" ht="15.75" customHeight="1" x14ac:dyDescent="0.3">
      <c r="BB1030981" s="38"/>
    </row>
    <row r="1030982" spans="54:54" ht="15.75" customHeight="1" x14ac:dyDescent="0.3">
      <c r="BB1030982" s="38"/>
    </row>
    <row r="1030983" spans="54:54" ht="15.75" customHeight="1" x14ac:dyDescent="0.3">
      <c r="BB1030983" s="38"/>
    </row>
    <row r="1030984" spans="54:54" ht="15.75" customHeight="1" x14ac:dyDescent="0.3">
      <c r="BB1030984" s="38"/>
    </row>
    <row r="1030985" spans="54:54" ht="15.75" customHeight="1" x14ac:dyDescent="0.3">
      <c r="BB1030985" s="38"/>
    </row>
    <row r="1030986" spans="54:54" ht="15.75" customHeight="1" x14ac:dyDescent="0.3">
      <c r="BB1030986" s="38"/>
    </row>
    <row r="1030987" spans="54:54" ht="15.75" customHeight="1" x14ac:dyDescent="0.3">
      <c r="BB1030987" s="38"/>
    </row>
    <row r="1030988" spans="54:54" ht="15.75" customHeight="1" x14ac:dyDescent="0.3">
      <c r="BB1030988" s="38"/>
    </row>
    <row r="1030989" spans="54:54" ht="15.75" customHeight="1" x14ac:dyDescent="0.3">
      <c r="BB1030989" s="38"/>
    </row>
    <row r="1030990" spans="54:54" ht="15.75" customHeight="1" x14ac:dyDescent="0.3">
      <c r="BB1030990" s="38"/>
    </row>
    <row r="1030991" spans="54:54" ht="15.75" customHeight="1" x14ac:dyDescent="0.3">
      <c r="BB1030991" s="38"/>
    </row>
    <row r="1030992" spans="54:54" ht="15.75" customHeight="1" x14ac:dyDescent="0.3">
      <c r="BB1030992" s="38"/>
    </row>
    <row r="1030993" spans="54:54" ht="15.75" customHeight="1" x14ac:dyDescent="0.3">
      <c r="BB1030993" s="38"/>
    </row>
    <row r="1030994" spans="54:54" ht="15.75" customHeight="1" x14ac:dyDescent="0.3">
      <c r="BB1030994" s="38"/>
    </row>
    <row r="1030995" spans="54:54" ht="15.75" customHeight="1" x14ac:dyDescent="0.3">
      <c r="BB1030995" s="38"/>
    </row>
    <row r="1030996" spans="54:54" ht="15.75" customHeight="1" x14ac:dyDescent="0.3">
      <c r="BB1030996" s="38"/>
    </row>
    <row r="1030997" spans="54:54" ht="15.75" customHeight="1" x14ac:dyDescent="0.3">
      <c r="BB1030997" s="38"/>
    </row>
    <row r="1030998" spans="54:54" ht="15.75" customHeight="1" x14ac:dyDescent="0.3">
      <c r="BB1030998" s="38"/>
    </row>
    <row r="1030999" spans="54:54" ht="15.75" customHeight="1" x14ac:dyDescent="0.3">
      <c r="BB1030999" s="38"/>
    </row>
    <row r="1031000" spans="54:54" ht="15.75" customHeight="1" x14ac:dyDescent="0.3">
      <c r="BB1031000" s="38"/>
    </row>
    <row r="1031001" spans="54:54" ht="15.75" customHeight="1" x14ac:dyDescent="0.3">
      <c r="BB1031001" s="38"/>
    </row>
    <row r="1031002" spans="54:54" ht="15.75" customHeight="1" x14ac:dyDescent="0.3">
      <c r="BB1031002" s="38"/>
    </row>
    <row r="1031003" spans="54:54" ht="15.75" customHeight="1" x14ac:dyDescent="0.3">
      <c r="BB1031003" s="38"/>
    </row>
    <row r="1031004" spans="54:54" ht="15.75" customHeight="1" x14ac:dyDescent="0.3">
      <c r="BB1031004" s="38"/>
    </row>
    <row r="1031005" spans="54:54" ht="15.75" customHeight="1" x14ac:dyDescent="0.3">
      <c r="BB1031005" s="38"/>
    </row>
    <row r="1031006" spans="54:54" ht="15.75" customHeight="1" x14ac:dyDescent="0.3">
      <c r="BB1031006" s="38"/>
    </row>
    <row r="1031007" spans="54:54" ht="15.75" customHeight="1" x14ac:dyDescent="0.3">
      <c r="BB1031007" s="38"/>
    </row>
    <row r="1031008" spans="54:54" ht="15.75" customHeight="1" x14ac:dyDescent="0.3">
      <c r="BB1031008" s="38"/>
    </row>
    <row r="1031009" spans="54:54" ht="15.75" customHeight="1" x14ac:dyDescent="0.3">
      <c r="BB1031009" s="38"/>
    </row>
    <row r="1031010" spans="54:54" ht="15.75" customHeight="1" x14ac:dyDescent="0.3">
      <c r="BB1031010" s="38"/>
    </row>
    <row r="1031011" spans="54:54" ht="15.75" customHeight="1" x14ac:dyDescent="0.3">
      <c r="BB1031011" s="38"/>
    </row>
    <row r="1031012" spans="54:54" ht="15.75" customHeight="1" x14ac:dyDescent="0.3">
      <c r="BB1031012" s="38"/>
    </row>
    <row r="1031013" spans="54:54" ht="15.75" customHeight="1" x14ac:dyDescent="0.3">
      <c r="BB1031013" s="38"/>
    </row>
    <row r="1031014" spans="54:54" ht="15.75" customHeight="1" x14ac:dyDescent="0.3">
      <c r="BB1031014" s="38"/>
    </row>
    <row r="1031015" spans="54:54" ht="15.75" customHeight="1" x14ac:dyDescent="0.3">
      <c r="BB1031015" s="38"/>
    </row>
    <row r="1031016" spans="54:54" ht="15.75" customHeight="1" x14ac:dyDescent="0.3">
      <c r="BB1031016" s="38"/>
    </row>
    <row r="1031017" spans="54:54" ht="15.75" customHeight="1" x14ac:dyDescent="0.3">
      <c r="BB1031017" s="38"/>
    </row>
    <row r="1031018" spans="54:54" ht="15.75" customHeight="1" x14ac:dyDescent="0.3">
      <c r="BB1031018" s="38"/>
    </row>
    <row r="1031019" spans="54:54" ht="15.75" customHeight="1" x14ac:dyDescent="0.3">
      <c r="BB1031019" s="38"/>
    </row>
    <row r="1031020" spans="54:54" ht="15.75" customHeight="1" x14ac:dyDescent="0.3">
      <c r="BB1031020" s="38"/>
    </row>
    <row r="1031021" spans="54:54" ht="15.75" customHeight="1" x14ac:dyDescent="0.3">
      <c r="BB1031021" s="38"/>
    </row>
    <row r="1031022" spans="54:54" ht="15.75" customHeight="1" x14ac:dyDescent="0.3">
      <c r="BB1031022" s="38"/>
    </row>
    <row r="1031023" spans="54:54" ht="15.75" customHeight="1" x14ac:dyDescent="0.3">
      <c r="BB1031023" s="38"/>
    </row>
    <row r="1031024" spans="54:54" ht="15.75" customHeight="1" x14ac:dyDescent="0.3">
      <c r="BB1031024" s="38"/>
    </row>
    <row r="1031025" spans="54:54" ht="15.75" customHeight="1" x14ac:dyDescent="0.3">
      <c r="BB1031025" s="38"/>
    </row>
    <row r="1031026" spans="54:54" ht="15.75" customHeight="1" x14ac:dyDescent="0.3">
      <c r="BB1031026" s="38"/>
    </row>
    <row r="1031027" spans="54:54" ht="15.75" customHeight="1" x14ac:dyDescent="0.3">
      <c r="BB1031027" s="38"/>
    </row>
    <row r="1031028" spans="54:54" ht="15.75" customHeight="1" x14ac:dyDescent="0.3">
      <c r="BB1031028" s="38"/>
    </row>
    <row r="1031029" spans="54:54" ht="15.75" customHeight="1" x14ac:dyDescent="0.3">
      <c r="BB1031029" s="38"/>
    </row>
    <row r="1031030" spans="54:54" ht="15.75" customHeight="1" x14ac:dyDescent="0.3">
      <c r="BB1031030" s="38"/>
    </row>
    <row r="1031031" spans="54:54" ht="15.75" customHeight="1" x14ac:dyDescent="0.3">
      <c r="BB1031031" s="38"/>
    </row>
    <row r="1031032" spans="54:54" ht="15.75" customHeight="1" x14ac:dyDescent="0.3">
      <c r="BB1031032" s="38"/>
    </row>
    <row r="1031033" spans="54:54" ht="15.75" customHeight="1" x14ac:dyDescent="0.3">
      <c r="BB1031033" s="38"/>
    </row>
    <row r="1031034" spans="54:54" ht="15.75" customHeight="1" x14ac:dyDescent="0.3">
      <c r="BB1031034" s="38"/>
    </row>
    <row r="1031035" spans="54:54" ht="15.75" customHeight="1" x14ac:dyDescent="0.3">
      <c r="BB1031035" s="38"/>
    </row>
    <row r="1031036" spans="54:54" ht="15.75" customHeight="1" x14ac:dyDescent="0.3">
      <c r="BB1031036" s="38"/>
    </row>
    <row r="1031037" spans="54:54" ht="15.75" customHeight="1" x14ac:dyDescent="0.3">
      <c r="BB1031037" s="38"/>
    </row>
    <row r="1031038" spans="54:54" ht="15.75" customHeight="1" x14ac:dyDescent="0.3">
      <c r="BB1031038" s="38"/>
    </row>
    <row r="1031039" spans="54:54" ht="15.75" customHeight="1" x14ac:dyDescent="0.3">
      <c r="BB1031039" s="38"/>
    </row>
    <row r="1031040" spans="54:54" ht="15.75" customHeight="1" x14ac:dyDescent="0.3">
      <c r="BB1031040" s="38"/>
    </row>
    <row r="1031041" spans="54:54" ht="15.75" customHeight="1" x14ac:dyDescent="0.3">
      <c r="BB1031041" s="38"/>
    </row>
    <row r="1031042" spans="54:54" ht="15.75" customHeight="1" x14ac:dyDescent="0.3">
      <c r="BB1031042" s="38"/>
    </row>
    <row r="1031043" spans="54:54" ht="15.75" customHeight="1" x14ac:dyDescent="0.3">
      <c r="BB1031043" s="38"/>
    </row>
    <row r="1031044" spans="54:54" ht="15.75" customHeight="1" x14ac:dyDescent="0.3">
      <c r="BB1031044" s="38"/>
    </row>
    <row r="1031045" spans="54:54" ht="15.75" customHeight="1" x14ac:dyDescent="0.3">
      <c r="BB1031045" s="38"/>
    </row>
    <row r="1031046" spans="54:54" ht="15.75" customHeight="1" x14ac:dyDescent="0.3">
      <c r="BB1031046" s="38"/>
    </row>
    <row r="1031047" spans="54:54" ht="15.75" customHeight="1" x14ac:dyDescent="0.3">
      <c r="BB1031047" s="38"/>
    </row>
    <row r="1031048" spans="54:54" ht="15.75" customHeight="1" x14ac:dyDescent="0.3">
      <c r="BB1031048" s="38"/>
    </row>
    <row r="1031049" spans="54:54" ht="15.75" customHeight="1" x14ac:dyDescent="0.3">
      <c r="BB1031049" s="38"/>
    </row>
    <row r="1031050" spans="54:54" ht="15.75" customHeight="1" x14ac:dyDescent="0.3">
      <c r="BB1031050" s="38"/>
    </row>
    <row r="1031051" spans="54:54" ht="15.75" customHeight="1" x14ac:dyDescent="0.3">
      <c r="BB1031051" s="38"/>
    </row>
    <row r="1031052" spans="54:54" ht="15.75" customHeight="1" x14ac:dyDescent="0.3">
      <c r="BB1031052" s="38"/>
    </row>
    <row r="1031053" spans="54:54" ht="15.75" customHeight="1" x14ac:dyDescent="0.3">
      <c r="BB1031053" s="38"/>
    </row>
    <row r="1031054" spans="54:54" ht="15.75" customHeight="1" x14ac:dyDescent="0.3">
      <c r="BB1031054" s="38"/>
    </row>
    <row r="1031055" spans="54:54" ht="15.75" customHeight="1" x14ac:dyDescent="0.3">
      <c r="BB1031055" s="38"/>
    </row>
    <row r="1031056" spans="54:54" ht="15.75" customHeight="1" x14ac:dyDescent="0.3">
      <c r="BB1031056" s="38"/>
    </row>
    <row r="1031057" spans="54:54" ht="15.75" customHeight="1" x14ac:dyDescent="0.3">
      <c r="BB1031057" s="38"/>
    </row>
    <row r="1031058" spans="54:54" ht="15.75" customHeight="1" x14ac:dyDescent="0.3">
      <c r="BB1031058" s="38"/>
    </row>
    <row r="1031059" spans="54:54" ht="15.75" customHeight="1" x14ac:dyDescent="0.3">
      <c r="BB1031059" s="38"/>
    </row>
    <row r="1031060" spans="54:54" ht="15.75" customHeight="1" x14ac:dyDescent="0.3">
      <c r="BB1031060" s="38"/>
    </row>
    <row r="1031061" spans="54:54" ht="15.75" customHeight="1" x14ac:dyDescent="0.3">
      <c r="BB1031061" s="38"/>
    </row>
    <row r="1031062" spans="54:54" ht="15.75" customHeight="1" x14ac:dyDescent="0.3">
      <c r="BB1031062" s="38"/>
    </row>
    <row r="1031063" spans="54:54" ht="15.75" customHeight="1" x14ac:dyDescent="0.3">
      <c r="BB1031063" s="38"/>
    </row>
    <row r="1031064" spans="54:54" ht="15.75" customHeight="1" x14ac:dyDescent="0.3">
      <c r="BB1031064" s="38"/>
    </row>
    <row r="1031065" spans="54:54" ht="15.75" customHeight="1" x14ac:dyDescent="0.3">
      <c r="BB1031065" s="38"/>
    </row>
    <row r="1031066" spans="54:54" ht="15.75" customHeight="1" x14ac:dyDescent="0.3">
      <c r="BB1031066" s="38"/>
    </row>
    <row r="1031067" spans="54:54" ht="15.75" customHeight="1" x14ac:dyDescent="0.3">
      <c r="BB1031067" s="38"/>
    </row>
    <row r="1031068" spans="54:54" ht="15.75" customHeight="1" x14ac:dyDescent="0.3">
      <c r="BB1031068" s="38"/>
    </row>
    <row r="1031069" spans="54:54" ht="15.75" customHeight="1" x14ac:dyDescent="0.3">
      <c r="BB1031069" s="38"/>
    </row>
    <row r="1031070" spans="54:54" ht="15.75" customHeight="1" x14ac:dyDescent="0.3">
      <c r="BB1031070" s="38"/>
    </row>
    <row r="1031071" spans="54:54" ht="15.75" customHeight="1" x14ac:dyDescent="0.3">
      <c r="BB1031071" s="38"/>
    </row>
    <row r="1031072" spans="54:54" ht="15.75" customHeight="1" x14ac:dyDescent="0.3">
      <c r="BB1031072" s="38"/>
    </row>
    <row r="1031073" spans="54:54" ht="15.75" customHeight="1" x14ac:dyDescent="0.3">
      <c r="BB1031073" s="38"/>
    </row>
    <row r="1031074" spans="54:54" ht="15.75" customHeight="1" x14ac:dyDescent="0.3">
      <c r="BB1031074" s="38"/>
    </row>
    <row r="1031075" spans="54:54" ht="15.75" customHeight="1" x14ac:dyDescent="0.3">
      <c r="BB1031075" s="38"/>
    </row>
    <row r="1031076" spans="54:54" ht="15.75" customHeight="1" x14ac:dyDescent="0.3">
      <c r="BB1031076" s="38"/>
    </row>
    <row r="1031077" spans="54:54" ht="15.75" customHeight="1" x14ac:dyDescent="0.3">
      <c r="BB1031077" s="38"/>
    </row>
    <row r="1031078" spans="54:54" ht="15.75" customHeight="1" x14ac:dyDescent="0.3">
      <c r="BB1031078" s="38"/>
    </row>
    <row r="1031079" spans="54:54" ht="15.75" customHeight="1" x14ac:dyDescent="0.3">
      <c r="BB1031079" s="38"/>
    </row>
    <row r="1031080" spans="54:54" ht="15.75" customHeight="1" x14ac:dyDescent="0.3">
      <c r="BB1031080" s="38"/>
    </row>
    <row r="1031081" spans="54:54" ht="15.75" customHeight="1" x14ac:dyDescent="0.3">
      <c r="BB1031081" s="38"/>
    </row>
    <row r="1031082" spans="54:54" ht="15.75" customHeight="1" x14ac:dyDescent="0.3">
      <c r="BB1031082" s="38"/>
    </row>
    <row r="1031083" spans="54:54" ht="15.75" customHeight="1" x14ac:dyDescent="0.3">
      <c r="BB1031083" s="38"/>
    </row>
    <row r="1031084" spans="54:54" ht="15.75" customHeight="1" x14ac:dyDescent="0.3">
      <c r="BB1031084" s="38"/>
    </row>
    <row r="1031085" spans="54:54" ht="15.75" customHeight="1" x14ac:dyDescent="0.3">
      <c r="BB1031085" s="38"/>
    </row>
    <row r="1031086" spans="54:54" ht="15.75" customHeight="1" x14ac:dyDescent="0.3">
      <c r="BB1031086" s="38"/>
    </row>
    <row r="1031087" spans="54:54" ht="15.75" customHeight="1" x14ac:dyDescent="0.3">
      <c r="BB1031087" s="38"/>
    </row>
    <row r="1031088" spans="54:54" ht="15.75" customHeight="1" x14ac:dyDescent="0.3">
      <c r="BB1031088" s="38"/>
    </row>
    <row r="1031089" spans="54:54" ht="15.75" customHeight="1" x14ac:dyDescent="0.3">
      <c r="BB1031089" s="38"/>
    </row>
    <row r="1031090" spans="54:54" ht="15.75" customHeight="1" x14ac:dyDescent="0.3">
      <c r="BB1031090" s="38"/>
    </row>
    <row r="1031091" spans="54:54" ht="15.75" customHeight="1" x14ac:dyDescent="0.3">
      <c r="BB1031091" s="38"/>
    </row>
    <row r="1031092" spans="54:54" ht="15.75" customHeight="1" x14ac:dyDescent="0.3">
      <c r="BB1031092" s="38"/>
    </row>
    <row r="1031093" spans="54:54" ht="15.75" customHeight="1" x14ac:dyDescent="0.3">
      <c r="BB1031093" s="38"/>
    </row>
    <row r="1031094" spans="54:54" ht="15.75" customHeight="1" x14ac:dyDescent="0.3">
      <c r="BB1031094" s="38"/>
    </row>
    <row r="1031095" spans="54:54" ht="15.75" customHeight="1" x14ac:dyDescent="0.3">
      <c r="BB1031095" s="38"/>
    </row>
    <row r="1031096" spans="54:54" ht="15.75" customHeight="1" x14ac:dyDescent="0.3">
      <c r="BB1031096" s="38"/>
    </row>
    <row r="1031097" spans="54:54" ht="15.75" customHeight="1" x14ac:dyDescent="0.3">
      <c r="BB1031097" s="38"/>
    </row>
    <row r="1031098" spans="54:54" ht="15.75" customHeight="1" x14ac:dyDescent="0.3">
      <c r="BB1031098" s="38"/>
    </row>
    <row r="1031099" spans="54:54" ht="15.75" customHeight="1" x14ac:dyDescent="0.3">
      <c r="BB1031099" s="38"/>
    </row>
    <row r="1031100" spans="54:54" ht="15.75" customHeight="1" x14ac:dyDescent="0.3">
      <c r="BB1031100" s="38"/>
    </row>
    <row r="1031101" spans="54:54" ht="15.75" customHeight="1" x14ac:dyDescent="0.3">
      <c r="BB1031101" s="38"/>
    </row>
    <row r="1031102" spans="54:54" ht="15.75" customHeight="1" x14ac:dyDescent="0.3">
      <c r="BB1031102" s="38"/>
    </row>
    <row r="1031103" spans="54:54" ht="15.75" customHeight="1" x14ac:dyDescent="0.3">
      <c r="BB1031103" s="38"/>
    </row>
    <row r="1031104" spans="54:54" ht="15.75" customHeight="1" x14ac:dyDescent="0.3">
      <c r="BB1031104" s="38"/>
    </row>
    <row r="1031105" spans="54:54" ht="15.75" customHeight="1" x14ac:dyDescent="0.3">
      <c r="BB1031105" s="38"/>
    </row>
    <row r="1031106" spans="54:54" ht="15.75" customHeight="1" x14ac:dyDescent="0.3">
      <c r="BB1031106" s="38"/>
    </row>
    <row r="1031107" spans="54:54" ht="15.75" customHeight="1" x14ac:dyDescent="0.3">
      <c r="BB1031107" s="38"/>
    </row>
    <row r="1031108" spans="54:54" ht="15.75" customHeight="1" x14ac:dyDescent="0.3">
      <c r="BB1031108" s="38"/>
    </row>
    <row r="1031109" spans="54:54" ht="15.75" customHeight="1" x14ac:dyDescent="0.3">
      <c r="BB1031109" s="38"/>
    </row>
    <row r="1031110" spans="54:54" ht="15.75" customHeight="1" x14ac:dyDescent="0.3">
      <c r="BB1031110" s="38"/>
    </row>
    <row r="1031111" spans="54:54" ht="15.75" customHeight="1" x14ac:dyDescent="0.3">
      <c r="BB1031111" s="38"/>
    </row>
    <row r="1031112" spans="54:54" ht="15.75" customHeight="1" x14ac:dyDescent="0.3">
      <c r="BB1031112" s="38"/>
    </row>
    <row r="1031113" spans="54:54" ht="15.75" customHeight="1" x14ac:dyDescent="0.3">
      <c r="BB1031113" s="38"/>
    </row>
    <row r="1031114" spans="54:54" ht="15.75" customHeight="1" x14ac:dyDescent="0.3">
      <c r="BB1031114" s="38"/>
    </row>
    <row r="1031115" spans="54:54" ht="15.75" customHeight="1" x14ac:dyDescent="0.3">
      <c r="BB1031115" s="38"/>
    </row>
    <row r="1031116" spans="54:54" ht="15.75" customHeight="1" x14ac:dyDescent="0.3">
      <c r="BB1031116" s="38"/>
    </row>
    <row r="1031117" spans="54:54" ht="15.75" customHeight="1" x14ac:dyDescent="0.3">
      <c r="BB1031117" s="38"/>
    </row>
    <row r="1031118" spans="54:54" ht="15.75" customHeight="1" x14ac:dyDescent="0.3">
      <c r="BB1031118" s="38"/>
    </row>
    <row r="1031119" spans="54:54" ht="15.75" customHeight="1" x14ac:dyDescent="0.3">
      <c r="BB1031119" s="38"/>
    </row>
    <row r="1031120" spans="54:54" ht="15.75" customHeight="1" x14ac:dyDescent="0.3">
      <c r="BB1031120" s="38"/>
    </row>
    <row r="1031121" spans="54:54" ht="15.75" customHeight="1" x14ac:dyDescent="0.3">
      <c r="BB1031121" s="38"/>
    </row>
    <row r="1031122" spans="54:54" ht="15.75" customHeight="1" x14ac:dyDescent="0.3">
      <c r="BB1031122" s="38"/>
    </row>
    <row r="1031123" spans="54:54" ht="15.75" customHeight="1" x14ac:dyDescent="0.3">
      <c r="BB1031123" s="38"/>
    </row>
    <row r="1031124" spans="54:54" ht="15.75" customHeight="1" x14ac:dyDescent="0.3">
      <c r="BB1031124" s="38"/>
    </row>
    <row r="1031125" spans="54:54" ht="15.75" customHeight="1" x14ac:dyDescent="0.3">
      <c r="BB1031125" s="38"/>
    </row>
    <row r="1031126" spans="54:54" ht="15.75" customHeight="1" x14ac:dyDescent="0.3">
      <c r="BB1031126" s="38"/>
    </row>
    <row r="1031127" spans="54:54" ht="15.75" customHeight="1" x14ac:dyDescent="0.3">
      <c r="BB1031127" s="38"/>
    </row>
    <row r="1031128" spans="54:54" ht="15.75" customHeight="1" x14ac:dyDescent="0.3">
      <c r="BB1031128" s="38"/>
    </row>
    <row r="1031129" spans="54:54" ht="15.75" customHeight="1" x14ac:dyDescent="0.3">
      <c r="BB1031129" s="38"/>
    </row>
    <row r="1031130" spans="54:54" ht="15.75" customHeight="1" x14ac:dyDescent="0.3">
      <c r="BB1031130" s="38"/>
    </row>
    <row r="1031131" spans="54:54" ht="15.75" customHeight="1" x14ac:dyDescent="0.3">
      <c r="BB1031131" s="38"/>
    </row>
    <row r="1031132" spans="54:54" ht="15.75" customHeight="1" x14ac:dyDescent="0.3">
      <c r="BB1031132" s="38"/>
    </row>
    <row r="1031133" spans="54:54" ht="15.75" customHeight="1" x14ac:dyDescent="0.3">
      <c r="BB1031133" s="38"/>
    </row>
    <row r="1031134" spans="54:54" ht="15.75" customHeight="1" x14ac:dyDescent="0.3">
      <c r="BB1031134" s="38"/>
    </row>
    <row r="1031135" spans="54:54" ht="15.75" customHeight="1" x14ac:dyDescent="0.3">
      <c r="BB1031135" s="38"/>
    </row>
    <row r="1031136" spans="54:54" ht="15.75" customHeight="1" x14ac:dyDescent="0.3">
      <c r="BB1031136" s="38"/>
    </row>
    <row r="1031137" spans="54:54" ht="15.75" customHeight="1" x14ac:dyDescent="0.3">
      <c r="BB1031137" s="38"/>
    </row>
    <row r="1031138" spans="54:54" ht="15.75" customHeight="1" x14ac:dyDescent="0.3">
      <c r="BB1031138" s="38"/>
    </row>
    <row r="1031139" spans="54:54" ht="15.75" customHeight="1" x14ac:dyDescent="0.3">
      <c r="BB1031139" s="38"/>
    </row>
    <row r="1031140" spans="54:54" ht="15.75" customHeight="1" x14ac:dyDescent="0.3">
      <c r="BB1031140" s="38"/>
    </row>
    <row r="1031141" spans="54:54" ht="15.75" customHeight="1" x14ac:dyDescent="0.3">
      <c r="BB1031141" s="38"/>
    </row>
    <row r="1031142" spans="54:54" ht="15.75" customHeight="1" x14ac:dyDescent="0.3">
      <c r="BB1031142" s="38"/>
    </row>
    <row r="1031143" spans="54:54" ht="15.75" customHeight="1" x14ac:dyDescent="0.3">
      <c r="BB1031143" s="38"/>
    </row>
    <row r="1031144" spans="54:54" ht="15.75" customHeight="1" x14ac:dyDescent="0.3">
      <c r="BB1031144" s="38"/>
    </row>
    <row r="1031145" spans="54:54" ht="15.75" customHeight="1" x14ac:dyDescent="0.3">
      <c r="BB1031145" s="38"/>
    </row>
    <row r="1031146" spans="54:54" ht="15.75" customHeight="1" x14ac:dyDescent="0.3">
      <c r="BB1031146" s="38"/>
    </row>
    <row r="1031147" spans="54:54" ht="15.75" customHeight="1" x14ac:dyDescent="0.3">
      <c r="BB1031147" s="38"/>
    </row>
    <row r="1031148" spans="54:54" ht="15.75" customHeight="1" x14ac:dyDescent="0.3">
      <c r="BB1031148" s="38"/>
    </row>
    <row r="1031149" spans="54:54" ht="15.75" customHeight="1" x14ac:dyDescent="0.3">
      <c r="BB1031149" s="38"/>
    </row>
    <row r="1031150" spans="54:54" ht="15.75" customHeight="1" x14ac:dyDescent="0.3">
      <c r="BB1031150" s="38"/>
    </row>
    <row r="1031151" spans="54:54" ht="15.75" customHeight="1" x14ac:dyDescent="0.3">
      <c r="BB1031151" s="38"/>
    </row>
    <row r="1031152" spans="54:54" ht="15.75" customHeight="1" x14ac:dyDescent="0.3">
      <c r="BB1031152" s="38"/>
    </row>
    <row r="1031153" spans="54:54" ht="15.75" customHeight="1" x14ac:dyDescent="0.3">
      <c r="BB1031153" s="38"/>
    </row>
    <row r="1031154" spans="54:54" ht="15.75" customHeight="1" x14ac:dyDescent="0.3">
      <c r="BB1031154" s="38"/>
    </row>
    <row r="1031155" spans="54:54" ht="15.75" customHeight="1" x14ac:dyDescent="0.3">
      <c r="BB1031155" s="38"/>
    </row>
    <row r="1031156" spans="54:54" ht="15.75" customHeight="1" x14ac:dyDescent="0.3">
      <c r="BB1031156" s="38"/>
    </row>
    <row r="1031157" spans="54:54" ht="15.75" customHeight="1" x14ac:dyDescent="0.3">
      <c r="BB1031157" s="38"/>
    </row>
    <row r="1031158" spans="54:54" ht="15.75" customHeight="1" x14ac:dyDescent="0.3">
      <c r="BB1031158" s="38"/>
    </row>
    <row r="1031159" spans="54:54" ht="15.75" customHeight="1" x14ac:dyDescent="0.3">
      <c r="BB1031159" s="38"/>
    </row>
    <row r="1031160" spans="54:54" ht="15.75" customHeight="1" x14ac:dyDescent="0.3">
      <c r="BB1031160" s="38"/>
    </row>
    <row r="1031161" spans="54:54" ht="15.75" customHeight="1" x14ac:dyDescent="0.3">
      <c r="BB1031161" s="38"/>
    </row>
    <row r="1031162" spans="54:54" ht="15.75" customHeight="1" x14ac:dyDescent="0.3">
      <c r="BB1031162" s="38"/>
    </row>
    <row r="1031163" spans="54:54" ht="15.75" customHeight="1" x14ac:dyDescent="0.3">
      <c r="BB1031163" s="38"/>
    </row>
    <row r="1031164" spans="54:54" ht="15.75" customHeight="1" x14ac:dyDescent="0.3">
      <c r="BB1031164" s="38"/>
    </row>
    <row r="1031165" spans="54:54" ht="15.75" customHeight="1" x14ac:dyDescent="0.3">
      <c r="BB1031165" s="38"/>
    </row>
    <row r="1031166" spans="54:54" ht="15.75" customHeight="1" x14ac:dyDescent="0.3">
      <c r="BB1031166" s="38"/>
    </row>
    <row r="1031167" spans="54:54" ht="15.75" customHeight="1" x14ac:dyDescent="0.3">
      <c r="BB1031167" s="38"/>
    </row>
    <row r="1031168" spans="54:54" ht="15.75" customHeight="1" x14ac:dyDescent="0.3">
      <c r="BB1031168" s="38"/>
    </row>
    <row r="1031169" spans="54:54" ht="15.75" customHeight="1" x14ac:dyDescent="0.3">
      <c r="BB1031169" s="38"/>
    </row>
    <row r="1031170" spans="54:54" ht="15.75" customHeight="1" x14ac:dyDescent="0.3">
      <c r="BB1031170" s="38"/>
    </row>
    <row r="1031171" spans="54:54" ht="15.75" customHeight="1" x14ac:dyDescent="0.3">
      <c r="BB1031171" s="38"/>
    </row>
    <row r="1031172" spans="54:54" ht="15.75" customHeight="1" x14ac:dyDescent="0.3">
      <c r="BB1031172" s="38"/>
    </row>
    <row r="1031173" spans="54:54" ht="15.75" customHeight="1" x14ac:dyDescent="0.3">
      <c r="BB1031173" s="38"/>
    </row>
    <row r="1031174" spans="54:54" ht="15.75" customHeight="1" x14ac:dyDescent="0.3">
      <c r="BB1031174" s="38"/>
    </row>
    <row r="1031175" spans="54:54" ht="15.75" customHeight="1" x14ac:dyDescent="0.3">
      <c r="BB1031175" s="38"/>
    </row>
    <row r="1031176" spans="54:54" ht="15.75" customHeight="1" x14ac:dyDescent="0.3">
      <c r="BB1031176" s="38"/>
    </row>
    <row r="1031177" spans="54:54" ht="15.75" customHeight="1" x14ac:dyDescent="0.3">
      <c r="BB1031177" s="38"/>
    </row>
    <row r="1031178" spans="54:54" ht="15.75" customHeight="1" x14ac:dyDescent="0.3">
      <c r="BB1031178" s="38"/>
    </row>
    <row r="1031179" spans="54:54" ht="15.75" customHeight="1" x14ac:dyDescent="0.3">
      <c r="BB1031179" s="38"/>
    </row>
    <row r="1031180" spans="54:54" ht="15.75" customHeight="1" x14ac:dyDescent="0.3">
      <c r="BB1031180" s="38"/>
    </row>
    <row r="1031181" spans="54:54" ht="15.75" customHeight="1" x14ac:dyDescent="0.3">
      <c r="BB1031181" s="38"/>
    </row>
    <row r="1031182" spans="54:54" ht="15.75" customHeight="1" x14ac:dyDescent="0.3">
      <c r="BB1031182" s="38"/>
    </row>
    <row r="1031183" spans="54:54" ht="15.75" customHeight="1" x14ac:dyDescent="0.3">
      <c r="BB1031183" s="38"/>
    </row>
    <row r="1031184" spans="54:54" ht="15.75" customHeight="1" x14ac:dyDescent="0.3">
      <c r="BB1031184" s="38"/>
    </row>
    <row r="1031185" spans="54:54" ht="15.75" customHeight="1" x14ac:dyDescent="0.3">
      <c r="BB1031185" s="38"/>
    </row>
    <row r="1031186" spans="54:54" ht="15.75" customHeight="1" x14ac:dyDescent="0.3">
      <c r="BB1031186" s="38"/>
    </row>
    <row r="1031187" spans="54:54" ht="15.75" customHeight="1" x14ac:dyDescent="0.3">
      <c r="BB1031187" s="38"/>
    </row>
    <row r="1031188" spans="54:54" ht="15.75" customHeight="1" x14ac:dyDescent="0.3">
      <c r="BB1031188" s="38"/>
    </row>
    <row r="1031189" spans="54:54" ht="15.75" customHeight="1" x14ac:dyDescent="0.3">
      <c r="BB1031189" s="38"/>
    </row>
    <row r="1031190" spans="54:54" ht="15.75" customHeight="1" x14ac:dyDescent="0.3">
      <c r="BB1031190" s="38"/>
    </row>
    <row r="1031191" spans="54:54" ht="15.75" customHeight="1" x14ac:dyDescent="0.3">
      <c r="BB1031191" s="38"/>
    </row>
    <row r="1031192" spans="54:54" ht="15.75" customHeight="1" x14ac:dyDescent="0.3">
      <c r="BB1031192" s="38"/>
    </row>
    <row r="1031193" spans="54:54" ht="15.75" customHeight="1" x14ac:dyDescent="0.3">
      <c r="BB1031193" s="38"/>
    </row>
    <row r="1031194" spans="54:54" ht="15.75" customHeight="1" x14ac:dyDescent="0.3">
      <c r="BB1031194" s="38"/>
    </row>
    <row r="1031195" spans="54:54" ht="15.75" customHeight="1" x14ac:dyDescent="0.3">
      <c r="BB1031195" s="38"/>
    </row>
    <row r="1031196" spans="54:54" ht="15.75" customHeight="1" x14ac:dyDescent="0.3">
      <c r="BB1031196" s="38"/>
    </row>
    <row r="1031197" spans="54:54" ht="15.75" customHeight="1" x14ac:dyDescent="0.3">
      <c r="BB1031197" s="38"/>
    </row>
    <row r="1031198" spans="54:54" ht="15.75" customHeight="1" x14ac:dyDescent="0.3">
      <c r="BB1031198" s="38"/>
    </row>
    <row r="1031199" spans="54:54" ht="15.75" customHeight="1" x14ac:dyDescent="0.3">
      <c r="BB1031199" s="38"/>
    </row>
    <row r="1031200" spans="54:54" ht="15.75" customHeight="1" x14ac:dyDescent="0.3">
      <c r="BB1031200" s="38"/>
    </row>
    <row r="1031201" spans="54:54" ht="15.75" customHeight="1" x14ac:dyDescent="0.3">
      <c r="BB1031201" s="38"/>
    </row>
    <row r="1031202" spans="54:54" ht="15.75" customHeight="1" x14ac:dyDescent="0.3">
      <c r="BB1031202" s="38"/>
    </row>
    <row r="1031203" spans="54:54" ht="15.75" customHeight="1" x14ac:dyDescent="0.3">
      <c r="BB1031203" s="38"/>
    </row>
    <row r="1031204" spans="54:54" ht="15.75" customHeight="1" x14ac:dyDescent="0.3">
      <c r="BB1031204" s="38"/>
    </row>
    <row r="1031205" spans="54:54" ht="15.75" customHeight="1" x14ac:dyDescent="0.3">
      <c r="BB1031205" s="38"/>
    </row>
    <row r="1031206" spans="54:54" ht="15.75" customHeight="1" x14ac:dyDescent="0.3">
      <c r="BB1031206" s="38"/>
    </row>
    <row r="1031207" spans="54:54" ht="15.75" customHeight="1" x14ac:dyDescent="0.3">
      <c r="BB1031207" s="38"/>
    </row>
    <row r="1031208" spans="54:54" ht="15.75" customHeight="1" x14ac:dyDescent="0.3">
      <c r="BB1031208" s="38"/>
    </row>
    <row r="1031209" spans="54:54" ht="15.75" customHeight="1" x14ac:dyDescent="0.3">
      <c r="BB1031209" s="38"/>
    </row>
    <row r="1031210" spans="54:54" ht="15.75" customHeight="1" x14ac:dyDescent="0.3">
      <c r="BB1031210" s="38"/>
    </row>
    <row r="1031211" spans="54:54" ht="15.75" customHeight="1" x14ac:dyDescent="0.3">
      <c r="BB1031211" s="38"/>
    </row>
    <row r="1031212" spans="54:54" ht="15.75" customHeight="1" x14ac:dyDescent="0.3">
      <c r="BB1031212" s="38"/>
    </row>
    <row r="1031213" spans="54:54" ht="15.75" customHeight="1" x14ac:dyDescent="0.3">
      <c r="BB1031213" s="38"/>
    </row>
    <row r="1031214" spans="54:54" ht="15.75" customHeight="1" x14ac:dyDescent="0.3">
      <c r="BB1031214" s="38"/>
    </row>
    <row r="1031215" spans="54:54" ht="15.75" customHeight="1" x14ac:dyDescent="0.3">
      <c r="BB1031215" s="38"/>
    </row>
    <row r="1031216" spans="54:54" ht="15.75" customHeight="1" x14ac:dyDescent="0.3">
      <c r="BB1031216" s="38"/>
    </row>
    <row r="1031217" spans="54:54" ht="15.75" customHeight="1" x14ac:dyDescent="0.3">
      <c r="BB1031217" s="38"/>
    </row>
    <row r="1031218" spans="54:54" ht="15.75" customHeight="1" x14ac:dyDescent="0.3">
      <c r="BB1031218" s="38"/>
    </row>
    <row r="1031219" spans="54:54" ht="15.75" customHeight="1" x14ac:dyDescent="0.3">
      <c r="BB1031219" s="38"/>
    </row>
    <row r="1031220" spans="54:54" ht="15.75" customHeight="1" x14ac:dyDescent="0.3">
      <c r="BB1031220" s="38"/>
    </row>
    <row r="1031221" spans="54:54" ht="15.75" customHeight="1" x14ac:dyDescent="0.3">
      <c r="BB1031221" s="38"/>
    </row>
    <row r="1031222" spans="54:54" ht="15.75" customHeight="1" x14ac:dyDescent="0.3">
      <c r="BB1031222" s="38"/>
    </row>
    <row r="1031223" spans="54:54" ht="15.75" customHeight="1" x14ac:dyDescent="0.3">
      <c r="BB1031223" s="38"/>
    </row>
    <row r="1031224" spans="54:54" ht="15.75" customHeight="1" x14ac:dyDescent="0.3">
      <c r="BB1031224" s="38"/>
    </row>
    <row r="1031225" spans="54:54" ht="15.75" customHeight="1" x14ac:dyDescent="0.3">
      <c r="BB1031225" s="38"/>
    </row>
    <row r="1031226" spans="54:54" ht="15.75" customHeight="1" x14ac:dyDescent="0.3">
      <c r="BB1031226" s="38"/>
    </row>
    <row r="1031227" spans="54:54" ht="15.75" customHeight="1" x14ac:dyDescent="0.3">
      <c r="BB1031227" s="38"/>
    </row>
    <row r="1031228" spans="54:54" ht="15.75" customHeight="1" x14ac:dyDescent="0.3">
      <c r="BB1031228" s="38"/>
    </row>
    <row r="1031229" spans="54:54" ht="15.75" customHeight="1" x14ac:dyDescent="0.3">
      <c r="BB1031229" s="38"/>
    </row>
    <row r="1031230" spans="54:54" ht="15.75" customHeight="1" x14ac:dyDescent="0.3">
      <c r="BB1031230" s="38"/>
    </row>
    <row r="1031231" spans="54:54" ht="15.75" customHeight="1" x14ac:dyDescent="0.3">
      <c r="BB1031231" s="38"/>
    </row>
    <row r="1031232" spans="54:54" ht="15.75" customHeight="1" x14ac:dyDescent="0.3">
      <c r="BB1031232" s="38"/>
    </row>
    <row r="1031233" spans="54:54" ht="15.75" customHeight="1" x14ac:dyDescent="0.3">
      <c r="BB1031233" s="38"/>
    </row>
    <row r="1031234" spans="54:54" ht="15.75" customHeight="1" x14ac:dyDescent="0.3">
      <c r="BB1031234" s="38"/>
    </row>
    <row r="1031235" spans="54:54" ht="15.75" customHeight="1" x14ac:dyDescent="0.3">
      <c r="BB1031235" s="38"/>
    </row>
    <row r="1031236" spans="54:54" ht="15.75" customHeight="1" x14ac:dyDescent="0.3">
      <c r="BB1031236" s="38"/>
    </row>
    <row r="1031237" spans="54:54" ht="15.75" customHeight="1" x14ac:dyDescent="0.3">
      <c r="BB1031237" s="38"/>
    </row>
    <row r="1031238" spans="54:54" ht="15.75" customHeight="1" x14ac:dyDescent="0.3">
      <c r="BB1031238" s="38"/>
    </row>
    <row r="1031239" spans="54:54" ht="15.75" customHeight="1" x14ac:dyDescent="0.3">
      <c r="BB1031239" s="38"/>
    </row>
    <row r="1031240" spans="54:54" ht="15.75" customHeight="1" x14ac:dyDescent="0.3">
      <c r="BB1031240" s="38"/>
    </row>
    <row r="1031241" spans="54:54" ht="15.75" customHeight="1" x14ac:dyDescent="0.3">
      <c r="BB1031241" s="38"/>
    </row>
    <row r="1031242" spans="54:54" ht="15.75" customHeight="1" x14ac:dyDescent="0.3">
      <c r="BB1031242" s="38"/>
    </row>
    <row r="1031243" spans="54:54" ht="15.75" customHeight="1" x14ac:dyDescent="0.3">
      <c r="BB1031243" s="38"/>
    </row>
    <row r="1031244" spans="54:54" ht="15.75" customHeight="1" x14ac:dyDescent="0.3">
      <c r="BB1031244" s="38"/>
    </row>
    <row r="1031245" spans="54:54" ht="15.75" customHeight="1" x14ac:dyDescent="0.3">
      <c r="BB1031245" s="38"/>
    </row>
    <row r="1031246" spans="54:54" ht="15.75" customHeight="1" x14ac:dyDescent="0.3">
      <c r="BB1031246" s="38"/>
    </row>
    <row r="1031247" spans="54:54" ht="15.75" customHeight="1" x14ac:dyDescent="0.3">
      <c r="BB1031247" s="38"/>
    </row>
    <row r="1031248" spans="54:54" ht="15.75" customHeight="1" x14ac:dyDescent="0.3">
      <c r="BB1031248" s="38"/>
    </row>
    <row r="1031249" spans="54:54" ht="15.75" customHeight="1" x14ac:dyDescent="0.3">
      <c r="BB1031249" s="38"/>
    </row>
    <row r="1031250" spans="54:54" ht="15.75" customHeight="1" x14ac:dyDescent="0.3">
      <c r="BB1031250" s="38"/>
    </row>
    <row r="1031251" spans="54:54" ht="15.75" customHeight="1" x14ac:dyDescent="0.3">
      <c r="BB1031251" s="38"/>
    </row>
    <row r="1031252" spans="54:54" ht="15.75" customHeight="1" x14ac:dyDescent="0.3">
      <c r="BB1031252" s="38"/>
    </row>
    <row r="1031253" spans="54:54" ht="15.75" customHeight="1" x14ac:dyDescent="0.3">
      <c r="BB1031253" s="38"/>
    </row>
    <row r="1031254" spans="54:54" ht="15.75" customHeight="1" x14ac:dyDescent="0.3">
      <c r="BB1031254" s="38"/>
    </row>
    <row r="1031255" spans="54:54" ht="15.75" customHeight="1" x14ac:dyDescent="0.3">
      <c r="BB1031255" s="38"/>
    </row>
    <row r="1031256" spans="54:54" ht="15.75" customHeight="1" x14ac:dyDescent="0.3">
      <c r="BB1031256" s="38"/>
    </row>
    <row r="1031257" spans="54:54" ht="15.75" customHeight="1" x14ac:dyDescent="0.3">
      <c r="BB1031257" s="38"/>
    </row>
    <row r="1031258" spans="54:54" ht="15.75" customHeight="1" x14ac:dyDescent="0.3">
      <c r="BB1031258" s="38"/>
    </row>
    <row r="1031259" spans="54:54" ht="15.75" customHeight="1" x14ac:dyDescent="0.3">
      <c r="BB1031259" s="38"/>
    </row>
    <row r="1031260" spans="54:54" ht="15.75" customHeight="1" x14ac:dyDescent="0.3">
      <c r="BB1031260" s="38"/>
    </row>
    <row r="1031261" spans="54:54" ht="15.75" customHeight="1" x14ac:dyDescent="0.3">
      <c r="BB1031261" s="38"/>
    </row>
    <row r="1031262" spans="54:54" ht="15.75" customHeight="1" x14ac:dyDescent="0.3">
      <c r="BB1031262" s="38"/>
    </row>
    <row r="1031263" spans="54:54" ht="15.75" customHeight="1" x14ac:dyDescent="0.3">
      <c r="BB1031263" s="38"/>
    </row>
    <row r="1031264" spans="54:54" ht="15.75" customHeight="1" x14ac:dyDescent="0.3">
      <c r="BB1031264" s="38"/>
    </row>
    <row r="1031265" spans="54:54" ht="15.75" customHeight="1" x14ac:dyDescent="0.3">
      <c r="BB1031265" s="38"/>
    </row>
    <row r="1031266" spans="54:54" ht="15.75" customHeight="1" x14ac:dyDescent="0.3">
      <c r="BB1031266" s="38"/>
    </row>
    <row r="1031267" spans="54:54" ht="15.75" customHeight="1" x14ac:dyDescent="0.3">
      <c r="BB1031267" s="38"/>
    </row>
    <row r="1031268" spans="54:54" ht="15.75" customHeight="1" x14ac:dyDescent="0.3">
      <c r="BB1031268" s="38"/>
    </row>
    <row r="1031269" spans="54:54" ht="15.75" customHeight="1" x14ac:dyDescent="0.3">
      <c r="BB1031269" s="38"/>
    </row>
    <row r="1031270" spans="54:54" ht="15.75" customHeight="1" x14ac:dyDescent="0.3">
      <c r="BB1031270" s="38"/>
    </row>
    <row r="1031271" spans="54:54" ht="15.75" customHeight="1" x14ac:dyDescent="0.3">
      <c r="BB1031271" s="38"/>
    </row>
    <row r="1031272" spans="54:54" ht="15.75" customHeight="1" x14ac:dyDescent="0.3">
      <c r="BB1031272" s="38"/>
    </row>
    <row r="1031273" spans="54:54" ht="15.75" customHeight="1" x14ac:dyDescent="0.3">
      <c r="BB1031273" s="38"/>
    </row>
    <row r="1031274" spans="54:54" ht="15.75" customHeight="1" x14ac:dyDescent="0.3">
      <c r="BB1031274" s="38"/>
    </row>
    <row r="1031275" spans="54:54" ht="15.75" customHeight="1" x14ac:dyDescent="0.3">
      <c r="BB1031275" s="38"/>
    </row>
    <row r="1031276" spans="54:54" ht="15.75" customHeight="1" x14ac:dyDescent="0.3">
      <c r="BB1031276" s="38"/>
    </row>
    <row r="1031277" spans="54:54" ht="15.75" customHeight="1" x14ac:dyDescent="0.3">
      <c r="BB1031277" s="38"/>
    </row>
    <row r="1031278" spans="54:54" ht="15.75" customHeight="1" x14ac:dyDescent="0.3">
      <c r="BB1031278" s="38"/>
    </row>
    <row r="1031279" spans="54:54" ht="15.75" customHeight="1" x14ac:dyDescent="0.3">
      <c r="BB1031279" s="38"/>
    </row>
    <row r="1031280" spans="54:54" ht="15.75" customHeight="1" x14ac:dyDescent="0.3">
      <c r="BB1031280" s="38"/>
    </row>
    <row r="1031281" spans="54:54" ht="15.75" customHeight="1" x14ac:dyDescent="0.3">
      <c r="BB1031281" s="38"/>
    </row>
    <row r="1031282" spans="54:54" ht="15.75" customHeight="1" x14ac:dyDescent="0.3">
      <c r="BB1031282" s="38"/>
    </row>
    <row r="1031283" spans="54:54" ht="15.75" customHeight="1" x14ac:dyDescent="0.3">
      <c r="BB1031283" s="38"/>
    </row>
    <row r="1031284" spans="54:54" ht="15.75" customHeight="1" x14ac:dyDescent="0.3">
      <c r="BB1031284" s="38"/>
    </row>
    <row r="1031285" spans="54:54" ht="15.75" customHeight="1" x14ac:dyDescent="0.3">
      <c r="BB1031285" s="38"/>
    </row>
    <row r="1031286" spans="54:54" ht="15.75" customHeight="1" x14ac:dyDescent="0.3">
      <c r="BB1031286" s="38"/>
    </row>
    <row r="1031287" spans="54:54" ht="15.75" customHeight="1" x14ac:dyDescent="0.3">
      <c r="BB1031287" s="38"/>
    </row>
    <row r="1031288" spans="54:54" ht="15.75" customHeight="1" x14ac:dyDescent="0.3">
      <c r="BB1031288" s="38"/>
    </row>
    <row r="1031289" spans="54:54" ht="15.75" customHeight="1" x14ac:dyDescent="0.3">
      <c r="BB1031289" s="38"/>
    </row>
    <row r="1031290" spans="54:54" ht="15.75" customHeight="1" x14ac:dyDescent="0.3">
      <c r="BB1031290" s="38"/>
    </row>
    <row r="1031291" spans="54:54" ht="15.75" customHeight="1" x14ac:dyDescent="0.3">
      <c r="BB1031291" s="38"/>
    </row>
    <row r="1031292" spans="54:54" ht="15.75" customHeight="1" x14ac:dyDescent="0.3">
      <c r="BB1031292" s="38"/>
    </row>
    <row r="1031293" spans="54:54" ht="15.75" customHeight="1" x14ac:dyDescent="0.3">
      <c r="BB1031293" s="38"/>
    </row>
    <row r="1031294" spans="54:54" ht="15.75" customHeight="1" x14ac:dyDescent="0.3">
      <c r="BB1031294" s="38"/>
    </row>
    <row r="1031295" spans="54:54" ht="15.75" customHeight="1" x14ac:dyDescent="0.3">
      <c r="BB1031295" s="38"/>
    </row>
    <row r="1031296" spans="54:54" ht="15.75" customHeight="1" x14ac:dyDescent="0.3">
      <c r="BB1031296" s="38"/>
    </row>
    <row r="1031297" spans="54:54" ht="15.75" customHeight="1" x14ac:dyDescent="0.3">
      <c r="BB1031297" s="38"/>
    </row>
    <row r="1031298" spans="54:54" ht="15.75" customHeight="1" x14ac:dyDescent="0.3">
      <c r="BB1031298" s="38"/>
    </row>
    <row r="1031299" spans="54:54" ht="15.75" customHeight="1" x14ac:dyDescent="0.3">
      <c r="BB1031299" s="38"/>
    </row>
    <row r="1031300" spans="54:54" ht="15.75" customHeight="1" x14ac:dyDescent="0.3">
      <c r="BB1031300" s="38"/>
    </row>
    <row r="1031301" spans="54:54" ht="15.75" customHeight="1" x14ac:dyDescent="0.3">
      <c r="BB1031301" s="38"/>
    </row>
    <row r="1031302" spans="54:54" ht="15.75" customHeight="1" x14ac:dyDescent="0.3">
      <c r="BB1031302" s="38"/>
    </row>
    <row r="1031303" spans="54:54" ht="15.75" customHeight="1" x14ac:dyDescent="0.3">
      <c r="BB1031303" s="38"/>
    </row>
    <row r="1031304" spans="54:54" ht="15.75" customHeight="1" x14ac:dyDescent="0.3">
      <c r="BB1031304" s="38"/>
    </row>
    <row r="1031305" spans="54:54" ht="15.75" customHeight="1" x14ac:dyDescent="0.3">
      <c r="BB1031305" s="38"/>
    </row>
    <row r="1031306" spans="54:54" ht="15.75" customHeight="1" x14ac:dyDescent="0.3">
      <c r="BB1031306" s="38"/>
    </row>
    <row r="1031307" spans="54:54" ht="15.75" customHeight="1" x14ac:dyDescent="0.3">
      <c r="BB1031307" s="38"/>
    </row>
    <row r="1031308" spans="54:54" ht="15.75" customHeight="1" x14ac:dyDescent="0.3">
      <c r="BB1031308" s="38"/>
    </row>
    <row r="1031309" spans="54:54" ht="15.75" customHeight="1" x14ac:dyDescent="0.3">
      <c r="BB1031309" s="38"/>
    </row>
    <row r="1031310" spans="54:54" ht="15.75" customHeight="1" x14ac:dyDescent="0.3">
      <c r="BB1031310" s="38"/>
    </row>
    <row r="1031311" spans="54:54" ht="15.75" customHeight="1" x14ac:dyDescent="0.3">
      <c r="BB1031311" s="38"/>
    </row>
    <row r="1031312" spans="54:54" ht="15.75" customHeight="1" x14ac:dyDescent="0.3">
      <c r="BB1031312" s="38"/>
    </row>
    <row r="1031313" spans="54:54" ht="15.75" customHeight="1" x14ac:dyDescent="0.3">
      <c r="BB1031313" s="38"/>
    </row>
    <row r="1031314" spans="54:54" ht="15.75" customHeight="1" x14ac:dyDescent="0.3">
      <c r="BB1031314" s="38"/>
    </row>
    <row r="1031315" spans="54:54" ht="15.75" customHeight="1" x14ac:dyDescent="0.3">
      <c r="BB1031315" s="38"/>
    </row>
    <row r="1031316" spans="54:54" ht="15.75" customHeight="1" x14ac:dyDescent="0.3">
      <c r="BB1031316" s="38"/>
    </row>
    <row r="1031317" spans="54:54" ht="15.75" customHeight="1" x14ac:dyDescent="0.3">
      <c r="BB1031317" s="38"/>
    </row>
    <row r="1031318" spans="54:54" ht="15.75" customHeight="1" x14ac:dyDescent="0.3">
      <c r="BB1031318" s="38"/>
    </row>
    <row r="1031319" spans="54:54" ht="15.75" customHeight="1" x14ac:dyDescent="0.3">
      <c r="BB1031319" s="38"/>
    </row>
    <row r="1031320" spans="54:54" ht="15.75" customHeight="1" x14ac:dyDescent="0.3">
      <c r="BB1031320" s="38"/>
    </row>
    <row r="1031321" spans="54:54" ht="15.75" customHeight="1" x14ac:dyDescent="0.3">
      <c r="BB1031321" s="38"/>
    </row>
    <row r="1031322" spans="54:54" ht="15.75" customHeight="1" x14ac:dyDescent="0.3">
      <c r="BB1031322" s="38"/>
    </row>
    <row r="1031323" spans="54:54" ht="15.75" customHeight="1" x14ac:dyDescent="0.3">
      <c r="BB1031323" s="38"/>
    </row>
    <row r="1031324" spans="54:54" ht="15.75" customHeight="1" x14ac:dyDescent="0.3">
      <c r="BB1031324" s="38"/>
    </row>
    <row r="1031325" spans="54:54" ht="15.75" customHeight="1" x14ac:dyDescent="0.3">
      <c r="BB1031325" s="38"/>
    </row>
    <row r="1031326" spans="54:54" ht="15.75" customHeight="1" x14ac:dyDescent="0.3">
      <c r="BB1031326" s="38"/>
    </row>
    <row r="1031327" spans="54:54" ht="15.75" customHeight="1" x14ac:dyDescent="0.3">
      <c r="BB1031327" s="38"/>
    </row>
    <row r="1031328" spans="54:54" ht="15.75" customHeight="1" x14ac:dyDescent="0.3">
      <c r="BB1031328" s="38"/>
    </row>
    <row r="1031329" spans="54:54" ht="15.75" customHeight="1" x14ac:dyDescent="0.3">
      <c r="BB1031329" s="38"/>
    </row>
    <row r="1031330" spans="54:54" ht="15.75" customHeight="1" x14ac:dyDescent="0.3">
      <c r="BB1031330" s="38"/>
    </row>
    <row r="1031331" spans="54:54" ht="15.75" customHeight="1" x14ac:dyDescent="0.3">
      <c r="BB1031331" s="38"/>
    </row>
    <row r="1031332" spans="54:54" ht="15.75" customHeight="1" x14ac:dyDescent="0.3">
      <c r="BB1031332" s="38"/>
    </row>
    <row r="1031333" spans="54:54" ht="15.75" customHeight="1" x14ac:dyDescent="0.3">
      <c r="BB1031333" s="38"/>
    </row>
    <row r="1031334" spans="54:54" ht="15.75" customHeight="1" x14ac:dyDescent="0.3">
      <c r="BB1031334" s="38"/>
    </row>
    <row r="1031335" spans="54:54" ht="15.75" customHeight="1" x14ac:dyDescent="0.3">
      <c r="BB1031335" s="38"/>
    </row>
    <row r="1031336" spans="54:54" ht="15.75" customHeight="1" x14ac:dyDescent="0.3">
      <c r="BB1031336" s="38"/>
    </row>
    <row r="1031337" spans="54:54" ht="15.75" customHeight="1" x14ac:dyDescent="0.3">
      <c r="BB1031337" s="38"/>
    </row>
    <row r="1031338" spans="54:54" ht="15.75" customHeight="1" x14ac:dyDescent="0.3">
      <c r="BB1031338" s="38"/>
    </row>
    <row r="1031339" spans="54:54" ht="15.75" customHeight="1" x14ac:dyDescent="0.3">
      <c r="BB1031339" s="38"/>
    </row>
    <row r="1031340" spans="54:54" ht="15.75" customHeight="1" x14ac:dyDescent="0.3">
      <c r="BB1031340" s="38"/>
    </row>
    <row r="1031341" spans="54:54" ht="15.75" customHeight="1" x14ac:dyDescent="0.3">
      <c r="BB1031341" s="38"/>
    </row>
    <row r="1031342" spans="54:54" ht="15.75" customHeight="1" x14ac:dyDescent="0.3">
      <c r="BB1031342" s="38"/>
    </row>
    <row r="1031343" spans="54:54" ht="15.75" customHeight="1" x14ac:dyDescent="0.3">
      <c r="BB1031343" s="38"/>
    </row>
    <row r="1031344" spans="54:54" ht="15.75" customHeight="1" x14ac:dyDescent="0.3">
      <c r="BB1031344" s="38"/>
    </row>
    <row r="1031345" spans="54:54" ht="15.75" customHeight="1" x14ac:dyDescent="0.3">
      <c r="BB1031345" s="38"/>
    </row>
    <row r="1031346" spans="54:54" ht="15.75" customHeight="1" x14ac:dyDescent="0.3">
      <c r="BB1031346" s="38"/>
    </row>
    <row r="1031347" spans="54:54" ht="15.75" customHeight="1" x14ac:dyDescent="0.3">
      <c r="BB1031347" s="38"/>
    </row>
    <row r="1031348" spans="54:54" ht="15.75" customHeight="1" x14ac:dyDescent="0.3">
      <c r="BB1031348" s="38"/>
    </row>
    <row r="1031349" spans="54:54" ht="15.75" customHeight="1" x14ac:dyDescent="0.3">
      <c r="BB1031349" s="38"/>
    </row>
    <row r="1031350" spans="54:54" ht="15.75" customHeight="1" x14ac:dyDescent="0.3">
      <c r="BB1031350" s="38"/>
    </row>
    <row r="1031351" spans="54:54" ht="15.75" customHeight="1" x14ac:dyDescent="0.3">
      <c r="BB1031351" s="38"/>
    </row>
    <row r="1031352" spans="54:54" ht="15.75" customHeight="1" x14ac:dyDescent="0.3">
      <c r="BB1031352" s="38"/>
    </row>
    <row r="1031353" spans="54:54" ht="15.75" customHeight="1" x14ac:dyDescent="0.3">
      <c r="BB1031353" s="38"/>
    </row>
    <row r="1031354" spans="54:54" ht="15.75" customHeight="1" x14ac:dyDescent="0.3">
      <c r="BB1031354" s="38"/>
    </row>
    <row r="1031355" spans="54:54" ht="15.75" customHeight="1" x14ac:dyDescent="0.3">
      <c r="BB1031355" s="38"/>
    </row>
    <row r="1031356" spans="54:54" ht="15.75" customHeight="1" x14ac:dyDescent="0.3">
      <c r="BB1031356" s="38"/>
    </row>
    <row r="1031357" spans="54:54" ht="15.75" customHeight="1" x14ac:dyDescent="0.3">
      <c r="BB1031357" s="38"/>
    </row>
    <row r="1031358" spans="54:54" ht="15.75" customHeight="1" x14ac:dyDescent="0.3">
      <c r="BB1031358" s="38"/>
    </row>
    <row r="1031359" spans="54:54" ht="15.75" customHeight="1" x14ac:dyDescent="0.3">
      <c r="BB1031359" s="38"/>
    </row>
    <row r="1031360" spans="54:54" ht="15.75" customHeight="1" x14ac:dyDescent="0.3">
      <c r="BB1031360" s="38"/>
    </row>
    <row r="1031361" spans="54:54" ht="15.75" customHeight="1" x14ac:dyDescent="0.3">
      <c r="BB1031361" s="38"/>
    </row>
    <row r="1031362" spans="54:54" ht="15.75" customHeight="1" x14ac:dyDescent="0.3">
      <c r="BB1031362" s="38"/>
    </row>
    <row r="1031363" spans="54:54" ht="15.75" customHeight="1" x14ac:dyDescent="0.3">
      <c r="BB1031363" s="38"/>
    </row>
    <row r="1031364" spans="54:54" ht="15.75" customHeight="1" x14ac:dyDescent="0.3">
      <c r="BB1031364" s="38"/>
    </row>
    <row r="1031365" spans="54:54" ht="15.75" customHeight="1" x14ac:dyDescent="0.3">
      <c r="BB1031365" s="38"/>
    </row>
    <row r="1031366" spans="54:54" ht="15.75" customHeight="1" x14ac:dyDescent="0.3">
      <c r="BB1031366" s="38"/>
    </row>
    <row r="1031367" spans="54:54" ht="15.75" customHeight="1" x14ac:dyDescent="0.3">
      <c r="BB1031367" s="38"/>
    </row>
    <row r="1031368" spans="54:54" ht="15.75" customHeight="1" x14ac:dyDescent="0.3">
      <c r="BB1031368" s="38"/>
    </row>
    <row r="1031369" spans="54:54" ht="15.75" customHeight="1" x14ac:dyDescent="0.3">
      <c r="BB1031369" s="38"/>
    </row>
    <row r="1031370" spans="54:54" ht="15.75" customHeight="1" x14ac:dyDescent="0.3">
      <c r="BB1031370" s="38"/>
    </row>
    <row r="1031371" spans="54:54" ht="15.75" customHeight="1" x14ac:dyDescent="0.3">
      <c r="BB1031371" s="38"/>
    </row>
    <row r="1031372" spans="54:54" ht="15.75" customHeight="1" x14ac:dyDescent="0.3">
      <c r="BB1031372" s="38"/>
    </row>
    <row r="1031373" spans="54:54" ht="15.75" customHeight="1" x14ac:dyDescent="0.3">
      <c r="BB1031373" s="38"/>
    </row>
    <row r="1031374" spans="54:54" ht="15.75" customHeight="1" x14ac:dyDescent="0.3">
      <c r="BB1031374" s="38"/>
    </row>
    <row r="1031375" spans="54:54" ht="15.75" customHeight="1" x14ac:dyDescent="0.3">
      <c r="BB1031375" s="38"/>
    </row>
    <row r="1031376" spans="54:54" ht="15.75" customHeight="1" x14ac:dyDescent="0.3">
      <c r="BB1031376" s="38"/>
    </row>
    <row r="1031377" spans="54:54" ht="15.75" customHeight="1" x14ac:dyDescent="0.3">
      <c r="BB1031377" s="38"/>
    </row>
    <row r="1031378" spans="54:54" ht="15.75" customHeight="1" x14ac:dyDescent="0.3">
      <c r="BB1031378" s="38"/>
    </row>
    <row r="1031379" spans="54:54" ht="15.75" customHeight="1" x14ac:dyDescent="0.3">
      <c r="BB1031379" s="38"/>
    </row>
    <row r="1031380" spans="54:54" ht="15.75" customHeight="1" x14ac:dyDescent="0.3">
      <c r="BB1031380" s="38"/>
    </row>
    <row r="1031381" spans="54:54" ht="15.75" customHeight="1" x14ac:dyDescent="0.3">
      <c r="BB1031381" s="38"/>
    </row>
    <row r="1031382" spans="54:54" ht="15.75" customHeight="1" x14ac:dyDescent="0.3">
      <c r="BB1031382" s="38"/>
    </row>
    <row r="1031383" spans="54:54" ht="15.75" customHeight="1" x14ac:dyDescent="0.3">
      <c r="BB1031383" s="38"/>
    </row>
    <row r="1031384" spans="54:54" ht="15.75" customHeight="1" x14ac:dyDescent="0.3">
      <c r="BB1031384" s="38"/>
    </row>
    <row r="1031385" spans="54:54" ht="15.75" customHeight="1" x14ac:dyDescent="0.3">
      <c r="BB1031385" s="38"/>
    </row>
    <row r="1031386" spans="54:54" ht="15.75" customHeight="1" x14ac:dyDescent="0.3">
      <c r="BB1031386" s="38"/>
    </row>
    <row r="1031387" spans="54:54" ht="15.75" customHeight="1" x14ac:dyDescent="0.3">
      <c r="BB1031387" s="38"/>
    </row>
    <row r="1031388" spans="54:54" ht="15.75" customHeight="1" x14ac:dyDescent="0.3">
      <c r="BB1031388" s="38"/>
    </row>
    <row r="1031389" spans="54:54" ht="15.75" customHeight="1" x14ac:dyDescent="0.3">
      <c r="BB1031389" s="38"/>
    </row>
    <row r="1031390" spans="54:54" ht="15.75" customHeight="1" x14ac:dyDescent="0.3">
      <c r="BB1031390" s="38"/>
    </row>
    <row r="1031391" spans="54:54" ht="15.75" customHeight="1" x14ac:dyDescent="0.3">
      <c r="BB1031391" s="38"/>
    </row>
    <row r="1031392" spans="54:54" ht="15.75" customHeight="1" x14ac:dyDescent="0.3">
      <c r="BB1031392" s="38"/>
    </row>
    <row r="1031393" spans="54:54" ht="15.75" customHeight="1" x14ac:dyDescent="0.3">
      <c r="BB1031393" s="38"/>
    </row>
    <row r="1031394" spans="54:54" ht="15.75" customHeight="1" x14ac:dyDescent="0.3">
      <c r="BB1031394" s="38"/>
    </row>
    <row r="1031395" spans="54:54" ht="15.75" customHeight="1" x14ac:dyDescent="0.3">
      <c r="BB1031395" s="38"/>
    </row>
    <row r="1031396" spans="54:54" ht="15.75" customHeight="1" x14ac:dyDescent="0.3">
      <c r="BB1031396" s="38"/>
    </row>
    <row r="1031397" spans="54:54" ht="15.75" customHeight="1" x14ac:dyDescent="0.3">
      <c r="BB1031397" s="38"/>
    </row>
    <row r="1031398" spans="54:54" ht="15.75" customHeight="1" x14ac:dyDescent="0.3">
      <c r="BB1031398" s="38"/>
    </row>
    <row r="1031399" spans="54:54" ht="15.75" customHeight="1" x14ac:dyDescent="0.3">
      <c r="BB1031399" s="38"/>
    </row>
    <row r="1031400" spans="54:54" ht="15.75" customHeight="1" x14ac:dyDescent="0.3">
      <c r="BB1031400" s="38"/>
    </row>
    <row r="1031401" spans="54:54" ht="15.75" customHeight="1" x14ac:dyDescent="0.3">
      <c r="BB1031401" s="38"/>
    </row>
    <row r="1031402" spans="54:54" ht="15.75" customHeight="1" x14ac:dyDescent="0.3">
      <c r="BB1031402" s="38"/>
    </row>
    <row r="1031403" spans="54:54" ht="15.75" customHeight="1" x14ac:dyDescent="0.3">
      <c r="BB1031403" s="38"/>
    </row>
    <row r="1031404" spans="54:54" ht="15.75" customHeight="1" x14ac:dyDescent="0.3">
      <c r="BB1031404" s="38"/>
    </row>
    <row r="1031405" spans="54:54" ht="15.75" customHeight="1" x14ac:dyDescent="0.3">
      <c r="BB1031405" s="38"/>
    </row>
    <row r="1031406" spans="54:54" ht="15.75" customHeight="1" x14ac:dyDescent="0.3">
      <c r="BB1031406" s="38"/>
    </row>
    <row r="1031407" spans="54:54" ht="15.75" customHeight="1" x14ac:dyDescent="0.3">
      <c r="BB1031407" s="38"/>
    </row>
    <row r="1031408" spans="54:54" ht="15.75" customHeight="1" x14ac:dyDescent="0.3">
      <c r="BB1031408" s="38"/>
    </row>
    <row r="1031409" spans="54:54" ht="15.75" customHeight="1" x14ac:dyDescent="0.3">
      <c r="BB1031409" s="38"/>
    </row>
    <row r="1031410" spans="54:54" ht="15.75" customHeight="1" x14ac:dyDescent="0.3">
      <c r="BB1031410" s="38"/>
    </row>
    <row r="1031411" spans="54:54" ht="15.75" customHeight="1" x14ac:dyDescent="0.3">
      <c r="BB1031411" s="38"/>
    </row>
    <row r="1031412" spans="54:54" ht="15.75" customHeight="1" x14ac:dyDescent="0.3">
      <c r="BB1031412" s="38"/>
    </row>
    <row r="1031413" spans="54:54" ht="15.75" customHeight="1" x14ac:dyDescent="0.3">
      <c r="BB1031413" s="38"/>
    </row>
    <row r="1031414" spans="54:54" ht="15.75" customHeight="1" x14ac:dyDescent="0.3">
      <c r="BB1031414" s="38"/>
    </row>
    <row r="1031415" spans="54:54" ht="15.75" customHeight="1" x14ac:dyDescent="0.3">
      <c r="BB1031415" s="38"/>
    </row>
    <row r="1031416" spans="54:54" ht="15.75" customHeight="1" x14ac:dyDescent="0.3">
      <c r="BB1031416" s="38"/>
    </row>
    <row r="1031417" spans="54:54" ht="15.75" customHeight="1" x14ac:dyDescent="0.3">
      <c r="BB1031417" s="38"/>
    </row>
    <row r="1031418" spans="54:54" ht="15.75" customHeight="1" x14ac:dyDescent="0.3">
      <c r="BB1031418" s="38"/>
    </row>
    <row r="1031419" spans="54:54" ht="15.75" customHeight="1" x14ac:dyDescent="0.3">
      <c r="BB1031419" s="38"/>
    </row>
    <row r="1031420" spans="54:54" ht="15.75" customHeight="1" x14ac:dyDescent="0.3">
      <c r="BB1031420" s="38"/>
    </row>
    <row r="1031421" spans="54:54" ht="15.75" customHeight="1" x14ac:dyDescent="0.3">
      <c r="BB1031421" s="38"/>
    </row>
    <row r="1031422" spans="54:54" ht="15.75" customHeight="1" x14ac:dyDescent="0.3">
      <c r="BB1031422" s="38"/>
    </row>
    <row r="1031423" spans="54:54" ht="15.75" customHeight="1" x14ac:dyDescent="0.3">
      <c r="BB1031423" s="38"/>
    </row>
    <row r="1031424" spans="54:54" ht="15.75" customHeight="1" x14ac:dyDescent="0.3">
      <c r="BB1031424" s="38"/>
    </row>
    <row r="1031425" spans="54:54" ht="15.75" customHeight="1" x14ac:dyDescent="0.3">
      <c r="BB1031425" s="38"/>
    </row>
    <row r="1031426" spans="54:54" ht="15.75" customHeight="1" x14ac:dyDescent="0.3">
      <c r="BB1031426" s="38"/>
    </row>
    <row r="1031427" spans="54:54" ht="15.75" customHeight="1" x14ac:dyDescent="0.3">
      <c r="BB1031427" s="38"/>
    </row>
    <row r="1031428" spans="54:54" ht="15.75" customHeight="1" x14ac:dyDescent="0.3">
      <c r="BB1031428" s="38"/>
    </row>
    <row r="1031429" spans="54:54" ht="15.75" customHeight="1" x14ac:dyDescent="0.3">
      <c r="BB1031429" s="38"/>
    </row>
    <row r="1031430" spans="54:54" ht="15.75" customHeight="1" x14ac:dyDescent="0.3">
      <c r="BB1031430" s="38"/>
    </row>
    <row r="1031431" spans="54:54" ht="15.75" customHeight="1" x14ac:dyDescent="0.3">
      <c r="BB1031431" s="38"/>
    </row>
    <row r="1031432" spans="54:54" ht="15.75" customHeight="1" x14ac:dyDescent="0.3">
      <c r="BB1031432" s="38"/>
    </row>
    <row r="1031433" spans="54:54" ht="15.75" customHeight="1" x14ac:dyDescent="0.3">
      <c r="BB1031433" s="38"/>
    </row>
    <row r="1031434" spans="54:54" ht="15.75" customHeight="1" x14ac:dyDescent="0.3">
      <c r="BB1031434" s="38"/>
    </row>
    <row r="1031435" spans="54:54" ht="15.75" customHeight="1" x14ac:dyDescent="0.3">
      <c r="BB1031435" s="38"/>
    </row>
    <row r="1031436" spans="54:54" ht="15.75" customHeight="1" x14ac:dyDescent="0.3">
      <c r="BB1031436" s="38"/>
    </row>
    <row r="1031437" spans="54:54" ht="15.75" customHeight="1" x14ac:dyDescent="0.3">
      <c r="BB1031437" s="38"/>
    </row>
    <row r="1031438" spans="54:54" ht="15.75" customHeight="1" x14ac:dyDescent="0.3">
      <c r="BB1031438" s="38"/>
    </row>
    <row r="1031439" spans="54:54" ht="15.75" customHeight="1" x14ac:dyDescent="0.3">
      <c r="BB1031439" s="38"/>
    </row>
    <row r="1031440" spans="54:54" ht="15.75" customHeight="1" x14ac:dyDescent="0.3">
      <c r="BB1031440" s="38"/>
    </row>
    <row r="1031441" spans="54:54" ht="15.75" customHeight="1" x14ac:dyDescent="0.3">
      <c r="BB1031441" s="38"/>
    </row>
    <row r="1031442" spans="54:54" ht="15.75" customHeight="1" x14ac:dyDescent="0.3">
      <c r="BB1031442" s="38"/>
    </row>
    <row r="1031443" spans="54:54" ht="15.75" customHeight="1" x14ac:dyDescent="0.3">
      <c r="BB1031443" s="38"/>
    </row>
    <row r="1031444" spans="54:54" ht="15.75" customHeight="1" x14ac:dyDescent="0.3">
      <c r="BB1031444" s="38"/>
    </row>
    <row r="1031445" spans="54:54" ht="15.75" customHeight="1" x14ac:dyDescent="0.3">
      <c r="BB1031445" s="38"/>
    </row>
    <row r="1031446" spans="54:54" ht="15.75" customHeight="1" x14ac:dyDescent="0.3">
      <c r="BB1031446" s="38"/>
    </row>
    <row r="1031447" spans="54:54" ht="15.75" customHeight="1" x14ac:dyDescent="0.3">
      <c r="BB1031447" s="38"/>
    </row>
    <row r="1031448" spans="54:54" ht="15.75" customHeight="1" x14ac:dyDescent="0.3">
      <c r="BB1031448" s="38"/>
    </row>
    <row r="1031449" spans="54:54" ht="15.75" customHeight="1" x14ac:dyDescent="0.3">
      <c r="BB1031449" s="38"/>
    </row>
    <row r="1031450" spans="54:54" ht="15.75" customHeight="1" x14ac:dyDescent="0.3">
      <c r="BB1031450" s="38"/>
    </row>
    <row r="1031451" spans="54:54" ht="15.75" customHeight="1" x14ac:dyDescent="0.3">
      <c r="BB1031451" s="38"/>
    </row>
    <row r="1031452" spans="54:54" ht="15.75" customHeight="1" x14ac:dyDescent="0.3">
      <c r="BB1031452" s="38"/>
    </row>
    <row r="1031453" spans="54:54" ht="15.75" customHeight="1" x14ac:dyDescent="0.3">
      <c r="BB1031453" s="38"/>
    </row>
    <row r="1031454" spans="54:54" ht="15.75" customHeight="1" x14ac:dyDescent="0.3">
      <c r="BB1031454" s="38"/>
    </row>
    <row r="1031455" spans="54:54" ht="15.75" customHeight="1" x14ac:dyDescent="0.3">
      <c r="BB1031455" s="38"/>
    </row>
    <row r="1031456" spans="54:54" ht="15.75" customHeight="1" x14ac:dyDescent="0.3">
      <c r="BB1031456" s="38"/>
    </row>
    <row r="1031457" spans="54:54" ht="15.75" customHeight="1" x14ac:dyDescent="0.3">
      <c r="BB1031457" s="38"/>
    </row>
    <row r="1031458" spans="54:54" ht="15.75" customHeight="1" x14ac:dyDescent="0.3">
      <c r="BB1031458" s="38"/>
    </row>
    <row r="1031459" spans="54:54" ht="15.75" customHeight="1" x14ac:dyDescent="0.3">
      <c r="BB1031459" s="38"/>
    </row>
    <row r="1031460" spans="54:54" ht="15.75" customHeight="1" x14ac:dyDescent="0.3">
      <c r="BB1031460" s="38"/>
    </row>
    <row r="1031461" spans="54:54" ht="15.75" customHeight="1" x14ac:dyDescent="0.3">
      <c r="BB1031461" s="38"/>
    </row>
    <row r="1031462" spans="54:54" ht="15.75" customHeight="1" x14ac:dyDescent="0.3">
      <c r="BB1031462" s="38"/>
    </row>
    <row r="1031463" spans="54:54" ht="15.75" customHeight="1" x14ac:dyDescent="0.3">
      <c r="BB1031463" s="38"/>
    </row>
    <row r="1031464" spans="54:54" ht="15.75" customHeight="1" x14ac:dyDescent="0.3">
      <c r="BB1031464" s="38"/>
    </row>
    <row r="1031465" spans="54:54" ht="15.75" customHeight="1" x14ac:dyDescent="0.3">
      <c r="BB1031465" s="38"/>
    </row>
    <row r="1031466" spans="54:54" ht="15.75" customHeight="1" x14ac:dyDescent="0.3">
      <c r="BB1031466" s="38"/>
    </row>
    <row r="1031467" spans="54:54" ht="15.75" customHeight="1" x14ac:dyDescent="0.3">
      <c r="BB1031467" s="38"/>
    </row>
    <row r="1031468" spans="54:54" ht="15.75" customHeight="1" x14ac:dyDescent="0.3">
      <c r="BB1031468" s="38"/>
    </row>
    <row r="1031469" spans="54:54" ht="15.75" customHeight="1" x14ac:dyDescent="0.3">
      <c r="BB1031469" s="38"/>
    </row>
    <row r="1031470" spans="54:54" ht="15.75" customHeight="1" x14ac:dyDescent="0.3">
      <c r="BB1031470" s="38"/>
    </row>
    <row r="1031471" spans="54:54" ht="15.75" customHeight="1" x14ac:dyDescent="0.3">
      <c r="BB1031471" s="38"/>
    </row>
    <row r="1031472" spans="54:54" ht="15.75" customHeight="1" x14ac:dyDescent="0.3">
      <c r="BB1031472" s="38"/>
    </row>
    <row r="1031473" spans="54:54" ht="15.75" customHeight="1" x14ac:dyDescent="0.3">
      <c r="BB1031473" s="38"/>
    </row>
    <row r="1031474" spans="54:54" ht="15.75" customHeight="1" x14ac:dyDescent="0.3">
      <c r="BB1031474" s="38"/>
    </row>
    <row r="1031475" spans="54:54" ht="15.75" customHeight="1" x14ac:dyDescent="0.3">
      <c r="BB1031475" s="38"/>
    </row>
    <row r="1031476" spans="54:54" ht="15.75" customHeight="1" x14ac:dyDescent="0.3">
      <c r="BB1031476" s="38"/>
    </row>
    <row r="1031477" spans="54:54" ht="15.75" customHeight="1" x14ac:dyDescent="0.3">
      <c r="BB1031477" s="38"/>
    </row>
    <row r="1031478" spans="54:54" ht="15.75" customHeight="1" x14ac:dyDescent="0.3">
      <c r="BB1031478" s="38"/>
    </row>
    <row r="1031479" spans="54:54" ht="15.75" customHeight="1" x14ac:dyDescent="0.3">
      <c r="BB1031479" s="38"/>
    </row>
    <row r="1031480" spans="54:54" ht="15.75" customHeight="1" x14ac:dyDescent="0.3">
      <c r="BB1031480" s="38"/>
    </row>
    <row r="1031481" spans="54:54" ht="15.75" customHeight="1" x14ac:dyDescent="0.3">
      <c r="BB1031481" s="38"/>
    </row>
    <row r="1031482" spans="54:54" ht="15.75" customHeight="1" x14ac:dyDescent="0.3">
      <c r="BB1031482" s="38"/>
    </row>
    <row r="1031483" spans="54:54" ht="15.75" customHeight="1" x14ac:dyDescent="0.3">
      <c r="BB1031483" s="38"/>
    </row>
    <row r="1031484" spans="54:54" ht="15.75" customHeight="1" x14ac:dyDescent="0.3">
      <c r="BB1031484" s="38"/>
    </row>
    <row r="1031485" spans="54:54" ht="15.75" customHeight="1" x14ac:dyDescent="0.3">
      <c r="BB1031485" s="38"/>
    </row>
    <row r="1031486" spans="54:54" ht="15.75" customHeight="1" x14ac:dyDescent="0.3">
      <c r="BB1031486" s="38"/>
    </row>
    <row r="1031487" spans="54:54" ht="15.75" customHeight="1" x14ac:dyDescent="0.3">
      <c r="BB1031487" s="38"/>
    </row>
    <row r="1031488" spans="54:54" ht="15.75" customHeight="1" x14ac:dyDescent="0.3">
      <c r="BB1031488" s="38"/>
    </row>
    <row r="1031489" spans="54:54" ht="15.75" customHeight="1" x14ac:dyDescent="0.3">
      <c r="BB1031489" s="38"/>
    </row>
    <row r="1031490" spans="54:54" ht="15.75" customHeight="1" x14ac:dyDescent="0.3">
      <c r="BB1031490" s="38"/>
    </row>
    <row r="1031491" spans="54:54" ht="15.75" customHeight="1" x14ac:dyDescent="0.3">
      <c r="BB1031491" s="38"/>
    </row>
    <row r="1031492" spans="54:54" ht="15.75" customHeight="1" x14ac:dyDescent="0.3">
      <c r="BB1031492" s="38"/>
    </row>
    <row r="1031493" spans="54:54" ht="15.75" customHeight="1" x14ac:dyDescent="0.3">
      <c r="BB1031493" s="38"/>
    </row>
    <row r="1031494" spans="54:54" ht="15.75" customHeight="1" x14ac:dyDescent="0.3">
      <c r="BB1031494" s="38"/>
    </row>
    <row r="1031495" spans="54:54" ht="15.75" customHeight="1" x14ac:dyDescent="0.3">
      <c r="BB1031495" s="38"/>
    </row>
    <row r="1031496" spans="54:54" ht="15.75" customHeight="1" x14ac:dyDescent="0.3">
      <c r="BB1031496" s="38"/>
    </row>
    <row r="1031497" spans="54:54" ht="15.75" customHeight="1" x14ac:dyDescent="0.3">
      <c r="BB1031497" s="38"/>
    </row>
    <row r="1031498" spans="54:54" ht="15.75" customHeight="1" x14ac:dyDescent="0.3">
      <c r="BB1031498" s="38"/>
    </row>
    <row r="1031499" spans="54:54" ht="15.75" customHeight="1" x14ac:dyDescent="0.3">
      <c r="BB1031499" s="38"/>
    </row>
    <row r="1031500" spans="54:54" ht="15.75" customHeight="1" x14ac:dyDescent="0.3">
      <c r="BB1031500" s="38"/>
    </row>
    <row r="1031501" spans="54:54" ht="15.75" customHeight="1" x14ac:dyDescent="0.3">
      <c r="BB1031501" s="38"/>
    </row>
    <row r="1031502" spans="54:54" ht="15.75" customHeight="1" x14ac:dyDescent="0.3">
      <c r="BB1031502" s="38"/>
    </row>
    <row r="1031503" spans="54:54" ht="15.75" customHeight="1" x14ac:dyDescent="0.3">
      <c r="BB1031503" s="38"/>
    </row>
    <row r="1031504" spans="54:54" ht="15.75" customHeight="1" x14ac:dyDescent="0.3">
      <c r="BB1031504" s="38"/>
    </row>
    <row r="1031505" spans="54:54" ht="15.75" customHeight="1" x14ac:dyDescent="0.3">
      <c r="BB1031505" s="38"/>
    </row>
    <row r="1031506" spans="54:54" ht="15.75" customHeight="1" x14ac:dyDescent="0.3">
      <c r="BB1031506" s="38"/>
    </row>
    <row r="1031507" spans="54:54" ht="15.75" customHeight="1" x14ac:dyDescent="0.3">
      <c r="BB1031507" s="38"/>
    </row>
    <row r="1031508" spans="54:54" ht="15.75" customHeight="1" x14ac:dyDescent="0.3">
      <c r="BB1031508" s="38"/>
    </row>
    <row r="1031509" spans="54:54" ht="15.75" customHeight="1" x14ac:dyDescent="0.3">
      <c r="BB1031509" s="38"/>
    </row>
    <row r="1031510" spans="54:54" ht="15.75" customHeight="1" x14ac:dyDescent="0.3">
      <c r="BB1031510" s="38"/>
    </row>
    <row r="1031511" spans="54:54" ht="15.75" customHeight="1" x14ac:dyDescent="0.3">
      <c r="BB1031511" s="38"/>
    </row>
    <row r="1031512" spans="54:54" ht="15.75" customHeight="1" x14ac:dyDescent="0.3">
      <c r="BB1031512" s="38"/>
    </row>
    <row r="1031513" spans="54:54" ht="15.75" customHeight="1" x14ac:dyDescent="0.3">
      <c r="BB1031513" s="38"/>
    </row>
    <row r="1031514" spans="54:54" ht="15.75" customHeight="1" x14ac:dyDescent="0.3">
      <c r="BB1031514" s="38"/>
    </row>
    <row r="1031515" spans="54:54" ht="15.75" customHeight="1" x14ac:dyDescent="0.3">
      <c r="BB1031515" s="38"/>
    </row>
    <row r="1031516" spans="54:54" ht="15.75" customHeight="1" x14ac:dyDescent="0.3">
      <c r="BB1031516" s="38"/>
    </row>
    <row r="1031517" spans="54:54" ht="15.75" customHeight="1" x14ac:dyDescent="0.3">
      <c r="BB1031517" s="38"/>
    </row>
    <row r="1031518" spans="54:54" ht="15.75" customHeight="1" x14ac:dyDescent="0.3">
      <c r="BB1031518" s="38"/>
    </row>
    <row r="1031519" spans="54:54" ht="15.75" customHeight="1" x14ac:dyDescent="0.3">
      <c r="BB1031519" s="38"/>
    </row>
    <row r="1031520" spans="54:54" ht="15.75" customHeight="1" x14ac:dyDescent="0.3">
      <c r="BB1031520" s="38"/>
    </row>
    <row r="1031521" spans="54:54" ht="15.75" customHeight="1" x14ac:dyDescent="0.3">
      <c r="BB1031521" s="38"/>
    </row>
    <row r="1031522" spans="54:54" ht="15.75" customHeight="1" x14ac:dyDescent="0.3">
      <c r="BB1031522" s="38"/>
    </row>
    <row r="1031523" spans="54:54" ht="15.75" customHeight="1" x14ac:dyDescent="0.3">
      <c r="BB1031523" s="38"/>
    </row>
    <row r="1031524" spans="54:54" ht="15.75" customHeight="1" x14ac:dyDescent="0.3">
      <c r="BB1031524" s="38"/>
    </row>
    <row r="1031525" spans="54:54" ht="15.75" customHeight="1" x14ac:dyDescent="0.3">
      <c r="BB1031525" s="38"/>
    </row>
    <row r="1031526" spans="54:54" ht="15.75" customHeight="1" x14ac:dyDescent="0.3">
      <c r="BB1031526" s="38"/>
    </row>
    <row r="1031527" spans="54:54" ht="15.75" customHeight="1" x14ac:dyDescent="0.3">
      <c r="BB1031527" s="38"/>
    </row>
    <row r="1031528" spans="54:54" ht="15.75" customHeight="1" x14ac:dyDescent="0.3">
      <c r="BB1031528" s="38"/>
    </row>
    <row r="1031529" spans="54:54" ht="15.75" customHeight="1" x14ac:dyDescent="0.3">
      <c r="BB1031529" s="38"/>
    </row>
    <row r="1031530" spans="54:54" ht="15.75" customHeight="1" x14ac:dyDescent="0.3">
      <c r="BB1031530" s="38"/>
    </row>
    <row r="1031531" spans="54:54" ht="15.75" customHeight="1" x14ac:dyDescent="0.3">
      <c r="BB1031531" s="38"/>
    </row>
    <row r="1031532" spans="54:54" ht="15.75" customHeight="1" x14ac:dyDescent="0.3">
      <c r="BB1031532" s="38"/>
    </row>
    <row r="1031533" spans="54:54" ht="15.75" customHeight="1" x14ac:dyDescent="0.3">
      <c r="BB1031533" s="38"/>
    </row>
    <row r="1031534" spans="54:54" ht="15.75" customHeight="1" x14ac:dyDescent="0.3">
      <c r="BB1031534" s="38"/>
    </row>
    <row r="1031535" spans="54:54" ht="15.75" customHeight="1" x14ac:dyDescent="0.3">
      <c r="BB1031535" s="38"/>
    </row>
    <row r="1031536" spans="54:54" ht="15.75" customHeight="1" x14ac:dyDescent="0.3">
      <c r="BB1031536" s="38"/>
    </row>
    <row r="1031537" spans="54:54" ht="15.75" customHeight="1" x14ac:dyDescent="0.3">
      <c r="BB1031537" s="38"/>
    </row>
    <row r="1031538" spans="54:54" ht="15.75" customHeight="1" x14ac:dyDescent="0.3">
      <c r="BB1031538" s="38"/>
    </row>
    <row r="1031539" spans="54:54" ht="15.75" customHeight="1" x14ac:dyDescent="0.3">
      <c r="BB1031539" s="38"/>
    </row>
    <row r="1031540" spans="54:54" ht="15.75" customHeight="1" x14ac:dyDescent="0.3">
      <c r="BB1031540" s="38"/>
    </row>
    <row r="1031541" spans="54:54" ht="15.75" customHeight="1" x14ac:dyDescent="0.3">
      <c r="BB1031541" s="38"/>
    </row>
    <row r="1031542" spans="54:54" ht="15.75" customHeight="1" x14ac:dyDescent="0.3">
      <c r="BB1031542" s="38"/>
    </row>
    <row r="1031543" spans="54:54" ht="15.75" customHeight="1" x14ac:dyDescent="0.3">
      <c r="BB1031543" s="38"/>
    </row>
    <row r="1031544" spans="54:54" ht="15.75" customHeight="1" x14ac:dyDescent="0.3">
      <c r="BB1031544" s="38"/>
    </row>
    <row r="1031545" spans="54:54" ht="15.75" customHeight="1" x14ac:dyDescent="0.3">
      <c r="BB1031545" s="38"/>
    </row>
    <row r="1031546" spans="54:54" ht="15.75" customHeight="1" x14ac:dyDescent="0.3">
      <c r="BB1031546" s="38"/>
    </row>
    <row r="1031547" spans="54:54" ht="15.75" customHeight="1" x14ac:dyDescent="0.3">
      <c r="BB1031547" s="38"/>
    </row>
    <row r="1031548" spans="54:54" ht="15.75" customHeight="1" x14ac:dyDescent="0.3">
      <c r="BB1031548" s="38"/>
    </row>
    <row r="1031549" spans="54:54" ht="15.75" customHeight="1" x14ac:dyDescent="0.3">
      <c r="BB1031549" s="38"/>
    </row>
    <row r="1031550" spans="54:54" ht="15.75" customHeight="1" x14ac:dyDescent="0.3">
      <c r="BB1031550" s="38"/>
    </row>
    <row r="1031551" spans="54:54" ht="15.75" customHeight="1" x14ac:dyDescent="0.3">
      <c r="BB1031551" s="38"/>
    </row>
    <row r="1031552" spans="54:54" ht="15.75" customHeight="1" x14ac:dyDescent="0.3">
      <c r="BB1031552" s="38"/>
    </row>
    <row r="1031553" spans="54:54" ht="15.75" customHeight="1" x14ac:dyDescent="0.3">
      <c r="BB1031553" s="38"/>
    </row>
    <row r="1031554" spans="54:54" ht="15.75" customHeight="1" x14ac:dyDescent="0.3">
      <c r="BB1031554" s="38"/>
    </row>
    <row r="1031555" spans="54:54" ht="15.75" customHeight="1" x14ac:dyDescent="0.3">
      <c r="BB1031555" s="38"/>
    </row>
    <row r="1031556" spans="54:54" ht="15.75" customHeight="1" x14ac:dyDescent="0.3">
      <c r="BB1031556" s="38"/>
    </row>
    <row r="1031557" spans="54:54" ht="15.75" customHeight="1" x14ac:dyDescent="0.3">
      <c r="BB1031557" s="38"/>
    </row>
    <row r="1031558" spans="54:54" ht="15.75" customHeight="1" x14ac:dyDescent="0.3">
      <c r="BB1031558" s="38"/>
    </row>
    <row r="1031559" spans="54:54" ht="15.75" customHeight="1" x14ac:dyDescent="0.3">
      <c r="BB1031559" s="38"/>
    </row>
    <row r="1031560" spans="54:54" ht="15.75" customHeight="1" x14ac:dyDescent="0.3">
      <c r="BB1031560" s="38"/>
    </row>
    <row r="1031561" spans="54:54" ht="15.75" customHeight="1" x14ac:dyDescent="0.3">
      <c r="BB1031561" s="38"/>
    </row>
    <row r="1031562" spans="54:54" ht="15.75" customHeight="1" x14ac:dyDescent="0.3">
      <c r="BB1031562" s="38"/>
    </row>
    <row r="1031563" spans="54:54" ht="15.75" customHeight="1" x14ac:dyDescent="0.3">
      <c r="BB1031563" s="38"/>
    </row>
    <row r="1031564" spans="54:54" ht="15.75" customHeight="1" x14ac:dyDescent="0.3">
      <c r="BB1031564" s="38"/>
    </row>
    <row r="1031565" spans="54:54" ht="15.75" customHeight="1" x14ac:dyDescent="0.3">
      <c r="BB1031565" s="38"/>
    </row>
    <row r="1031566" spans="54:54" ht="15.75" customHeight="1" x14ac:dyDescent="0.3">
      <c r="BB1031566" s="38"/>
    </row>
    <row r="1031567" spans="54:54" ht="15.75" customHeight="1" x14ac:dyDescent="0.3">
      <c r="BB1031567" s="38"/>
    </row>
    <row r="1031568" spans="54:54" ht="15.75" customHeight="1" x14ac:dyDescent="0.3">
      <c r="BB1031568" s="38"/>
    </row>
    <row r="1031569" spans="54:54" ht="15.75" customHeight="1" x14ac:dyDescent="0.3">
      <c r="BB1031569" s="38"/>
    </row>
    <row r="1031570" spans="54:54" ht="15.75" customHeight="1" x14ac:dyDescent="0.3">
      <c r="BB1031570" s="38"/>
    </row>
    <row r="1031571" spans="54:54" ht="15.75" customHeight="1" x14ac:dyDescent="0.3">
      <c r="BB1031571" s="38"/>
    </row>
    <row r="1031572" spans="54:54" ht="15.75" customHeight="1" x14ac:dyDescent="0.3">
      <c r="BB1031572" s="38"/>
    </row>
    <row r="1031573" spans="54:54" ht="15.75" customHeight="1" x14ac:dyDescent="0.3">
      <c r="BB1031573" s="38"/>
    </row>
    <row r="1031574" spans="54:54" ht="15.75" customHeight="1" x14ac:dyDescent="0.3">
      <c r="BB1031574" s="38"/>
    </row>
    <row r="1031575" spans="54:54" ht="15.75" customHeight="1" x14ac:dyDescent="0.3">
      <c r="BB1031575" s="38"/>
    </row>
    <row r="1031576" spans="54:54" ht="15.75" customHeight="1" x14ac:dyDescent="0.3">
      <c r="BB1031576" s="38"/>
    </row>
    <row r="1031577" spans="54:54" ht="15.75" customHeight="1" x14ac:dyDescent="0.3">
      <c r="BB1031577" s="38"/>
    </row>
    <row r="1031578" spans="54:54" ht="15.75" customHeight="1" x14ac:dyDescent="0.3">
      <c r="BB1031578" s="38"/>
    </row>
    <row r="1031579" spans="54:54" ht="15.75" customHeight="1" x14ac:dyDescent="0.3">
      <c r="BB1031579" s="38"/>
    </row>
    <row r="1031580" spans="54:54" ht="15.75" customHeight="1" x14ac:dyDescent="0.3">
      <c r="BB1031580" s="38"/>
    </row>
    <row r="1031581" spans="54:54" ht="15.75" customHeight="1" x14ac:dyDescent="0.3">
      <c r="BB1031581" s="38"/>
    </row>
    <row r="1031582" spans="54:54" ht="15.75" customHeight="1" x14ac:dyDescent="0.3">
      <c r="BB1031582" s="38"/>
    </row>
    <row r="1031583" spans="54:54" ht="15.75" customHeight="1" x14ac:dyDescent="0.3">
      <c r="BB1031583" s="38"/>
    </row>
    <row r="1031584" spans="54:54" ht="15.75" customHeight="1" x14ac:dyDescent="0.3">
      <c r="BB1031584" s="38"/>
    </row>
    <row r="1031585" spans="54:54" ht="15.75" customHeight="1" x14ac:dyDescent="0.3">
      <c r="BB1031585" s="38"/>
    </row>
    <row r="1031586" spans="54:54" ht="15.75" customHeight="1" x14ac:dyDescent="0.3">
      <c r="BB1031586" s="38"/>
    </row>
    <row r="1031587" spans="54:54" ht="15.75" customHeight="1" x14ac:dyDescent="0.3">
      <c r="BB1031587" s="38"/>
    </row>
    <row r="1031588" spans="54:54" ht="15.75" customHeight="1" x14ac:dyDescent="0.3">
      <c r="BB1031588" s="38"/>
    </row>
    <row r="1031589" spans="54:54" ht="15.75" customHeight="1" x14ac:dyDescent="0.3">
      <c r="BB1031589" s="38"/>
    </row>
    <row r="1031590" spans="54:54" ht="15.75" customHeight="1" x14ac:dyDescent="0.3">
      <c r="BB1031590" s="38"/>
    </row>
    <row r="1031591" spans="54:54" ht="15.75" customHeight="1" x14ac:dyDescent="0.3">
      <c r="BB1031591" s="38"/>
    </row>
    <row r="1031592" spans="54:54" ht="15.75" customHeight="1" x14ac:dyDescent="0.3">
      <c r="BB1031592" s="38"/>
    </row>
    <row r="1031593" spans="54:54" ht="15.75" customHeight="1" x14ac:dyDescent="0.3">
      <c r="BB1031593" s="38"/>
    </row>
    <row r="1031594" spans="54:54" ht="15.75" customHeight="1" x14ac:dyDescent="0.3">
      <c r="BB1031594" s="38"/>
    </row>
    <row r="1031595" spans="54:54" ht="15.75" customHeight="1" x14ac:dyDescent="0.3">
      <c r="BB1031595" s="38"/>
    </row>
    <row r="1031596" spans="54:54" ht="15.75" customHeight="1" x14ac:dyDescent="0.3">
      <c r="BB1031596" s="38"/>
    </row>
    <row r="1031597" spans="54:54" ht="15.75" customHeight="1" x14ac:dyDescent="0.3">
      <c r="BB1031597" s="38"/>
    </row>
    <row r="1031598" spans="54:54" ht="15.75" customHeight="1" x14ac:dyDescent="0.3">
      <c r="BB1031598" s="38"/>
    </row>
    <row r="1031599" spans="54:54" ht="15.75" customHeight="1" x14ac:dyDescent="0.3">
      <c r="BB1031599" s="38"/>
    </row>
    <row r="1031600" spans="54:54" ht="15.75" customHeight="1" x14ac:dyDescent="0.3">
      <c r="BB1031600" s="38"/>
    </row>
    <row r="1031601" spans="54:54" ht="15.75" customHeight="1" x14ac:dyDescent="0.3">
      <c r="BB1031601" s="38"/>
    </row>
    <row r="1031602" spans="54:54" ht="15.75" customHeight="1" x14ac:dyDescent="0.3">
      <c r="BB1031602" s="38"/>
    </row>
    <row r="1031603" spans="54:54" ht="15.75" customHeight="1" x14ac:dyDescent="0.3">
      <c r="BB1031603" s="38"/>
    </row>
    <row r="1031604" spans="54:54" ht="15.75" customHeight="1" x14ac:dyDescent="0.3">
      <c r="BB1031604" s="38"/>
    </row>
    <row r="1031605" spans="54:54" ht="15.75" customHeight="1" x14ac:dyDescent="0.3">
      <c r="BB1031605" s="38"/>
    </row>
    <row r="1031606" spans="54:54" ht="15.75" customHeight="1" x14ac:dyDescent="0.3">
      <c r="BB1031606" s="38"/>
    </row>
    <row r="1031607" spans="54:54" ht="15.75" customHeight="1" x14ac:dyDescent="0.3">
      <c r="BB1031607" s="38"/>
    </row>
    <row r="1031608" spans="54:54" ht="15.75" customHeight="1" x14ac:dyDescent="0.3">
      <c r="BB1031608" s="38"/>
    </row>
    <row r="1031609" spans="54:54" ht="15.75" customHeight="1" x14ac:dyDescent="0.3">
      <c r="BB1031609" s="38"/>
    </row>
    <row r="1031610" spans="54:54" ht="15.75" customHeight="1" x14ac:dyDescent="0.3">
      <c r="BB1031610" s="38"/>
    </row>
    <row r="1031611" spans="54:54" ht="15.75" customHeight="1" x14ac:dyDescent="0.3">
      <c r="BB1031611" s="38"/>
    </row>
    <row r="1031612" spans="54:54" ht="15.75" customHeight="1" x14ac:dyDescent="0.3">
      <c r="BB1031612" s="38"/>
    </row>
    <row r="1031613" spans="54:54" ht="15.75" customHeight="1" x14ac:dyDescent="0.3">
      <c r="BB1031613" s="38"/>
    </row>
    <row r="1031614" spans="54:54" ht="15.75" customHeight="1" x14ac:dyDescent="0.3">
      <c r="BB1031614" s="38"/>
    </row>
    <row r="1031615" spans="54:54" ht="15.75" customHeight="1" x14ac:dyDescent="0.3">
      <c r="BB1031615" s="38"/>
    </row>
    <row r="1031616" spans="54:54" ht="15.75" customHeight="1" x14ac:dyDescent="0.3">
      <c r="BB1031616" s="38"/>
    </row>
    <row r="1031617" spans="54:54" ht="15.75" customHeight="1" x14ac:dyDescent="0.3">
      <c r="BB1031617" s="38"/>
    </row>
    <row r="1031618" spans="54:54" ht="15.75" customHeight="1" x14ac:dyDescent="0.3">
      <c r="BB1031618" s="38"/>
    </row>
    <row r="1031619" spans="54:54" ht="15.75" customHeight="1" x14ac:dyDescent="0.3">
      <c r="BB1031619" s="38"/>
    </row>
    <row r="1031620" spans="54:54" ht="15.75" customHeight="1" x14ac:dyDescent="0.3">
      <c r="BB1031620" s="38"/>
    </row>
    <row r="1031621" spans="54:54" ht="15.75" customHeight="1" x14ac:dyDescent="0.3">
      <c r="BB1031621" s="38"/>
    </row>
    <row r="1031622" spans="54:54" ht="15.75" customHeight="1" x14ac:dyDescent="0.3">
      <c r="BB1031622" s="38"/>
    </row>
    <row r="1031623" spans="54:54" ht="15.75" customHeight="1" x14ac:dyDescent="0.3">
      <c r="BB1031623" s="38"/>
    </row>
    <row r="1031624" spans="54:54" ht="15.75" customHeight="1" x14ac:dyDescent="0.3">
      <c r="BB1031624" s="38"/>
    </row>
    <row r="1031625" spans="54:54" ht="15.75" customHeight="1" x14ac:dyDescent="0.3">
      <c r="BB1031625" s="38"/>
    </row>
    <row r="1031626" spans="54:54" ht="15.75" customHeight="1" x14ac:dyDescent="0.3">
      <c r="BB1031626" s="38"/>
    </row>
    <row r="1031627" spans="54:54" ht="15.75" customHeight="1" x14ac:dyDescent="0.3">
      <c r="BB1031627" s="38"/>
    </row>
    <row r="1031628" spans="54:54" ht="15.75" customHeight="1" x14ac:dyDescent="0.3">
      <c r="BB1031628" s="38"/>
    </row>
    <row r="1031629" spans="54:54" ht="15.75" customHeight="1" x14ac:dyDescent="0.3">
      <c r="BB1031629" s="38"/>
    </row>
    <row r="1031630" spans="54:54" ht="15.75" customHeight="1" x14ac:dyDescent="0.3">
      <c r="BB1031630" s="38"/>
    </row>
    <row r="1031631" spans="54:54" ht="15.75" customHeight="1" x14ac:dyDescent="0.3">
      <c r="BB1031631" s="38"/>
    </row>
    <row r="1031632" spans="54:54" ht="15.75" customHeight="1" x14ac:dyDescent="0.3">
      <c r="BB1031632" s="38"/>
    </row>
    <row r="1031633" spans="54:54" ht="15.75" customHeight="1" x14ac:dyDescent="0.3">
      <c r="BB1031633" s="38"/>
    </row>
    <row r="1031634" spans="54:54" ht="15.75" customHeight="1" x14ac:dyDescent="0.3">
      <c r="BB1031634" s="38"/>
    </row>
    <row r="1031635" spans="54:54" ht="15.75" customHeight="1" x14ac:dyDescent="0.3">
      <c r="BB1031635" s="38"/>
    </row>
    <row r="1031636" spans="54:54" ht="15.75" customHeight="1" x14ac:dyDescent="0.3">
      <c r="BB1031636" s="38"/>
    </row>
    <row r="1031637" spans="54:54" ht="15.75" customHeight="1" x14ac:dyDescent="0.3">
      <c r="BB1031637" s="38"/>
    </row>
    <row r="1031638" spans="54:54" ht="15.75" customHeight="1" x14ac:dyDescent="0.3">
      <c r="BB1031638" s="38"/>
    </row>
    <row r="1031639" spans="54:54" ht="15.75" customHeight="1" x14ac:dyDescent="0.3">
      <c r="BB1031639" s="38"/>
    </row>
    <row r="1031640" spans="54:54" ht="15.75" customHeight="1" x14ac:dyDescent="0.3">
      <c r="BB1031640" s="38"/>
    </row>
    <row r="1031641" spans="54:54" ht="15.75" customHeight="1" x14ac:dyDescent="0.3">
      <c r="BB1031641" s="38"/>
    </row>
    <row r="1031642" spans="54:54" ht="15.75" customHeight="1" x14ac:dyDescent="0.3">
      <c r="BB1031642" s="38"/>
    </row>
    <row r="1031643" spans="54:54" ht="15.75" customHeight="1" x14ac:dyDescent="0.3">
      <c r="BB1031643" s="38"/>
    </row>
    <row r="1031644" spans="54:54" ht="15.75" customHeight="1" x14ac:dyDescent="0.3">
      <c r="BB1031644" s="38"/>
    </row>
    <row r="1031645" spans="54:54" ht="15.75" customHeight="1" x14ac:dyDescent="0.3">
      <c r="BB1031645" s="38"/>
    </row>
    <row r="1031646" spans="54:54" ht="15.75" customHeight="1" x14ac:dyDescent="0.3">
      <c r="BB1031646" s="38"/>
    </row>
    <row r="1031647" spans="54:54" ht="15.75" customHeight="1" x14ac:dyDescent="0.3">
      <c r="BB1031647" s="38"/>
    </row>
    <row r="1031648" spans="54:54" ht="15.75" customHeight="1" x14ac:dyDescent="0.3">
      <c r="BB1031648" s="38"/>
    </row>
    <row r="1031649" spans="54:54" ht="15.75" customHeight="1" x14ac:dyDescent="0.3">
      <c r="BB1031649" s="38"/>
    </row>
    <row r="1031650" spans="54:54" ht="15.75" customHeight="1" x14ac:dyDescent="0.3">
      <c r="BB1031650" s="38"/>
    </row>
    <row r="1031651" spans="54:54" ht="15.75" customHeight="1" x14ac:dyDescent="0.3">
      <c r="BB1031651" s="38"/>
    </row>
    <row r="1031652" spans="54:54" ht="15.75" customHeight="1" x14ac:dyDescent="0.3">
      <c r="BB1031652" s="38"/>
    </row>
    <row r="1031653" spans="54:54" ht="15.75" customHeight="1" x14ac:dyDescent="0.3">
      <c r="BB1031653" s="38"/>
    </row>
    <row r="1031654" spans="54:54" ht="15.75" customHeight="1" x14ac:dyDescent="0.3">
      <c r="BB1031654" s="38"/>
    </row>
    <row r="1031655" spans="54:54" ht="15.75" customHeight="1" x14ac:dyDescent="0.3">
      <c r="BB1031655" s="38"/>
    </row>
    <row r="1031656" spans="54:54" ht="15.75" customHeight="1" x14ac:dyDescent="0.3">
      <c r="BB1031656" s="38"/>
    </row>
    <row r="1031657" spans="54:54" ht="15.75" customHeight="1" x14ac:dyDescent="0.3">
      <c r="BB1031657" s="38"/>
    </row>
    <row r="1031658" spans="54:54" ht="15.75" customHeight="1" x14ac:dyDescent="0.3">
      <c r="BB1031658" s="38"/>
    </row>
    <row r="1031659" spans="54:54" ht="15.75" customHeight="1" x14ac:dyDescent="0.3">
      <c r="BB1031659" s="38"/>
    </row>
    <row r="1031660" spans="54:54" ht="15.75" customHeight="1" x14ac:dyDescent="0.3">
      <c r="BB1031660" s="38"/>
    </row>
    <row r="1031661" spans="54:54" ht="15.75" customHeight="1" x14ac:dyDescent="0.3">
      <c r="BB1031661" s="38"/>
    </row>
    <row r="1031662" spans="54:54" ht="15.75" customHeight="1" x14ac:dyDescent="0.3">
      <c r="BB1031662" s="38"/>
    </row>
    <row r="1031663" spans="54:54" ht="15.75" customHeight="1" x14ac:dyDescent="0.3">
      <c r="BB1031663" s="38"/>
    </row>
    <row r="1031664" spans="54:54" ht="15.75" customHeight="1" x14ac:dyDescent="0.3">
      <c r="BB1031664" s="38"/>
    </row>
    <row r="1031665" spans="54:54" ht="15.75" customHeight="1" x14ac:dyDescent="0.3">
      <c r="BB1031665" s="38"/>
    </row>
    <row r="1031666" spans="54:54" ht="15.75" customHeight="1" x14ac:dyDescent="0.3">
      <c r="BB1031666" s="38"/>
    </row>
    <row r="1031667" spans="54:54" ht="15.75" customHeight="1" x14ac:dyDescent="0.3">
      <c r="BB1031667" s="38"/>
    </row>
    <row r="1031668" spans="54:54" ht="15.75" customHeight="1" x14ac:dyDescent="0.3">
      <c r="BB1031668" s="38"/>
    </row>
    <row r="1031669" spans="54:54" ht="15.75" customHeight="1" x14ac:dyDescent="0.3">
      <c r="BB1031669" s="38"/>
    </row>
    <row r="1031670" spans="54:54" ht="15.75" customHeight="1" x14ac:dyDescent="0.3">
      <c r="BB1031670" s="38"/>
    </row>
    <row r="1031671" spans="54:54" ht="15.75" customHeight="1" x14ac:dyDescent="0.3">
      <c r="BB1031671" s="38"/>
    </row>
    <row r="1031672" spans="54:54" ht="15.75" customHeight="1" x14ac:dyDescent="0.3">
      <c r="BB1031672" s="38"/>
    </row>
    <row r="1031673" spans="54:54" ht="15.75" customHeight="1" x14ac:dyDescent="0.3">
      <c r="BB1031673" s="38"/>
    </row>
    <row r="1031674" spans="54:54" ht="15.75" customHeight="1" x14ac:dyDescent="0.3">
      <c r="BB1031674" s="38"/>
    </row>
    <row r="1031675" spans="54:54" ht="15.75" customHeight="1" x14ac:dyDescent="0.3">
      <c r="BB1031675" s="38"/>
    </row>
    <row r="1031676" spans="54:54" ht="15.75" customHeight="1" x14ac:dyDescent="0.3">
      <c r="BB1031676" s="38"/>
    </row>
    <row r="1031677" spans="54:54" ht="15.75" customHeight="1" x14ac:dyDescent="0.3">
      <c r="BB1031677" s="38"/>
    </row>
    <row r="1031678" spans="54:54" ht="15.75" customHeight="1" x14ac:dyDescent="0.3">
      <c r="BB1031678" s="38"/>
    </row>
    <row r="1031679" spans="54:54" ht="15.75" customHeight="1" x14ac:dyDescent="0.3">
      <c r="BB1031679" s="38"/>
    </row>
    <row r="1031680" spans="54:54" ht="15.75" customHeight="1" x14ac:dyDescent="0.3">
      <c r="BB1031680" s="38"/>
    </row>
    <row r="1031681" spans="54:54" ht="15.75" customHeight="1" x14ac:dyDescent="0.3">
      <c r="BB1031681" s="38"/>
    </row>
    <row r="1031682" spans="54:54" ht="15.75" customHeight="1" x14ac:dyDescent="0.3">
      <c r="BB1031682" s="38"/>
    </row>
    <row r="1031683" spans="54:54" ht="15.75" customHeight="1" x14ac:dyDescent="0.3">
      <c r="BB1031683" s="38"/>
    </row>
    <row r="1031684" spans="54:54" ht="15.75" customHeight="1" x14ac:dyDescent="0.3">
      <c r="BB1031684" s="38"/>
    </row>
    <row r="1031685" spans="54:54" ht="15.75" customHeight="1" x14ac:dyDescent="0.3">
      <c r="BB1031685" s="38"/>
    </row>
    <row r="1031686" spans="54:54" ht="15.75" customHeight="1" x14ac:dyDescent="0.3">
      <c r="BB1031686" s="38"/>
    </row>
    <row r="1031687" spans="54:54" ht="15.75" customHeight="1" x14ac:dyDescent="0.3">
      <c r="BB1031687" s="38"/>
    </row>
    <row r="1031688" spans="54:54" ht="15.75" customHeight="1" x14ac:dyDescent="0.3">
      <c r="BB1031688" s="38"/>
    </row>
    <row r="1031689" spans="54:54" ht="15.75" customHeight="1" x14ac:dyDescent="0.3">
      <c r="BB1031689" s="38"/>
    </row>
    <row r="1031690" spans="54:54" ht="15.75" customHeight="1" x14ac:dyDescent="0.3">
      <c r="BB1031690" s="38"/>
    </row>
    <row r="1031691" spans="54:54" ht="15.75" customHeight="1" x14ac:dyDescent="0.3">
      <c r="BB1031691" s="38"/>
    </row>
    <row r="1031692" spans="54:54" ht="15.75" customHeight="1" x14ac:dyDescent="0.3">
      <c r="BB1031692" s="38"/>
    </row>
    <row r="1031693" spans="54:54" ht="15.75" customHeight="1" x14ac:dyDescent="0.3">
      <c r="BB1031693" s="38"/>
    </row>
    <row r="1031694" spans="54:54" ht="15.75" customHeight="1" x14ac:dyDescent="0.3">
      <c r="BB1031694" s="38"/>
    </row>
    <row r="1031695" spans="54:54" ht="15.75" customHeight="1" x14ac:dyDescent="0.3">
      <c r="BB1031695" s="38"/>
    </row>
    <row r="1031696" spans="54:54" ht="15.75" customHeight="1" x14ac:dyDescent="0.3">
      <c r="BB1031696" s="38"/>
    </row>
    <row r="1031697" spans="54:54" ht="15.75" customHeight="1" x14ac:dyDescent="0.3">
      <c r="BB1031697" s="38"/>
    </row>
    <row r="1031698" spans="54:54" ht="15.75" customHeight="1" x14ac:dyDescent="0.3">
      <c r="BB1031698" s="38"/>
    </row>
    <row r="1031699" spans="54:54" ht="15.75" customHeight="1" x14ac:dyDescent="0.3">
      <c r="BB1031699" s="38"/>
    </row>
    <row r="1031700" spans="54:54" ht="15.75" customHeight="1" x14ac:dyDescent="0.3">
      <c r="BB1031700" s="38"/>
    </row>
    <row r="1031701" spans="54:54" ht="15.75" customHeight="1" x14ac:dyDescent="0.3">
      <c r="BB1031701" s="38"/>
    </row>
    <row r="1031702" spans="54:54" ht="15.75" customHeight="1" x14ac:dyDescent="0.3">
      <c r="BB1031702" s="38"/>
    </row>
    <row r="1031703" spans="54:54" ht="15.75" customHeight="1" x14ac:dyDescent="0.3">
      <c r="BB1031703" s="38"/>
    </row>
    <row r="1031704" spans="54:54" ht="15.75" customHeight="1" x14ac:dyDescent="0.3">
      <c r="BB1031704" s="38"/>
    </row>
    <row r="1031705" spans="54:54" ht="15.75" customHeight="1" x14ac:dyDescent="0.3">
      <c r="BB1031705" s="38"/>
    </row>
    <row r="1031706" spans="54:54" ht="15.75" customHeight="1" x14ac:dyDescent="0.3">
      <c r="BB1031706" s="38"/>
    </row>
    <row r="1031707" spans="54:54" ht="15.75" customHeight="1" x14ac:dyDescent="0.3">
      <c r="BB1031707" s="38"/>
    </row>
    <row r="1031708" spans="54:54" ht="15.75" customHeight="1" x14ac:dyDescent="0.3">
      <c r="BB1031708" s="38"/>
    </row>
    <row r="1031709" spans="54:54" ht="15.75" customHeight="1" x14ac:dyDescent="0.3">
      <c r="BB1031709" s="38"/>
    </row>
    <row r="1031710" spans="54:54" ht="15.75" customHeight="1" x14ac:dyDescent="0.3">
      <c r="BB1031710" s="38"/>
    </row>
    <row r="1031711" spans="54:54" ht="15.75" customHeight="1" x14ac:dyDescent="0.3">
      <c r="BB1031711" s="38"/>
    </row>
    <row r="1031712" spans="54:54" ht="15.75" customHeight="1" x14ac:dyDescent="0.3">
      <c r="BB1031712" s="38"/>
    </row>
    <row r="1031713" spans="54:54" ht="15.75" customHeight="1" x14ac:dyDescent="0.3">
      <c r="BB1031713" s="38"/>
    </row>
    <row r="1031714" spans="54:54" ht="15.75" customHeight="1" x14ac:dyDescent="0.3">
      <c r="BB1031714" s="38"/>
    </row>
    <row r="1031715" spans="54:54" ht="15.75" customHeight="1" x14ac:dyDescent="0.3">
      <c r="BB1031715" s="38"/>
    </row>
    <row r="1031716" spans="54:54" ht="15.75" customHeight="1" x14ac:dyDescent="0.3">
      <c r="BB1031716" s="38"/>
    </row>
    <row r="1031717" spans="54:54" ht="15.75" customHeight="1" x14ac:dyDescent="0.3">
      <c r="BB1031717" s="38"/>
    </row>
    <row r="1031718" spans="54:54" ht="15.75" customHeight="1" x14ac:dyDescent="0.3">
      <c r="BB1031718" s="38"/>
    </row>
    <row r="1031719" spans="54:54" ht="15.75" customHeight="1" x14ac:dyDescent="0.3">
      <c r="BB1031719" s="38"/>
    </row>
    <row r="1031720" spans="54:54" ht="15.75" customHeight="1" x14ac:dyDescent="0.3">
      <c r="BB1031720" s="38"/>
    </row>
    <row r="1031721" spans="54:54" ht="15.75" customHeight="1" x14ac:dyDescent="0.3">
      <c r="BB1031721" s="38"/>
    </row>
    <row r="1031722" spans="54:54" ht="15.75" customHeight="1" x14ac:dyDescent="0.3">
      <c r="BB1031722" s="38"/>
    </row>
    <row r="1031723" spans="54:54" ht="15.75" customHeight="1" x14ac:dyDescent="0.3">
      <c r="BB1031723" s="38"/>
    </row>
    <row r="1031724" spans="54:54" ht="15.75" customHeight="1" x14ac:dyDescent="0.3">
      <c r="BB1031724" s="38"/>
    </row>
    <row r="1031725" spans="54:54" ht="15.75" customHeight="1" x14ac:dyDescent="0.3">
      <c r="BB1031725" s="38"/>
    </row>
    <row r="1031726" spans="54:54" ht="15.75" customHeight="1" x14ac:dyDescent="0.3">
      <c r="BB1031726" s="38"/>
    </row>
    <row r="1031727" spans="54:54" ht="15.75" customHeight="1" x14ac:dyDescent="0.3">
      <c r="BB1031727" s="38"/>
    </row>
    <row r="1031728" spans="54:54" ht="15.75" customHeight="1" x14ac:dyDescent="0.3">
      <c r="BB1031728" s="38"/>
    </row>
    <row r="1031729" spans="54:54" ht="15.75" customHeight="1" x14ac:dyDescent="0.3">
      <c r="BB1031729" s="38"/>
    </row>
    <row r="1031730" spans="54:54" ht="15.75" customHeight="1" x14ac:dyDescent="0.3">
      <c r="BB1031730" s="38"/>
    </row>
    <row r="1031731" spans="54:54" ht="15.75" customHeight="1" x14ac:dyDescent="0.3">
      <c r="BB1031731" s="38"/>
    </row>
    <row r="1031732" spans="54:54" ht="15.75" customHeight="1" x14ac:dyDescent="0.3">
      <c r="BB1031732" s="38"/>
    </row>
    <row r="1031733" spans="54:54" ht="15.75" customHeight="1" x14ac:dyDescent="0.3">
      <c r="BB1031733" s="38"/>
    </row>
    <row r="1031734" spans="54:54" ht="15.75" customHeight="1" x14ac:dyDescent="0.3">
      <c r="BB1031734" s="38"/>
    </row>
    <row r="1031735" spans="54:54" ht="15.75" customHeight="1" x14ac:dyDescent="0.3">
      <c r="BB1031735" s="38"/>
    </row>
    <row r="1031736" spans="54:54" ht="15.75" customHeight="1" x14ac:dyDescent="0.3">
      <c r="BB1031736" s="38"/>
    </row>
    <row r="1031737" spans="54:54" ht="15.75" customHeight="1" x14ac:dyDescent="0.3">
      <c r="BB1031737" s="38"/>
    </row>
    <row r="1031738" spans="54:54" ht="15.75" customHeight="1" x14ac:dyDescent="0.3">
      <c r="BB1031738" s="38"/>
    </row>
    <row r="1031739" spans="54:54" ht="15.75" customHeight="1" x14ac:dyDescent="0.3">
      <c r="BB1031739" s="38"/>
    </row>
    <row r="1031740" spans="54:54" ht="15.75" customHeight="1" x14ac:dyDescent="0.3">
      <c r="BB1031740" s="38"/>
    </row>
    <row r="1031741" spans="54:54" ht="15.75" customHeight="1" x14ac:dyDescent="0.3">
      <c r="BB1031741" s="38"/>
    </row>
    <row r="1031742" spans="54:54" ht="15.75" customHeight="1" x14ac:dyDescent="0.3">
      <c r="BB1031742" s="38"/>
    </row>
    <row r="1031743" spans="54:54" ht="15.75" customHeight="1" x14ac:dyDescent="0.3">
      <c r="BB1031743" s="38"/>
    </row>
    <row r="1031744" spans="54:54" ht="15.75" customHeight="1" x14ac:dyDescent="0.3">
      <c r="BB1031744" s="38"/>
    </row>
    <row r="1031745" spans="54:54" ht="15.75" customHeight="1" x14ac:dyDescent="0.3">
      <c r="BB1031745" s="38"/>
    </row>
    <row r="1031746" spans="54:54" ht="15.75" customHeight="1" x14ac:dyDescent="0.3">
      <c r="BB1031746" s="38"/>
    </row>
    <row r="1031747" spans="54:54" ht="15.75" customHeight="1" x14ac:dyDescent="0.3">
      <c r="BB1031747" s="38"/>
    </row>
    <row r="1031748" spans="54:54" ht="15.75" customHeight="1" x14ac:dyDescent="0.3">
      <c r="BB1031748" s="38"/>
    </row>
    <row r="1031749" spans="54:54" ht="15.75" customHeight="1" x14ac:dyDescent="0.3">
      <c r="BB1031749" s="38"/>
    </row>
    <row r="1031750" spans="54:54" ht="15.75" customHeight="1" x14ac:dyDescent="0.3">
      <c r="BB1031750" s="38"/>
    </row>
    <row r="1031751" spans="54:54" ht="15.75" customHeight="1" x14ac:dyDescent="0.3">
      <c r="BB1031751" s="38"/>
    </row>
    <row r="1031752" spans="54:54" ht="15.75" customHeight="1" x14ac:dyDescent="0.3">
      <c r="BB1031752" s="38"/>
    </row>
    <row r="1031753" spans="54:54" ht="15.75" customHeight="1" x14ac:dyDescent="0.3">
      <c r="BB1031753" s="38"/>
    </row>
    <row r="1031754" spans="54:54" ht="15.75" customHeight="1" x14ac:dyDescent="0.3">
      <c r="BB1031754" s="38"/>
    </row>
    <row r="1031755" spans="54:54" ht="15.75" customHeight="1" x14ac:dyDescent="0.3">
      <c r="BB1031755" s="38"/>
    </row>
    <row r="1031756" spans="54:54" ht="15.75" customHeight="1" x14ac:dyDescent="0.3">
      <c r="BB1031756" s="38"/>
    </row>
    <row r="1031757" spans="54:54" ht="15.75" customHeight="1" x14ac:dyDescent="0.3">
      <c r="BB1031757" s="38"/>
    </row>
    <row r="1031758" spans="54:54" ht="15.75" customHeight="1" x14ac:dyDescent="0.3">
      <c r="BB1031758" s="38"/>
    </row>
    <row r="1031759" spans="54:54" ht="15.75" customHeight="1" x14ac:dyDescent="0.3">
      <c r="BB1031759" s="38"/>
    </row>
    <row r="1031760" spans="54:54" ht="15.75" customHeight="1" x14ac:dyDescent="0.3">
      <c r="BB1031760" s="38"/>
    </row>
    <row r="1031761" spans="54:54" ht="15.75" customHeight="1" x14ac:dyDescent="0.3">
      <c r="BB1031761" s="38"/>
    </row>
    <row r="1031762" spans="54:54" ht="15.75" customHeight="1" x14ac:dyDescent="0.3">
      <c r="BB1031762" s="38"/>
    </row>
    <row r="1031763" spans="54:54" ht="15.75" customHeight="1" x14ac:dyDescent="0.3">
      <c r="BB1031763" s="38"/>
    </row>
    <row r="1031764" spans="54:54" ht="15.75" customHeight="1" x14ac:dyDescent="0.3">
      <c r="BB1031764" s="38"/>
    </row>
    <row r="1031765" spans="54:54" ht="15.75" customHeight="1" x14ac:dyDescent="0.3">
      <c r="BB1031765" s="38"/>
    </row>
    <row r="1031766" spans="54:54" ht="15.75" customHeight="1" x14ac:dyDescent="0.3">
      <c r="BB1031766" s="38"/>
    </row>
    <row r="1031767" spans="54:54" ht="15.75" customHeight="1" x14ac:dyDescent="0.3">
      <c r="BB1031767" s="38"/>
    </row>
    <row r="1031768" spans="54:54" ht="15.75" customHeight="1" x14ac:dyDescent="0.3">
      <c r="BB1031768" s="38"/>
    </row>
    <row r="1031769" spans="54:54" ht="15.75" customHeight="1" x14ac:dyDescent="0.3">
      <c r="BB1031769" s="38"/>
    </row>
    <row r="1031770" spans="54:54" ht="15.75" customHeight="1" x14ac:dyDescent="0.3">
      <c r="BB1031770" s="38"/>
    </row>
    <row r="1031771" spans="54:54" ht="15.75" customHeight="1" x14ac:dyDescent="0.3">
      <c r="BB1031771" s="38"/>
    </row>
    <row r="1031772" spans="54:54" ht="15.75" customHeight="1" x14ac:dyDescent="0.3">
      <c r="BB1031772" s="38"/>
    </row>
    <row r="1031773" spans="54:54" ht="15.75" customHeight="1" x14ac:dyDescent="0.3">
      <c r="BB1031773" s="38"/>
    </row>
    <row r="1031774" spans="54:54" ht="15.75" customHeight="1" x14ac:dyDescent="0.3">
      <c r="BB1031774" s="38"/>
    </row>
    <row r="1031775" spans="54:54" ht="15.75" customHeight="1" x14ac:dyDescent="0.3">
      <c r="BB1031775" s="38"/>
    </row>
    <row r="1031776" spans="54:54" ht="15.75" customHeight="1" x14ac:dyDescent="0.3">
      <c r="BB1031776" s="38"/>
    </row>
    <row r="1031777" spans="54:54" ht="15.75" customHeight="1" x14ac:dyDescent="0.3">
      <c r="BB1031777" s="38"/>
    </row>
    <row r="1031778" spans="54:54" ht="15.75" customHeight="1" x14ac:dyDescent="0.3">
      <c r="BB1031778" s="38"/>
    </row>
    <row r="1031779" spans="54:54" ht="15.75" customHeight="1" x14ac:dyDescent="0.3">
      <c r="BB1031779" s="38"/>
    </row>
    <row r="1031780" spans="54:54" ht="15.75" customHeight="1" x14ac:dyDescent="0.3">
      <c r="BB1031780" s="38"/>
    </row>
    <row r="1031781" spans="54:54" ht="15.75" customHeight="1" x14ac:dyDescent="0.3">
      <c r="BB1031781" s="38"/>
    </row>
    <row r="1031782" spans="54:54" ht="15.75" customHeight="1" x14ac:dyDescent="0.3">
      <c r="BB1031782" s="38"/>
    </row>
    <row r="1031783" spans="54:54" ht="15.75" customHeight="1" x14ac:dyDescent="0.3">
      <c r="BB1031783" s="38"/>
    </row>
    <row r="1031784" spans="54:54" ht="15.75" customHeight="1" x14ac:dyDescent="0.3">
      <c r="BB1031784" s="38"/>
    </row>
    <row r="1031785" spans="54:54" ht="15.75" customHeight="1" x14ac:dyDescent="0.3">
      <c r="BB1031785" s="38"/>
    </row>
    <row r="1031786" spans="54:54" ht="15.75" customHeight="1" x14ac:dyDescent="0.3">
      <c r="BB1031786" s="38"/>
    </row>
    <row r="1031787" spans="54:54" ht="15.75" customHeight="1" x14ac:dyDescent="0.3">
      <c r="BB1031787" s="38"/>
    </row>
    <row r="1031788" spans="54:54" ht="15.75" customHeight="1" x14ac:dyDescent="0.3">
      <c r="BB1031788" s="38"/>
    </row>
    <row r="1031789" spans="54:54" ht="15.75" customHeight="1" x14ac:dyDescent="0.3">
      <c r="BB1031789" s="38"/>
    </row>
    <row r="1031790" spans="54:54" ht="15.75" customHeight="1" x14ac:dyDescent="0.3">
      <c r="BB1031790" s="38"/>
    </row>
    <row r="1031791" spans="54:54" ht="15.75" customHeight="1" x14ac:dyDescent="0.3">
      <c r="BB1031791" s="38"/>
    </row>
    <row r="1031792" spans="54:54" ht="15.75" customHeight="1" x14ac:dyDescent="0.3">
      <c r="BB1031792" s="38"/>
    </row>
    <row r="1031793" spans="54:54" ht="15.75" customHeight="1" x14ac:dyDescent="0.3">
      <c r="BB1031793" s="38"/>
    </row>
    <row r="1031794" spans="54:54" ht="15.75" customHeight="1" x14ac:dyDescent="0.3">
      <c r="BB1031794" s="38"/>
    </row>
    <row r="1031795" spans="54:54" ht="15.75" customHeight="1" x14ac:dyDescent="0.3">
      <c r="BB1031795" s="38"/>
    </row>
    <row r="1031796" spans="54:54" ht="15.75" customHeight="1" x14ac:dyDescent="0.3">
      <c r="BB1031796" s="38"/>
    </row>
    <row r="1031797" spans="54:54" ht="15.75" customHeight="1" x14ac:dyDescent="0.3">
      <c r="BB1031797" s="38"/>
    </row>
    <row r="1031798" spans="54:54" ht="15.75" customHeight="1" x14ac:dyDescent="0.3">
      <c r="BB1031798" s="38"/>
    </row>
    <row r="1031799" spans="54:54" ht="15.75" customHeight="1" x14ac:dyDescent="0.3">
      <c r="BB1031799" s="38"/>
    </row>
    <row r="1031800" spans="54:54" ht="15.75" customHeight="1" x14ac:dyDescent="0.3">
      <c r="BB1031800" s="38"/>
    </row>
    <row r="1031801" spans="54:54" ht="15.75" customHeight="1" x14ac:dyDescent="0.3">
      <c r="BB1031801" s="38"/>
    </row>
    <row r="1031802" spans="54:54" ht="15.75" customHeight="1" x14ac:dyDescent="0.3">
      <c r="BB1031802" s="38"/>
    </row>
    <row r="1031803" spans="54:54" ht="15.75" customHeight="1" x14ac:dyDescent="0.3">
      <c r="BB1031803" s="38"/>
    </row>
    <row r="1031804" spans="54:54" ht="15.75" customHeight="1" x14ac:dyDescent="0.3">
      <c r="BB1031804" s="38"/>
    </row>
    <row r="1031805" spans="54:54" ht="15.75" customHeight="1" x14ac:dyDescent="0.3">
      <c r="BB1031805" s="38"/>
    </row>
    <row r="1031806" spans="54:54" ht="15.75" customHeight="1" x14ac:dyDescent="0.3">
      <c r="BB1031806" s="38"/>
    </row>
    <row r="1031807" spans="54:54" ht="15.75" customHeight="1" x14ac:dyDescent="0.3">
      <c r="BB1031807" s="38"/>
    </row>
    <row r="1031808" spans="54:54" ht="15.75" customHeight="1" x14ac:dyDescent="0.3">
      <c r="BB1031808" s="38"/>
    </row>
    <row r="1031809" spans="54:54" ht="15.75" customHeight="1" x14ac:dyDescent="0.3">
      <c r="BB1031809" s="38"/>
    </row>
    <row r="1031810" spans="54:54" ht="15.75" customHeight="1" x14ac:dyDescent="0.3">
      <c r="BB1031810" s="38"/>
    </row>
    <row r="1031811" spans="54:54" ht="15.75" customHeight="1" x14ac:dyDescent="0.3">
      <c r="BB1031811" s="38"/>
    </row>
    <row r="1031812" spans="54:54" ht="15.75" customHeight="1" x14ac:dyDescent="0.3">
      <c r="BB1031812" s="38"/>
    </row>
    <row r="1031813" spans="54:54" ht="15.75" customHeight="1" x14ac:dyDescent="0.3">
      <c r="BB1031813" s="38"/>
    </row>
    <row r="1031814" spans="54:54" ht="15.75" customHeight="1" x14ac:dyDescent="0.3">
      <c r="BB1031814" s="38"/>
    </row>
    <row r="1031815" spans="54:54" ht="15.75" customHeight="1" x14ac:dyDescent="0.3">
      <c r="BB1031815" s="38"/>
    </row>
    <row r="1031816" spans="54:54" ht="15.75" customHeight="1" x14ac:dyDescent="0.3">
      <c r="BB1031816" s="38"/>
    </row>
    <row r="1031817" spans="54:54" ht="15.75" customHeight="1" x14ac:dyDescent="0.3">
      <c r="BB1031817" s="38"/>
    </row>
    <row r="1031818" spans="54:54" ht="15.75" customHeight="1" x14ac:dyDescent="0.3">
      <c r="BB1031818" s="38"/>
    </row>
    <row r="1031819" spans="54:54" ht="15.75" customHeight="1" x14ac:dyDescent="0.3">
      <c r="BB1031819" s="38"/>
    </row>
    <row r="1031820" spans="54:54" ht="15.75" customHeight="1" x14ac:dyDescent="0.3">
      <c r="BB1031820" s="38"/>
    </row>
    <row r="1031821" spans="54:54" ht="15.75" customHeight="1" x14ac:dyDescent="0.3">
      <c r="BB1031821" s="38"/>
    </row>
    <row r="1031822" spans="54:54" ht="15.75" customHeight="1" x14ac:dyDescent="0.3">
      <c r="BB1031822" s="38"/>
    </row>
    <row r="1031823" spans="54:54" ht="15.75" customHeight="1" x14ac:dyDescent="0.3">
      <c r="BB1031823" s="38"/>
    </row>
    <row r="1031824" spans="54:54" ht="15.75" customHeight="1" x14ac:dyDescent="0.3">
      <c r="BB1031824" s="38"/>
    </row>
    <row r="1031825" spans="54:54" ht="15.75" customHeight="1" x14ac:dyDescent="0.3">
      <c r="BB1031825" s="38"/>
    </row>
    <row r="1031826" spans="54:54" ht="15.75" customHeight="1" x14ac:dyDescent="0.3">
      <c r="BB1031826" s="38"/>
    </row>
    <row r="1031827" spans="54:54" ht="15.75" customHeight="1" x14ac:dyDescent="0.3">
      <c r="BB1031827" s="38"/>
    </row>
    <row r="1031828" spans="54:54" ht="15.75" customHeight="1" x14ac:dyDescent="0.3">
      <c r="BB1031828" s="38"/>
    </row>
    <row r="1031829" spans="54:54" ht="15.75" customHeight="1" x14ac:dyDescent="0.3">
      <c r="BB1031829" s="38"/>
    </row>
    <row r="1031830" spans="54:54" ht="15.75" customHeight="1" x14ac:dyDescent="0.3">
      <c r="BB1031830" s="38"/>
    </row>
    <row r="1031831" spans="54:54" ht="15.75" customHeight="1" x14ac:dyDescent="0.3">
      <c r="BB1031831" s="38"/>
    </row>
    <row r="1031832" spans="54:54" ht="15.75" customHeight="1" x14ac:dyDescent="0.3">
      <c r="BB1031832" s="38"/>
    </row>
    <row r="1031833" spans="54:54" ht="15.75" customHeight="1" x14ac:dyDescent="0.3">
      <c r="BB1031833" s="38"/>
    </row>
    <row r="1031834" spans="54:54" ht="15.75" customHeight="1" x14ac:dyDescent="0.3">
      <c r="BB1031834" s="38"/>
    </row>
    <row r="1031835" spans="54:54" ht="15.75" customHeight="1" x14ac:dyDescent="0.3">
      <c r="BB1031835" s="38"/>
    </row>
    <row r="1031836" spans="54:54" ht="15.75" customHeight="1" x14ac:dyDescent="0.3">
      <c r="BB1031836" s="38"/>
    </row>
    <row r="1031837" spans="54:54" ht="15.75" customHeight="1" x14ac:dyDescent="0.3">
      <c r="BB1031837" s="38"/>
    </row>
    <row r="1031838" spans="54:54" ht="15.75" customHeight="1" x14ac:dyDescent="0.3">
      <c r="BB1031838" s="38"/>
    </row>
    <row r="1031839" spans="54:54" ht="15.75" customHeight="1" x14ac:dyDescent="0.3">
      <c r="BB1031839" s="38"/>
    </row>
    <row r="1031840" spans="54:54" ht="15.75" customHeight="1" x14ac:dyDescent="0.3">
      <c r="BB1031840" s="38"/>
    </row>
    <row r="1031841" spans="54:54" ht="15.75" customHeight="1" x14ac:dyDescent="0.3">
      <c r="BB1031841" s="38"/>
    </row>
    <row r="1031842" spans="54:54" ht="15.75" customHeight="1" x14ac:dyDescent="0.3">
      <c r="BB1031842" s="38"/>
    </row>
    <row r="1031843" spans="54:54" ht="15.75" customHeight="1" x14ac:dyDescent="0.3">
      <c r="BB1031843" s="38"/>
    </row>
    <row r="1031844" spans="54:54" ht="15.75" customHeight="1" x14ac:dyDescent="0.3">
      <c r="BB1031844" s="38"/>
    </row>
    <row r="1031845" spans="54:54" ht="15.75" customHeight="1" x14ac:dyDescent="0.3">
      <c r="BB1031845" s="38"/>
    </row>
    <row r="1031846" spans="54:54" ht="15.75" customHeight="1" x14ac:dyDescent="0.3">
      <c r="BB1031846" s="38"/>
    </row>
    <row r="1031847" spans="54:54" ht="15.75" customHeight="1" x14ac:dyDescent="0.3">
      <c r="BB1031847" s="38"/>
    </row>
    <row r="1031848" spans="54:54" ht="15.75" customHeight="1" x14ac:dyDescent="0.3">
      <c r="BB1031848" s="38"/>
    </row>
    <row r="1031849" spans="54:54" ht="15.75" customHeight="1" x14ac:dyDescent="0.3">
      <c r="BB1031849" s="38"/>
    </row>
    <row r="1031850" spans="54:54" ht="15.75" customHeight="1" x14ac:dyDescent="0.3">
      <c r="BB1031850" s="38"/>
    </row>
    <row r="1031851" spans="54:54" ht="15.75" customHeight="1" x14ac:dyDescent="0.3">
      <c r="BB1031851" s="38"/>
    </row>
    <row r="1031852" spans="54:54" ht="15.75" customHeight="1" x14ac:dyDescent="0.3">
      <c r="BB1031852" s="38"/>
    </row>
    <row r="1031853" spans="54:54" ht="15.75" customHeight="1" x14ac:dyDescent="0.3">
      <c r="BB1031853" s="38"/>
    </row>
    <row r="1031854" spans="54:54" ht="15.75" customHeight="1" x14ac:dyDescent="0.3">
      <c r="BB1031854" s="38"/>
    </row>
    <row r="1031855" spans="54:54" ht="15.75" customHeight="1" x14ac:dyDescent="0.3">
      <c r="BB1031855" s="38"/>
    </row>
    <row r="1031856" spans="54:54" ht="15.75" customHeight="1" x14ac:dyDescent="0.3">
      <c r="BB1031856" s="38"/>
    </row>
    <row r="1031857" spans="54:54" ht="15.75" customHeight="1" x14ac:dyDescent="0.3">
      <c r="BB1031857" s="38"/>
    </row>
    <row r="1031858" spans="54:54" ht="15.75" customHeight="1" x14ac:dyDescent="0.3">
      <c r="BB1031858" s="38"/>
    </row>
    <row r="1031859" spans="54:54" ht="15.75" customHeight="1" x14ac:dyDescent="0.3">
      <c r="BB1031859" s="38"/>
    </row>
    <row r="1031860" spans="54:54" ht="15.75" customHeight="1" x14ac:dyDescent="0.3">
      <c r="BB1031860" s="38"/>
    </row>
    <row r="1031861" spans="54:54" ht="15.75" customHeight="1" x14ac:dyDescent="0.3">
      <c r="BB1031861" s="38"/>
    </row>
    <row r="1031862" spans="54:54" ht="15.75" customHeight="1" x14ac:dyDescent="0.3">
      <c r="BB1031862" s="38"/>
    </row>
    <row r="1031863" spans="54:54" ht="15.75" customHeight="1" x14ac:dyDescent="0.3">
      <c r="BB1031863" s="38"/>
    </row>
    <row r="1031864" spans="54:54" ht="15.75" customHeight="1" x14ac:dyDescent="0.3">
      <c r="BB1031864" s="38"/>
    </row>
    <row r="1031865" spans="54:54" ht="15.75" customHeight="1" x14ac:dyDescent="0.3">
      <c r="BB1031865" s="38"/>
    </row>
    <row r="1031866" spans="54:54" ht="15.75" customHeight="1" x14ac:dyDescent="0.3">
      <c r="BB1031866" s="38"/>
    </row>
    <row r="1031867" spans="54:54" ht="15.75" customHeight="1" x14ac:dyDescent="0.3">
      <c r="BB1031867" s="38"/>
    </row>
    <row r="1031868" spans="54:54" ht="15.75" customHeight="1" x14ac:dyDescent="0.3">
      <c r="BB1031868" s="38"/>
    </row>
    <row r="1031869" spans="54:54" ht="15.75" customHeight="1" x14ac:dyDescent="0.3">
      <c r="BB1031869" s="38"/>
    </row>
    <row r="1031870" spans="54:54" ht="15.75" customHeight="1" x14ac:dyDescent="0.3">
      <c r="BB1031870" s="38"/>
    </row>
    <row r="1031871" spans="54:54" ht="15.75" customHeight="1" x14ac:dyDescent="0.3">
      <c r="BB1031871" s="38"/>
    </row>
    <row r="1031872" spans="54:54" ht="15.75" customHeight="1" x14ac:dyDescent="0.3">
      <c r="BB1031872" s="38"/>
    </row>
    <row r="1031873" spans="54:54" ht="15.75" customHeight="1" x14ac:dyDescent="0.3">
      <c r="BB1031873" s="38"/>
    </row>
    <row r="1031874" spans="54:54" ht="15.75" customHeight="1" x14ac:dyDescent="0.3">
      <c r="BB1031874" s="38"/>
    </row>
    <row r="1031875" spans="54:54" ht="15.75" customHeight="1" x14ac:dyDescent="0.3">
      <c r="BB1031875" s="38"/>
    </row>
    <row r="1031876" spans="54:54" ht="15.75" customHeight="1" x14ac:dyDescent="0.3">
      <c r="BB1031876" s="38"/>
    </row>
    <row r="1031877" spans="54:54" ht="15.75" customHeight="1" x14ac:dyDescent="0.3">
      <c r="BB1031877" s="38"/>
    </row>
    <row r="1031878" spans="54:54" ht="15.75" customHeight="1" x14ac:dyDescent="0.3">
      <c r="BB1031878" s="38"/>
    </row>
    <row r="1031879" spans="54:54" ht="15.75" customHeight="1" x14ac:dyDescent="0.3">
      <c r="BB1031879" s="38"/>
    </row>
    <row r="1031880" spans="54:54" ht="15.75" customHeight="1" x14ac:dyDescent="0.3">
      <c r="BB1031880" s="38"/>
    </row>
    <row r="1031881" spans="54:54" ht="15.75" customHeight="1" x14ac:dyDescent="0.3">
      <c r="BB1031881" s="38"/>
    </row>
    <row r="1031882" spans="54:54" ht="15.75" customHeight="1" x14ac:dyDescent="0.3">
      <c r="BB1031882" s="38"/>
    </row>
    <row r="1031883" spans="54:54" ht="15.75" customHeight="1" x14ac:dyDescent="0.3">
      <c r="BB1031883" s="38"/>
    </row>
    <row r="1031884" spans="54:54" ht="15.75" customHeight="1" x14ac:dyDescent="0.3">
      <c r="BB1031884" s="38"/>
    </row>
    <row r="1031885" spans="54:54" ht="15.75" customHeight="1" x14ac:dyDescent="0.3">
      <c r="BB1031885" s="38"/>
    </row>
    <row r="1031886" spans="54:54" ht="15.75" customHeight="1" x14ac:dyDescent="0.3">
      <c r="BB1031886" s="38"/>
    </row>
    <row r="1031887" spans="54:54" ht="15.75" customHeight="1" x14ac:dyDescent="0.3">
      <c r="BB1031887" s="38"/>
    </row>
    <row r="1031888" spans="54:54" ht="15.75" customHeight="1" x14ac:dyDescent="0.3">
      <c r="BB1031888" s="38"/>
    </row>
    <row r="1031889" spans="54:54" ht="15.75" customHeight="1" x14ac:dyDescent="0.3">
      <c r="BB1031889" s="38"/>
    </row>
    <row r="1031890" spans="54:54" ht="15.75" customHeight="1" x14ac:dyDescent="0.3">
      <c r="BB1031890" s="38"/>
    </row>
    <row r="1031891" spans="54:54" ht="15.75" customHeight="1" x14ac:dyDescent="0.3">
      <c r="BB1031891" s="38"/>
    </row>
    <row r="1031892" spans="54:54" ht="15.75" customHeight="1" x14ac:dyDescent="0.3">
      <c r="BB1031892" s="38"/>
    </row>
    <row r="1031893" spans="54:54" ht="15.75" customHeight="1" x14ac:dyDescent="0.3">
      <c r="BB1031893" s="38"/>
    </row>
    <row r="1031894" spans="54:54" ht="15.75" customHeight="1" x14ac:dyDescent="0.3">
      <c r="BB1031894" s="38"/>
    </row>
    <row r="1031895" spans="54:54" ht="15.75" customHeight="1" x14ac:dyDescent="0.3">
      <c r="BB1031895" s="38"/>
    </row>
    <row r="1031896" spans="54:54" ht="15.75" customHeight="1" x14ac:dyDescent="0.3">
      <c r="BB1031896" s="38"/>
    </row>
    <row r="1031897" spans="54:54" ht="15.75" customHeight="1" x14ac:dyDescent="0.3">
      <c r="BB1031897" s="38"/>
    </row>
    <row r="1031898" spans="54:54" ht="15.75" customHeight="1" x14ac:dyDescent="0.3">
      <c r="BB1031898" s="38"/>
    </row>
    <row r="1031899" spans="54:54" ht="15.75" customHeight="1" x14ac:dyDescent="0.3">
      <c r="BB1031899" s="38"/>
    </row>
    <row r="1031900" spans="54:54" ht="15.75" customHeight="1" x14ac:dyDescent="0.3">
      <c r="BB1031900" s="38"/>
    </row>
    <row r="1031901" spans="54:54" ht="15.75" customHeight="1" x14ac:dyDescent="0.3">
      <c r="BB1031901" s="38"/>
    </row>
    <row r="1031902" spans="54:54" ht="15.75" customHeight="1" x14ac:dyDescent="0.3">
      <c r="BB1031902" s="38"/>
    </row>
    <row r="1031903" spans="54:54" ht="15.75" customHeight="1" x14ac:dyDescent="0.3">
      <c r="BB1031903" s="38"/>
    </row>
    <row r="1031904" spans="54:54" ht="15.75" customHeight="1" x14ac:dyDescent="0.3">
      <c r="BB1031904" s="38"/>
    </row>
    <row r="1031905" spans="54:54" ht="15.75" customHeight="1" x14ac:dyDescent="0.3">
      <c r="BB1031905" s="38"/>
    </row>
    <row r="1031906" spans="54:54" ht="15.75" customHeight="1" x14ac:dyDescent="0.3">
      <c r="BB1031906" s="38"/>
    </row>
    <row r="1031907" spans="54:54" ht="15.75" customHeight="1" x14ac:dyDescent="0.3">
      <c r="BB1031907" s="38"/>
    </row>
    <row r="1031908" spans="54:54" ht="15.75" customHeight="1" x14ac:dyDescent="0.3">
      <c r="BB1031908" s="38"/>
    </row>
    <row r="1031909" spans="54:54" ht="15.75" customHeight="1" x14ac:dyDescent="0.3">
      <c r="BB1031909" s="38"/>
    </row>
    <row r="1031910" spans="54:54" ht="15.75" customHeight="1" x14ac:dyDescent="0.3">
      <c r="BB1031910" s="38"/>
    </row>
    <row r="1031911" spans="54:54" ht="15.75" customHeight="1" x14ac:dyDescent="0.3">
      <c r="BB1031911" s="38"/>
    </row>
    <row r="1031912" spans="54:54" ht="15.75" customHeight="1" x14ac:dyDescent="0.3">
      <c r="BB1031912" s="38"/>
    </row>
    <row r="1031913" spans="54:54" ht="15.75" customHeight="1" x14ac:dyDescent="0.3">
      <c r="BB1031913" s="38"/>
    </row>
    <row r="1031914" spans="54:54" ht="15.75" customHeight="1" x14ac:dyDescent="0.3">
      <c r="BB1031914" s="38"/>
    </row>
    <row r="1031915" spans="54:54" ht="15.75" customHeight="1" x14ac:dyDescent="0.3">
      <c r="BB1031915" s="38"/>
    </row>
    <row r="1031916" spans="54:54" ht="15.75" customHeight="1" x14ac:dyDescent="0.3">
      <c r="BB1031916" s="38"/>
    </row>
    <row r="1031917" spans="54:54" ht="15.75" customHeight="1" x14ac:dyDescent="0.3">
      <c r="BB1031917" s="38"/>
    </row>
    <row r="1031918" spans="54:54" ht="15.75" customHeight="1" x14ac:dyDescent="0.3">
      <c r="BB1031918" s="38"/>
    </row>
    <row r="1031919" spans="54:54" ht="15.75" customHeight="1" x14ac:dyDescent="0.3">
      <c r="BB1031919" s="38"/>
    </row>
    <row r="1031920" spans="54:54" ht="15.75" customHeight="1" x14ac:dyDescent="0.3">
      <c r="BB1031920" s="38"/>
    </row>
    <row r="1031921" spans="54:54" ht="15.75" customHeight="1" x14ac:dyDescent="0.3">
      <c r="BB1031921" s="38"/>
    </row>
    <row r="1031922" spans="54:54" ht="15.75" customHeight="1" x14ac:dyDescent="0.3">
      <c r="BB1031922" s="38"/>
    </row>
    <row r="1031923" spans="54:54" ht="15.75" customHeight="1" x14ac:dyDescent="0.3">
      <c r="BB1031923" s="38"/>
    </row>
    <row r="1031924" spans="54:54" ht="15.75" customHeight="1" x14ac:dyDescent="0.3">
      <c r="BB1031924" s="38"/>
    </row>
    <row r="1031925" spans="54:54" ht="15.75" customHeight="1" x14ac:dyDescent="0.3">
      <c r="BB1031925" s="38"/>
    </row>
    <row r="1031926" spans="54:54" ht="15.75" customHeight="1" x14ac:dyDescent="0.3">
      <c r="BB1031926" s="38"/>
    </row>
    <row r="1031927" spans="54:54" ht="15.75" customHeight="1" x14ac:dyDescent="0.3">
      <c r="BB1031927" s="38"/>
    </row>
    <row r="1031928" spans="54:54" ht="15.75" customHeight="1" x14ac:dyDescent="0.3">
      <c r="BB1031928" s="38"/>
    </row>
    <row r="1031929" spans="54:54" ht="15.75" customHeight="1" x14ac:dyDescent="0.3">
      <c r="BB1031929" s="38"/>
    </row>
    <row r="1031930" spans="54:54" ht="15.75" customHeight="1" x14ac:dyDescent="0.3">
      <c r="BB1031930" s="38"/>
    </row>
    <row r="1031931" spans="54:54" ht="15.75" customHeight="1" x14ac:dyDescent="0.3">
      <c r="BB1031931" s="38"/>
    </row>
    <row r="1031932" spans="54:54" ht="15.75" customHeight="1" x14ac:dyDescent="0.3">
      <c r="BB1031932" s="38"/>
    </row>
    <row r="1031933" spans="54:54" ht="15.75" customHeight="1" x14ac:dyDescent="0.3">
      <c r="BB1031933" s="38"/>
    </row>
    <row r="1031934" spans="54:54" ht="15.75" customHeight="1" x14ac:dyDescent="0.3">
      <c r="BB1031934" s="38"/>
    </row>
    <row r="1031935" spans="54:54" ht="15.75" customHeight="1" x14ac:dyDescent="0.3">
      <c r="BB1031935" s="38"/>
    </row>
    <row r="1031936" spans="54:54" ht="15.75" customHeight="1" x14ac:dyDescent="0.3">
      <c r="BB1031936" s="38"/>
    </row>
    <row r="1031937" spans="54:54" ht="15.75" customHeight="1" x14ac:dyDescent="0.3">
      <c r="BB1031937" s="38"/>
    </row>
    <row r="1031938" spans="54:54" ht="15.75" customHeight="1" x14ac:dyDescent="0.3">
      <c r="BB1031938" s="38"/>
    </row>
    <row r="1031939" spans="54:54" ht="15.75" customHeight="1" x14ac:dyDescent="0.3">
      <c r="BB1031939" s="38"/>
    </row>
    <row r="1031940" spans="54:54" ht="15.75" customHeight="1" x14ac:dyDescent="0.3">
      <c r="BB1031940" s="38"/>
    </row>
    <row r="1031941" spans="54:54" ht="15.75" customHeight="1" x14ac:dyDescent="0.3">
      <c r="BB1031941" s="38"/>
    </row>
    <row r="1031942" spans="54:54" ht="15.75" customHeight="1" x14ac:dyDescent="0.3">
      <c r="BB1031942" s="38"/>
    </row>
    <row r="1031943" spans="54:54" ht="15.75" customHeight="1" x14ac:dyDescent="0.3">
      <c r="BB1031943" s="38"/>
    </row>
    <row r="1031944" spans="54:54" ht="15.75" customHeight="1" x14ac:dyDescent="0.3">
      <c r="BB1031944" s="38"/>
    </row>
    <row r="1031945" spans="54:54" ht="15.75" customHeight="1" x14ac:dyDescent="0.3">
      <c r="BB1031945" s="38"/>
    </row>
    <row r="1031946" spans="54:54" ht="15.75" customHeight="1" x14ac:dyDescent="0.3">
      <c r="BB1031946" s="38"/>
    </row>
    <row r="1031947" spans="54:54" ht="15.75" customHeight="1" x14ac:dyDescent="0.3">
      <c r="BB1031947" s="38"/>
    </row>
    <row r="1031948" spans="54:54" ht="15.75" customHeight="1" x14ac:dyDescent="0.3">
      <c r="BB1031948" s="38"/>
    </row>
    <row r="1031949" spans="54:54" ht="15.75" customHeight="1" x14ac:dyDescent="0.3">
      <c r="BB1031949" s="38"/>
    </row>
    <row r="1031950" spans="54:54" ht="15.75" customHeight="1" x14ac:dyDescent="0.3">
      <c r="BB1031950" s="38"/>
    </row>
    <row r="1031951" spans="54:54" ht="15.75" customHeight="1" x14ac:dyDescent="0.3">
      <c r="BB1031951" s="38"/>
    </row>
    <row r="1031952" spans="54:54" ht="15.75" customHeight="1" x14ac:dyDescent="0.3">
      <c r="BB1031952" s="38"/>
    </row>
    <row r="1031953" spans="54:54" ht="15.75" customHeight="1" x14ac:dyDescent="0.3">
      <c r="BB1031953" s="38"/>
    </row>
    <row r="1031954" spans="54:54" ht="15.75" customHeight="1" x14ac:dyDescent="0.3">
      <c r="BB1031954" s="38"/>
    </row>
    <row r="1031955" spans="54:54" ht="15.75" customHeight="1" x14ac:dyDescent="0.3">
      <c r="BB1031955" s="38"/>
    </row>
    <row r="1031956" spans="54:54" ht="15.75" customHeight="1" x14ac:dyDescent="0.3">
      <c r="BB1031956" s="38"/>
    </row>
    <row r="1031957" spans="54:54" ht="15.75" customHeight="1" x14ac:dyDescent="0.3">
      <c r="BB1031957" s="38"/>
    </row>
    <row r="1031958" spans="54:54" ht="15.75" customHeight="1" x14ac:dyDescent="0.3">
      <c r="BB1031958" s="38"/>
    </row>
    <row r="1031959" spans="54:54" ht="15.75" customHeight="1" x14ac:dyDescent="0.3">
      <c r="BB1031959" s="38"/>
    </row>
    <row r="1031960" spans="54:54" ht="15.75" customHeight="1" x14ac:dyDescent="0.3">
      <c r="BB1031960" s="38"/>
    </row>
    <row r="1031961" spans="54:54" ht="15.75" customHeight="1" x14ac:dyDescent="0.3">
      <c r="BB1031961" s="38"/>
    </row>
    <row r="1031962" spans="54:54" ht="15.75" customHeight="1" x14ac:dyDescent="0.3">
      <c r="BB1031962" s="38"/>
    </row>
    <row r="1031963" spans="54:54" ht="15.75" customHeight="1" x14ac:dyDescent="0.3">
      <c r="BB1031963" s="38"/>
    </row>
    <row r="1031964" spans="54:54" ht="15.75" customHeight="1" x14ac:dyDescent="0.3">
      <c r="BB1031964" s="38"/>
    </row>
    <row r="1031965" spans="54:54" ht="15.75" customHeight="1" x14ac:dyDescent="0.3">
      <c r="BB1031965" s="38"/>
    </row>
    <row r="1031966" spans="54:54" ht="15.75" customHeight="1" x14ac:dyDescent="0.3">
      <c r="BB1031966" s="38"/>
    </row>
    <row r="1031967" spans="54:54" ht="15.75" customHeight="1" x14ac:dyDescent="0.3">
      <c r="BB1031967" s="38"/>
    </row>
    <row r="1031968" spans="54:54" ht="15.75" customHeight="1" x14ac:dyDescent="0.3">
      <c r="BB1031968" s="38"/>
    </row>
    <row r="1031969" spans="54:54" ht="15.75" customHeight="1" x14ac:dyDescent="0.3">
      <c r="BB1031969" s="38"/>
    </row>
    <row r="1031970" spans="54:54" ht="15.75" customHeight="1" x14ac:dyDescent="0.3">
      <c r="BB1031970" s="38"/>
    </row>
    <row r="1031971" spans="54:54" ht="15.75" customHeight="1" x14ac:dyDescent="0.3">
      <c r="BB1031971" s="38"/>
    </row>
    <row r="1031972" spans="54:54" ht="15.75" customHeight="1" x14ac:dyDescent="0.3">
      <c r="BB1031972" s="38"/>
    </row>
    <row r="1031973" spans="54:54" ht="15.75" customHeight="1" x14ac:dyDescent="0.3">
      <c r="BB1031973" s="38"/>
    </row>
    <row r="1031974" spans="54:54" ht="15.75" customHeight="1" x14ac:dyDescent="0.3">
      <c r="BB1031974" s="38"/>
    </row>
    <row r="1031975" spans="54:54" ht="15.75" customHeight="1" x14ac:dyDescent="0.3">
      <c r="BB1031975" s="38"/>
    </row>
    <row r="1031976" spans="54:54" ht="15.75" customHeight="1" x14ac:dyDescent="0.3">
      <c r="BB1031976" s="38"/>
    </row>
    <row r="1031977" spans="54:54" ht="15.75" customHeight="1" x14ac:dyDescent="0.3">
      <c r="BB1031977" s="38"/>
    </row>
    <row r="1031978" spans="54:54" ht="15.75" customHeight="1" x14ac:dyDescent="0.3">
      <c r="BB1031978" s="38"/>
    </row>
    <row r="1031979" spans="54:54" ht="15.75" customHeight="1" x14ac:dyDescent="0.3">
      <c r="BB1031979" s="38"/>
    </row>
    <row r="1031980" spans="54:54" ht="15.75" customHeight="1" x14ac:dyDescent="0.3">
      <c r="BB1031980" s="38"/>
    </row>
    <row r="1031981" spans="54:54" ht="15.75" customHeight="1" x14ac:dyDescent="0.3">
      <c r="BB1031981" s="38"/>
    </row>
    <row r="1031982" spans="54:54" ht="15.75" customHeight="1" x14ac:dyDescent="0.3">
      <c r="BB1031982" s="38"/>
    </row>
    <row r="1031983" spans="54:54" ht="15.75" customHeight="1" x14ac:dyDescent="0.3">
      <c r="BB1031983" s="38"/>
    </row>
    <row r="1031984" spans="54:54" ht="15.75" customHeight="1" x14ac:dyDescent="0.3">
      <c r="BB1031984" s="38"/>
    </row>
    <row r="1031985" spans="54:54" ht="15.75" customHeight="1" x14ac:dyDescent="0.3">
      <c r="BB1031985" s="38"/>
    </row>
    <row r="1031986" spans="54:54" ht="15.75" customHeight="1" x14ac:dyDescent="0.3">
      <c r="BB1031986" s="38"/>
    </row>
    <row r="1031987" spans="54:54" ht="15.75" customHeight="1" x14ac:dyDescent="0.3">
      <c r="BB1031987" s="38"/>
    </row>
    <row r="1031988" spans="54:54" ht="15.75" customHeight="1" x14ac:dyDescent="0.3">
      <c r="BB1031988" s="38"/>
    </row>
    <row r="1031989" spans="54:54" ht="15.75" customHeight="1" x14ac:dyDescent="0.3">
      <c r="BB1031989" s="38"/>
    </row>
    <row r="1031990" spans="54:54" ht="15.75" customHeight="1" x14ac:dyDescent="0.3">
      <c r="BB1031990" s="38"/>
    </row>
    <row r="1031991" spans="54:54" ht="15.75" customHeight="1" x14ac:dyDescent="0.3">
      <c r="BB1031991" s="38"/>
    </row>
    <row r="1031992" spans="54:54" ht="15.75" customHeight="1" x14ac:dyDescent="0.3">
      <c r="BB1031992" s="38"/>
    </row>
    <row r="1031993" spans="54:54" ht="15.75" customHeight="1" x14ac:dyDescent="0.3">
      <c r="BB1031993" s="38"/>
    </row>
    <row r="1031994" spans="54:54" ht="15.75" customHeight="1" x14ac:dyDescent="0.3">
      <c r="BB1031994" s="38"/>
    </row>
    <row r="1031995" spans="54:54" ht="15.75" customHeight="1" x14ac:dyDescent="0.3">
      <c r="BB1031995" s="38"/>
    </row>
    <row r="1031996" spans="54:54" ht="15.75" customHeight="1" x14ac:dyDescent="0.3">
      <c r="BB1031996" s="38"/>
    </row>
    <row r="1031997" spans="54:54" ht="15.75" customHeight="1" x14ac:dyDescent="0.3">
      <c r="BB1031997" s="38"/>
    </row>
    <row r="1031998" spans="54:54" ht="15.75" customHeight="1" x14ac:dyDescent="0.3">
      <c r="BB1031998" s="38"/>
    </row>
    <row r="1031999" spans="54:54" ht="15.75" customHeight="1" x14ac:dyDescent="0.3">
      <c r="BB1031999" s="38"/>
    </row>
    <row r="1032000" spans="54:54" ht="15.75" customHeight="1" x14ac:dyDescent="0.3">
      <c r="BB1032000" s="38"/>
    </row>
    <row r="1032001" spans="54:54" ht="15.75" customHeight="1" x14ac:dyDescent="0.3">
      <c r="BB1032001" s="38"/>
    </row>
    <row r="1032002" spans="54:54" ht="15.75" customHeight="1" x14ac:dyDescent="0.3">
      <c r="BB1032002" s="38"/>
    </row>
    <row r="1032003" spans="54:54" ht="15.75" customHeight="1" x14ac:dyDescent="0.3">
      <c r="BB1032003" s="38"/>
    </row>
    <row r="1032004" spans="54:54" ht="15.75" customHeight="1" x14ac:dyDescent="0.3">
      <c r="BB1032004" s="38"/>
    </row>
    <row r="1032005" spans="54:54" ht="15.75" customHeight="1" x14ac:dyDescent="0.3">
      <c r="BB1032005" s="38"/>
    </row>
    <row r="1032006" spans="54:54" ht="15.75" customHeight="1" x14ac:dyDescent="0.3">
      <c r="BB1032006" s="38"/>
    </row>
    <row r="1032007" spans="54:54" ht="15.75" customHeight="1" x14ac:dyDescent="0.3">
      <c r="BB1032007" s="38"/>
    </row>
    <row r="1032008" spans="54:54" ht="15.75" customHeight="1" x14ac:dyDescent="0.3">
      <c r="BB1032008" s="38"/>
    </row>
    <row r="1032009" spans="54:54" ht="15.75" customHeight="1" x14ac:dyDescent="0.3">
      <c r="BB1032009" s="38"/>
    </row>
    <row r="1032010" spans="54:54" ht="15.75" customHeight="1" x14ac:dyDescent="0.3">
      <c r="BB1032010" s="38"/>
    </row>
    <row r="1032011" spans="54:54" ht="15.75" customHeight="1" x14ac:dyDescent="0.3">
      <c r="BB1032011" s="38"/>
    </row>
    <row r="1032012" spans="54:54" ht="15.75" customHeight="1" x14ac:dyDescent="0.3">
      <c r="BB1032012" s="38"/>
    </row>
    <row r="1032013" spans="54:54" ht="15.75" customHeight="1" x14ac:dyDescent="0.3">
      <c r="BB1032013" s="38"/>
    </row>
    <row r="1032014" spans="54:54" ht="15.75" customHeight="1" x14ac:dyDescent="0.3">
      <c r="BB1032014" s="38"/>
    </row>
    <row r="1032015" spans="54:54" ht="15.75" customHeight="1" x14ac:dyDescent="0.3">
      <c r="BB1032015" s="38"/>
    </row>
    <row r="1032016" spans="54:54" ht="15.75" customHeight="1" x14ac:dyDescent="0.3">
      <c r="BB1032016" s="38"/>
    </row>
    <row r="1032017" spans="54:54" ht="15.75" customHeight="1" x14ac:dyDescent="0.3">
      <c r="BB1032017" s="38"/>
    </row>
    <row r="1032018" spans="54:54" ht="15.75" customHeight="1" x14ac:dyDescent="0.3">
      <c r="BB1032018" s="38"/>
    </row>
    <row r="1032019" spans="54:54" ht="15.75" customHeight="1" x14ac:dyDescent="0.3">
      <c r="BB1032019" s="38"/>
    </row>
    <row r="1032020" spans="54:54" ht="15.75" customHeight="1" x14ac:dyDescent="0.3">
      <c r="BB1032020" s="38"/>
    </row>
    <row r="1032021" spans="54:54" ht="15.75" customHeight="1" x14ac:dyDescent="0.3">
      <c r="BB1032021" s="38"/>
    </row>
    <row r="1032022" spans="54:54" ht="15.75" customHeight="1" x14ac:dyDescent="0.3">
      <c r="BB1032022" s="38"/>
    </row>
    <row r="1032023" spans="54:54" ht="15.75" customHeight="1" x14ac:dyDescent="0.3">
      <c r="BB1032023" s="38"/>
    </row>
    <row r="1032024" spans="54:54" ht="15.75" customHeight="1" x14ac:dyDescent="0.3">
      <c r="BB1032024" s="38"/>
    </row>
    <row r="1032025" spans="54:54" ht="15.75" customHeight="1" x14ac:dyDescent="0.3">
      <c r="BB1032025" s="38"/>
    </row>
    <row r="1032026" spans="54:54" ht="15.75" customHeight="1" x14ac:dyDescent="0.3">
      <c r="BB1032026" s="38"/>
    </row>
    <row r="1032027" spans="54:54" ht="15.75" customHeight="1" x14ac:dyDescent="0.3">
      <c r="BB1032027" s="38"/>
    </row>
    <row r="1032028" spans="54:54" ht="15.75" customHeight="1" x14ac:dyDescent="0.3">
      <c r="BB1032028" s="38"/>
    </row>
    <row r="1032029" spans="54:54" ht="15.75" customHeight="1" x14ac:dyDescent="0.3">
      <c r="BB1032029" s="38"/>
    </row>
    <row r="1032030" spans="54:54" ht="15.75" customHeight="1" x14ac:dyDescent="0.3">
      <c r="BB1032030" s="38"/>
    </row>
    <row r="1032031" spans="54:54" ht="15.75" customHeight="1" x14ac:dyDescent="0.3">
      <c r="BB1032031" s="38"/>
    </row>
    <row r="1032032" spans="54:54" ht="15.75" customHeight="1" x14ac:dyDescent="0.3">
      <c r="BB1032032" s="38"/>
    </row>
    <row r="1032033" spans="54:54" ht="15.75" customHeight="1" x14ac:dyDescent="0.3">
      <c r="BB1032033" s="38"/>
    </row>
    <row r="1032034" spans="54:54" ht="15.75" customHeight="1" x14ac:dyDescent="0.3">
      <c r="BB1032034" s="38"/>
    </row>
    <row r="1032035" spans="54:54" ht="15.75" customHeight="1" x14ac:dyDescent="0.3">
      <c r="BB1032035" s="38"/>
    </row>
    <row r="1032036" spans="54:54" ht="15.75" customHeight="1" x14ac:dyDescent="0.3">
      <c r="BB1032036" s="38"/>
    </row>
    <row r="1032037" spans="54:54" ht="15.75" customHeight="1" x14ac:dyDescent="0.3">
      <c r="BB1032037" s="38"/>
    </row>
    <row r="1032038" spans="54:54" ht="15.75" customHeight="1" x14ac:dyDescent="0.3">
      <c r="BB1032038" s="38"/>
    </row>
    <row r="1032039" spans="54:54" ht="15.75" customHeight="1" x14ac:dyDescent="0.3">
      <c r="BB1032039" s="38"/>
    </row>
    <row r="1032040" spans="54:54" ht="15.75" customHeight="1" x14ac:dyDescent="0.3">
      <c r="BB1032040" s="38"/>
    </row>
    <row r="1032041" spans="54:54" ht="15.75" customHeight="1" x14ac:dyDescent="0.3">
      <c r="BB1032041" s="38"/>
    </row>
    <row r="1032042" spans="54:54" ht="15.75" customHeight="1" x14ac:dyDescent="0.3">
      <c r="BB1032042" s="38"/>
    </row>
    <row r="1032043" spans="54:54" ht="15.75" customHeight="1" x14ac:dyDescent="0.3">
      <c r="BB1032043" s="38"/>
    </row>
    <row r="1032044" spans="54:54" ht="15.75" customHeight="1" x14ac:dyDescent="0.3">
      <c r="BB1032044" s="38"/>
    </row>
    <row r="1032045" spans="54:54" ht="15.75" customHeight="1" x14ac:dyDescent="0.3">
      <c r="BB1032045" s="38"/>
    </row>
    <row r="1032046" spans="54:54" ht="15.75" customHeight="1" x14ac:dyDescent="0.3">
      <c r="BB1032046" s="38"/>
    </row>
    <row r="1032047" spans="54:54" ht="15.75" customHeight="1" x14ac:dyDescent="0.3">
      <c r="BB1032047" s="38"/>
    </row>
    <row r="1032048" spans="54:54" ht="15.75" customHeight="1" x14ac:dyDescent="0.3">
      <c r="BB1032048" s="38"/>
    </row>
    <row r="1032049" spans="54:54" ht="15.75" customHeight="1" x14ac:dyDescent="0.3">
      <c r="BB1032049" s="38"/>
    </row>
    <row r="1032050" spans="54:54" ht="15.75" customHeight="1" x14ac:dyDescent="0.3">
      <c r="BB1032050" s="38"/>
    </row>
    <row r="1032051" spans="54:54" ht="15.75" customHeight="1" x14ac:dyDescent="0.3">
      <c r="BB1032051" s="38"/>
    </row>
    <row r="1032052" spans="54:54" ht="15.75" customHeight="1" x14ac:dyDescent="0.3">
      <c r="BB1032052" s="38"/>
    </row>
    <row r="1032053" spans="54:54" ht="15.75" customHeight="1" x14ac:dyDescent="0.3">
      <c r="BB1032053" s="38"/>
    </row>
    <row r="1032054" spans="54:54" ht="15.75" customHeight="1" x14ac:dyDescent="0.3">
      <c r="BB1032054" s="38"/>
    </row>
    <row r="1032055" spans="54:54" ht="15.75" customHeight="1" x14ac:dyDescent="0.3">
      <c r="BB1032055" s="38"/>
    </row>
    <row r="1032056" spans="54:54" ht="15.75" customHeight="1" x14ac:dyDescent="0.3">
      <c r="BB1032056" s="38"/>
    </row>
    <row r="1032057" spans="54:54" ht="15.75" customHeight="1" x14ac:dyDescent="0.3">
      <c r="BB1032057" s="38"/>
    </row>
    <row r="1032058" spans="54:54" ht="15.75" customHeight="1" x14ac:dyDescent="0.3">
      <c r="BB1032058" s="38"/>
    </row>
    <row r="1032059" spans="54:54" ht="15.75" customHeight="1" x14ac:dyDescent="0.3">
      <c r="BB1032059" s="38"/>
    </row>
    <row r="1032060" spans="54:54" ht="15.75" customHeight="1" x14ac:dyDescent="0.3">
      <c r="BB1032060" s="38"/>
    </row>
    <row r="1032061" spans="54:54" ht="15.75" customHeight="1" x14ac:dyDescent="0.3">
      <c r="BB1032061" s="38"/>
    </row>
    <row r="1032062" spans="54:54" ht="15.75" customHeight="1" x14ac:dyDescent="0.3">
      <c r="BB1032062" s="38"/>
    </row>
    <row r="1032063" spans="54:54" ht="15.75" customHeight="1" x14ac:dyDescent="0.3">
      <c r="BB1032063" s="38"/>
    </row>
    <row r="1032064" spans="54:54" ht="15.75" customHeight="1" x14ac:dyDescent="0.3">
      <c r="BB1032064" s="38"/>
    </row>
    <row r="1032065" spans="54:54" ht="15.75" customHeight="1" x14ac:dyDescent="0.3">
      <c r="BB1032065" s="38"/>
    </row>
    <row r="1032066" spans="54:54" ht="15.75" customHeight="1" x14ac:dyDescent="0.3">
      <c r="BB1032066" s="38"/>
    </row>
    <row r="1032067" spans="54:54" ht="15.75" customHeight="1" x14ac:dyDescent="0.3">
      <c r="BB1032067" s="38"/>
    </row>
    <row r="1032068" spans="54:54" ht="15.75" customHeight="1" x14ac:dyDescent="0.3">
      <c r="BB1032068" s="38"/>
    </row>
    <row r="1032069" spans="54:54" ht="15.75" customHeight="1" x14ac:dyDescent="0.3">
      <c r="BB1032069" s="38"/>
    </row>
    <row r="1032070" spans="54:54" ht="15.75" customHeight="1" x14ac:dyDescent="0.3">
      <c r="BB1032070" s="38"/>
    </row>
    <row r="1032071" spans="54:54" ht="15.75" customHeight="1" x14ac:dyDescent="0.3">
      <c r="BB1032071" s="38"/>
    </row>
    <row r="1032072" spans="54:54" ht="15.75" customHeight="1" x14ac:dyDescent="0.3">
      <c r="BB1032072" s="38"/>
    </row>
    <row r="1032073" spans="54:54" ht="15.75" customHeight="1" x14ac:dyDescent="0.3">
      <c r="BB1032073" s="38"/>
    </row>
    <row r="1032074" spans="54:54" ht="15.75" customHeight="1" x14ac:dyDescent="0.3">
      <c r="BB1032074" s="38"/>
    </row>
    <row r="1032075" spans="54:54" ht="15.75" customHeight="1" x14ac:dyDescent="0.3">
      <c r="BB1032075" s="38"/>
    </row>
    <row r="1032076" spans="54:54" ht="15.75" customHeight="1" x14ac:dyDescent="0.3">
      <c r="BB1032076" s="38"/>
    </row>
    <row r="1032077" spans="54:54" ht="15.75" customHeight="1" x14ac:dyDescent="0.3">
      <c r="BB1032077" s="38"/>
    </row>
    <row r="1032078" spans="54:54" ht="15.75" customHeight="1" x14ac:dyDescent="0.3">
      <c r="BB1032078" s="38"/>
    </row>
    <row r="1032079" spans="54:54" ht="15.75" customHeight="1" x14ac:dyDescent="0.3">
      <c r="BB1032079" s="38"/>
    </row>
    <row r="1032080" spans="54:54" ht="15.75" customHeight="1" x14ac:dyDescent="0.3">
      <c r="BB1032080" s="38"/>
    </row>
    <row r="1032081" spans="54:54" ht="15.75" customHeight="1" x14ac:dyDescent="0.3">
      <c r="BB1032081" s="38"/>
    </row>
    <row r="1032082" spans="54:54" ht="15.75" customHeight="1" x14ac:dyDescent="0.3">
      <c r="BB1032082" s="38"/>
    </row>
    <row r="1032083" spans="54:54" ht="15.75" customHeight="1" x14ac:dyDescent="0.3">
      <c r="BB1032083" s="38"/>
    </row>
    <row r="1032084" spans="54:54" ht="15.75" customHeight="1" x14ac:dyDescent="0.3">
      <c r="BB1032084" s="38"/>
    </row>
    <row r="1032085" spans="54:54" ht="15.75" customHeight="1" x14ac:dyDescent="0.3">
      <c r="BB1032085" s="38"/>
    </row>
    <row r="1032086" spans="54:54" ht="15.75" customHeight="1" x14ac:dyDescent="0.3">
      <c r="BB1032086" s="38"/>
    </row>
    <row r="1032087" spans="54:54" ht="15.75" customHeight="1" x14ac:dyDescent="0.3">
      <c r="BB1032087" s="38"/>
    </row>
    <row r="1032088" spans="54:54" ht="15.75" customHeight="1" x14ac:dyDescent="0.3">
      <c r="BB1032088" s="38"/>
    </row>
    <row r="1032089" spans="54:54" ht="15.75" customHeight="1" x14ac:dyDescent="0.3">
      <c r="BB1032089" s="38"/>
    </row>
    <row r="1032090" spans="54:54" ht="15.75" customHeight="1" x14ac:dyDescent="0.3">
      <c r="BB1032090" s="38"/>
    </row>
    <row r="1032091" spans="54:54" ht="15.75" customHeight="1" x14ac:dyDescent="0.3">
      <c r="BB1032091" s="38"/>
    </row>
    <row r="1032092" spans="54:54" ht="15.75" customHeight="1" x14ac:dyDescent="0.3">
      <c r="BB1032092" s="38"/>
    </row>
    <row r="1032093" spans="54:54" ht="15.75" customHeight="1" x14ac:dyDescent="0.3">
      <c r="BB1032093" s="38"/>
    </row>
    <row r="1032094" spans="54:54" ht="15.75" customHeight="1" x14ac:dyDescent="0.3">
      <c r="BB1032094" s="38"/>
    </row>
    <row r="1032095" spans="54:54" ht="15.75" customHeight="1" x14ac:dyDescent="0.3">
      <c r="BB1032095" s="38"/>
    </row>
    <row r="1032096" spans="54:54" ht="15.75" customHeight="1" x14ac:dyDescent="0.3">
      <c r="BB1032096" s="38"/>
    </row>
    <row r="1032097" spans="54:54" ht="15.75" customHeight="1" x14ac:dyDescent="0.3">
      <c r="BB1032097" s="38"/>
    </row>
    <row r="1032098" spans="54:54" ht="15.75" customHeight="1" x14ac:dyDescent="0.3">
      <c r="BB1032098" s="38"/>
    </row>
    <row r="1032099" spans="54:54" ht="15.75" customHeight="1" x14ac:dyDescent="0.3">
      <c r="BB1032099" s="38"/>
    </row>
    <row r="1032100" spans="54:54" ht="15.75" customHeight="1" x14ac:dyDescent="0.3">
      <c r="BB1032100" s="38"/>
    </row>
    <row r="1032101" spans="54:54" ht="15.75" customHeight="1" x14ac:dyDescent="0.3">
      <c r="BB1032101" s="38"/>
    </row>
    <row r="1032102" spans="54:54" ht="15.75" customHeight="1" x14ac:dyDescent="0.3">
      <c r="BB1032102" s="38"/>
    </row>
    <row r="1032103" spans="54:54" ht="15.75" customHeight="1" x14ac:dyDescent="0.3">
      <c r="BB1032103" s="38"/>
    </row>
    <row r="1032104" spans="54:54" ht="15.75" customHeight="1" x14ac:dyDescent="0.3">
      <c r="BB1032104" s="38"/>
    </row>
    <row r="1032105" spans="54:54" ht="15.75" customHeight="1" x14ac:dyDescent="0.3">
      <c r="BB1032105" s="38"/>
    </row>
    <row r="1032106" spans="54:54" ht="15.75" customHeight="1" x14ac:dyDescent="0.3">
      <c r="BB1032106" s="38"/>
    </row>
    <row r="1032107" spans="54:54" ht="15.75" customHeight="1" x14ac:dyDescent="0.3">
      <c r="BB1032107" s="38"/>
    </row>
    <row r="1032108" spans="54:54" ht="15.75" customHeight="1" x14ac:dyDescent="0.3">
      <c r="BB1032108" s="38"/>
    </row>
    <row r="1032109" spans="54:54" ht="15.75" customHeight="1" x14ac:dyDescent="0.3">
      <c r="BB1032109" s="38"/>
    </row>
    <row r="1032110" spans="54:54" ht="15.75" customHeight="1" x14ac:dyDescent="0.3">
      <c r="BB1032110" s="38"/>
    </row>
    <row r="1032111" spans="54:54" ht="15.75" customHeight="1" x14ac:dyDescent="0.3">
      <c r="BB1032111" s="38"/>
    </row>
    <row r="1032112" spans="54:54" ht="15.75" customHeight="1" x14ac:dyDescent="0.3">
      <c r="BB1032112" s="38"/>
    </row>
    <row r="1032113" spans="54:54" ht="15.75" customHeight="1" x14ac:dyDescent="0.3">
      <c r="BB1032113" s="38"/>
    </row>
    <row r="1032114" spans="54:54" ht="15.75" customHeight="1" x14ac:dyDescent="0.3">
      <c r="BB1032114" s="38"/>
    </row>
    <row r="1032115" spans="54:54" ht="15.75" customHeight="1" x14ac:dyDescent="0.3">
      <c r="BB1032115" s="38"/>
    </row>
    <row r="1032116" spans="54:54" ht="15.75" customHeight="1" x14ac:dyDescent="0.3">
      <c r="BB1032116" s="38"/>
    </row>
    <row r="1032117" spans="54:54" ht="15.75" customHeight="1" x14ac:dyDescent="0.3">
      <c r="BB1032117" s="38"/>
    </row>
    <row r="1032118" spans="54:54" ht="15.75" customHeight="1" x14ac:dyDescent="0.3">
      <c r="BB1032118" s="38"/>
    </row>
    <row r="1032119" spans="54:54" ht="15.75" customHeight="1" x14ac:dyDescent="0.3">
      <c r="BB1032119" s="38"/>
    </row>
    <row r="1032120" spans="54:54" ht="15.75" customHeight="1" x14ac:dyDescent="0.3">
      <c r="BB1032120" s="38"/>
    </row>
    <row r="1032121" spans="54:54" ht="15.75" customHeight="1" x14ac:dyDescent="0.3">
      <c r="BB1032121" s="38"/>
    </row>
    <row r="1032122" spans="54:54" ht="15.75" customHeight="1" x14ac:dyDescent="0.3">
      <c r="BB1032122" s="38"/>
    </row>
    <row r="1032123" spans="54:54" ht="15.75" customHeight="1" x14ac:dyDescent="0.3">
      <c r="BB1032123" s="38"/>
    </row>
    <row r="1032124" spans="54:54" ht="15.75" customHeight="1" x14ac:dyDescent="0.3">
      <c r="BB1032124" s="38"/>
    </row>
    <row r="1032125" spans="54:54" ht="15.75" customHeight="1" x14ac:dyDescent="0.3">
      <c r="BB1032125" s="38"/>
    </row>
    <row r="1032126" spans="54:54" ht="15.75" customHeight="1" x14ac:dyDescent="0.3">
      <c r="BB1032126" s="38"/>
    </row>
    <row r="1032127" spans="54:54" ht="15.75" customHeight="1" x14ac:dyDescent="0.3">
      <c r="BB1032127" s="38"/>
    </row>
    <row r="1032128" spans="54:54" ht="15.75" customHeight="1" x14ac:dyDescent="0.3">
      <c r="BB1032128" s="38"/>
    </row>
    <row r="1032129" spans="54:54" ht="15.75" customHeight="1" x14ac:dyDescent="0.3">
      <c r="BB1032129" s="38"/>
    </row>
    <row r="1032130" spans="54:54" ht="15.75" customHeight="1" x14ac:dyDescent="0.3">
      <c r="BB1032130" s="38"/>
    </row>
    <row r="1032131" spans="54:54" ht="15.75" customHeight="1" x14ac:dyDescent="0.3">
      <c r="BB1032131" s="38"/>
    </row>
    <row r="1032132" spans="54:54" ht="15.75" customHeight="1" x14ac:dyDescent="0.3">
      <c r="BB1032132" s="38"/>
    </row>
    <row r="1032133" spans="54:54" ht="15.75" customHeight="1" x14ac:dyDescent="0.3">
      <c r="BB1032133" s="38"/>
    </row>
    <row r="1032134" spans="54:54" ht="15.75" customHeight="1" x14ac:dyDescent="0.3">
      <c r="BB1032134" s="38"/>
    </row>
    <row r="1032135" spans="54:54" ht="15.75" customHeight="1" x14ac:dyDescent="0.3">
      <c r="BB1032135" s="38"/>
    </row>
    <row r="1032136" spans="54:54" ht="15.75" customHeight="1" x14ac:dyDescent="0.3">
      <c r="BB1032136" s="38"/>
    </row>
    <row r="1032137" spans="54:54" ht="15.75" customHeight="1" x14ac:dyDescent="0.3">
      <c r="BB1032137" s="38"/>
    </row>
    <row r="1032138" spans="54:54" ht="15.75" customHeight="1" x14ac:dyDescent="0.3">
      <c r="BB1032138" s="38"/>
    </row>
    <row r="1032139" spans="54:54" ht="15.75" customHeight="1" x14ac:dyDescent="0.3">
      <c r="BB1032139" s="38"/>
    </row>
    <row r="1032140" spans="54:54" ht="15.75" customHeight="1" x14ac:dyDescent="0.3">
      <c r="BB1032140" s="38"/>
    </row>
    <row r="1032141" spans="54:54" ht="15.75" customHeight="1" x14ac:dyDescent="0.3">
      <c r="BB1032141" s="38"/>
    </row>
    <row r="1032142" spans="54:54" ht="15.75" customHeight="1" x14ac:dyDescent="0.3">
      <c r="BB1032142" s="38"/>
    </row>
    <row r="1032143" spans="54:54" ht="15.75" customHeight="1" x14ac:dyDescent="0.3">
      <c r="BB1032143" s="38"/>
    </row>
    <row r="1032144" spans="54:54" ht="15.75" customHeight="1" x14ac:dyDescent="0.3">
      <c r="BB1032144" s="38"/>
    </row>
    <row r="1032145" spans="54:54" ht="15.75" customHeight="1" x14ac:dyDescent="0.3">
      <c r="BB1032145" s="38"/>
    </row>
    <row r="1032146" spans="54:54" ht="15.75" customHeight="1" x14ac:dyDescent="0.3">
      <c r="BB1032146" s="38"/>
    </row>
    <row r="1032147" spans="54:54" ht="15.75" customHeight="1" x14ac:dyDescent="0.3">
      <c r="BB1032147" s="38"/>
    </row>
    <row r="1032148" spans="54:54" ht="15.75" customHeight="1" x14ac:dyDescent="0.3">
      <c r="BB1032148" s="38"/>
    </row>
    <row r="1032149" spans="54:54" ht="15.75" customHeight="1" x14ac:dyDescent="0.3">
      <c r="BB1032149" s="38"/>
    </row>
    <row r="1032150" spans="54:54" ht="15.75" customHeight="1" x14ac:dyDescent="0.3">
      <c r="BB1032150" s="38"/>
    </row>
    <row r="1032151" spans="54:54" ht="15.75" customHeight="1" x14ac:dyDescent="0.3">
      <c r="BB1032151" s="38"/>
    </row>
    <row r="1032152" spans="54:54" ht="15.75" customHeight="1" x14ac:dyDescent="0.3">
      <c r="BB1032152" s="38"/>
    </row>
    <row r="1032153" spans="54:54" ht="15.75" customHeight="1" x14ac:dyDescent="0.3">
      <c r="BB1032153" s="38"/>
    </row>
    <row r="1032154" spans="54:54" ht="15.75" customHeight="1" x14ac:dyDescent="0.3">
      <c r="BB1032154" s="38"/>
    </row>
    <row r="1032155" spans="54:54" ht="15.75" customHeight="1" x14ac:dyDescent="0.3">
      <c r="BB1032155" s="38"/>
    </row>
    <row r="1032156" spans="54:54" ht="15.75" customHeight="1" x14ac:dyDescent="0.3">
      <c r="BB1032156" s="38"/>
    </row>
    <row r="1032157" spans="54:54" ht="15.75" customHeight="1" x14ac:dyDescent="0.3">
      <c r="BB1032157" s="38"/>
    </row>
    <row r="1032158" spans="54:54" ht="15.75" customHeight="1" x14ac:dyDescent="0.3">
      <c r="BB1032158" s="38"/>
    </row>
    <row r="1032159" spans="54:54" ht="15.75" customHeight="1" x14ac:dyDescent="0.3">
      <c r="BB1032159" s="38"/>
    </row>
    <row r="1032160" spans="54:54" ht="15.75" customHeight="1" x14ac:dyDescent="0.3">
      <c r="BB1032160" s="38"/>
    </row>
    <row r="1032161" spans="54:54" ht="15.75" customHeight="1" x14ac:dyDescent="0.3">
      <c r="BB1032161" s="38"/>
    </row>
    <row r="1032162" spans="54:54" ht="15.75" customHeight="1" x14ac:dyDescent="0.3">
      <c r="BB1032162" s="38"/>
    </row>
    <row r="1032163" spans="54:54" ht="15.75" customHeight="1" x14ac:dyDescent="0.3">
      <c r="BB1032163" s="38"/>
    </row>
    <row r="1032164" spans="54:54" ht="15.75" customHeight="1" x14ac:dyDescent="0.3">
      <c r="BB1032164" s="38"/>
    </row>
    <row r="1032165" spans="54:54" ht="15.75" customHeight="1" x14ac:dyDescent="0.3">
      <c r="BB1032165" s="38"/>
    </row>
    <row r="1032166" spans="54:54" ht="15.75" customHeight="1" x14ac:dyDescent="0.3">
      <c r="BB1032166" s="38"/>
    </row>
    <row r="1032167" spans="54:54" ht="15.75" customHeight="1" x14ac:dyDescent="0.3">
      <c r="BB1032167" s="38"/>
    </row>
    <row r="1032168" spans="54:54" ht="15.75" customHeight="1" x14ac:dyDescent="0.3">
      <c r="BB1032168" s="38"/>
    </row>
    <row r="1032169" spans="54:54" ht="15.75" customHeight="1" x14ac:dyDescent="0.3">
      <c r="BB1032169" s="38"/>
    </row>
    <row r="1032170" spans="54:54" ht="15.75" customHeight="1" x14ac:dyDescent="0.3">
      <c r="BB1032170" s="38"/>
    </row>
    <row r="1032171" spans="54:54" ht="15.75" customHeight="1" x14ac:dyDescent="0.3">
      <c r="BB1032171" s="38"/>
    </row>
    <row r="1032172" spans="54:54" ht="15.75" customHeight="1" x14ac:dyDescent="0.3">
      <c r="BB1032172" s="38"/>
    </row>
    <row r="1032173" spans="54:54" ht="15.75" customHeight="1" x14ac:dyDescent="0.3">
      <c r="BB1032173" s="38"/>
    </row>
    <row r="1032174" spans="54:54" ht="15.75" customHeight="1" x14ac:dyDescent="0.3">
      <c r="BB1032174" s="38"/>
    </row>
    <row r="1032175" spans="54:54" ht="15.75" customHeight="1" x14ac:dyDescent="0.3">
      <c r="BB1032175" s="38"/>
    </row>
    <row r="1032176" spans="54:54" ht="15.75" customHeight="1" x14ac:dyDescent="0.3">
      <c r="BB1032176" s="38"/>
    </row>
    <row r="1032177" spans="54:54" ht="15.75" customHeight="1" x14ac:dyDescent="0.3">
      <c r="BB1032177" s="38"/>
    </row>
    <row r="1032178" spans="54:54" ht="15.75" customHeight="1" x14ac:dyDescent="0.3">
      <c r="BB1032178" s="38"/>
    </row>
    <row r="1032179" spans="54:54" ht="15.75" customHeight="1" x14ac:dyDescent="0.3">
      <c r="BB1032179" s="38"/>
    </row>
    <row r="1032180" spans="54:54" ht="15.75" customHeight="1" x14ac:dyDescent="0.3">
      <c r="BB1032180" s="38"/>
    </row>
    <row r="1032181" spans="54:54" ht="15.75" customHeight="1" x14ac:dyDescent="0.3">
      <c r="BB1032181" s="38"/>
    </row>
    <row r="1032182" spans="54:54" ht="15.75" customHeight="1" x14ac:dyDescent="0.3">
      <c r="BB1032182" s="38"/>
    </row>
    <row r="1032183" spans="54:54" ht="15.75" customHeight="1" x14ac:dyDescent="0.3">
      <c r="BB1032183" s="38"/>
    </row>
    <row r="1032184" spans="54:54" ht="15.75" customHeight="1" x14ac:dyDescent="0.3">
      <c r="BB1032184" s="38"/>
    </row>
    <row r="1032185" spans="54:54" ht="15.75" customHeight="1" x14ac:dyDescent="0.3">
      <c r="BB1032185" s="38"/>
    </row>
    <row r="1032186" spans="54:54" ht="15.75" customHeight="1" x14ac:dyDescent="0.3">
      <c r="BB1032186" s="38"/>
    </row>
    <row r="1032187" spans="54:54" ht="15.75" customHeight="1" x14ac:dyDescent="0.3">
      <c r="BB1032187" s="38"/>
    </row>
    <row r="1032188" spans="54:54" ht="15.75" customHeight="1" x14ac:dyDescent="0.3">
      <c r="BB1032188" s="38"/>
    </row>
    <row r="1032189" spans="54:54" ht="15.75" customHeight="1" x14ac:dyDescent="0.3">
      <c r="BB1032189" s="38"/>
    </row>
    <row r="1032190" spans="54:54" ht="15.75" customHeight="1" x14ac:dyDescent="0.3">
      <c r="BB1032190" s="38"/>
    </row>
    <row r="1032191" spans="54:54" ht="15.75" customHeight="1" x14ac:dyDescent="0.3">
      <c r="BB1032191" s="38"/>
    </row>
    <row r="1032192" spans="54:54" ht="15.75" customHeight="1" x14ac:dyDescent="0.3">
      <c r="BB1032192" s="38"/>
    </row>
    <row r="1032193" spans="54:54" ht="15.75" customHeight="1" x14ac:dyDescent="0.3">
      <c r="BB1032193" s="38"/>
    </row>
    <row r="1032194" spans="54:54" ht="15.75" customHeight="1" x14ac:dyDescent="0.3">
      <c r="BB1032194" s="38"/>
    </row>
    <row r="1032195" spans="54:54" ht="15.75" customHeight="1" x14ac:dyDescent="0.3">
      <c r="BB1032195" s="38"/>
    </row>
    <row r="1032196" spans="54:54" ht="15.75" customHeight="1" x14ac:dyDescent="0.3">
      <c r="BB1032196" s="38"/>
    </row>
    <row r="1032197" spans="54:54" ht="15.75" customHeight="1" x14ac:dyDescent="0.3">
      <c r="BB1032197" s="38"/>
    </row>
    <row r="1032198" spans="54:54" ht="15.75" customHeight="1" x14ac:dyDescent="0.3">
      <c r="BB1032198" s="38"/>
    </row>
    <row r="1032199" spans="54:54" ht="15.75" customHeight="1" x14ac:dyDescent="0.3">
      <c r="BB1032199" s="38"/>
    </row>
    <row r="1032200" spans="54:54" ht="15.75" customHeight="1" x14ac:dyDescent="0.3">
      <c r="BB1032200" s="38"/>
    </row>
    <row r="1032201" spans="54:54" ht="15.75" customHeight="1" x14ac:dyDescent="0.3">
      <c r="BB1032201" s="38"/>
    </row>
    <row r="1032202" spans="54:54" ht="15.75" customHeight="1" x14ac:dyDescent="0.3">
      <c r="BB1032202" s="38"/>
    </row>
    <row r="1032203" spans="54:54" ht="15.75" customHeight="1" x14ac:dyDescent="0.3">
      <c r="BB1032203" s="38"/>
    </row>
    <row r="1032204" spans="54:54" ht="15.75" customHeight="1" x14ac:dyDescent="0.3">
      <c r="BB1032204" s="38"/>
    </row>
    <row r="1032205" spans="54:54" ht="15.75" customHeight="1" x14ac:dyDescent="0.3">
      <c r="BB1032205" s="38"/>
    </row>
    <row r="1032206" spans="54:54" ht="15.75" customHeight="1" x14ac:dyDescent="0.3">
      <c r="BB1032206" s="38"/>
    </row>
    <row r="1032207" spans="54:54" ht="15.75" customHeight="1" x14ac:dyDescent="0.3">
      <c r="BB1032207" s="38"/>
    </row>
    <row r="1032208" spans="54:54" ht="15.75" customHeight="1" x14ac:dyDescent="0.3">
      <c r="BB1032208" s="38"/>
    </row>
    <row r="1032209" spans="54:54" ht="15.75" customHeight="1" x14ac:dyDescent="0.3">
      <c r="BB1032209" s="38"/>
    </row>
    <row r="1032210" spans="54:54" ht="15.75" customHeight="1" x14ac:dyDescent="0.3">
      <c r="BB1032210" s="38"/>
    </row>
    <row r="1032211" spans="54:54" ht="15.75" customHeight="1" x14ac:dyDescent="0.3">
      <c r="BB1032211" s="38"/>
    </row>
    <row r="1032212" spans="54:54" ht="15.75" customHeight="1" x14ac:dyDescent="0.3">
      <c r="BB1032212" s="38"/>
    </row>
    <row r="1032213" spans="54:54" ht="15.75" customHeight="1" x14ac:dyDescent="0.3">
      <c r="BB1032213" s="38"/>
    </row>
    <row r="1032214" spans="54:54" ht="15.75" customHeight="1" x14ac:dyDescent="0.3">
      <c r="BB1032214" s="38"/>
    </row>
    <row r="1032215" spans="54:54" ht="15.75" customHeight="1" x14ac:dyDescent="0.3">
      <c r="BB1032215" s="38"/>
    </row>
    <row r="1032216" spans="54:54" ht="15.75" customHeight="1" x14ac:dyDescent="0.3">
      <c r="BB1032216" s="38"/>
    </row>
    <row r="1032217" spans="54:54" ht="15.75" customHeight="1" x14ac:dyDescent="0.3">
      <c r="BB1032217" s="38"/>
    </row>
    <row r="1032218" spans="54:54" ht="15.75" customHeight="1" x14ac:dyDescent="0.3">
      <c r="BB1032218" s="38"/>
    </row>
    <row r="1032219" spans="54:54" ht="15.75" customHeight="1" x14ac:dyDescent="0.3">
      <c r="BB1032219" s="38"/>
    </row>
    <row r="1032220" spans="54:54" ht="15.75" customHeight="1" x14ac:dyDescent="0.3">
      <c r="BB1032220" s="38"/>
    </row>
    <row r="1032221" spans="54:54" ht="15.75" customHeight="1" x14ac:dyDescent="0.3">
      <c r="BB1032221" s="38"/>
    </row>
    <row r="1032222" spans="54:54" ht="15.75" customHeight="1" x14ac:dyDescent="0.3">
      <c r="BB1032222" s="38"/>
    </row>
    <row r="1032223" spans="54:54" ht="15.75" customHeight="1" x14ac:dyDescent="0.3">
      <c r="BB1032223" s="38"/>
    </row>
    <row r="1032224" spans="54:54" ht="15.75" customHeight="1" x14ac:dyDescent="0.3">
      <c r="BB1032224" s="38"/>
    </row>
    <row r="1032225" spans="54:54" ht="15.75" customHeight="1" x14ac:dyDescent="0.3">
      <c r="BB1032225" s="38"/>
    </row>
    <row r="1032226" spans="54:54" ht="15.75" customHeight="1" x14ac:dyDescent="0.3">
      <c r="BB1032226" s="38"/>
    </row>
    <row r="1032227" spans="54:54" ht="15.75" customHeight="1" x14ac:dyDescent="0.3">
      <c r="BB1032227" s="38"/>
    </row>
    <row r="1032228" spans="54:54" ht="15.75" customHeight="1" x14ac:dyDescent="0.3">
      <c r="BB1032228" s="38"/>
    </row>
    <row r="1032229" spans="54:54" ht="15.75" customHeight="1" x14ac:dyDescent="0.3">
      <c r="BB1032229" s="38"/>
    </row>
    <row r="1032230" spans="54:54" ht="15.75" customHeight="1" x14ac:dyDescent="0.3">
      <c r="BB1032230" s="38"/>
    </row>
    <row r="1032231" spans="54:54" ht="15.75" customHeight="1" x14ac:dyDescent="0.3">
      <c r="BB1032231" s="38"/>
    </row>
    <row r="1032232" spans="54:54" ht="15.75" customHeight="1" x14ac:dyDescent="0.3">
      <c r="BB1032232" s="38"/>
    </row>
    <row r="1032233" spans="54:54" ht="15.75" customHeight="1" x14ac:dyDescent="0.3">
      <c r="BB1032233" s="38"/>
    </row>
    <row r="1032234" spans="54:54" ht="15.75" customHeight="1" x14ac:dyDescent="0.3">
      <c r="BB1032234" s="38"/>
    </row>
    <row r="1032235" spans="54:54" ht="15.75" customHeight="1" x14ac:dyDescent="0.3">
      <c r="BB1032235" s="38"/>
    </row>
    <row r="1032236" spans="54:54" ht="15.75" customHeight="1" x14ac:dyDescent="0.3">
      <c r="BB1032236" s="38"/>
    </row>
    <row r="1032237" spans="54:54" ht="15.75" customHeight="1" x14ac:dyDescent="0.3">
      <c r="BB1032237" s="38"/>
    </row>
    <row r="1032238" spans="54:54" ht="15.75" customHeight="1" x14ac:dyDescent="0.3">
      <c r="BB1032238" s="38"/>
    </row>
    <row r="1032239" spans="54:54" ht="15.75" customHeight="1" x14ac:dyDescent="0.3">
      <c r="BB1032239" s="38"/>
    </row>
    <row r="1032240" spans="54:54" ht="15.75" customHeight="1" x14ac:dyDescent="0.3">
      <c r="BB1032240" s="38"/>
    </row>
    <row r="1032241" spans="54:54" ht="15.75" customHeight="1" x14ac:dyDescent="0.3">
      <c r="BB1032241" s="38"/>
    </row>
    <row r="1032242" spans="54:54" ht="15.75" customHeight="1" x14ac:dyDescent="0.3">
      <c r="BB1032242" s="38"/>
    </row>
    <row r="1032243" spans="54:54" ht="15.75" customHeight="1" x14ac:dyDescent="0.3">
      <c r="BB1032243" s="38"/>
    </row>
    <row r="1032244" spans="54:54" ht="15.75" customHeight="1" x14ac:dyDescent="0.3">
      <c r="BB1032244" s="38"/>
    </row>
    <row r="1032245" spans="54:54" ht="15.75" customHeight="1" x14ac:dyDescent="0.3">
      <c r="BB1032245" s="38"/>
    </row>
    <row r="1032246" spans="54:54" ht="15.75" customHeight="1" x14ac:dyDescent="0.3">
      <c r="BB1032246" s="38"/>
    </row>
    <row r="1032247" spans="54:54" ht="15.75" customHeight="1" x14ac:dyDescent="0.3">
      <c r="BB1032247" s="38"/>
    </row>
    <row r="1032248" spans="54:54" ht="15.75" customHeight="1" x14ac:dyDescent="0.3">
      <c r="BB1032248" s="38"/>
    </row>
    <row r="1032249" spans="54:54" ht="15.75" customHeight="1" x14ac:dyDescent="0.3">
      <c r="BB1032249" s="38"/>
    </row>
    <row r="1032250" spans="54:54" ht="15.75" customHeight="1" x14ac:dyDescent="0.3">
      <c r="BB1032250" s="38"/>
    </row>
    <row r="1032251" spans="54:54" ht="15.75" customHeight="1" x14ac:dyDescent="0.3">
      <c r="BB1032251" s="38"/>
    </row>
    <row r="1032252" spans="54:54" ht="15.75" customHeight="1" x14ac:dyDescent="0.3">
      <c r="BB1032252" s="38"/>
    </row>
    <row r="1032253" spans="54:54" ht="15.75" customHeight="1" x14ac:dyDescent="0.3">
      <c r="BB1032253" s="38"/>
    </row>
    <row r="1032254" spans="54:54" ht="15.75" customHeight="1" x14ac:dyDescent="0.3">
      <c r="BB1032254" s="38"/>
    </row>
    <row r="1032255" spans="54:54" ht="15.75" customHeight="1" x14ac:dyDescent="0.3">
      <c r="BB1032255" s="38"/>
    </row>
    <row r="1032256" spans="54:54" ht="15.75" customHeight="1" x14ac:dyDescent="0.3">
      <c r="BB1032256" s="38"/>
    </row>
    <row r="1032257" spans="54:54" ht="15.75" customHeight="1" x14ac:dyDescent="0.3">
      <c r="BB1032257" s="38"/>
    </row>
    <row r="1032258" spans="54:54" ht="15.75" customHeight="1" x14ac:dyDescent="0.3">
      <c r="BB1032258" s="38"/>
    </row>
    <row r="1032259" spans="54:54" ht="15.75" customHeight="1" x14ac:dyDescent="0.3">
      <c r="BB1032259" s="38"/>
    </row>
    <row r="1032260" spans="54:54" ht="15.75" customHeight="1" x14ac:dyDescent="0.3">
      <c r="BB1032260" s="38"/>
    </row>
    <row r="1032261" spans="54:54" ht="15.75" customHeight="1" x14ac:dyDescent="0.3">
      <c r="BB1032261" s="38"/>
    </row>
    <row r="1032262" spans="54:54" ht="15.75" customHeight="1" x14ac:dyDescent="0.3">
      <c r="BB1032262" s="38"/>
    </row>
    <row r="1032263" spans="54:54" ht="15.75" customHeight="1" x14ac:dyDescent="0.3">
      <c r="BB1032263" s="38"/>
    </row>
    <row r="1032264" spans="54:54" ht="15.75" customHeight="1" x14ac:dyDescent="0.3">
      <c r="BB1032264" s="38"/>
    </row>
    <row r="1032265" spans="54:54" ht="15.75" customHeight="1" x14ac:dyDescent="0.3">
      <c r="BB1032265" s="38"/>
    </row>
    <row r="1032266" spans="54:54" ht="15.75" customHeight="1" x14ac:dyDescent="0.3">
      <c r="BB1032266" s="38"/>
    </row>
    <row r="1032267" spans="54:54" ht="15.75" customHeight="1" x14ac:dyDescent="0.3">
      <c r="BB1032267" s="38"/>
    </row>
    <row r="1032268" spans="54:54" ht="15.75" customHeight="1" x14ac:dyDescent="0.3">
      <c r="BB1032268" s="38"/>
    </row>
    <row r="1032269" spans="54:54" ht="15.75" customHeight="1" x14ac:dyDescent="0.3">
      <c r="BB1032269" s="38"/>
    </row>
    <row r="1032270" spans="54:54" ht="15.75" customHeight="1" x14ac:dyDescent="0.3">
      <c r="BB1032270" s="38"/>
    </row>
    <row r="1032271" spans="54:54" ht="15.75" customHeight="1" x14ac:dyDescent="0.3">
      <c r="BB1032271" s="38"/>
    </row>
    <row r="1032272" spans="54:54" ht="15.75" customHeight="1" x14ac:dyDescent="0.3">
      <c r="BB1032272" s="38"/>
    </row>
    <row r="1032273" spans="54:54" ht="15.75" customHeight="1" x14ac:dyDescent="0.3">
      <c r="BB1032273" s="38"/>
    </row>
    <row r="1032274" spans="54:54" ht="15.75" customHeight="1" x14ac:dyDescent="0.3">
      <c r="BB1032274" s="38"/>
    </row>
    <row r="1032275" spans="54:54" ht="15.75" customHeight="1" x14ac:dyDescent="0.3">
      <c r="BB1032275" s="38"/>
    </row>
    <row r="1032276" spans="54:54" ht="15.75" customHeight="1" x14ac:dyDescent="0.3">
      <c r="BB1032276" s="38"/>
    </row>
    <row r="1032277" spans="54:54" ht="15.75" customHeight="1" x14ac:dyDescent="0.3">
      <c r="BB1032277" s="38"/>
    </row>
    <row r="1032278" spans="54:54" ht="15.75" customHeight="1" x14ac:dyDescent="0.3">
      <c r="BB1032278" s="38"/>
    </row>
    <row r="1032279" spans="54:54" ht="15.75" customHeight="1" x14ac:dyDescent="0.3">
      <c r="BB1032279" s="38"/>
    </row>
    <row r="1032280" spans="54:54" ht="15.75" customHeight="1" x14ac:dyDescent="0.3">
      <c r="BB1032280" s="38"/>
    </row>
    <row r="1032281" spans="54:54" ht="15.75" customHeight="1" x14ac:dyDescent="0.3">
      <c r="BB1032281" s="38"/>
    </row>
    <row r="1032282" spans="54:54" ht="15.75" customHeight="1" x14ac:dyDescent="0.3">
      <c r="BB1032282" s="38"/>
    </row>
    <row r="1032283" spans="54:54" ht="15.75" customHeight="1" x14ac:dyDescent="0.3">
      <c r="BB1032283" s="38"/>
    </row>
    <row r="1032284" spans="54:54" ht="15.75" customHeight="1" x14ac:dyDescent="0.3">
      <c r="BB1032284" s="38"/>
    </row>
    <row r="1032285" spans="54:54" ht="15.75" customHeight="1" x14ac:dyDescent="0.3">
      <c r="BB1032285" s="38"/>
    </row>
    <row r="1032286" spans="54:54" ht="15.75" customHeight="1" x14ac:dyDescent="0.3">
      <c r="BB1032286" s="38"/>
    </row>
    <row r="1032287" spans="54:54" ht="15.75" customHeight="1" x14ac:dyDescent="0.3">
      <c r="BB1032287" s="38"/>
    </row>
    <row r="1032288" spans="54:54" ht="15.75" customHeight="1" x14ac:dyDescent="0.3">
      <c r="BB1032288" s="38"/>
    </row>
    <row r="1032289" spans="54:54" ht="15.75" customHeight="1" x14ac:dyDescent="0.3">
      <c r="BB1032289" s="38"/>
    </row>
    <row r="1032290" spans="54:54" ht="15.75" customHeight="1" x14ac:dyDescent="0.3">
      <c r="BB1032290" s="38"/>
    </row>
    <row r="1032291" spans="54:54" ht="15.75" customHeight="1" x14ac:dyDescent="0.3">
      <c r="BB1032291" s="38"/>
    </row>
    <row r="1032292" spans="54:54" ht="15.75" customHeight="1" x14ac:dyDescent="0.3">
      <c r="BB1032292" s="38"/>
    </row>
    <row r="1032293" spans="54:54" ht="15.75" customHeight="1" x14ac:dyDescent="0.3">
      <c r="BB1032293" s="38"/>
    </row>
    <row r="1032294" spans="54:54" ht="15.75" customHeight="1" x14ac:dyDescent="0.3">
      <c r="BB1032294" s="38"/>
    </row>
    <row r="1032295" spans="54:54" ht="15.75" customHeight="1" x14ac:dyDescent="0.3">
      <c r="BB1032295" s="38"/>
    </row>
    <row r="1032296" spans="54:54" ht="15.75" customHeight="1" x14ac:dyDescent="0.3">
      <c r="BB1032296" s="38"/>
    </row>
    <row r="1032297" spans="54:54" ht="15.75" customHeight="1" x14ac:dyDescent="0.3">
      <c r="BB1032297" s="38"/>
    </row>
    <row r="1032298" spans="54:54" ht="15.75" customHeight="1" x14ac:dyDescent="0.3">
      <c r="BB1032298" s="38"/>
    </row>
    <row r="1032299" spans="54:54" ht="15.75" customHeight="1" x14ac:dyDescent="0.3">
      <c r="BB1032299" s="38"/>
    </row>
    <row r="1032300" spans="54:54" ht="15.75" customHeight="1" x14ac:dyDescent="0.3">
      <c r="BB1032300" s="38"/>
    </row>
    <row r="1032301" spans="54:54" ht="15.75" customHeight="1" x14ac:dyDescent="0.3">
      <c r="BB1032301" s="38"/>
    </row>
    <row r="1032302" spans="54:54" ht="15.75" customHeight="1" x14ac:dyDescent="0.3">
      <c r="BB1032302" s="38"/>
    </row>
    <row r="1032303" spans="54:54" ht="15.75" customHeight="1" x14ac:dyDescent="0.3">
      <c r="BB1032303" s="38"/>
    </row>
    <row r="1032304" spans="54:54" ht="15.75" customHeight="1" x14ac:dyDescent="0.3">
      <c r="BB1032304" s="38"/>
    </row>
    <row r="1032305" spans="54:54" ht="15.75" customHeight="1" x14ac:dyDescent="0.3">
      <c r="BB1032305" s="38"/>
    </row>
    <row r="1032306" spans="54:54" ht="15.75" customHeight="1" x14ac:dyDescent="0.3">
      <c r="BB1032306" s="38"/>
    </row>
    <row r="1032307" spans="54:54" ht="15.75" customHeight="1" x14ac:dyDescent="0.3">
      <c r="BB1032307" s="38"/>
    </row>
    <row r="1032308" spans="54:54" ht="15.75" customHeight="1" x14ac:dyDescent="0.3">
      <c r="BB1032308" s="38"/>
    </row>
    <row r="1032309" spans="54:54" ht="15.75" customHeight="1" x14ac:dyDescent="0.3">
      <c r="BB1032309" s="38"/>
    </row>
    <row r="1032310" spans="54:54" ht="15.75" customHeight="1" x14ac:dyDescent="0.3">
      <c r="BB1032310" s="38"/>
    </row>
    <row r="1032311" spans="54:54" ht="15.75" customHeight="1" x14ac:dyDescent="0.3">
      <c r="BB1032311" s="38"/>
    </row>
    <row r="1032312" spans="54:54" ht="15.75" customHeight="1" x14ac:dyDescent="0.3">
      <c r="BB1032312" s="38"/>
    </row>
    <row r="1032313" spans="54:54" ht="15.75" customHeight="1" x14ac:dyDescent="0.3">
      <c r="BB1032313" s="38"/>
    </row>
    <row r="1032314" spans="54:54" ht="15.75" customHeight="1" x14ac:dyDescent="0.3">
      <c r="BB1032314" s="38"/>
    </row>
    <row r="1032315" spans="54:54" ht="15.75" customHeight="1" x14ac:dyDescent="0.3">
      <c r="BB1032315" s="38"/>
    </row>
    <row r="1032316" spans="54:54" ht="15.75" customHeight="1" x14ac:dyDescent="0.3">
      <c r="BB1032316" s="38"/>
    </row>
    <row r="1032317" spans="54:54" ht="15.75" customHeight="1" x14ac:dyDescent="0.3">
      <c r="BB1032317" s="38"/>
    </row>
    <row r="1032318" spans="54:54" ht="15.75" customHeight="1" x14ac:dyDescent="0.3">
      <c r="BB1032318" s="38"/>
    </row>
    <row r="1032319" spans="54:54" ht="15.75" customHeight="1" x14ac:dyDescent="0.3">
      <c r="BB1032319" s="38"/>
    </row>
    <row r="1032320" spans="54:54" ht="15.75" customHeight="1" x14ac:dyDescent="0.3">
      <c r="BB1032320" s="38"/>
    </row>
    <row r="1032321" spans="54:54" ht="15.75" customHeight="1" x14ac:dyDescent="0.3">
      <c r="BB1032321" s="38"/>
    </row>
    <row r="1032322" spans="54:54" ht="15.75" customHeight="1" x14ac:dyDescent="0.3">
      <c r="BB1032322" s="38"/>
    </row>
    <row r="1032323" spans="54:54" ht="15.75" customHeight="1" x14ac:dyDescent="0.3">
      <c r="BB1032323" s="38"/>
    </row>
    <row r="1032324" spans="54:54" ht="15.75" customHeight="1" x14ac:dyDescent="0.3">
      <c r="BB1032324" s="38"/>
    </row>
    <row r="1032325" spans="54:54" ht="15.75" customHeight="1" x14ac:dyDescent="0.3">
      <c r="BB1032325" s="38"/>
    </row>
    <row r="1032326" spans="54:54" ht="15.75" customHeight="1" x14ac:dyDescent="0.3">
      <c r="BB1032326" s="38"/>
    </row>
    <row r="1032327" spans="54:54" ht="15.75" customHeight="1" x14ac:dyDescent="0.3">
      <c r="BB1032327" s="38"/>
    </row>
    <row r="1032328" spans="54:54" ht="15.75" customHeight="1" x14ac:dyDescent="0.3">
      <c r="BB1032328" s="38"/>
    </row>
    <row r="1032329" spans="54:54" ht="15.75" customHeight="1" x14ac:dyDescent="0.3">
      <c r="BB1032329" s="38"/>
    </row>
    <row r="1032330" spans="54:54" ht="15.75" customHeight="1" x14ac:dyDescent="0.3">
      <c r="BB1032330" s="38"/>
    </row>
    <row r="1032331" spans="54:54" ht="15.75" customHeight="1" x14ac:dyDescent="0.3">
      <c r="BB1032331" s="38"/>
    </row>
    <row r="1032332" spans="54:54" ht="15.75" customHeight="1" x14ac:dyDescent="0.3">
      <c r="BB1032332" s="38"/>
    </row>
    <row r="1032333" spans="54:54" ht="15.75" customHeight="1" x14ac:dyDescent="0.3">
      <c r="BB1032333" s="38"/>
    </row>
    <row r="1032334" spans="54:54" ht="15.75" customHeight="1" x14ac:dyDescent="0.3">
      <c r="BB1032334" s="38"/>
    </row>
    <row r="1032335" spans="54:54" ht="15.75" customHeight="1" x14ac:dyDescent="0.3">
      <c r="BB1032335" s="38"/>
    </row>
    <row r="1032336" spans="54:54" ht="15.75" customHeight="1" x14ac:dyDescent="0.3">
      <c r="BB1032336" s="38"/>
    </row>
    <row r="1032337" spans="54:54" ht="15.75" customHeight="1" x14ac:dyDescent="0.3">
      <c r="BB1032337" s="38"/>
    </row>
    <row r="1032338" spans="54:54" ht="15.75" customHeight="1" x14ac:dyDescent="0.3">
      <c r="BB1032338" s="38"/>
    </row>
    <row r="1032339" spans="54:54" ht="15.75" customHeight="1" x14ac:dyDescent="0.3">
      <c r="BB1032339" s="38"/>
    </row>
    <row r="1032340" spans="54:54" ht="15.75" customHeight="1" x14ac:dyDescent="0.3">
      <c r="BB1032340" s="38"/>
    </row>
    <row r="1032341" spans="54:54" ht="15.75" customHeight="1" x14ac:dyDescent="0.3">
      <c r="BB1032341" s="38"/>
    </row>
    <row r="1032342" spans="54:54" ht="15.75" customHeight="1" x14ac:dyDescent="0.3">
      <c r="BB1032342" s="38"/>
    </row>
    <row r="1032343" spans="54:54" ht="15.75" customHeight="1" x14ac:dyDescent="0.3">
      <c r="BB1032343" s="38"/>
    </row>
    <row r="1032344" spans="54:54" ht="15.75" customHeight="1" x14ac:dyDescent="0.3">
      <c r="BB1032344" s="38"/>
    </row>
    <row r="1032345" spans="54:54" ht="15.75" customHeight="1" x14ac:dyDescent="0.3">
      <c r="BB1032345" s="38"/>
    </row>
    <row r="1032346" spans="54:54" ht="15.75" customHeight="1" x14ac:dyDescent="0.3">
      <c r="BB1032346" s="38"/>
    </row>
    <row r="1032347" spans="54:54" ht="15.75" customHeight="1" x14ac:dyDescent="0.3">
      <c r="BB1032347" s="38"/>
    </row>
    <row r="1032348" spans="54:54" ht="15.75" customHeight="1" x14ac:dyDescent="0.3">
      <c r="BB1032348" s="38"/>
    </row>
    <row r="1032349" spans="54:54" ht="15.75" customHeight="1" x14ac:dyDescent="0.3">
      <c r="BB1032349" s="38"/>
    </row>
    <row r="1032350" spans="54:54" ht="15.75" customHeight="1" x14ac:dyDescent="0.3">
      <c r="BB1032350" s="38"/>
    </row>
    <row r="1032351" spans="54:54" ht="15.75" customHeight="1" x14ac:dyDescent="0.3">
      <c r="BB1032351" s="38"/>
    </row>
    <row r="1032352" spans="54:54" ht="15.75" customHeight="1" x14ac:dyDescent="0.3">
      <c r="BB1032352" s="38"/>
    </row>
    <row r="1032353" spans="54:54" ht="15.75" customHeight="1" x14ac:dyDescent="0.3">
      <c r="BB1032353" s="38"/>
    </row>
    <row r="1032354" spans="54:54" ht="15.75" customHeight="1" x14ac:dyDescent="0.3">
      <c r="BB1032354" s="38"/>
    </row>
    <row r="1032355" spans="54:54" ht="15.75" customHeight="1" x14ac:dyDescent="0.3">
      <c r="BB1032355" s="38"/>
    </row>
    <row r="1032356" spans="54:54" ht="15.75" customHeight="1" x14ac:dyDescent="0.3">
      <c r="BB1032356" s="38"/>
    </row>
    <row r="1032357" spans="54:54" ht="15.75" customHeight="1" x14ac:dyDescent="0.3">
      <c r="BB1032357" s="38"/>
    </row>
    <row r="1032358" spans="54:54" ht="15.75" customHeight="1" x14ac:dyDescent="0.3">
      <c r="BB1032358" s="38"/>
    </row>
    <row r="1032359" spans="54:54" ht="15.75" customHeight="1" x14ac:dyDescent="0.3">
      <c r="BB1032359" s="38"/>
    </row>
    <row r="1032360" spans="54:54" ht="15.75" customHeight="1" x14ac:dyDescent="0.3">
      <c r="BB1032360" s="38"/>
    </row>
    <row r="1032361" spans="54:54" ht="15.75" customHeight="1" x14ac:dyDescent="0.3">
      <c r="BB1032361" s="38"/>
    </row>
    <row r="1032362" spans="54:54" ht="15.75" customHeight="1" x14ac:dyDescent="0.3">
      <c r="BB1032362" s="38"/>
    </row>
    <row r="1032363" spans="54:54" ht="15.75" customHeight="1" x14ac:dyDescent="0.3">
      <c r="BB1032363" s="38"/>
    </row>
    <row r="1032364" spans="54:54" ht="15.75" customHeight="1" x14ac:dyDescent="0.3">
      <c r="BB1032364" s="38"/>
    </row>
    <row r="1032365" spans="54:54" ht="15.75" customHeight="1" x14ac:dyDescent="0.3">
      <c r="BB1032365" s="38"/>
    </row>
    <row r="1032366" spans="54:54" ht="15.75" customHeight="1" x14ac:dyDescent="0.3">
      <c r="BB1032366" s="38"/>
    </row>
    <row r="1032367" spans="54:54" ht="15.75" customHeight="1" x14ac:dyDescent="0.3">
      <c r="BB1032367" s="38"/>
    </row>
    <row r="1032368" spans="54:54" ht="15.75" customHeight="1" x14ac:dyDescent="0.3">
      <c r="BB1032368" s="38"/>
    </row>
    <row r="1032369" spans="54:54" ht="15.75" customHeight="1" x14ac:dyDescent="0.3">
      <c r="BB1032369" s="38"/>
    </row>
    <row r="1032370" spans="54:54" ht="15.75" customHeight="1" x14ac:dyDescent="0.3">
      <c r="BB1032370" s="38"/>
    </row>
    <row r="1032371" spans="54:54" ht="15.75" customHeight="1" x14ac:dyDescent="0.3">
      <c r="BB1032371" s="38"/>
    </row>
    <row r="1032372" spans="54:54" ht="15.75" customHeight="1" x14ac:dyDescent="0.3">
      <c r="BB1032372" s="38"/>
    </row>
    <row r="1032373" spans="54:54" ht="15.75" customHeight="1" x14ac:dyDescent="0.3">
      <c r="BB1032373" s="38"/>
    </row>
    <row r="1032374" spans="54:54" ht="15.75" customHeight="1" x14ac:dyDescent="0.3">
      <c r="BB1032374" s="38"/>
    </row>
    <row r="1032375" spans="54:54" ht="15.75" customHeight="1" x14ac:dyDescent="0.3">
      <c r="BB1032375" s="38"/>
    </row>
    <row r="1032376" spans="54:54" ht="15.75" customHeight="1" x14ac:dyDescent="0.3">
      <c r="BB1032376" s="38"/>
    </row>
    <row r="1032377" spans="54:54" ht="15.75" customHeight="1" x14ac:dyDescent="0.3">
      <c r="BB1032377" s="38"/>
    </row>
    <row r="1032378" spans="54:54" ht="15.75" customHeight="1" x14ac:dyDescent="0.3">
      <c r="BB1032378" s="38"/>
    </row>
    <row r="1032379" spans="54:54" ht="15.75" customHeight="1" x14ac:dyDescent="0.3">
      <c r="BB1032379" s="38"/>
    </row>
    <row r="1032380" spans="54:54" ht="15.75" customHeight="1" x14ac:dyDescent="0.3">
      <c r="BB1032380" s="38"/>
    </row>
    <row r="1032381" spans="54:54" ht="15.75" customHeight="1" x14ac:dyDescent="0.3">
      <c r="BB1032381" s="38"/>
    </row>
    <row r="1032382" spans="54:54" ht="15.75" customHeight="1" x14ac:dyDescent="0.3">
      <c r="BB1032382" s="38"/>
    </row>
    <row r="1032383" spans="54:54" ht="15.75" customHeight="1" x14ac:dyDescent="0.3">
      <c r="BB1032383" s="38"/>
    </row>
    <row r="1032384" spans="54:54" ht="15.75" customHeight="1" x14ac:dyDescent="0.3">
      <c r="BB1032384" s="38"/>
    </row>
    <row r="1032385" spans="54:54" ht="15.75" customHeight="1" x14ac:dyDescent="0.3">
      <c r="BB1032385" s="38"/>
    </row>
    <row r="1032386" spans="54:54" ht="15.75" customHeight="1" x14ac:dyDescent="0.3">
      <c r="BB1032386" s="38"/>
    </row>
    <row r="1032387" spans="54:54" ht="15.75" customHeight="1" x14ac:dyDescent="0.3">
      <c r="BB1032387" s="38"/>
    </row>
    <row r="1032388" spans="54:54" ht="15.75" customHeight="1" x14ac:dyDescent="0.3">
      <c r="BB1032388" s="38"/>
    </row>
    <row r="1032389" spans="54:54" ht="15.75" customHeight="1" x14ac:dyDescent="0.3">
      <c r="BB1032389" s="38"/>
    </row>
    <row r="1032390" spans="54:54" ht="15.75" customHeight="1" x14ac:dyDescent="0.3">
      <c r="BB1032390" s="38"/>
    </row>
    <row r="1032391" spans="54:54" ht="15.75" customHeight="1" x14ac:dyDescent="0.3">
      <c r="BB1032391" s="38"/>
    </row>
    <row r="1032392" spans="54:54" ht="15.75" customHeight="1" x14ac:dyDescent="0.3">
      <c r="BB1032392" s="38"/>
    </row>
    <row r="1032393" spans="54:54" ht="15.75" customHeight="1" x14ac:dyDescent="0.3">
      <c r="BB1032393" s="38"/>
    </row>
    <row r="1032394" spans="54:54" ht="15.75" customHeight="1" x14ac:dyDescent="0.3">
      <c r="BB1032394" s="38"/>
    </row>
    <row r="1032395" spans="54:54" ht="15.75" customHeight="1" x14ac:dyDescent="0.3">
      <c r="BB1032395" s="38"/>
    </row>
    <row r="1032396" spans="54:54" ht="15.75" customHeight="1" x14ac:dyDescent="0.3">
      <c r="BB1032396" s="38"/>
    </row>
    <row r="1032397" spans="54:54" ht="15.75" customHeight="1" x14ac:dyDescent="0.3">
      <c r="BB1032397" s="38"/>
    </row>
    <row r="1032398" spans="54:54" ht="15.75" customHeight="1" x14ac:dyDescent="0.3">
      <c r="BB1032398" s="38"/>
    </row>
    <row r="1032399" spans="54:54" ht="15.75" customHeight="1" x14ac:dyDescent="0.3">
      <c r="BB1032399" s="38"/>
    </row>
    <row r="1032400" spans="54:54" ht="15.75" customHeight="1" x14ac:dyDescent="0.3">
      <c r="BB1032400" s="38"/>
    </row>
    <row r="1032401" spans="54:54" ht="15.75" customHeight="1" x14ac:dyDescent="0.3">
      <c r="BB1032401" s="38"/>
    </row>
    <row r="1032402" spans="54:54" ht="15.75" customHeight="1" x14ac:dyDescent="0.3">
      <c r="BB1032402" s="38"/>
    </row>
    <row r="1032403" spans="54:54" ht="15.75" customHeight="1" x14ac:dyDescent="0.3">
      <c r="BB1032403" s="38"/>
    </row>
    <row r="1032404" spans="54:54" ht="15.75" customHeight="1" x14ac:dyDescent="0.3">
      <c r="BB1032404" s="38"/>
    </row>
    <row r="1032405" spans="54:54" ht="15.75" customHeight="1" x14ac:dyDescent="0.3">
      <c r="BB1032405" s="38"/>
    </row>
    <row r="1032406" spans="54:54" ht="15.75" customHeight="1" x14ac:dyDescent="0.3">
      <c r="BB1032406" s="38"/>
    </row>
    <row r="1032407" spans="54:54" ht="15.75" customHeight="1" x14ac:dyDescent="0.3">
      <c r="BB1032407" s="38"/>
    </row>
    <row r="1032408" spans="54:54" ht="15.75" customHeight="1" x14ac:dyDescent="0.3">
      <c r="BB1032408" s="38"/>
    </row>
    <row r="1032409" spans="54:54" ht="15.75" customHeight="1" x14ac:dyDescent="0.3">
      <c r="BB1032409" s="38"/>
    </row>
    <row r="1032410" spans="54:54" ht="15.75" customHeight="1" x14ac:dyDescent="0.3">
      <c r="BB1032410" s="38"/>
    </row>
    <row r="1032411" spans="54:54" ht="15.75" customHeight="1" x14ac:dyDescent="0.3">
      <c r="BB1032411" s="38"/>
    </row>
    <row r="1032412" spans="54:54" ht="15.75" customHeight="1" x14ac:dyDescent="0.3">
      <c r="BB1032412" s="38"/>
    </row>
    <row r="1032413" spans="54:54" ht="15.75" customHeight="1" x14ac:dyDescent="0.3">
      <c r="BB1032413" s="38"/>
    </row>
    <row r="1032414" spans="54:54" ht="15.75" customHeight="1" x14ac:dyDescent="0.3">
      <c r="BB1032414" s="38"/>
    </row>
    <row r="1032415" spans="54:54" ht="15.75" customHeight="1" x14ac:dyDescent="0.3">
      <c r="BB1032415" s="38"/>
    </row>
    <row r="1032416" spans="54:54" ht="15.75" customHeight="1" x14ac:dyDescent="0.3">
      <c r="BB1032416" s="38"/>
    </row>
    <row r="1032417" spans="54:54" ht="15.75" customHeight="1" x14ac:dyDescent="0.3">
      <c r="BB1032417" s="38"/>
    </row>
    <row r="1032418" spans="54:54" ht="15.75" customHeight="1" x14ac:dyDescent="0.3">
      <c r="BB1032418" s="38"/>
    </row>
    <row r="1032419" spans="54:54" ht="15.75" customHeight="1" x14ac:dyDescent="0.3">
      <c r="BB1032419" s="38"/>
    </row>
    <row r="1032420" spans="54:54" ht="15.75" customHeight="1" x14ac:dyDescent="0.3">
      <c r="BB1032420" s="38"/>
    </row>
    <row r="1032421" spans="54:54" ht="15.75" customHeight="1" x14ac:dyDescent="0.3">
      <c r="BB1032421" s="38"/>
    </row>
    <row r="1032422" spans="54:54" ht="15.75" customHeight="1" x14ac:dyDescent="0.3">
      <c r="BB1032422" s="38"/>
    </row>
    <row r="1032423" spans="54:54" ht="15.75" customHeight="1" x14ac:dyDescent="0.3">
      <c r="BB1032423" s="38"/>
    </row>
    <row r="1032424" spans="54:54" ht="15.75" customHeight="1" x14ac:dyDescent="0.3">
      <c r="BB1032424" s="38"/>
    </row>
    <row r="1032425" spans="54:54" ht="15.75" customHeight="1" x14ac:dyDescent="0.3">
      <c r="BB1032425" s="38"/>
    </row>
    <row r="1032426" spans="54:54" ht="15.75" customHeight="1" x14ac:dyDescent="0.3">
      <c r="BB1032426" s="38"/>
    </row>
    <row r="1032427" spans="54:54" ht="15.75" customHeight="1" x14ac:dyDescent="0.3">
      <c r="BB1032427" s="38"/>
    </row>
    <row r="1032428" spans="54:54" ht="15.75" customHeight="1" x14ac:dyDescent="0.3">
      <c r="BB1032428" s="38"/>
    </row>
    <row r="1032429" spans="54:54" ht="15.75" customHeight="1" x14ac:dyDescent="0.3">
      <c r="BB1032429" s="38"/>
    </row>
    <row r="1032430" spans="54:54" ht="15.75" customHeight="1" x14ac:dyDescent="0.3">
      <c r="BB1032430" s="38"/>
    </row>
    <row r="1032431" spans="54:54" ht="15.75" customHeight="1" x14ac:dyDescent="0.3">
      <c r="BB1032431" s="38"/>
    </row>
    <row r="1032432" spans="54:54" ht="15.75" customHeight="1" x14ac:dyDescent="0.3">
      <c r="BB1032432" s="38"/>
    </row>
    <row r="1032433" spans="54:54" ht="15.75" customHeight="1" x14ac:dyDescent="0.3">
      <c r="BB1032433" s="38"/>
    </row>
    <row r="1032434" spans="54:54" ht="15.75" customHeight="1" x14ac:dyDescent="0.3">
      <c r="BB1032434" s="38"/>
    </row>
    <row r="1032435" spans="54:54" ht="15.75" customHeight="1" x14ac:dyDescent="0.3">
      <c r="BB1032435" s="38"/>
    </row>
    <row r="1032436" spans="54:54" ht="15.75" customHeight="1" x14ac:dyDescent="0.3">
      <c r="BB1032436" s="38"/>
    </row>
    <row r="1032437" spans="54:54" ht="15.75" customHeight="1" x14ac:dyDescent="0.3">
      <c r="BB1032437" s="38"/>
    </row>
    <row r="1032438" spans="54:54" ht="15.75" customHeight="1" x14ac:dyDescent="0.3">
      <c r="BB1032438" s="38"/>
    </row>
    <row r="1032439" spans="54:54" ht="15.75" customHeight="1" x14ac:dyDescent="0.3">
      <c r="BB1032439" s="38"/>
    </row>
    <row r="1032440" spans="54:54" ht="15.75" customHeight="1" x14ac:dyDescent="0.3">
      <c r="BB1032440" s="38"/>
    </row>
    <row r="1032441" spans="54:54" ht="15.75" customHeight="1" x14ac:dyDescent="0.3">
      <c r="BB1032441" s="38"/>
    </row>
    <row r="1032442" spans="54:54" ht="15.75" customHeight="1" x14ac:dyDescent="0.3">
      <c r="BB1032442" s="38"/>
    </row>
    <row r="1032443" spans="54:54" ht="15.75" customHeight="1" x14ac:dyDescent="0.3">
      <c r="BB1032443" s="38"/>
    </row>
    <row r="1032444" spans="54:54" ht="15.75" customHeight="1" x14ac:dyDescent="0.3">
      <c r="BB1032444" s="38"/>
    </row>
    <row r="1032445" spans="54:54" ht="15.75" customHeight="1" x14ac:dyDescent="0.3">
      <c r="BB1032445" s="38"/>
    </row>
    <row r="1032446" spans="54:54" ht="15.75" customHeight="1" x14ac:dyDescent="0.3">
      <c r="BB1032446" s="38"/>
    </row>
    <row r="1032447" spans="54:54" ht="15.75" customHeight="1" x14ac:dyDescent="0.3">
      <c r="BB1032447" s="38"/>
    </row>
    <row r="1032448" spans="54:54" ht="15.75" customHeight="1" x14ac:dyDescent="0.3">
      <c r="BB1032448" s="38"/>
    </row>
    <row r="1032449" spans="54:54" ht="15.75" customHeight="1" x14ac:dyDescent="0.3">
      <c r="BB1032449" s="38"/>
    </row>
    <row r="1032450" spans="54:54" ht="15.75" customHeight="1" x14ac:dyDescent="0.3">
      <c r="BB1032450" s="38"/>
    </row>
    <row r="1032451" spans="54:54" ht="15.75" customHeight="1" x14ac:dyDescent="0.3">
      <c r="BB1032451" s="38"/>
    </row>
    <row r="1032452" spans="54:54" ht="15.75" customHeight="1" x14ac:dyDescent="0.3">
      <c r="BB1032452" s="38"/>
    </row>
    <row r="1032453" spans="54:54" ht="15.75" customHeight="1" x14ac:dyDescent="0.3">
      <c r="BB1032453" s="38"/>
    </row>
    <row r="1032454" spans="54:54" ht="15.75" customHeight="1" x14ac:dyDescent="0.3">
      <c r="BB1032454" s="38"/>
    </row>
    <row r="1032455" spans="54:54" ht="15.75" customHeight="1" x14ac:dyDescent="0.3">
      <c r="BB1032455" s="38"/>
    </row>
    <row r="1032456" spans="54:54" ht="15.75" customHeight="1" x14ac:dyDescent="0.3">
      <c r="BB1032456" s="38"/>
    </row>
    <row r="1032457" spans="54:54" ht="15.75" customHeight="1" x14ac:dyDescent="0.3">
      <c r="BB1032457" s="38"/>
    </row>
    <row r="1032458" spans="54:54" ht="15.75" customHeight="1" x14ac:dyDescent="0.3">
      <c r="BB1032458" s="38"/>
    </row>
    <row r="1032459" spans="54:54" ht="15.75" customHeight="1" x14ac:dyDescent="0.3">
      <c r="BB1032459" s="38"/>
    </row>
    <row r="1032460" spans="54:54" ht="15.75" customHeight="1" x14ac:dyDescent="0.3">
      <c r="BB1032460" s="38"/>
    </row>
    <row r="1032461" spans="54:54" ht="15.75" customHeight="1" x14ac:dyDescent="0.3">
      <c r="BB1032461" s="38"/>
    </row>
    <row r="1032462" spans="54:54" ht="15.75" customHeight="1" x14ac:dyDescent="0.3">
      <c r="BB1032462" s="38"/>
    </row>
    <row r="1032463" spans="54:54" ht="15.75" customHeight="1" x14ac:dyDescent="0.3">
      <c r="BB1032463" s="38"/>
    </row>
    <row r="1032464" spans="54:54" ht="15.75" customHeight="1" x14ac:dyDescent="0.3">
      <c r="BB1032464" s="38"/>
    </row>
    <row r="1032465" spans="54:54" ht="15.75" customHeight="1" x14ac:dyDescent="0.3">
      <c r="BB1032465" s="38"/>
    </row>
    <row r="1032466" spans="54:54" ht="15.75" customHeight="1" x14ac:dyDescent="0.3">
      <c r="BB1032466" s="38"/>
    </row>
    <row r="1032467" spans="54:54" ht="15.75" customHeight="1" x14ac:dyDescent="0.3">
      <c r="BB1032467" s="38"/>
    </row>
    <row r="1032468" spans="54:54" ht="15.75" customHeight="1" x14ac:dyDescent="0.3">
      <c r="BB1032468" s="38"/>
    </row>
    <row r="1032469" spans="54:54" ht="15.75" customHeight="1" x14ac:dyDescent="0.3">
      <c r="BB1032469" s="38"/>
    </row>
    <row r="1032470" spans="54:54" ht="15.75" customHeight="1" x14ac:dyDescent="0.3">
      <c r="BB1032470" s="38"/>
    </row>
    <row r="1032471" spans="54:54" ht="15.75" customHeight="1" x14ac:dyDescent="0.3">
      <c r="BB1032471" s="38"/>
    </row>
    <row r="1032472" spans="54:54" ht="15.75" customHeight="1" x14ac:dyDescent="0.3">
      <c r="BB1032472" s="38"/>
    </row>
    <row r="1032473" spans="54:54" ht="15.75" customHeight="1" x14ac:dyDescent="0.3">
      <c r="BB1032473" s="38"/>
    </row>
    <row r="1032474" spans="54:54" ht="15.75" customHeight="1" x14ac:dyDescent="0.3">
      <c r="BB1032474" s="38"/>
    </row>
    <row r="1032475" spans="54:54" ht="15.75" customHeight="1" x14ac:dyDescent="0.3">
      <c r="BB1032475" s="38"/>
    </row>
    <row r="1032476" spans="54:54" ht="15.75" customHeight="1" x14ac:dyDescent="0.3">
      <c r="BB1032476" s="38"/>
    </row>
    <row r="1032477" spans="54:54" ht="15.75" customHeight="1" x14ac:dyDescent="0.3">
      <c r="BB1032477" s="38"/>
    </row>
    <row r="1032478" spans="54:54" ht="15.75" customHeight="1" x14ac:dyDescent="0.3">
      <c r="BB1032478" s="38"/>
    </row>
    <row r="1032479" spans="54:54" ht="15.75" customHeight="1" x14ac:dyDescent="0.3">
      <c r="BB1032479" s="38"/>
    </row>
    <row r="1032480" spans="54:54" ht="15.75" customHeight="1" x14ac:dyDescent="0.3">
      <c r="BB1032480" s="38"/>
    </row>
    <row r="1032481" spans="54:54" ht="15.75" customHeight="1" x14ac:dyDescent="0.3">
      <c r="BB1032481" s="38"/>
    </row>
    <row r="1032482" spans="54:54" ht="15.75" customHeight="1" x14ac:dyDescent="0.3">
      <c r="BB1032482" s="38"/>
    </row>
    <row r="1032483" spans="54:54" ht="15.75" customHeight="1" x14ac:dyDescent="0.3">
      <c r="BB1032483" s="38"/>
    </row>
    <row r="1032484" spans="54:54" ht="15.75" customHeight="1" x14ac:dyDescent="0.3">
      <c r="BB1032484" s="38"/>
    </row>
    <row r="1032485" spans="54:54" ht="15.75" customHeight="1" x14ac:dyDescent="0.3">
      <c r="BB1032485" s="38"/>
    </row>
    <row r="1032486" spans="54:54" ht="15.75" customHeight="1" x14ac:dyDescent="0.3">
      <c r="BB1032486" s="38"/>
    </row>
    <row r="1032487" spans="54:54" ht="15.75" customHeight="1" x14ac:dyDescent="0.3">
      <c r="BB1032487" s="38"/>
    </row>
    <row r="1032488" spans="54:54" ht="15.75" customHeight="1" x14ac:dyDescent="0.3">
      <c r="BB1032488" s="38"/>
    </row>
    <row r="1032489" spans="54:54" ht="15.75" customHeight="1" x14ac:dyDescent="0.3">
      <c r="BB1032489" s="38"/>
    </row>
    <row r="1032490" spans="54:54" ht="15.75" customHeight="1" x14ac:dyDescent="0.3">
      <c r="BB1032490" s="38"/>
    </row>
    <row r="1032491" spans="54:54" ht="15.75" customHeight="1" x14ac:dyDescent="0.3">
      <c r="BB1032491" s="38"/>
    </row>
    <row r="1032492" spans="54:54" ht="15.75" customHeight="1" x14ac:dyDescent="0.3">
      <c r="BB1032492" s="38"/>
    </row>
    <row r="1032493" spans="54:54" ht="15.75" customHeight="1" x14ac:dyDescent="0.3">
      <c r="BB1032493" s="38"/>
    </row>
    <row r="1032494" spans="54:54" ht="15.75" customHeight="1" x14ac:dyDescent="0.3">
      <c r="BB1032494" s="38"/>
    </row>
    <row r="1032495" spans="54:54" ht="15.75" customHeight="1" x14ac:dyDescent="0.3">
      <c r="BB1032495" s="38"/>
    </row>
    <row r="1032496" spans="54:54" ht="15.75" customHeight="1" x14ac:dyDescent="0.3">
      <c r="BB1032496" s="38"/>
    </row>
    <row r="1032497" spans="54:54" ht="15.75" customHeight="1" x14ac:dyDescent="0.3">
      <c r="BB1032497" s="38"/>
    </row>
    <row r="1032498" spans="54:54" ht="15.75" customHeight="1" x14ac:dyDescent="0.3">
      <c r="BB1032498" s="38"/>
    </row>
    <row r="1032499" spans="54:54" ht="15.75" customHeight="1" x14ac:dyDescent="0.3">
      <c r="BB1032499" s="38"/>
    </row>
    <row r="1032500" spans="54:54" ht="15.75" customHeight="1" x14ac:dyDescent="0.3">
      <c r="BB1032500" s="38"/>
    </row>
    <row r="1032501" spans="54:54" ht="15.75" customHeight="1" x14ac:dyDescent="0.3">
      <c r="BB1032501" s="38"/>
    </row>
    <row r="1032502" spans="54:54" ht="15.75" customHeight="1" x14ac:dyDescent="0.3">
      <c r="BB1032502" s="38"/>
    </row>
    <row r="1032503" spans="54:54" ht="15.75" customHeight="1" x14ac:dyDescent="0.3">
      <c r="BB1032503" s="38"/>
    </row>
    <row r="1032504" spans="54:54" ht="15.75" customHeight="1" x14ac:dyDescent="0.3">
      <c r="BB1032504" s="38"/>
    </row>
    <row r="1032505" spans="54:54" ht="15.75" customHeight="1" x14ac:dyDescent="0.3">
      <c r="BB1032505" s="38"/>
    </row>
    <row r="1032506" spans="54:54" ht="15.75" customHeight="1" x14ac:dyDescent="0.3">
      <c r="BB1032506" s="38"/>
    </row>
    <row r="1032507" spans="54:54" ht="15.75" customHeight="1" x14ac:dyDescent="0.3">
      <c r="BB1032507" s="38"/>
    </row>
    <row r="1032508" spans="54:54" ht="15.75" customHeight="1" x14ac:dyDescent="0.3">
      <c r="BB1032508" s="38"/>
    </row>
    <row r="1032509" spans="54:54" ht="15.75" customHeight="1" x14ac:dyDescent="0.3">
      <c r="BB1032509" s="38"/>
    </row>
    <row r="1032510" spans="54:54" ht="15.75" customHeight="1" x14ac:dyDescent="0.3">
      <c r="BB1032510" s="38"/>
    </row>
    <row r="1032511" spans="54:54" ht="15.75" customHeight="1" x14ac:dyDescent="0.3">
      <c r="BB1032511" s="38"/>
    </row>
    <row r="1032512" spans="54:54" ht="15.75" customHeight="1" x14ac:dyDescent="0.3">
      <c r="BB1032512" s="38"/>
    </row>
    <row r="1032513" spans="54:54" ht="15.75" customHeight="1" x14ac:dyDescent="0.3">
      <c r="BB1032513" s="38"/>
    </row>
    <row r="1032514" spans="54:54" ht="15.75" customHeight="1" x14ac:dyDescent="0.3">
      <c r="BB1032514" s="38"/>
    </row>
    <row r="1032515" spans="54:54" ht="15.75" customHeight="1" x14ac:dyDescent="0.3">
      <c r="BB1032515" s="38"/>
    </row>
    <row r="1032516" spans="54:54" ht="15.75" customHeight="1" x14ac:dyDescent="0.3">
      <c r="BB1032516" s="38"/>
    </row>
    <row r="1032517" spans="54:54" ht="15.75" customHeight="1" x14ac:dyDescent="0.3">
      <c r="BB1032517" s="38"/>
    </row>
    <row r="1032518" spans="54:54" ht="15.75" customHeight="1" x14ac:dyDescent="0.3">
      <c r="BB1032518" s="38"/>
    </row>
    <row r="1032519" spans="54:54" ht="15.75" customHeight="1" x14ac:dyDescent="0.3">
      <c r="BB1032519" s="38"/>
    </row>
    <row r="1032520" spans="54:54" ht="15.75" customHeight="1" x14ac:dyDescent="0.3">
      <c r="BB1032520" s="38"/>
    </row>
    <row r="1032521" spans="54:54" ht="15.75" customHeight="1" x14ac:dyDescent="0.3">
      <c r="BB1032521" s="38"/>
    </row>
    <row r="1032522" spans="54:54" ht="15.75" customHeight="1" x14ac:dyDescent="0.3">
      <c r="BB1032522" s="38"/>
    </row>
    <row r="1032523" spans="54:54" ht="15.75" customHeight="1" x14ac:dyDescent="0.3">
      <c r="BB1032523" s="38"/>
    </row>
    <row r="1032524" spans="54:54" ht="15.75" customHeight="1" x14ac:dyDescent="0.3">
      <c r="BB1032524" s="38"/>
    </row>
    <row r="1032525" spans="54:54" ht="15.75" customHeight="1" x14ac:dyDescent="0.3">
      <c r="BB1032525" s="38"/>
    </row>
    <row r="1032526" spans="54:54" ht="15.75" customHeight="1" x14ac:dyDescent="0.3">
      <c r="BB1032526" s="38"/>
    </row>
    <row r="1032527" spans="54:54" ht="15.75" customHeight="1" x14ac:dyDescent="0.3">
      <c r="BB1032527" s="38"/>
    </row>
    <row r="1032528" spans="54:54" ht="15.75" customHeight="1" x14ac:dyDescent="0.3">
      <c r="BB1032528" s="38"/>
    </row>
    <row r="1032529" spans="54:54" ht="15.75" customHeight="1" x14ac:dyDescent="0.3">
      <c r="BB1032529" s="38"/>
    </row>
    <row r="1032530" spans="54:54" ht="15.75" customHeight="1" x14ac:dyDescent="0.3">
      <c r="BB1032530" s="38"/>
    </row>
    <row r="1032531" spans="54:54" ht="15.75" customHeight="1" x14ac:dyDescent="0.3">
      <c r="BB1032531" s="38"/>
    </row>
    <row r="1032532" spans="54:54" ht="15.75" customHeight="1" x14ac:dyDescent="0.3">
      <c r="BB1032532" s="38"/>
    </row>
    <row r="1032533" spans="54:54" ht="15.75" customHeight="1" x14ac:dyDescent="0.3">
      <c r="BB1032533" s="38"/>
    </row>
    <row r="1032534" spans="54:54" ht="15.75" customHeight="1" x14ac:dyDescent="0.3">
      <c r="BB1032534" s="38"/>
    </row>
    <row r="1032535" spans="54:54" ht="15.75" customHeight="1" x14ac:dyDescent="0.3">
      <c r="BB1032535" s="38"/>
    </row>
    <row r="1032536" spans="54:54" ht="15.75" customHeight="1" x14ac:dyDescent="0.3">
      <c r="BB1032536" s="38"/>
    </row>
    <row r="1032537" spans="54:54" ht="15.75" customHeight="1" x14ac:dyDescent="0.3">
      <c r="BB1032537" s="38"/>
    </row>
    <row r="1032538" spans="54:54" ht="15.75" customHeight="1" x14ac:dyDescent="0.3">
      <c r="BB1032538" s="38"/>
    </row>
    <row r="1032539" spans="54:54" ht="15.75" customHeight="1" x14ac:dyDescent="0.3">
      <c r="BB1032539" s="38"/>
    </row>
    <row r="1032540" spans="54:54" ht="15.75" customHeight="1" x14ac:dyDescent="0.3">
      <c r="BB1032540" s="38"/>
    </row>
    <row r="1032541" spans="54:54" ht="15.75" customHeight="1" x14ac:dyDescent="0.3">
      <c r="BB1032541" s="38"/>
    </row>
    <row r="1032542" spans="54:54" ht="15.75" customHeight="1" x14ac:dyDescent="0.3">
      <c r="BB1032542" s="38"/>
    </row>
    <row r="1032543" spans="54:54" ht="15.75" customHeight="1" x14ac:dyDescent="0.3">
      <c r="BB1032543" s="38"/>
    </row>
    <row r="1032544" spans="54:54" ht="15.75" customHeight="1" x14ac:dyDescent="0.3">
      <c r="BB1032544" s="38"/>
    </row>
    <row r="1032545" spans="54:54" ht="15.75" customHeight="1" x14ac:dyDescent="0.3">
      <c r="BB1032545" s="38"/>
    </row>
    <row r="1032546" spans="54:54" ht="15.75" customHeight="1" x14ac:dyDescent="0.3">
      <c r="BB1032546" s="38"/>
    </row>
    <row r="1032547" spans="54:54" ht="15.75" customHeight="1" x14ac:dyDescent="0.3">
      <c r="BB1032547" s="38"/>
    </row>
    <row r="1032548" spans="54:54" ht="15.75" customHeight="1" x14ac:dyDescent="0.3">
      <c r="BB1032548" s="38"/>
    </row>
    <row r="1032549" spans="54:54" ht="15.75" customHeight="1" x14ac:dyDescent="0.3">
      <c r="BB1032549" s="38"/>
    </row>
    <row r="1032550" spans="54:54" ht="15.75" customHeight="1" x14ac:dyDescent="0.3">
      <c r="BB1032550" s="38"/>
    </row>
    <row r="1032551" spans="54:54" ht="15.75" customHeight="1" x14ac:dyDescent="0.3">
      <c r="BB1032551" s="38"/>
    </row>
    <row r="1032552" spans="54:54" ht="15.75" customHeight="1" x14ac:dyDescent="0.3">
      <c r="BB1032552" s="38"/>
    </row>
    <row r="1032553" spans="54:54" ht="15.75" customHeight="1" x14ac:dyDescent="0.3">
      <c r="BB1032553" s="38"/>
    </row>
    <row r="1032554" spans="54:54" ht="15.75" customHeight="1" x14ac:dyDescent="0.3">
      <c r="BB1032554" s="38"/>
    </row>
    <row r="1032555" spans="54:54" ht="15.75" customHeight="1" x14ac:dyDescent="0.3">
      <c r="BB1032555" s="38"/>
    </row>
    <row r="1032556" spans="54:54" ht="15.75" customHeight="1" x14ac:dyDescent="0.3">
      <c r="BB1032556" s="38"/>
    </row>
    <row r="1032557" spans="54:54" ht="15.75" customHeight="1" x14ac:dyDescent="0.3">
      <c r="BB1032557" s="38"/>
    </row>
    <row r="1032558" spans="54:54" ht="15.75" customHeight="1" x14ac:dyDescent="0.3">
      <c r="BB1032558" s="38"/>
    </row>
    <row r="1032559" spans="54:54" ht="15.75" customHeight="1" x14ac:dyDescent="0.3">
      <c r="BB1032559" s="38"/>
    </row>
    <row r="1032560" spans="54:54" ht="15.75" customHeight="1" x14ac:dyDescent="0.3">
      <c r="BB1032560" s="38"/>
    </row>
    <row r="1032561" spans="54:54" ht="15.75" customHeight="1" x14ac:dyDescent="0.3">
      <c r="BB1032561" s="38"/>
    </row>
    <row r="1032562" spans="54:54" ht="15.75" customHeight="1" x14ac:dyDescent="0.3">
      <c r="BB1032562" s="38"/>
    </row>
    <row r="1032563" spans="54:54" ht="15.75" customHeight="1" x14ac:dyDescent="0.3">
      <c r="BB1032563" s="38"/>
    </row>
    <row r="1032564" spans="54:54" ht="15.75" customHeight="1" x14ac:dyDescent="0.3">
      <c r="BB1032564" s="38"/>
    </row>
    <row r="1032565" spans="54:54" ht="15.75" customHeight="1" x14ac:dyDescent="0.3">
      <c r="BB1032565" s="38"/>
    </row>
    <row r="1032566" spans="54:54" ht="15.75" customHeight="1" x14ac:dyDescent="0.3">
      <c r="BB1032566" s="38"/>
    </row>
    <row r="1032567" spans="54:54" ht="15.75" customHeight="1" x14ac:dyDescent="0.3">
      <c r="BB1032567" s="38"/>
    </row>
    <row r="1032568" spans="54:54" ht="15.75" customHeight="1" x14ac:dyDescent="0.3">
      <c r="BB1032568" s="38"/>
    </row>
    <row r="1032569" spans="54:54" ht="15.75" customHeight="1" x14ac:dyDescent="0.3">
      <c r="BB1032569" s="38"/>
    </row>
    <row r="1032570" spans="54:54" ht="15.75" customHeight="1" x14ac:dyDescent="0.3">
      <c r="BB1032570" s="38"/>
    </row>
    <row r="1032571" spans="54:54" ht="15.75" customHeight="1" x14ac:dyDescent="0.3">
      <c r="BB1032571" s="38"/>
    </row>
    <row r="1032572" spans="54:54" ht="15.75" customHeight="1" x14ac:dyDescent="0.3">
      <c r="BB1032572" s="38"/>
    </row>
    <row r="1032573" spans="54:54" ht="15.75" customHeight="1" x14ac:dyDescent="0.3">
      <c r="BB1032573" s="38"/>
    </row>
    <row r="1032574" spans="54:54" ht="15.75" customHeight="1" x14ac:dyDescent="0.3">
      <c r="BB1032574" s="38"/>
    </row>
    <row r="1032575" spans="54:54" ht="15.75" customHeight="1" x14ac:dyDescent="0.3">
      <c r="BB1032575" s="38"/>
    </row>
    <row r="1032576" spans="54:54" ht="15.75" customHeight="1" x14ac:dyDescent="0.3">
      <c r="BB1032576" s="38"/>
    </row>
    <row r="1032577" spans="54:54" ht="15.75" customHeight="1" x14ac:dyDescent="0.3">
      <c r="BB1032577" s="38"/>
    </row>
    <row r="1032578" spans="54:54" ht="15.75" customHeight="1" x14ac:dyDescent="0.3">
      <c r="BB1032578" s="38"/>
    </row>
    <row r="1032579" spans="54:54" ht="15.75" customHeight="1" x14ac:dyDescent="0.3">
      <c r="BB1032579" s="38"/>
    </row>
    <row r="1032580" spans="54:54" ht="15.75" customHeight="1" x14ac:dyDescent="0.3">
      <c r="BB1032580" s="38"/>
    </row>
    <row r="1032581" spans="54:54" ht="15.75" customHeight="1" x14ac:dyDescent="0.3">
      <c r="BB1032581" s="38"/>
    </row>
    <row r="1032582" spans="54:54" ht="15.75" customHeight="1" x14ac:dyDescent="0.3">
      <c r="BB1032582" s="38"/>
    </row>
    <row r="1032583" spans="54:54" ht="15.75" customHeight="1" x14ac:dyDescent="0.3">
      <c r="BB1032583" s="38"/>
    </row>
    <row r="1032584" spans="54:54" ht="15.75" customHeight="1" x14ac:dyDescent="0.3">
      <c r="BB1032584" s="38"/>
    </row>
    <row r="1032585" spans="54:54" ht="15.75" customHeight="1" x14ac:dyDescent="0.3">
      <c r="BB1032585" s="38"/>
    </row>
    <row r="1032586" spans="54:54" ht="15.75" customHeight="1" x14ac:dyDescent="0.3">
      <c r="BB1032586" s="38"/>
    </row>
    <row r="1032587" spans="54:54" ht="15.75" customHeight="1" x14ac:dyDescent="0.3">
      <c r="BB1032587" s="38"/>
    </row>
    <row r="1032588" spans="54:54" ht="15.75" customHeight="1" x14ac:dyDescent="0.3">
      <c r="BB1032588" s="38"/>
    </row>
    <row r="1032589" spans="54:54" ht="15.75" customHeight="1" x14ac:dyDescent="0.3">
      <c r="BB1032589" s="38"/>
    </row>
    <row r="1032590" spans="54:54" ht="15.75" customHeight="1" x14ac:dyDescent="0.3">
      <c r="BB1032590" s="38"/>
    </row>
    <row r="1032591" spans="54:54" ht="15.75" customHeight="1" x14ac:dyDescent="0.3">
      <c r="BB1032591" s="38"/>
    </row>
    <row r="1032592" spans="54:54" ht="15.75" customHeight="1" x14ac:dyDescent="0.3">
      <c r="BB1032592" s="38"/>
    </row>
    <row r="1032593" spans="54:54" ht="15.75" customHeight="1" x14ac:dyDescent="0.3">
      <c r="BB1032593" s="38"/>
    </row>
    <row r="1032594" spans="54:54" ht="15.75" customHeight="1" x14ac:dyDescent="0.3">
      <c r="BB1032594" s="38"/>
    </row>
    <row r="1032595" spans="54:54" ht="15.75" customHeight="1" x14ac:dyDescent="0.3">
      <c r="BB1032595" s="38"/>
    </row>
    <row r="1032596" spans="54:54" ht="15.75" customHeight="1" x14ac:dyDescent="0.3">
      <c r="BB1032596" s="38"/>
    </row>
    <row r="1032597" spans="54:54" ht="15.75" customHeight="1" x14ac:dyDescent="0.3">
      <c r="BB1032597" s="38"/>
    </row>
    <row r="1032598" spans="54:54" ht="15.75" customHeight="1" x14ac:dyDescent="0.3">
      <c r="BB1032598" s="38"/>
    </row>
    <row r="1032599" spans="54:54" ht="15.75" customHeight="1" x14ac:dyDescent="0.3">
      <c r="BB1032599" s="38"/>
    </row>
    <row r="1032600" spans="54:54" ht="15.75" customHeight="1" x14ac:dyDescent="0.3">
      <c r="BB1032600" s="38"/>
    </row>
    <row r="1032601" spans="54:54" ht="15.75" customHeight="1" x14ac:dyDescent="0.3">
      <c r="BB1032601" s="38"/>
    </row>
    <row r="1032602" spans="54:54" ht="15.75" customHeight="1" x14ac:dyDescent="0.3">
      <c r="BB1032602" s="38"/>
    </row>
    <row r="1032603" spans="54:54" ht="15.75" customHeight="1" x14ac:dyDescent="0.3">
      <c r="BB1032603" s="38"/>
    </row>
    <row r="1032604" spans="54:54" ht="15.75" customHeight="1" x14ac:dyDescent="0.3">
      <c r="BB1032604" s="38"/>
    </row>
    <row r="1032605" spans="54:54" ht="15.75" customHeight="1" x14ac:dyDescent="0.3">
      <c r="BB1032605" s="38"/>
    </row>
    <row r="1032606" spans="54:54" ht="15.75" customHeight="1" x14ac:dyDescent="0.3">
      <c r="BB1032606" s="38"/>
    </row>
    <row r="1032607" spans="54:54" ht="15.75" customHeight="1" x14ac:dyDescent="0.3">
      <c r="BB1032607" s="38"/>
    </row>
    <row r="1032608" spans="54:54" ht="15.75" customHeight="1" x14ac:dyDescent="0.3">
      <c r="BB1032608" s="38"/>
    </row>
    <row r="1032609" spans="54:54" ht="15.75" customHeight="1" x14ac:dyDescent="0.3">
      <c r="BB1032609" s="38"/>
    </row>
    <row r="1032610" spans="54:54" ht="15.75" customHeight="1" x14ac:dyDescent="0.3">
      <c r="BB1032610" s="38"/>
    </row>
    <row r="1032611" spans="54:54" ht="15.75" customHeight="1" x14ac:dyDescent="0.3">
      <c r="BB1032611" s="38"/>
    </row>
    <row r="1032612" spans="54:54" ht="15.75" customHeight="1" x14ac:dyDescent="0.3">
      <c r="BB1032612" s="38"/>
    </row>
    <row r="1032613" spans="54:54" ht="15.75" customHeight="1" x14ac:dyDescent="0.3">
      <c r="BB1032613" s="38"/>
    </row>
    <row r="1032614" spans="54:54" ht="15.75" customHeight="1" x14ac:dyDescent="0.3">
      <c r="BB1032614" s="38"/>
    </row>
    <row r="1032615" spans="54:54" ht="15.75" customHeight="1" x14ac:dyDescent="0.3">
      <c r="BB1032615" s="38"/>
    </row>
    <row r="1032616" spans="54:54" ht="15.75" customHeight="1" x14ac:dyDescent="0.3">
      <c r="BB1032616" s="38"/>
    </row>
    <row r="1032617" spans="54:54" ht="15.75" customHeight="1" x14ac:dyDescent="0.3">
      <c r="BB1032617" s="38"/>
    </row>
    <row r="1032618" spans="54:54" ht="15.75" customHeight="1" x14ac:dyDescent="0.3">
      <c r="BB1032618" s="38"/>
    </row>
    <row r="1032619" spans="54:54" ht="15.75" customHeight="1" x14ac:dyDescent="0.3">
      <c r="BB1032619" s="38"/>
    </row>
    <row r="1032620" spans="54:54" ht="15.75" customHeight="1" x14ac:dyDescent="0.3">
      <c r="BB1032620" s="38"/>
    </row>
    <row r="1032621" spans="54:54" ht="15.75" customHeight="1" x14ac:dyDescent="0.3">
      <c r="BB1032621" s="38"/>
    </row>
    <row r="1032622" spans="54:54" ht="15.75" customHeight="1" x14ac:dyDescent="0.3">
      <c r="BB1032622" s="38"/>
    </row>
    <row r="1032623" spans="54:54" ht="15.75" customHeight="1" x14ac:dyDescent="0.3">
      <c r="BB1032623" s="38"/>
    </row>
    <row r="1032624" spans="54:54" ht="15.75" customHeight="1" x14ac:dyDescent="0.3">
      <c r="BB1032624" s="38"/>
    </row>
    <row r="1032625" spans="54:54" ht="15.75" customHeight="1" x14ac:dyDescent="0.3">
      <c r="BB1032625" s="38"/>
    </row>
    <row r="1032626" spans="54:54" ht="15.75" customHeight="1" x14ac:dyDescent="0.3">
      <c r="BB1032626" s="38"/>
    </row>
    <row r="1032627" spans="54:54" ht="15.75" customHeight="1" x14ac:dyDescent="0.3">
      <c r="BB1032627" s="38"/>
    </row>
    <row r="1032628" spans="54:54" ht="15.75" customHeight="1" x14ac:dyDescent="0.3">
      <c r="BB1032628" s="38"/>
    </row>
    <row r="1032629" spans="54:54" ht="15.75" customHeight="1" x14ac:dyDescent="0.3">
      <c r="BB1032629" s="38"/>
    </row>
    <row r="1032630" spans="54:54" ht="15.75" customHeight="1" x14ac:dyDescent="0.3">
      <c r="BB1032630" s="38"/>
    </row>
    <row r="1032631" spans="54:54" ht="15.75" customHeight="1" x14ac:dyDescent="0.3">
      <c r="BB1032631" s="38"/>
    </row>
    <row r="1032632" spans="54:54" ht="15.75" customHeight="1" x14ac:dyDescent="0.3">
      <c r="BB1032632" s="38"/>
    </row>
    <row r="1032633" spans="54:54" ht="15.75" customHeight="1" x14ac:dyDescent="0.3">
      <c r="BB1032633" s="38"/>
    </row>
    <row r="1032634" spans="54:54" ht="15.75" customHeight="1" x14ac:dyDescent="0.3">
      <c r="BB1032634" s="38"/>
    </row>
    <row r="1032635" spans="54:54" ht="15.75" customHeight="1" x14ac:dyDescent="0.3">
      <c r="BB1032635" s="38"/>
    </row>
    <row r="1032636" spans="54:54" ht="15.75" customHeight="1" x14ac:dyDescent="0.3">
      <c r="BB1032636" s="38"/>
    </row>
    <row r="1032637" spans="54:54" ht="15.75" customHeight="1" x14ac:dyDescent="0.3">
      <c r="BB1032637" s="38"/>
    </row>
    <row r="1032638" spans="54:54" ht="15.75" customHeight="1" x14ac:dyDescent="0.3">
      <c r="BB1032638" s="38"/>
    </row>
    <row r="1032639" spans="54:54" ht="15.75" customHeight="1" x14ac:dyDescent="0.3">
      <c r="BB1032639" s="38"/>
    </row>
    <row r="1032640" spans="54:54" ht="15.75" customHeight="1" x14ac:dyDescent="0.3">
      <c r="BB1032640" s="38"/>
    </row>
    <row r="1032641" spans="54:54" ht="15.75" customHeight="1" x14ac:dyDescent="0.3">
      <c r="BB1032641" s="38"/>
    </row>
    <row r="1032642" spans="54:54" ht="15.75" customHeight="1" x14ac:dyDescent="0.3">
      <c r="BB1032642" s="38"/>
    </row>
    <row r="1032643" spans="54:54" ht="15.75" customHeight="1" x14ac:dyDescent="0.3">
      <c r="BB1032643" s="38"/>
    </row>
    <row r="1032644" spans="54:54" ht="15.75" customHeight="1" x14ac:dyDescent="0.3">
      <c r="BB1032644" s="38"/>
    </row>
    <row r="1032645" spans="54:54" ht="15.75" customHeight="1" x14ac:dyDescent="0.3">
      <c r="BB1032645" s="38"/>
    </row>
    <row r="1032646" spans="54:54" ht="15.75" customHeight="1" x14ac:dyDescent="0.3">
      <c r="BB1032646" s="38"/>
    </row>
    <row r="1032647" spans="54:54" ht="15.75" customHeight="1" x14ac:dyDescent="0.3">
      <c r="BB1032647" s="38"/>
    </row>
    <row r="1032648" spans="54:54" ht="15.75" customHeight="1" x14ac:dyDescent="0.3">
      <c r="BB1032648" s="38"/>
    </row>
    <row r="1032649" spans="54:54" ht="15.75" customHeight="1" x14ac:dyDescent="0.3">
      <c r="BB1032649" s="38"/>
    </row>
    <row r="1032650" spans="54:54" ht="15.75" customHeight="1" x14ac:dyDescent="0.3">
      <c r="BB1032650" s="38"/>
    </row>
    <row r="1032651" spans="54:54" ht="15.75" customHeight="1" x14ac:dyDescent="0.3">
      <c r="BB1032651" s="38"/>
    </row>
    <row r="1032652" spans="54:54" ht="15.75" customHeight="1" x14ac:dyDescent="0.3">
      <c r="BB1032652" s="38"/>
    </row>
    <row r="1032653" spans="54:54" ht="15.75" customHeight="1" x14ac:dyDescent="0.3">
      <c r="BB1032653" s="38"/>
    </row>
    <row r="1032654" spans="54:54" ht="15.75" customHeight="1" x14ac:dyDescent="0.3">
      <c r="BB1032654" s="38"/>
    </row>
    <row r="1032655" spans="54:54" ht="15.75" customHeight="1" x14ac:dyDescent="0.3">
      <c r="BB1032655" s="38"/>
    </row>
    <row r="1032656" spans="54:54" ht="15.75" customHeight="1" x14ac:dyDescent="0.3">
      <c r="BB1032656" s="38"/>
    </row>
    <row r="1032657" spans="54:54" ht="15.75" customHeight="1" x14ac:dyDescent="0.3">
      <c r="BB1032657" s="38"/>
    </row>
    <row r="1032658" spans="54:54" ht="15.75" customHeight="1" x14ac:dyDescent="0.3">
      <c r="BB1032658" s="38"/>
    </row>
    <row r="1032659" spans="54:54" ht="15.75" customHeight="1" x14ac:dyDescent="0.3">
      <c r="BB1032659" s="38"/>
    </row>
    <row r="1032660" spans="54:54" ht="15.75" customHeight="1" x14ac:dyDescent="0.3">
      <c r="BB1032660" s="38"/>
    </row>
    <row r="1032661" spans="54:54" ht="15.75" customHeight="1" x14ac:dyDescent="0.3">
      <c r="BB1032661" s="38"/>
    </row>
    <row r="1032662" spans="54:54" ht="15.75" customHeight="1" x14ac:dyDescent="0.3">
      <c r="BB1032662" s="38"/>
    </row>
    <row r="1032663" spans="54:54" ht="15.75" customHeight="1" x14ac:dyDescent="0.3">
      <c r="BB1032663" s="38"/>
    </row>
    <row r="1032664" spans="54:54" ht="15.75" customHeight="1" x14ac:dyDescent="0.3">
      <c r="BB1032664" s="38"/>
    </row>
    <row r="1032665" spans="54:54" ht="15.75" customHeight="1" x14ac:dyDescent="0.3">
      <c r="BB1032665" s="38"/>
    </row>
    <row r="1032666" spans="54:54" ht="15.75" customHeight="1" x14ac:dyDescent="0.3">
      <c r="BB1032666" s="38"/>
    </row>
    <row r="1032667" spans="54:54" ht="15.75" customHeight="1" x14ac:dyDescent="0.3">
      <c r="BB1032667" s="38"/>
    </row>
    <row r="1032668" spans="54:54" ht="15.75" customHeight="1" x14ac:dyDescent="0.3">
      <c r="BB1032668" s="38"/>
    </row>
    <row r="1032669" spans="54:54" ht="15.75" customHeight="1" x14ac:dyDescent="0.3">
      <c r="BB1032669" s="38"/>
    </row>
    <row r="1032670" spans="54:54" ht="15.75" customHeight="1" x14ac:dyDescent="0.3">
      <c r="BB1032670" s="38"/>
    </row>
    <row r="1032671" spans="54:54" ht="15.75" customHeight="1" x14ac:dyDescent="0.3">
      <c r="BB1032671" s="38"/>
    </row>
    <row r="1032672" spans="54:54" ht="15.75" customHeight="1" x14ac:dyDescent="0.3">
      <c r="BB1032672" s="38"/>
    </row>
    <row r="1032673" spans="54:54" ht="15.75" customHeight="1" x14ac:dyDescent="0.3">
      <c r="BB1032673" s="38"/>
    </row>
    <row r="1032674" spans="54:54" ht="15.75" customHeight="1" x14ac:dyDescent="0.3">
      <c r="BB1032674" s="38"/>
    </row>
    <row r="1032675" spans="54:54" ht="15.75" customHeight="1" x14ac:dyDescent="0.3">
      <c r="BB1032675" s="38"/>
    </row>
    <row r="1032676" spans="54:54" ht="15.75" customHeight="1" x14ac:dyDescent="0.3">
      <c r="BB1032676" s="38"/>
    </row>
    <row r="1032677" spans="54:54" ht="15.75" customHeight="1" x14ac:dyDescent="0.3">
      <c r="BB1032677" s="38"/>
    </row>
    <row r="1032678" spans="54:54" ht="15.75" customHeight="1" x14ac:dyDescent="0.3">
      <c r="BB1032678" s="38"/>
    </row>
    <row r="1032679" spans="54:54" ht="15.75" customHeight="1" x14ac:dyDescent="0.3">
      <c r="BB1032679" s="38"/>
    </row>
    <row r="1032680" spans="54:54" ht="15.75" customHeight="1" x14ac:dyDescent="0.3">
      <c r="BB1032680" s="38"/>
    </row>
    <row r="1032681" spans="54:54" ht="15.75" customHeight="1" x14ac:dyDescent="0.3">
      <c r="BB1032681" s="38"/>
    </row>
    <row r="1032682" spans="54:54" ht="15.75" customHeight="1" x14ac:dyDescent="0.3">
      <c r="BB1032682" s="38"/>
    </row>
    <row r="1032683" spans="54:54" ht="15.75" customHeight="1" x14ac:dyDescent="0.3">
      <c r="BB1032683" s="38"/>
    </row>
    <row r="1032684" spans="54:54" ht="15.75" customHeight="1" x14ac:dyDescent="0.3">
      <c r="BB1032684" s="38"/>
    </row>
    <row r="1032685" spans="54:54" ht="15.75" customHeight="1" x14ac:dyDescent="0.3">
      <c r="BB1032685" s="38"/>
    </row>
    <row r="1032686" spans="54:54" ht="15.75" customHeight="1" x14ac:dyDescent="0.3">
      <c r="BB1032686" s="38"/>
    </row>
    <row r="1032687" spans="54:54" ht="15.75" customHeight="1" x14ac:dyDescent="0.3">
      <c r="BB1032687" s="38"/>
    </row>
    <row r="1032688" spans="54:54" ht="15.75" customHeight="1" x14ac:dyDescent="0.3">
      <c r="BB1032688" s="38"/>
    </row>
    <row r="1032689" spans="54:54" ht="15.75" customHeight="1" x14ac:dyDescent="0.3">
      <c r="BB1032689" s="38"/>
    </row>
    <row r="1032690" spans="54:54" ht="15.75" customHeight="1" x14ac:dyDescent="0.3">
      <c r="BB1032690" s="38"/>
    </row>
    <row r="1032691" spans="54:54" ht="15.75" customHeight="1" x14ac:dyDescent="0.3">
      <c r="BB1032691" s="38"/>
    </row>
    <row r="1032692" spans="54:54" ht="15.75" customHeight="1" x14ac:dyDescent="0.3">
      <c r="BB1032692" s="38"/>
    </row>
    <row r="1032693" spans="54:54" ht="15.75" customHeight="1" x14ac:dyDescent="0.3">
      <c r="BB1032693" s="38"/>
    </row>
    <row r="1032694" spans="54:54" ht="15.75" customHeight="1" x14ac:dyDescent="0.3">
      <c r="BB1032694" s="38"/>
    </row>
    <row r="1032695" spans="54:54" ht="15.75" customHeight="1" x14ac:dyDescent="0.3">
      <c r="BB1032695" s="38"/>
    </row>
    <row r="1032696" spans="54:54" ht="15.75" customHeight="1" x14ac:dyDescent="0.3">
      <c r="BB1032696" s="38"/>
    </row>
    <row r="1032697" spans="54:54" ht="15.75" customHeight="1" x14ac:dyDescent="0.3">
      <c r="BB1032697" s="38"/>
    </row>
    <row r="1032698" spans="54:54" ht="15.75" customHeight="1" x14ac:dyDescent="0.3">
      <c r="BB1032698" s="38"/>
    </row>
    <row r="1032699" spans="54:54" ht="15.75" customHeight="1" x14ac:dyDescent="0.3">
      <c r="BB1032699" s="38"/>
    </row>
    <row r="1032700" spans="54:54" ht="15.75" customHeight="1" x14ac:dyDescent="0.3">
      <c r="BB1032700" s="38"/>
    </row>
    <row r="1032701" spans="54:54" ht="15.75" customHeight="1" x14ac:dyDescent="0.3">
      <c r="BB1032701" s="38"/>
    </row>
    <row r="1032702" spans="54:54" ht="15.75" customHeight="1" x14ac:dyDescent="0.3">
      <c r="BB1032702" s="38"/>
    </row>
    <row r="1032703" spans="54:54" ht="15.75" customHeight="1" x14ac:dyDescent="0.3">
      <c r="BB1032703" s="38"/>
    </row>
    <row r="1032704" spans="54:54" ht="15.75" customHeight="1" x14ac:dyDescent="0.3">
      <c r="BB1032704" s="38"/>
    </row>
    <row r="1032705" spans="54:54" ht="15.75" customHeight="1" x14ac:dyDescent="0.3">
      <c r="BB1032705" s="38"/>
    </row>
    <row r="1032706" spans="54:54" ht="15.75" customHeight="1" x14ac:dyDescent="0.3">
      <c r="BB1032706" s="38"/>
    </row>
    <row r="1032707" spans="54:54" ht="15.75" customHeight="1" x14ac:dyDescent="0.3">
      <c r="BB1032707" s="38"/>
    </row>
    <row r="1032708" spans="54:54" ht="15.75" customHeight="1" x14ac:dyDescent="0.3">
      <c r="BB1032708" s="38"/>
    </row>
    <row r="1032709" spans="54:54" ht="15.75" customHeight="1" x14ac:dyDescent="0.3">
      <c r="BB1032709" s="38"/>
    </row>
    <row r="1032710" spans="54:54" ht="15.75" customHeight="1" x14ac:dyDescent="0.3">
      <c r="BB1032710" s="38"/>
    </row>
    <row r="1032711" spans="54:54" ht="15.75" customHeight="1" x14ac:dyDescent="0.3">
      <c r="BB1032711" s="38"/>
    </row>
    <row r="1032712" spans="54:54" ht="15.75" customHeight="1" x14ac:dyDescent="0.3">
      <c r="BB1032712" s="38"/>
    </row>
    <row r="1032713" spans="54:54" ht="15.75" customHeight="1" x14ac:dyDescent="0.3">
      <c r="BB1032713" s="38"/>
    </row>
    <row r="1032714" spans="54:54" ht="15.75" customHeight="1" x14ac:dyDescent="0.3">
      <c r="BB1032714" s="38"/>
    </row>
    <row r="1032715" spans="54:54" ht="15.75" customHeight="1" x14ac:dyDescent="0.3">
      <c r="BB1032715" s="38"/>
    </row>
    <row r="1032716" spans="54:54" ht="15.75" customHeight="1" x14ac:dyDescent="0.3">
      <c r="BB1032716" s="38"/>
    </row>
    <row r="1032717" spans="54:54" ht="15.75" customHeight="1" x14ac:dyDescent="0.3">
      <c r="BB1032717" s="38"/>
    </row>
    <row r="1032718" spans="54:54" ht="15.75" customHeight="1" x14ac:dyDescent="0.3">
      <c r="BB1032718" s="38"/>
    </row>
    <row r="1032719" spans="54:54" ht="15.75" customHeight="1" x14ac:dyDescent="0.3">
      <c r="BB1032719" s="38"/>
    </row>
    <row r="1032720" spans="54:54" ht="15.75" customHeight="1" x14ac:dyDescent="0.3">
      <c r="BB1032720" s="38"/>
    </row>
    <row r="1032721" spans="54:54" ht="15.75" customHeight="1" x14ac:dyDescent="0.3">
      <c r="BB1032721" s="38"/>
    </row>
    <row r="1032722" spans="54:54" ht="15.75" customHeight="1" x14ac:dyDescent="0.3">
      <c r="BB1032722" s="38"/>
    </row>
    <row r="1032723" spans="54:54" ht="15.75" customHeight="1" x14ac:dyDescent="0.3">
      <c r="BB1032723" s="38"/>
    </row>
    <row r="1032724" spans="54:54" ht="15.75" customHeight="1" x14ac:dyDescent="0.3">
      <c r="BB1032724" s="38"/>
    </row>
    <row r="1032725" spans="54:54" ht="15.75" customHeight="1" x14ac:dyDescent="0.3">
      <c r="BB1032725" s="38"/>
    </row>
    <row r="1032726" spans="54:54" ht="15.75" customHeight="1" x14ac:dyDescent="0.3">
      <c r="BB1032726" s="38"/>
    </row>
    <row r="1032727" spans="54:54" ht="15.75" customHeight="1" x14ac:dyDescent="0.3">
      <c r="BB1032727" s="38"/>
    </row>
    <row r="1032728" spans="54:54" ht="15.75" customHeight="1" x14ac:dyDescent="0.3">
      <c r="BB1032728" s="38"/>
    </row>
    <row r="1032729" spans="54:54" ht="15.75" customHeight="1" x14ac:dyDescent="0.3">
      <c r="BB1032729" s="38"/>
    </row>
    <row r="1032730" spans="54:54" ht="15.75" customHeight="1" x14ac:dyDescent="0.3">
      <c r="BB1032730" s="38"/>
    </row>
    <row r="1032731" spans="54:54" ht="15.75" customHeight="1" x14ac:dyDescent="0.3">
      <c r="BB1032731" s="38"/>
    </row>
    <row r="1032732" spans="54:54" ht="15.75" customHeight="1" x14ac:dyDescent="0.3">
      <c r="BB1032732" s="38"/>
    </row>
    <row r="1032733" spans="54:54" ht="15.75" customHeight="1" x14ac:dyDescent="0.3">
      <c r="BB1032733" s="38"/>
    </row>
    <row r="1032734" spans="54:54" ht="15.75" customHeight="1" x14ac:dyDescent="0.3">
      <c r="BB1032734" s="38"/>
    </row>
    <row r="1032735" spans="54:54" ht="15.75" customHeight="1" x14ac:dyDescent="0.3">
      <c r="BB1032735" s="38"/>
    </row>
    <row r="1032736" spans="54:54" ht="15.75" customHeight="1" x14ac:dyDescent="0.3">
      <c r="BB1032736" s="38"/>
    </row>
    <row r="1032737" spans="54:54" ht="15.75" customHeight="1" x14ac:dyDescent="0.3">
      <c r="BB1032737" s="38"/>
    </row>
    <row r="1032738" spans="54:54" ht="15.75" customHeight="1" x14ac:dyDescent="0.3">
      <c r="BB1032738" s="38"/>
    </row>
    <row r="1032739" spans="54:54" ht="15.75" customHeight="1" x14ac:dyDescent="0.3">
      <c r="BB1032739" s="38"/>
    </row>
    <row r="1032740" spans="54:54" ht="15.75" customHeight="1" x14ac:dyDescent="0.3">
      <c r="BB1032740" s="38"/>
    </row>
    <row r="1032741" spans="54:54" ht="15.75" customHeight="1" x14ac:dyDescent="0.3">
      <c r="BB1032741" s="38"/>
    </row>
    <row r="1032742" spans="54:54" ht="15.75" customHeight="1" x14ac:dyDescent="0.3">
      <c r="BB1032742" s="38"/>
    </row>
    <row r="1032743" spans="54:54" ht="15.75" customHeight="1" x14ac:dyDescent="0.3">
      <c r="BB1032743" s="38"/>
    </row>
    <row r="1032744" spans="54:54" ht="15.75" customHeight="1" x14ac:dyDescent="0.3">
      <c r="BB1032744" s="38"/>
    </row>
    <row r="1032745" spans="54:54" ht="15.75" customHeight="1" x14ac:dyDescent="0.3">
      <c r="BB1032745" s="38"/>
    </row>
    <row r="1032746" spans="54:54" ht="15.75" customHeight="1" x14ac:dyDescent="0.3">
      <c r="BB1032746" s="38"/>
    </row>
    <row r="1032747" spans="54:54" ht="15.75" customHeight="1" x14ac:dyDescent="0.3">
      <c r="BB1032747" s="38"/>
    </row>
    <row r="1032748" spans="54:54" ht="15.75" customHeight="1" x14ac:dyDescent="0.3">
      <c r="BB1032748" s="38"/>
    </row>
    <row r="1032749" spans="54:54" ht="15.75" customHeight="1" x14ac:dyDescent="0.3">
      <c r="BB1032749" s="38"/>
    </row>
    <row r="1032750" spans="54:54" ht="15.75" customHeight="1" x14ac:dyDescent="0.3">
      <c r="BB1032750" s="38"/>
    </row>
    <row r="1032751" spans="54:54" ht="15.75" customHeight="1" x14ac:dyDescent="0.3">
      <c r="BB1032751" s="38"/>
    </row>
    <row r="1032752" spans="54:54" ht="15.75" customHeight="1" x14ac:dyDescent="0.3">
      <c r="BB1032752" s="38"/>
    </row>
    <row r="1032753" spans="54:54" ht="15.75" customHeight="1" x14ac:dyDescent="0.3">
      <c r="BB1032753" s="38"/>
    </row>
    <row r="1032754" spans="54:54" ht="15.75" customHeight="1" x14ac:dyDescent="0.3">
      <c r="BB1032754" s="38"/>
    </row>
    <row r="1032755" spans="54:54" ht="15.75" customHeight="1" x14ac:dyDescent="0.3">
      <c r="BB1032755" s="38"/>
    </row>
    <row r="1032756" spans="54:54" ht="15.75" customHeight="1" x14ac:dyDescent="0.3">
      <c r="BB1032756" s="38"/>
    </row>
    <row r="1032757" spans="54:54" ht="15.75" customHeight="1" x14ac:dyDescent="0.3">
      <c r="BB1032757" s="38"/>
    </row>
    <row r="1032758" spans="54:54" ht="15.75" customHeight="1" x14ac:dyDescent="0.3">
      <c r="BB1032758" s="38"/>
    </row>
    <row r="1032759" spans="54:54" ht="15.75" customHeight="1" x14ac:dyDescent="0.3">
      <c r="BB1032759" s="38"/>
    </row>
    <row r="1032760" spans="54:54" ht="15.75" customHeight="1" x14ac:dyDescent="0.3">
      <c r="BB1032760" s="38"/>
    </row>
    <row r="1032761" spans="54:54" ht="15.75" customHeight="1" x14ac:dyDescent="0.3">
      <c r="BB1032761" s="38"/>
    </row>
    <row r="1032762" spans="54:54" ht="15.75" customHeight="1" x14ac:dyDescent="0.3">
      <c r="BB1032762" s="38"/>
    </row>
    <row r="1032763" spans="54:54" ht="15.75" customHeight="1" x14ac:dyDescent="0.3">
      <c r="BB1032763" s="38"/>
    </row>
    <row r="1032764" spans="54:54" ht="15.75" customHeight="1" x14ac:dyDescent="0.3">
      <c r="BB1032764" s="38"/>
    </row>
    <row r="1032765" spans="54:54" ht="15.75" customHeight="1" x14ac:dyDescent="0.3">
      <c r="BB1032765" s="38"/>
    </row>
    <row r="1032766" spans="54:54" ht="15.75" customHeight="1" x14ac:dyDescent="0.3">
      <c r="BB1032766" s="38"/>
    </row>
    <row r="1032767" spans="54:54" ht="15.75" customHeight="1" x14ac:dyDescent="0.3">
      <c r="BB1032767" s="38"/>
    </row>
    <row r="1032768" spans="54:54" ht="15.75" customHeight="1" x14ac:dyDescent="0.3">
      <c r="BB1032768" s="38"/>
    </row>
    <row r="1032769" spans="54:54" ht="15.75" customHeight="1" x14ac:dyDescent="0.3">
      <c r="BB1032769" s="38"/>
    </row>
    <row r="1032770" spans="54:54" ht="15.75" customHeight="1" x14ac:dyDescent="0.3">
      <c r="BB1032770" s="38"/>
    </row>
    <row r="1032771" spans="54:54" ht="15.75" customHeight="1" x14ac:dyDescent="0.3">
      <c r="BB1032771" s="38"/>
    </row>
    <row r="1032772" spans="54:54" ht="15.75" customHeight="1" x14ac:dyDescent="0.3">
      <c r="BB1032772" s="38"/>
    </row>
    <row r="1032773" spans="54:54" ht="15.75" customHeight="1" x14ac:dyDescent="0.3">
      <c r="BB1032773" s="38"/>
    </row>
    <row r="1032774" spans="54:54" ht="15.75" customHeight="1" x14ac:dyDescent="0.3">
      <c r="BB1032774" s="38"/>
    </row>
    <row r="1032775" spans="54:54" ht="15.75" customHeight="1" x14ac:dyDescent="0.3">
      <c r="BB1032775" s="38"/>
    </row>
    <row r="1032776" spans="54:54" ht="15.75" customHeight="1" x14ac:dyDescent="0.3">
      <c r="BB1032776" s="38"/>
    </row>
    <row r="1032777" spans="54:54" ht="15.75" customHeight="1" x14ac:dyDescent="0.3">
      <c r="BB1032777" s="38"/>
    </row>
    <row r="1032778" spans="54:54" ht="15.75" customHeight="1" x14ac:dyDescent="0.3">
      <c r="BB1032778" s="38"/>
    </row>
    <row r="1032779" spans="54:54" ht="15.75" customHeight="1" x14ac:dyDescent="0.3">
      <c r="BB1032779" s="38"/>
    </row>
    <row r="1032780" spans="54:54" ht="15.75" customHeight="1" x14ac:dyDescent="0.3">
      <c r="BB1032780" s="38"/>
    </row>
    <row r="1032781" spans="54:54" ht="15.75" customHeight="1" x14ac:dyDescent="0.3">
      <c r="BB1032781" s="38"/>
    </row>
    <row r="1032782" spans="54:54" ht="15.75" customHeight="1" x14ac:dyDescent="0.3">
      <c r="BB1032782" s="38"/>
    </row>
    <row r="1032783" spans="54:54" ht="15.75" customHeight="1" x14ac:dyDescent="0.3">
      <c r="BB1032783" s="38"/>
    </row>
    <row r="1032784" spans="54:54" ht="15.75" customHeight="1" x14ac:dyDescent="0.3">
      <c r="BB1032784" s="38"/>
    </row>
    <row r="1032785" spans="54:54" ht="15.75" customHeight="1" x14ac:dyDescent="0.3">
      <c r="BB1032785" s="38"/>
    </row>
    <row r="1032786" spans="54:54" ht="15.75" customHeight="1" x14ac:dyDescent="0.3">
      <c r="BB1032786" s="38"/>
    </row>
    <row r="1032787" spans="54:54" ht="15.75" customHeight="1" x14ac:dyDescent="0.3">
      <c r="BB1032787" s="38"/>
    </row>
    <row r="1032788" spans="54:54" ht="15.75" customHeight="1" x14ac:dyDescent="0.3">
      <c r="BB1032788" s="38"/>
    </row>
    <row r="1032789" spans="54:54" ht="15.75" customHeight="1" x14ac:dyDescent="0.3">
      <c r="BB1032789" s="38"/>
    </row>
    <row r="1032790" spans="54:54" ht="15.75" customHeight="1" x14ac:dyDescent="0.3">
      <c r="BB1032790" s="38"/>
    </row>
    <row r="1032791" spans="54:54" ht="15.75" customHeight="1" x14ac:dyDescent="0.3">
      <c r="BB1032791" s="38"/>
    </row>
    <row r="1032792" spans="54:54" ht="15.75" customHeight="1" x14ac:dyDescent="0.3">
      <c r="BB1032792" s="38"/>
    </row>
    <row r="1032793" spans="54:54" ht="15.75" customHeight="1" x14ac:dyDescent="0.3">
      <c r="BB1032793" s="38"/>
    </row>
    <row r="1032794" spans="54:54" ht="15.75" customHeight="1" x14ac:dyDescent="0.3">
      <c r="BB1032794" s="38"/>
    </row>
    <row r="1032795" spans="54:54" ht="15.75" customHeight="1" x14ac:dyDescent="0.3">
      <c r="BB1032795" s="38"/>
    </row>
    <row r="1032796" spans="54:54" ht="15.75" customHeight="1" x14ac:dyDescent="0.3">
      <c r="BB1032796" s="38"/>
    </row>
    <row r="1032797" spans="54:54" ht="15.75" customHeight="1" x14ac:dyDescent="0.3">
      <c r="BB1032797" s="38"/>
    </row>
    <row r="1032798" spans="54:54" ht="15.75" customHeight="1" x14ac:dyDescent="0.3">
      <c r="BB1032798" s="38"/>
    </row>
    <row r="1032799" spans="54:54" ht="15.75" customHeight="1" x14ac:dyDescent="0.3">
      <c r="BB1032799" s="38"/>
    </row>
    <row r="1032800" spans="54:54" ht="15.75" customHeight="1" x14ac:dyDescent="0.3">
      <c r="BB1032800" s="38"/>
    </row>
    <row r="1032801" spans="54:54" ht="15.75" customHeight="1" x14ac:dyDescent="0.3">
      <c r="BB1032801" s="38"/>
    </row>
    <row r="1032802" spans="54:54" ht="15.75" customHeight="1" x14ac:dyDescent="0.3">
      <c r="BB1032802" s="38"/>
    </row>
    <row r="1032803" spans="54:54" ht="15.75" customHeight="1" x14ac:dyDescent="0.3">
      <c r="BB1032803" s="38"/>
    </row>
    <row r="1032804" spans="54:54" ht="15.75" customHeight="1" x14ac:dyDescent="0.3">
      <c r="BB1032804" s="38"/>
    </row>
    <row r="1032805" spans="54:54" ht="15.75" customHeight="1" x14ac:dyDescent="0.3">
      <c r="BB1032805" s="38"/>
    </row>
    <row r="1032806" spans="54:54" ht="15.75" customHeight="1" x14ac:dyDescent="0.3">
      <c r="BB1032806" s="38"/>
    </row>
    <row r="1032807" spans="54:54" ht="15.75" customHeight="1" x14ac:dyDescent="0.3">
      <c r="BB1032807" s="38"/>
    </row>
    <row r="1032808" spans="54:54" ht="15.75" customHeight="1" x14ac:dyDescent="0.3">
      <c r="BB1032808" s="38"/>
    </row>
    <row r="1032809" spans="54:54" ht="15.75" customHeight="1" x14ac:dyDescent="0.3">
      <c r="BB1032809" s="38"/>
    </row>
    <row r="1032810" spans="54:54" ht="15.75" customHeight="1" x14ac:dyDescent="0.3">
      <c r="BB1032810" s="38"/>
    </row>
    <row r="1032811" spans="54:54" ht="15.75" customHeight="1" x14ac:dyDescent="0.3">
      <c r="BB1032811" s="38"/>
    </row>
    <row r="1032812" spans="54:54" ht="15.75" customHeight="1" x14ac:dyDescent="0.3">
      <c r="BB1032812" s="38"/>
    </row>
    <row r="1032813" spans="54:54" ht="15.75" customHeight="1" x14ac:dyDescent="0.3">
      <c r="BB1032813" s="38"/>
    </row>
    <row r="1032814" spans="54:54" ht="15.75" customHeight="1" x14ac:dyDescent="0.3">
      <c r="BB1032814" s="38"/>
    </row>
    <row r="1032815" spans="54:54" ht="15.75" customHeight="1" x14ac:dyDescent="0.3">
      <c r="BB1032815" s="38"/>
    </row>
    <row r="1032816" spans="54:54" ht="15.75" customHeight="1" x14ac:dyDescent="0.3">
      <c r="BB1032816" s="38"/>
    </row>
    <row r="1032817" spans="54:54" ht="15.75" customHeight="1" x14ac:dyDescent="0.3">
      <c r="BB1032817" s="38"/>
    </row>
    <row r="1032818" spans="54:54" ht="15.75" customHeight="1" x14ac:dyDescent="0.3">
      <c r="BB1032818" s="38"/>
    </row>
    <row r="1032819" spans="54:54" ht="15.75" customHeight="1" x14ac:dyDescent="0.3">
      <c r="BB1032819" s="38"/>
    </row>
    <row r="1032820" spans="54:54" ht="15.75" customHeight="1" x14ac:dyDescent="0.3">
      <c r="BB1032820" s="38"/>
    </row>
    <row r="1032821" spans="54:54" ht="15.75" customHeight="1" x14ac:dyDescent="0.3">
      <c r="BB1032821" s="38"/>
    </row>
    <row r="1032822" spans="54:54" ht="15.75" customHeight="1" x14ac:dyDescent="0.3">
      <c r="BB1032822" s="38"/>
    </row>
    <row r="1032823" spans="54:54" ht="15.75" customHeight="1" x14ac:dyDescent="0.3">
      <c r="BB1032823" s="38"/>
    </row>
    <row r="1032824" spans="54:54" ht="15.75" customHeight="1" x14ac:dyDescent="0.3">
      <c r="BB1032824" s="38"/>
    </row>
    <row r="1032825" spans="54:54" ht="15.75" customHeight="1" x14ac:dyDescent="0.3">
      <c r="BB1032825" s="38"/>
    </row>
    <row r="1032826" spans="54:54" ht="15.75" customHeight="1" x14ac:dyDescent="0.3">
      <c r="BB1032826" s="38"/>
    </row>
    <row r="1032827" spans="54:54" ht="15.75" customHeight="1" x14ac:dyDescent="0.3">
      <c r="BB1032827" s="38"/>
    </row>
    <row r="1032828" spans="54:54" ht="15.75" customHeight="1" x14ac:dyDescent="0.3">
      <c r="BB1032828" s="38"/>
    </row>
    <row r="1032829" spans="54:54" ht="15.75" customHeight="1" x14ac:dyDescent="0.3">
      <c r="BB1032829" s="38"/>
    </row>
    <row r="1032830" spans="54:54" ht="15.75" customHeight="1" x14ac:dyDescent="0.3">
      <c r="BB1032830" s="38"/>
    </row>
    <row r="1032831" spans="54:54" ht="15.75" customHeight="1" x14ac:dyDescent="0.3">
      <c r="BB1032831" s="38"/>
    </row>
    <row r="1032832" spans="54:54" ht="15.75" customHeight="1" x14ac:dyDescent="0.3">
      <c r="BB1032832" s="38"/>
    </row>
    <row r="1032833" spans="54:54" ht="15.75" customHeight="1" x14ac:dyDescent="0.3">
      <c r="BB1032833" s="38"/>
    </row>
    <row r="1032834" spans="54:54" ht="15.75" customHeight="1" x14ac:dyDescent="0.3">
      <c r="BB1032834" s="38"/>
    </row>
    <row r="1032835" spans="54:54" ht="15.75" customHeight="1" x14ac:dyDescent="0.3">
      <c r="BB1032835" s="38"/>
    </row>
    <row r="1032836" spans="54:54" ht="15.75" customHeight="1" x14ac:dyDescent="0.3">
      <c r="BB1032836" s="38"/>
    </row>
    <row r="1032837" spans="54:54" ht="15.75" customHeight="1" x14ac:dyDescent="0.3">
      <c r="BB1032837" s="38"/>
    </row>
    <row r="1032838" spans="54:54" ht="15.75" customHeight="1" x14ac:dyDescent="0.3">
      <c r="BB1032838" s="38"/>
    </row>
    <row r="1032839" spans="54:54" ht="15.75" customHeight="1" x14ac:dyDescent="0.3">
      <c r="BB1032839" s="38"/>
    </row>
    <row r="1032840" spans="54:54" ht="15.75" customHeight="1" x14ac:dyDescent="0.3">
      <c r="BB1032840" s="38"/>
    </row>
    <row r="1032841" spans="54:54" ht="15.75" customHeight="1" x14ac:dyDescent="0.3">
      <c r="BB1032841" s="38"/>
    </row>
    <row r="1032842" spans="54:54" ht="15.75" customHeight="1" x14ac:dyDescent="0.3">
      <c r="BB1032842" s="38"/>
    </row>
    <row r="1032843" spans="54:54" ht="15.75" customHeight="1" x14ac:dyDescent="0.3">
      <c r="BB1032843" s="38"/>
    </row>
    <row r="1032844" spans="54:54" ht="15.75" customHeight="1" x14ac:dyDescent="0.3">
      <c r="BB1032844" s="38"/>
    </row>
    <row r="1032845" spans="54:54" ht="15.75" customHeight="1" x14ac:dyDescent="0.3">
      <c r="BB1032845" s="38"/>
    </row>
    <row r="1032846" spans="54:54" ht="15.75" customHeight="1" x14ac:dyDescent="0.3">
      <c r="BB1032846" s="38"/>
    </row>
    <row r="1032847" spans="54:54" ht="15.75" customHeight="1" x14ac:dyDescent="0.3">
      <c r="BB1032847" s="38"/>
    </row>
    <row r="1032848" spans="54:54" ht="15.75" customHeight="1" x14ac:dyDescent="0.3">
      <c r="BB1032848" s="38"/>
    </row>
    <row r="1032849" spans="54:54" ht="15.75" customHeight="1" x14ac:dyDescent="0.3">
      <c r="BB1032849" s="38"/>
    </row>
    <row r="1032850" spans="54:54" ht="15.75" customHeight="1" x14ac:dyDescent="0.3">
      <c r="BB1032850" s="38"/>
    </row>
    <row r="1032851" spans="54:54" ht="15.75" customHeight="1" x14ac:dyDescent="0.3">
      <c r="BB1032851" s="38"/>
    </row>
    <row r="1032852" spans="54:54" ht="15.75" customHeight="1" x14ac:dyDescent="0.3">
      <c r="BB1032852" s="38"/>
    </row>
    <row r="1032853" spans="54:54" ht="15.75" customHeight="1" x14ac:dyDescent="0.3">
      <c r="BB1032853" s="38"/>
    </row>
    <row r="1032854" spans="54:54" ht="15.75" customHeight="1" x14ac:dyDescent="0.3">
      <c r="BB1032854" s="38"/>
    </row>
    <row r="1032855" spans="54:54" ht="15.75" customHeight="1" x14ac:dyDescent="0.3">
      <c r="BB1032855" s="38"/>
    </row>
    <row r="1032856" spans="54:54" ht="15.75" customHeight="1" x14ac:dyDescent="0.3">
      <c r="BB1032856" s="38"/>
    </row>
    <row r="1032857" spans="54:54" ht="15.75" customHeight="1" x14ac:dyDescent="0.3">
      <c r="BB1032857" s="38"/>
    </row>
    <row r="1032858" spans="54:54" ht="15.75" customHeight="1" x14ac:dyDescent="0.3">
      <c r="BB1032858" s="38"/>
    </row>
    <row r="1032859" spans="54:54" ht="15.75" customHeight="1" x14ac:dyDescent="0.3">
      <c r="BB1032859" s="38"/>
    </row>
    <row r="1032860" spans="54:54" ht="15.75" customHeight="1" x14ac:dyDescent="0.3">
      <c r="BB1032860" s="38"/>
    </row>
    <row r="1032861" spans="54:54" ht="15.75" customHeight="1" x14ac:dyDescent="0.3">
      <c r="BB1032861" s="38"/>
    </row>
    <row r="1032862" spans="54:54" ht="15.75" customHeight="1" x14ac:dyDescent="0.3">
      <c r="BB1032862" s="38"/>
    </row>
    <row r="1032863" spans="54:54" ht="15.75" customHeight="1" x14ac:dyDescent="0.3">
      <c r="BB1032863" s="38"/>
    </row>
    <row r="1032864" spans="54:54" ht="15.75" customHeight="1" x14ac:dyDescent="0.3">
      <c r="BB1032864" s="38"/>
    </row>
    <row r="1032865" spans="54:54" ht="15.75" customHeight="1" x14ac:dyDescent="0.3">
      <c r="BB1032865" s="38"/>
    </row>
    <row r="1032866" spans="54:54" ht="15.75" customHeight="1" x14ac:dyDescent="0.3">
      <c r="BB1032866" s="38"/>
    </row>
    <row r="1032867" spans="54:54" ht="15.75" customHeight="1" x14ac:dyDescent="0.3">
      <c r="BB1032867" s="38"/>
    </row>
    <row r="1032868" spans="54:54" ht="15.75" customHeight="1" x14ac:dyDescent="0.3">
      <c r="BB1032868" s="38"/>
    </row>
    <row r="1032869" spans="54:54" ht="15.75" customHeight="1" x14ac:dyDescent="0.3">
      <c r="BB1032869" s="38"/>
    </row>
    <row r="1032870" spans="54:54" ht="15.75" customHeight="1" x14ac:dyDescent="0.3">
      <c r="BB1032870" s="38"/>
    </row>
    <row r="1032871" spans="54:54" ht="15.75" customHeight="1" x14ac:dyDescent="0.3">
      <c r="BB1032871" s="38"/>
    </row>
    <row r="1032872" spans="54:54" ht="15.75" customHeight="1" x14ac:dyDescent="0.3">
      <c r="BB1032872" s="38"/>
    </row>
    <row r="1032873" spans="54:54" ht="15.75" customHeight="1" x14ac:dyDescent="0.3">
      <c r="BB1032873" s="38"/>
    </row>
    <row r="1032874" spans="54:54" ht="15.75" customHeight="1" x14ac:dyDescent="0.3">
      <c r="BB1032874" s="38"/>
    </row>
    <row r="1032875" spans="54:54" ht="15.75" customHeight="1" x14ac:dyDescent="0.3">
      <c r="BB1032875" s="38"/>
    </row>
    <row r="1032876" spans="54:54" ht="15.75" customHeight="1" x14ac:dyDescent="0.3">
      <c r="BB1032876" s="38"/>
    </row>
    <row r="1032877" spans="54:54" ht="15.75" customHeight="1" x14ac:dyDescent="0.3">
      <c r="BB1032877" s="38"/>
    </row>
    <row r="1032878" spans="54:54" ht="15.75" customHeight="1" x14ac:dyDescent="0.3">
      <c r="BB1032878" s="38"/>
    </row>
    <row r="1032879" spans="54:54" ht="15.75" customHeight="1" x14ac:dyDescent="0.3">
      <c r="BB1032879" s="38"/>
    </row>
    <row r="1032880" spans="54:54" ht="15.75" customHeight="1" x14ac:dyDescent="0.3">
      <c r="BB1032880" s="38"/>
    </row>
    <row r="1032881" spans="54:54" ht="15.75" customHeight="1" x14ac:dyDescent="0.3">
      <c r="BB1032881" s="38"/>
    </row>
    <row r="1032882" spans="54:54" ht="15.75" customHeight="1" x14ac:dyDescent="0.3">
      <c r="BB1032882" s="38"/>
    </row>
    <row r="1032883" spans="54:54" ht="15.75" customHeight="1" x14ac:dyDescent="0.3">
      <c r="BB1032883" s="38"/>
    </row>
    <row r="1032884" spans="54:54" ht="15.75" customHeight="1" x14ac:dyDescent="0.3">
      <c r="BB1032884" s="38"/>
    </row>
    <row r="1032885" spans="54:54" ht="15.75" customHeight="1" x14ac:dyDescent="0.3">
      <c r="BB1032885" s="38"/>
    </row>
    <row r="1032886" spans="54:54" ht="15.75" customHeight="1" x14ac:dyDescent="0.3">
      <c r="BB1032886" s="38"/>
    </row>
    <row r="1032887" spans="54:54" ht="15.75" customHeight="1" x14ac:dyDescent="0.3">
      <c r="BB1032887" s="38"/>
    </row>
    <row r="1032888" spans="54:54" ht="15.75" customHeight="1" x14ac:dyDescent="0.3">
      <c r="BB1032888" s="38"/>
    </row>
    <row r="1032889" spans="54:54" ht="15.75" customHeight="1" x14ac:dyDescent="0.3">
      <c r="BB1032889" s="38"/>
    </row>
    <row r="1032890" spans="54:54" ht="15.75" customHeight="1" x14ac:dyDescent="0.3">
      <c r="BB1032890" s="38"/>
    </row>
    <row r="1032891" spans="54:54" ht="15.75" customHeight="1" x14ac:dyDescent="0.3">
      <c r="BB1032891" s="38"/>
    </row>
    <row r="1032892" spans="54:54" ht="15.75" customHeight="1" x14ac:dyDescent="0.3">
      <c r="BB1032892" s="38"/>
    </row>
    <row r="1032893" spans="54:54" ht="15.75" customHeight="1" x14ac:dyDescent="0.3">
      <c r="BB1032893" s="38"/>
    </row>
    <row r="1032894" spans="54:54" ht="15.75" customHeight="1" x14ac:dyDescent="0.3">
      <c r="BB1032894" s="38"/>
    </row>
    <row r="1032895" spans="54:54" ht="15.75" customHeight="1" x14ac:dyDescent="0.3">
      <c r="BB1032895" s="38"/>
    </row>
    <row r="1032896" spans="54:54" ht="15.75" customHeight="1" x14ac:dyDescent="0.3">
      <c r="BB1032896" s="38"/>
    </row>
    <row r="1032897" spans="54:54" ht="15.75" customHeight="1" x14ac:dyDescent="0.3">
      <c r="BB1032897" s="38"/>
    </row>
    <row r="1032898" spans="54:54" ht="15.75" customHeight="1" x14ac:dyDescent="0.3">
      <c r="BB1032898" s="38"/>
    </row>
    <row r="1032899" spans="54:54" ht="15.75" customHeight="1" x14ac:dyDescent="0.3">
      <c r="BB1032899" s="38"/>
    </row>
    <row r="1032900" spans="54:54" ht="15.75" customHeight="1" x14ac:dyDescent="0.3">
      <c r="BB1032900" s="38"/>
    </row>
    <row r="1032901" spans="54:54" ht="15.75" customHeight="1" x14ac:dyDescent="0.3">
      <c r="BB1032901" s="38"/>
    </row>
    <row r="1032902" spans="54:54" ht="15.75" customHeight="1" x14ac:dyDescent="0.3">
      <c r="BB1032902" s="38"/>
    </row>
    <row r="1032903" spans="54:54" ht="15.75" customHeight="1" x14ac:dyDescent="0.3">
      <c r="BB1032903" s="38"/>
    </row>
    <row r="1032904" spans="54:54" ht="15.75" customHeight="1" x14ac:dyDescent="0.3">
      <c r="BB1032904" s="38"/>
    </row>
    <row r="1032905" spans="54:54" ht="15.75" customHeight="1" x14ac:dyDescent="0.3">
      <c r="BB1032905" s="38"/>
    </row>
    <row r="1032906" spans="54:54" ht="15.75" customHeight="1" x14ac:dyDescent="0.3">
      <c r="BB1032906" s="38"/>
    </row>
    <row r="1032907" spans="54:54" ht="15.75" customHeight="1" x14ac:dyDescent="0.3">
      <c r="BB1032907" s="38"/>
    </row>
    <row r="1032908" spans="54:54" ht="15.75" customHeight="1" x14ac:dyDescent="0.3">
      <c r="BB1032908" s="38"/>
    </row>
    <row r="1032909" spans="54:54" ht="15.75" customHeight="1" x14ac:dyDescent="0.3">
      <c r="BB1032909" s="38"/>
    </row>
    <row r="1032910" spans="54:54" ht="15.75" customHeight="1" x14ac:dyDescent="0.3">
      <c r="BB1032910" s="38"/>
    </row>
    <row r="1032911" spans="54:54" ht="15.75" customHeight="1" x14ac:dyDescent="0.3">
      <c r="BB1032911" s="38"/>
    </row>
    <row r="1032912" spans="54:54" ht="15.75" customHeight="1" x14ac:dyDescent="0.3">
      <c r="BB1032912" s="38"/>
    </row>
    <row r="1032913" spans="54:54" ht="15.75" customHeight="1" x14ac:dyDescent="0.3">
      <c r="BB1032913" s="38"/>
    </row>
    <row r="1032914" spans="54:54" ht="15.75" customHeight="1" x14ac:dyDescent="0.3">
      <c r="BB1032914" s="38"/>
    </row>
    <row r="1032915" spans="54:54" ht="15.75" customHeight="1" x14ac:dyDescent="0.3">
      <c r="BB1032915" s="38"/>
    </row>
    <row r="1032916" spans="54:54" ht="15.75" customHeight="1" x14ac:dyDescent="0.3">
      <c r="BB1032916" s="38"/>
    </row>
    <row r="1032917" spans="54:54" ht="15.75" customHeight="1" x14ac:dyDescent="0.3">
      <c r="BB1032917" s="38"/>
    </row>
    <row r="1032918" spans="54:54" ht="15.75" customHeight="1" x14ac:dyDescent="0.3">
      <c r="BB1032918" s="38"/>
    </row>
    <row r="1032919" spans="54:54" ht="15.75" customHeight="1" x14ac:dyDescent="0.3">
      <c r="BB1032919" s="38"/>
    </row>
    <row r="1032920" spans="54:54" ht="15.75" customHeight="1" x14ac:dyDescent="0.3">
      <c r="BB1032920" s="38"/>
    </row>
    <row r="1032921" spans="54:54" ht="15.75" customHeight="1" x14ac:dyDescent="0.3">
      <c r="BB1032921" s="38"/>
    </row>
    <row r="1032922" spans="54:54" ht="15.75" customHeight="1" x14ac:dyDescent="0.3">
      <c r="BB1032922" s="38"/>
    </row>
    <row r="1032923" spans="54:54" ht="15.75" customHeight="1" x14ac:dyDescent="0.3">
      <c r="BB1032923" s="38"/>
    </row>
    <row r="1032924" spans="54:54" ht="15.75" customHeight="1" x14ac:dyDescent="0.3">
      <c r="BB1032924" s="38"/>
    </row>
    <row r="1032925" spans="54:54" ht="15.75" customHeight="1" x14ac:dyDescent="0.3">
      <c r="BB1032925" s="38"/>
    </row>
    <row r="1032926" spans="54:54" ht="15.75" customHeight="1" x14ac:dyDescent="0.3">
      <c r="BB1032926" s="38"/>
    </row>
    <row r="1032927" spans="54:54" ht="15.75" customHeight="1" x14ac:dyDescent="0.3">
      <c r="BB1032927" s="38"/>
    </row>
    <row r="1032928" spans="54:54" ht="15.75" customHeight="1" x14ac:dyDescent="0.3">
      <c r="BB1032928" s="38"/>
    </row>
    <row r="1032929" spans="54:54" ht="15.75" customHeight="1" x14ac:dyDescent="0.3">
      <c r="BB1032929" s="38"/>
    </row>
    <row r="1032930" spans="54:54" ht="15.75" customHeight="1" x14ac:dyDescent="0.3">
      <c r="BB1032930" s="38"/>
    </row>
    <row r="1032931" spans="54:54" ht="15.75" customHeight="1" x14ac:dyDescent="0.3">
      <c r="BB1032931" s="38"/>
    </row>
    <row r="1032932" spans="54:54" ht="15.75" customHeight="1" x14ac:dyDescent="0.3">
      <c r="BB1032932" s="38"/>
    </row>
    <row r="1032933" spans="54:54" ht="15.75" customHeight="1" x14ac:dyDescent="0.3">
      <c r="BB1032933" s="38"/>
    </row>
    <row r="1032934" spans="54:54" ht="15.75" customHeight="1" x14ac:dyDescent="0.3">
      <c r="BB1032934" s="38"/>
    </row>
    <row r="1032935" spans="54:54" ht="15.75" customHeight="1" x14ac:dyDescent="0.3">
      <c r="BB1032935" s="38"/>
    </row>
    <row r="1032936" spans="54:54" ht="15.75" customHeight="1" x14ac:dyDescent="0.3">
      <c r="BB1032936" s="38"/>
    </row>
    <row r="1032937" spans="54:54" ht="15.75" customHeight="1" x14ac:dyDescent="0.3">
      <c r="BB1032937" s="38"/>
    </row>
    <row r="1032938" spans="54:54" ht="15.75" customHeight="1" x14ac:dyDescent="0.3">
      <c r="BB1032938" s="38"/>
    </row>
    <row r="1032939" spans="54:54" ht="15.75" customHeight="1" x14ac:dyDescent="0.3">
      <c r="BB1032939" s="38"/>
    </row>
    <row r="1032940" spans="54:54" ht="15.75" customHeight="1" x14ac:dyDescent="0.3">
      <c r="BB1032940" s="38"/>
    </row>
    <row r="1032941" spans="54:54" ht="15.75" customHeight="1" x14ac:dyDescent="0.3">
      <c r="BB1032941" s="38"/>
    </row>
    <row r="1032942" spans="54:54" ht="15.75" customHeight="1" x14ac:dyDescent="0.3">
      <c r="BB1032942" s="38"/>
    </row>
    <row r="1032943" spans="54:54" ht="15.75" customHeight="1" x14ac:dyDescent="0.3">
      <c r="BB1032943" s="38"/>
    </row>
    <row r="1032944" spans="54:54" ht="15.75" customHeight="1" x14ac:dyDescent="0.3">
      <c r="BB1032944" s="38"/>
    </row>
    <row r="1032945" spans="54:54" ht="15.75" customHeight="1" x14ac:dyDescent="0.3">
      <c r="BB1032945" s="38"/>
    </row>
    <row r="1032946" spans="54:54" ht="15.75" customHeight="1" x14ac:dyDescent="0.3">
      <c r="BB1032946" s="38"/>
    </row>
    <row r="1032947" spans="54:54" ht="15.75" customHeight="1" x14ac:dyDescent="0.3">
      <c r="BB1032947" s="38"/>
    </row>
    <row r="1032948" spans="54:54" ht="15.75" customHeight="1" x14ac:dyDescent="0.3">
      <c r="BB1032948" s="38"/>
    </row>
    <row r="1032949" spans="54:54" ht="15.75" customHeight="1" x14ac:dyDescent="0.3">
      <c r="BB1032949" s="38"/>
    </row>
    <row r="1032950" spans="54:54" ht="15.75" customHeight="1" x14ac:dyDescent="0.3">
      <c r="BB1032950" s="38"/>
    </row>
    <row r="1032951" spans="54:54" ht="15.75" customHeight="1" x14ac:dyDescent="0.3">
      <c r="BB1032951" s="38"/>
    </row>
    <row r="1032952" spans="54:54" ht="15.75" customHeight="1" x14ac:dyDescent="0.3">
      <c r="BB1032952" s="38"/>
    </row>
    <row r="1032953" spans="54:54" ht="15.75" customHeight="1" x14ac:dyDescent="0.3">
      <c r="BB1032953" s="38"/>
    </row>
    <row r="1032954" spans="54:54" ht="15.75" customHeight="1" x14ac:dyDescent="0.3">
      <c r="BB1032954" s="38"/>
    </row>
    <row r="1032955" spans="54:54" ht="15.75" customHeight="1" x14ac:dyDescent="0.3">
      <c r="BB1032955" s="38"/>
    </row>
    <row r="1032956" spans="54:54" ht="15.75" customHeight="1" x14ac:dyDescent="0.3">
      <c r="BB1032956" s="38"/>
    </row>
    <row r="1032957" spans="54:54" ht="15.75" customHeight="1" x14ac:dyDescent="0.3">
      <c r="BB1032957" s="38"/>
    </row>
    <row r="1032958" spans="54:54" ht="15.75" customHeight="1" x14ac:dyDescent="0.3">
      <c r="BB1032958" s="38"/>
    </row>
    <row r="1032959" spans="54:54" ht="15.75" customHeight="1" x14ac:dyDescent="0.3">
      <c r="BB1032959" s="38"/>
    </row>
    <row r="1032960" spans="54:54" ht="15.75" customHeight="1" x14ac:dyDescent="0.3">
      <c r="BB1032960" s="38"/>
    </row>
    <row r="1032961" spans="54:54" ht="15.75" customHeight="1" x14ac:dyDescent="0.3">
      <c r="BB1032961" s="38"/>
    </row>
    <row r="1032962" spans="54:54" ht="15.75" customHeight="1" x14ac:dyDescent="0.3">
      <c r="BB1032962" s="38"/>
    </row>
    <row r="1032963" spans="54:54" ht="15.75" customHeight="1" x14ac:dyDescent="0.3">
      <c r="BB1032963" s="38"/>
    </row>
    <row r="1032964" spans="54:54" ht="15.75" customHeight="1" x14ac:dyDescent="0.3">
      <c r="BB1032964" s="38"/>
    </row>
    <row r="1032965" spans="54:54" ht="15.75" customHeight="1" x14ac:dyDescent="0.3">
      <c r="BB1032965" s="38"/>
    </row>
    <row r="1032966" spans="54:54" ht="15.75" customHeight="1" x14ac:dyDescent="0.3">
      <c r="BB1032966" s="38"/>
    </row>
    <row r="1032967" spans="54:54" ht="15.75" customHeight="1" x14ac:dyDescent="0.3">
      <c r="BB1032967" s="38"/>
    </row>
    <row r="1032968" spans="54:54" ht="15.75" customHeight="1" x14ac:dyDescent="0.3">
      <c r="BB1032968" s="38"/>
    </row>
    <row r="1032969" spans="54:54" ht="15.75" customHeight="1" x14ac:dyDescent="0.3">
      <c r="BB1032969" s="38"/>
    </row>
    <row r="1032970" spans="54:54" ht="15.75" customHeight="1" x14ac:dyDescent="0.3">
      <c r="BB1032970" s="38"/>
    </row>
    <row r="1032971" spans="54:54" ht="15.75" customHeight="1" x14ac:dyDescent="0.3">
      <c r="BB1032971" s="38"/>
    </row>
    <row r="1032972" spans="54:54" ht="15.75" customHeight="1" x14ac:dyDescent="0.3">
      <c r="BB1032972" s="38"/>
    </row>
    <row r="1032973" spans="54:54" ht="15.75" customHeight="1" x14ac:dyDescent="0.3">
      <c r="BB1032973" s="38"/>
    </row>
    <row r="1032974" spans="54:54" ht="15.75" customHeight="1" x14ac:dyDescent="0.3">
      <c r="BB1032974" s="38"/>
    </row>
    <row r="1032975" spans="54:54" ht="15.75" customHeight="1" x14ac:dyDescent="0.3">
      <c r="BB1032975" s="38"/>
    </row>
    <row r="1032976" spans="54:54" ht="15.75" customHeight="1" x14ac:dyDescent="0.3">
      <c r="BB1032976" s="38"/>
    </row>
    <row r="1032977" spans="54:54" ht="15.75" customHeight="1" x14ac:dyDescent="0.3">
      <c r="BB1032977" s="38"/>
    </row>
    <row r="1032978" spans="54:54" ht="15.75" customHeight="1" x14ac:dyDescent="0.3">
      <c r="BB1032978" s="38"/>
    </row>
    <row r="1032979" spans="54:54" ht="15.75" customHeight="1" x14ac:dyDescent="0.3">
      <c r="BB1032979" s="38"/>
    </row>
    <row r="1032980" spans="54:54" ht="15.75" customHeight="1" x14ac:dyDescent="0.3">
      <c r="BB1032980" s="38"/>
    </row>
    <row r="1032981" spans="54:54" ht="15.75" customHeight="1" x14ac:dyDescent="0.3">
      <c r="BB1032981" s="38"/>
    </row>
    <row r="1032982" spans="54:54" ht="15.75" customHeight="1" x14ac:dyDescent="0.3">
      <c r="BB1032982" s="38"/>
    </row>
    <row r="1032983" spans="54:54" ht="15.75" customHeight="1" x14ac:dyDescent="0.3">
      <c r="BB1032983" s="38"/>
    </row>
    <row r="1032984" spans="54:54" ht="15.75" customHeight="1" x14ac:dyDescent="0.3">
      <c r="BB1032984" s="38"/>
    </row>
    <row r="1032985" spans="54:54" ht="15.75" customHeight="1" x14ac:dyDescent="0.3">
      <c r="BB1032985" s="38"/>
    </row>
    <row r="1032986" spans="54:54" ht="15.75" customHeight="1" x14ac:dyDescent="0.3">
      <c r="BB1032986" s="38"/>
    </row>
    <row r="1032987" spans="54:54" ht="15.75" customHeight="1" x14ac:dyDescent="0.3">
      <c r="BB1032987" s="38"/>
    </row>
    <row r="1032988" spans="54:54" ht="15.75" customHeight="1" x14ac:dyDescent="0.3">
      <c r="BB1032988" s="38"/>
    </row>
    <row r="1032989" spans="54:54" ht="15.75" customHeight="1" x14ac:dyDescent="0.3">
      <c r="BB1032989" s="38"/>
    </row>
    <row r="1032990" spans="54:54" ht="15.75" customHeight="1" x14ac:dyDescent="0.3">
      <c r="BB1032990" s="38"/>
    </row>
    <row r="1032991" spans="54:54" ht="15.75" customHeight="1" x14ac:dyDescent="0.3">
      <c r="BB1032991" s="38"/>
    </row>
    <row r="1032992" spans="54:54" ht="15.75" customHeight="1" x14ac:dyDescent="0.3">
      <c r="BB1032992" s="38"/>
    </row>
    <row r="1032993" spans="54:54" ht="15.75" customHeight="1" x14ac:dyDescent="0.3">
      <c r="BB1032993" s="38"/>
    </row>
    <row r="1032994" spans="54:54" ht="15.75" customHeight="1" x14ac:dyDescent="0.3">
      <c r="BB1032994" s="38"/>
    </row>
    <row r="1032995" spans="54:54" ht="15.75" customHeight="1" x14ac:dyDescent="0.3">
      <c r="BB1032995" s="38"/>
    </row>
    <row r="1032996" spans="54:54" ht="15.75" customHeight="1" x14ac:dyDescent="0.3">
      <c r="BB1032996" s="38"/>
    </row>
    <row r="1032997" spans="54:54" ht="15.75" customHeight="1" x14ac:dyDescent="0.3">
      <c r="BB1032997" s="38"/>
    </row>
    <row r="1032998" spans="54:54" ht="15.75" customHeight="1" x14ac:dyDescent="0.3">
      <c r="BB1032998" s="38"/>
    </row>
    <row r="1032999" spans="54:54" ht="15.75" customHeight="1" x14ac:dyDescent="0.3">
      <c r="BB1032999" s="38"/>
    </row>
    <row r="1033000" spans="54:54" ht="15.75" customHeight="1" x14ac:dyDescent="0.3">
      <c r="BB1033000" s="38"/>
    </row>
    <row r="1033001" spans="54:54" ht="15.75" customHeight="1" x14ac:dyDescent="0.3">
      <c r="BB1033001" s="38"/>
    </row>
    <row r="1033002" spans="54:54" ht="15.75" customHeight="1" x14ac:dyDescent="0.3">
      <c r="BB1033002" s="38"/>
    </row>
    <row r="1033003" spans="54:54" ht="15.75" customHeight="1" x14ac:dyDescent="0.3">
      <c r="BB1033003" s="38"/>
    </row>
    <row r="1033004" spans="54:54" ht="15.75" customHeight="1" x14ac:dyDescent="0.3">
      <c r="BB1033004" s="38"/>
    </row>
    <row r="1033005" spans="54:54" ht="15.75" customHeight="1" x14ac:dyDescent="0.3">
      <c r="BB1033005" s="38"/>
    </row>
    <row r="1033006" spans="54:54" ht="15.75" customHeight="1" x14ac:dyDescent="0.3">
      <c r="BB1033006" s="38"/>
    </row>
    <row r="1033007" spans="54:54" ht="15.75" customHeight="1" x14ac:dyDescent="0.3">
      <c r="BB1033007" s="38"/>
    </row>
    <row r="1033008" spans="54:54" ht="15.75" customHeight="1" x14ac:dyDescent="0.3">
      <c r="BB1033008" s="38"/>
    </row>
    <row r="1033009" spans="54:54" ht="15.75" customHeight="1" x14ac:dyDescent="0.3">
      <c r="BB1033009" s="38"/>
    </row>
    <row r="1033010" spans="54:54" ht="15.75" customHeight="1" x14ac:dyDescent="0.3">
      <c r="BB1033010" s="38"/>
    </row>
    <row r="1033011" spans="54:54" ht="15.75" customHeight="1" x14ac:dyDescent="0.3">
      <c r="BB1033011" s="38"/>
    </row>
    <row r="1033012" spans="54:54" ht="15.75" customHeight="1" x14ac:dyDescent="0.3">
      <c r="BB1033012" s="38"/>
    </row>
    <row r="1033013" spans="54:54" ht="15.75" customHeight="1" x14ac:dyDescent="0.3">
      <c r="BB1033013" s="38"/>
    </row>
    <row r="1033014" spans="54:54" ht="15.75" customHeight="1" x14ac:dyDescent="0.3">
      <c r="BB1033014" s="38"/>
    </row>
    <row r="1033015" spans="54:54" ht="15.75" customHeight="1" x14ac:dyDescent="0.3">
      <c r="BB1033015" s="38"/>
    </row>
    <row r="1033016" spans="54:54" ht="15.75" customHeight="1" x14ac:dyDescent="0.3">
      <c r="BB1033016" s="38"/>
    </row>
    <row r="1033017" spans="54:54" ht="15.75" customHeight="1" x14ac:dyDescent="0.3">
      <c r="BB1033017" s="38"/>
    </row>
    <row r="1033018" spans="54:54" ht="15.75" customHeight="1" x14ac:dyDescent="0.3">
      <c r="BB1033018" s="38"/>
    </row>
    <row r="1033019" spans="54:54" ht="15.75" customHeight="1" x14ac:dyDescent="0.3">
      <c r="BB1033019" s="38"/>
    </row>
    <row r="1033020" spans="54:54" ht="15.75" customHeight="1" x14ac:dyDescent="0.3">
      <c r="BB1033020" s="38"/>
    </row>
    <row r="1033021" spans="54:54" ht="15.75" customHeight="1" x14ac:dyDescent="0.3">
      <c r="BB1033021" s="38"/>
    </row>
    <row r="1033022" spans="54:54" ht="15.75" customHeight="1" x14ac:dyDescent="0.3">
      <c r="BB1033022" s="38"/>
    </row>
    <row r="1033023" spans="54:54" ht="15.75" customHeight="1" x14ac:dyDescent="0.3">
      <c r="BB1033023" s="38"/>
    </row>
    <row r="1033024" spans="54:54" ht="15.75" customHeight="1" x14ac:dyDescent="0.3">
      <c r="BB1033024" s="38"/>
    </row>
    <row r="1033025" spans="54:54" ht="15.75" customHeight="1" x14ac:dyDescent="0.3">
      <c r="BB1033025" s="38"/>
    </row>
    <row r="1033026" spans="54:54" ht="15.75" customHeight="1" x14ac:dyDescent="0.3">
      <c r="BB1033026" s="38"/>
    </row>
    <row r="1033027" spans="54:54" ht="15.75" customHeight="1" x14ac:dyDescent="0.3">
      <c r="BB1033027" s="38"/>
    </row>
    <row r="1033028" spans="54:54" ht="15.75" customHeight="1" x14ac:dyDescent="0.3">
      <c r="BB1033028" s="38"/>
    </row>
    <row r="1033029" spans="54:54" ht="15.75" customHeight="1" x14ac:dyDescent="0.3">
      <c r="BB1033029" s="38"/>
    </row>
    <row r="1033030" spans="54:54" ht="15.75" customHeight="1" x14ac:dyDescent="0.3">
      <c r="BB1033030" s="38"/>
    </row>
    <row r="1033031" spans="54:54" ht="15.75" customHeight="1" x14ac:dyDescent="0.3">
      <c r="BB1033031" s="38"/>
    </row>
    <row r="1033032" spans="54:54" ht="15.75" customHeight="1" x14ac:dyDescent="0.3">
      <c r="BB1033032" s="38"/>
    </row>
    <row r="1033033" spans="54:54" ht="15.75" customHeight="1" x14ac:dyDescent="0.3">
      <c r="BB1033033" s="38"/>
    </row>
    <row r="1033034" spans="54:54" ht="15.75" customHeight="1" x14ac:dyDescent="0.3">
      <c r="BB1033034" s="38"/>
    </row>
    <row r="1033035" spans="54:54" ht="15.75" customHeight="1" x14ac:dyDescent="0.3">
      <c r="BB1033035" s="38"/>
    </row>
    <row r="1033036" spans="54:54" ht="15.75" customHeight="1" x14ac:dyDescent="0.3">
      <c r="BB1033036" s="38"/>
    </row>
    <row r="1033037" spans="54:54" ht="15.75" customHeight="1" x14ac:dyDescent="0.3">
      <c r="BB1033037" s="38"/>
    </row>
    <row r="1033038" spans="54:54" ht="15.75" customHeight="1" x14ac:dyDescent="0.3">
      <c r="BB1033038" s="38"/>
    </row>
    <row r="1033039" spans="54:54" ht="15.75" customHeight="1" x14ac:dyDescent="0.3">
      <c r="BB1033039" s="38"/>
    </row>
    <row r="1033040" spans="54:54" ht="15.75" customHeight="1" x14ac:dyDescent="0.3">
      <c r="BB1033040" s="38"/>
    </row>
    <row r="1033041" spans="54:54" ht="15.75" customHeight="1" x14ac:dyDescent="0.3">
      <c r="BB1033041" s="38"/>
    </row>
    <row r="1033042" spans="54:54" ht="15.75" customHeight="1" x14ac:dyDescent="0.3">
      <c r="BB1033042" s="38"/>
    </row>
    <row r="1033043" spans="54:54" ht="15.75" customHeight="1" x14ac:dyDescent="0.3">
      <c r="BB1033043" s="38"/>
    </row>
    <row r="1033044" spans="54:54" ht="15.75" customHeight="1" x14ac:dyDescent="0.3">
      <c r="BB1033044" s="38"/>
    </row>
    <row r="1033045" spans="54:54" ht="15.75" customHeight="1" x14ac:dyDescent="0.3">
      <c r="BB1033045" s="38"/>
    </row>
    <row r="1033046" spans="54:54" ht="15.75" customHeight="1" x14ac:dyDescent="0.3">
      <c r="BB1033046" s="38"/>
    </row>
    <row r="1033047" spans="54:54" ht="15.75" customHeight="1" x14ac:dyDescent="0.3">
      <c r="BB1033047" s="38"/>
    </row>
    <row r="1033048" spans="54:54" ht="15.75" customHeight="1" x14ac:dyDescent="0.3">
      <c r="BB1033048" s="38"/>
    </row>
    <row r="1033049" spans="54:54" ht="15.75" customHeight="1" x14ac:dyDescent="0.3">
      <c r="BB1033049" s="38"/>
    </row>
    <row r="1033050" spans="54:54" ht="15.75" customHeight="1" x14ac:dyDescent="0.3">
      <c r="BB1033050" s="38"/>
    </row>
    <row r="1033051" spans="54:54" ht="15.75" customHeight="1" x14ac:dyDescent="0.3">
      <c r="BB1033051" s="38"/>
    </row>
    <row r="1033052" spans="54:54" ht="15.75" customHeight="1" x14ac:dyDescent="0.3">
      <c r="BB1033052" s="38"/>
    </row>
    <row r="1033053" spans="54:54" ht="15.75" customHeight="1" x14ac:dyDescent="0.3">
      <c r="BB1033053" s="38"/>
    </row>
    <row r="1033054" spans="54:54" ht="15.75" customHeight="1" x14ac:dyDescent="0.3">
      <c r="BB1033054" s="38"/>
    </row>
    <row r="1033055" spans="54:54" ht="15.75" customHeight="1" x14ac:dyDescent="0.3">
      <c r="BB1033055" s="38"/>
    </row>
    <row r="1033056" spans="54:54" ht="15.75" customHeight="1" x14ac:dyDescent="0.3">
      <c r="BB1033056" s="38"/>
    </row>
    <row r="1033057" spans="54:54" ht="15.75" customHeight="1" x14ac:dyDescent="0.3">
      <c r="BB1033057" s="38"/>
    </row>
    <row r="1033058" spans="54:54" ht="15.75" customHeight="1" x14ac:dyDescent="0.3">
      <c r="BB1033058" s="38"/>
    </row>
    <row r="1033059" spans="54:54" ht="15.75" customHeight="1" x14ac:dyDescent="0.3">
      <c r="BB1033059" s="38"/>
    </row>
    <row r="1033060" spans="54:54" ht="15.75" customHeight="1" x14ac:dyDescent="0.3">
      <c r="BB1033060" s="38"/>
    </row>
    <row r="1033061" spans="54:54" ht="15.75" customHeight="1" x14ac:dyDescent="0.3">
      <c r="BB1033061" s="38"/>
    </row>
    <row r="1033062" spans="54:54" ht="15.75" customHeight="1" x14ac:dyDescent="0.3">
      <c r="BB1033062" s="38"/>
    </row>
    <row r="1033063" spans="54:54" ht="15.75" customHeight="1" x14ac:dyDescent="0.3">
      <c r="BB1033063" s="38"/>
    </row>
    <row r="1033064" spans="54:54" ht="15.75" customHeight="1" x14ac:dyDescent="0.3">
      <c r="BB1033064" s="38"/>
    </row>
    <row r="1033065" spans="54:54" ht="15.75" customHeight="1" x14ac:dyDescent="0.3">
      <c r="BB1033065" s="38"/>
    </row>
    <row r="1033066" spans="54:54" ht="15.75" customHeight="1" x14ac:dyDescent="0.3">
      <c r="BB1033066" s="38"/>
    </row>
    <row r="1033067" spans="54:54" ht="15.75" customHeight="1" x14ac:dyDescent="0.3">
      <c r="BB1033067" s="38"/>
    </row>
    <row r="1033068" spans="54:54" ht="15.75" customHeight="1" x14ac:dyDescent="0.3">
      <c r="BB1033068" s="38"/>
    </row>
    <row r="1033069" spans="54:54" ht="15.75" customHeight="1" x14ac:dyDescent="0.3">
      <c r="BB1033069" s="38"/>
    </row>
    <row r="1033070" spans="54:54" ht="15.75" customHeight="1" x14ac:dyDescent="0.3">
      <c r="BB1033070" s="38"/>
    </row>
    <row r="1033071" spans="54:54" ht="15.75" customHeight="1" x14ac:dyDescent="0.3">
      <c r="BB1033071" s="38"/>
    </row>
    <row r="1033072" spans="54:54" ht="15.75" customHeight="1" x14ac:dyDescent="0.3">
      <c r="BB1033072" s="38"/>
    </row>
    <row r="1033073" spans="54:54" ht="15.75" customHeight="1" x14ac:dyDescent="0.3">
      <c r="BB1033073" s="38"/>
    </row>
    <row r="1033074" spans="54:54" ht="15.75" customHeight="1" x14ac:dyDescent="0.3">
      <c r="BB1033074" s="38"/>
    </row>
    <row r="1033075" spans="54:54" ht="15.75" customHeight="1" x14ac:dyDescent="0.3">
      <c r="BB1033075" s="38"/>
    </row>
    <row r="1033076" spans="54:54" ht="15.75" customHeight="1" x14ac:dyDescent="0.3">
      <c r="BB1033076" s="38"/>
    </row>
    <row r="1033077" spans="54:54" ht="15.75" customHeight="1" x14ac:dyDescent="0.3">
      <c r="BB1033077" s="38"/>
    </row>
    <row r="1033078" spans="54:54" ht="15.75" customHeight="1" x14ac:dyDescent="0.3">
      <c r="BB1033078" s="38"/>
    </row>
    <row r="1033079" spans="54:54" ht="15.75" customHeight="1" x14ac:dyDescent="0.3">
      <c r="BB1033079" s="38"/>
    </row>
    <row r="1033080" spans="54:54" ht="15.75" customHeight="1" x14ac:dyDescent="0.3">
      <c r="BB1033080" s="38"/>
    </row>
    <row r="1033081" spans="54:54" ht="15.75" customHeight="1" x14ac:dyDescent="0.3">
      <c r="BB1033081" s="38"/>
    </row>
    <row r="1033082" spans="54:54" ht="15.75" customHeight="1" x14ac:dyDescent="0.3">
      <c r="BB1033082" s="38"/>
    </row>
    <row r="1033083" spans="54:54" ht="15.75" customHeight="1" x14ac:dyDescent="0.3">
      <c r="BB1033083" s="38"/>
    </row>
    <row r="1033084" spans="54:54" ht="15.75" customHeight="1" x14ac:dyDescent="0.3">
      <c r="BB1033084" s="38"/>
    </row>
    <row r="1033085" spans="54:54" ht="15.75" customHeight="1" x14ac:dyDescent="0.3">
      <c r="BB1033085" s="38"/>
    </row>
    <row r="1033086" spans="54:54" ht="15.75" customHeight="1" x14ac:dyDescent="0.3">
      <c r="BB1033086" s="38"/>
    </row>
    <row r="1033087" spans="54:54" ht="15.75" customHeight="1" x14ac:dyDescent="0.3">
      <c r="BB1033087" s="38"/>
    </row>
    <row r="1033088" spans="54:54" ht="15.75" customHeight="1" x14ac:dyDescent="0.3">
      <c r="BB1033088" s="38"/>
    </row>
    <row r="1033089" spans="54:54" ht="15.75" customHeight="1" x14ac:dyDescent="0.3">
      <c r="BB1033089" s="38"/>
    </row>
    <row r="1033090" spans="54:54" ht="15.75" customHeight="1" x14ac:dyDescent="0.3">
      <c r="BB1033090" s="38"/>
    </row>
    <row r="1033091" spans="54:54" ht="15.75" customHeight="1" x14ac:dyDescent="0.3">
      <c r="BB1033091" s="38"/>
    </row>
    <row r="1033092" spans="54:54" ht="15.75" customHeight="1" x14ac:dyDescent="0.3">
      <c r="BB1033092" s="38"/>
    </row>
    <row r="1033093" spans="54:54" ht="15.75" customHeight="1" x14ac:dyDescent="0.3">
      <c r="BB1033093" s="38"/>
    </row>
    <row r="1033094" spans="54:54" ht="15.75" customHeight="1" x14ac:dyDescent="0.3">
      <c r="BB1033094" s="38"/>
    </row>
    <row r="1033095" spans="54:54" ht="15.75" customHeight="1" x14ac:dyDescent="0.3">
      <c r="BB1033095" s="38"/>
    </row>
    <row r="1033096" spans="54:54" ht="15.75" customHeight="1" x14ac:dyDescent="0.3">
      <c r="BB1033096" s="38"/>
    </row>
    <row r="1033097" spans="54:54" ht="15.75" customHeight="1" x14ac:dyDescent="0.3">
      <c r="BB1033097" s="38"/>
    </row>
    <row r="1033098" spans="54:54" ht="15.75" customHeight="1" x14ac:dyDescent="0.3">
      <c r="BB1033098" s="38"/>
    </row>
    <row r="1033099" spans="54:54" ht="15.75" customHeight="1" x14ac:dyDescent="0.3">
      <c r="BB1033099" s="38"/>
    </row>
    <row r="1033100" spans="54:54" ht="15.75" customHeight="1" x14ac:dyDescent="0.3">
      <c r="BB1033100" s="38"/>
    </row>
    <row r="1033101" spans="54:54" ht="15.75" customHeight="1" x14ac:dyDescent="0.3">
      <c r="BB1033101" s="38"/>
    </row>
    <row r="1033102" spans="54:54" ht="15.75" customHeight="1" x14ac:dyDescent="0.3">
      <c r="BB1033102" s="38"/>
    </row>
    <row r="1033103" spans="54:54" ht="15.75" customHeight="1" x14ac:dyDescent="0.3">
      <c r="BB1033103" s="38"/>
    </row>
    <row r="1033104" spans="54:54" ht="15.75" customHeight="1" x14ac:dyDescent="0.3">
      <c r="BB1033104" s="38"/>
    </row>
    <row r="1033105" spans="54:54" ht="15.75" customHeight="1" x14ac:dyDescent="0.3">
      <c r="BB1033105" s="38"/>
    </row>
    <row r="1033106" spans="54:54" ht="15.75" customHeight="1" x14ac:dyDescent="0.3">
      <c r="BB1033106" s="38"/>
    </row>
    <row r="1033107" spans="54:54" ht="15.75" customHeight="1" x14ac:dyDescent="0.3">
      <c r="BB1033107" s="38"/>
    </row>
    <row r="1033108" spans="54:54" ht="15.75" customHeight="1" x14ac:dyDescent="0.3">
      <c r="BB1033108" s="38"/>
    </row>
    <row r="1033109" spans="54:54" ht="15.75" customHeight="1" x14ac:dyDescent="0.3">
      <c r="BB1033109" s="38"/>
    </row>
    <row r="1033110" spans="54:54" ht="15.75" customHeight="1" x14ac:dyDescent="0.3">
      <c r="BB1033110" s="38"/>
    </row>
    <row r="1033111" spans="54:54" ht="15.75" customHeight="1" x14ac:dyDescent="0.3">
      <c r="BB1033111" s="38"/>
    </row>
    <row r="1033112" spans="54:54" ht="15.75" customHeight="1" x14ac:dyDescent="0.3">
      <c r="BB1033112" s="38"/>
    </row>
    <row r="1033113" spans="54:54" ht="15.75" customHeight="1" x14ac:dyDescent="0.3">
      <c r="BB1033113" s="38"/>
    </row>
    <row r="1033114" spans="54:54" ht="15.75" customHeight="1" x14ac:dyDescent="0.3">
      <c r="BB1033114" s="38"/>
    </row>
    <row r="1033115" spans="54:54" ht="15.75" customHeight="1" x14ac:dyDescent="0.3">
      <c r="BB1033115" s="38"/>
    </row>
    <row r="1033116" spans="54:54" ht="15.75" customHeight="1" x14ac:dyDescent="0.3">
      <c r="BB1033116" s="38"/>
    </row>
    <row r="1033117" spans="54:54" ht="15.75" customHeight="1" x14ac:dyDescent="0.3">
      <c r="BB1033117" s="38"/>
    </row>
    <row r="1033118" spans="54:54" ht="15.75" customHeight="1" x14ac:dyDescent="0.3">
      <c r="BB1033118" s="38"/>
    </row>
    <row r="1033119" spans="54:54" ht="15.75" customHeight="1" x14ac:dyDescent="0.3">
      <c r="BB1033119" s="38"/>
    </row>
    <row r="1033120" spans="54:54" ht="15.75" customHeight="1" x14ac:dyDescent="0.3">
      <c r="BB1033120" s="38"/>
    </row>
    <row r="1033121" spans="54:54" ht="15.75" customHeight="1" x14ac:dyDescent="0.3">
      <c r="BB1033121" s="38"/>
    </row>
    <row r="1033122" spans="54:54" ht="15.75" customHeight="1" x14ac:dyDescent="0.3">
      <c r="BB1033122" s="38"/>
    </row>
    <row r="1033123" spans="54:54" ht="15.75" customHeight="1" x14ac:dyDescent="0.3">
      <c r="BB1033123" s="38"/>
    </row>
    <row r="1033124" spans="54:54" ht="15.75" customHeight="1" x14ac:dyDescent="0.3">
      <c r="BB1033124" s="38"/>
    </row>
    <row r="1033125" spans="54:54" ht="15.75" customHeight="1" x14ac:dyDescent="0.3">
      <c r="BB1033125" s="38"/>
    </row>
    <row r="1033126" spans="54:54" ht="15.75" customHeight="1" x14ac:dyDescent="0.3">
      <c r="BB1033126" s="38"/>
    </row>
    <row r="1033127" spans="54:54" ht="15.75" customHeight="1" x14ac:dyDescent="0.3">
      <c r="BB1033127" s="38"/>
    </row>
    <row r="1033128" spans="54:54" ht="15.75" customHeight="1" x14ac:dyDescent="0.3">
      <c r="BB1033128" s="38"/>
    </row>
    <row r="1033129" spans="54:54" ht="15.75" customHeight="1" x14ac:dyDescent="0.3">
      <c r="BB1033129" s="38"/>
    </row>
    <row r="1033130" spans="54:54" ht="15.75" customHeight="1" x14ac:dyDescent="0.3">
      <c r="BB1033130" s="38"/>
    </row>
    <row r="1033131" spans="54:54" ht="15.75" customHeight="1" x14ac:dyDescent="0.3">
      <c r="BB1033131" s="38"/>
    </row>
    <row r="1033132" spans="54:54" ht="15.75" customHeight="1" x14ac:dyDescent="0.3">
      <c r="BB1033132" s="38"/>
    </row>
    <row r="1033133" spans="54:54" ht="15.75" customHeight="1" x14ac:dyDescent="0.3">
      <c r="BB1033133" s="38"/>
    </row>
    <row r="1033134" spans="54:54" ht="15.75" customHeight="1" x14ac:dyDescent="0.3">
      <c r="BB1033134" s="38"/>
    </row>
    <row r="1033135" spans="54:54" ht="15.75" customHeight="1" x14ac:dyDescent="0.3">
      <c r="BB1033135" s="38"/>
    </row>
    <row r="1033136" spans="54:54" ht="15.75" customHeight="1" x14ac:dyDescent="0.3">
      <c r="BB1033136" s="38"/>
    </row>
    <row r="1033137" spans="54:54" ht="15.75" customHeight="1" x14ac:dyDescent="0.3">
      <c r="BB1033137" s="38"/>
    </row>
    <row r="1033138" spans="54:54" ht="15.75" customHeight="1" x14ac:dyDescent="0.3">
      <c r="BB1033138" s="38"/>
    </row>
    <row r="1033139" spans="54:54" ht="15.75" customHeight="1" x14ac:dyDescent="0.3">
      <c r="BB1033139" s="38"/>
    </row>
    <row r="1033140" spans="54:54" ht="15.75" customHeight="1" x14ac:dyDescent="0.3">
      <c r="BB1033140" s="38"/>
    </row>
    <row r="1033141" spans="54:54" ht="15.75" customHeight="1" x14ac:dyDescent="0.3">
      <c r="BB1033141" s="38"/>
    </row>
    <row r="1033142" spans="54:54" ht="15.75" customHeight="1" x14ac:dyDescent="0.3">
      <c r="BB1033142" s="38"/>
    </row>
    <row r="1033143" spans="54:54" ht="15.75" customHeight="1" x14ac:dyDescent="0.3">
      <c r="BB1033143" s="38"/>
    </row>
    <row r="1033144" spans="54:54" ht="15.75" customHeight="1" x14ac:dyDescent="0.3">
      <c r="BB1033144" s="38"/>
    </row>
    <row r="1033145" spans="54:54" ht="15.75" customHeight="1" x14ac:dyDescent="0.3">
      <c r="BB1033145" s="38"/>
    </row>
    <row r="1033146" spans="54:54" ht="15.75" customHeight="1" x14ac:dyDescent="0.3">
      <c r="BB1033146" s="38"/>
    </row>
    <row r="1033147" spans="54:54" ht="15.75" customHeight="1" x14ac:dyDescent="0.3">
      <c r="BB1033147" s="38"/>
    </row>
    <row r="1033148" spans="54:54" ht="15.75" customHeight="1" x14ac:dyDescent="0.3">
      <c r="BB1033148" s="38"/>
    </row>
    <row r="1033149" spans="54:54" ht="15.75" customHeight="1" x14ac:dyDescent="0.3">
      <c r="BB1033149" s="38"/>
    </row>
    <row r="1033150" spans="54:54" ht="15.75" customHeight="1" x14ac:dyDescent="0.3">
      <c r="BB1033150" s="38"/>
    </row>
    <row r="1033151" spans="54:54" ht="15.75" customHeight="1" x14ac:dyDescent="0.3">
      <c r="BB1033151" s="38"/>
    </row>
    <row r="1033152" spans="54:54" ht="15.75" customHeight="1" x14ac:dyDescent="0.3">
      <c r="BB1033152" s="38"/>
    </row>
    <row r="1033153" spans="54:54" ht="15.75" customHeight="1" x14ac:dyDescent="0.3">
      <c r="BB1033153" s="38"/>
    </row>
    <row r="1033154" spans="54:54" ht="15.75" customHeight="1" x14ac:dyDescent="0.3">
      <c r="BB1033154" s="38"/>
    </row>
    <row r="1033155" spans="54:54" ht="15.75" customHeight="1" x14ac:dyDescent="0.3">
      <c r="BB1033155" s="38"/>
    </row>
    <row r="1033156" spans="54:54" ht="15.75" customHeight="1" x14ac:dyDescent="0.3">
      <c r="BB1033156" s="38"/>
    </row>
    <row r="1033157" spans="54:54" ht="15.75" customHeight="1" x14ac:dyDescent="0.3">
      <c r="BB1033157" s="38"/>
    </row>
    <row r="1033158" spans="54:54" ht="15.75" customHeight="1" x14ac:dyDescent="0.3">
      <c r="BB1033158" s="38"/>
    </row>
    <row r="1033159" spans="54:54" ht="15.75" customHeight="1" x14ac:dyDescent="0.3">
      <c r="BB1033159" s="38"/>
    </row>
    <row r="1033160" spans="54:54" ht="15.75" customHeight="1" x14ac:dyDescent="0.3">
      <c r="BB1033160" s="38"/>
    </row>
    <row r="1033161" spans="54:54" ht="15.75" customHeight="1" x14ac:dyDescent="0.3">
      <c r="BB1033161" s="38"/>
    </row>
    <row r="1033162" spans="54:54" ht="15.75" customHeight="1" x14ac:dyDescent="0.3">
      <c r="BB1033162" s="38"/>
    </row>
    <row r="1033163" spans="54:54" ht="15.75" customHeight="1" x14ac:dyDescent="0.3">
      <c r="BB1033163" s="38"/>
    </row>
    <row r="1033164" spans="54:54" ht="15.75" customHeight="1" x14ac:dyDescent="0.3">
      <c r="BB1033164" s="38"/>
    </row>
    <row r="1033165" spans="54:54" ht="15.75" customHeight="1" x14ac:dyDescent="0.3">
      <c r="BB1033165" s="38"/>
    </row>
    <row r="1033166" spans="54:54" ht="15.75" customHeight="1" x14ac:dyDescent="0.3">
      <c r="BB1033166" s="38"/>
    </row>
    <row r="1033167" spans="54:54" ht="15.75" customHeight="1" x14ac:dyDescent="0.3">
      <c r="BB1033167" s="38"/>
    </row>
    <row r="1033168" spans="54:54" ht="15.75" customHeight="1" x14ac:dyDescent="0.3">
      <c r="BB1033168" s="38"/>
    </row>
    <row r="1033169" spans="54:54" ht="15.75" customHeight="1" x14ac:dyDescent="0.3">
      <c r="BB1033169" s="38"/>
    </row>
    <row r="1033170" spans="54:54" ht="15.75" customHeight="1" x14ac:dyDescent="0.3">
      <c r="BB1033170" s="38"/>
    </row>
    <row r="1033171" spans="54:54" ht="15.75" customHeight="1" x14ac:dyDescent="0.3">
      <c r="BB1033171" s="38"/>
    </row>
    <row r="1033172" spans="54:54" ht="15.75" customHeight="1" x14ac:dyDescent="0.3">
      <c r="BB1033172" s="38"/>
    </row>
    <row r="1033173" spans="54:54" ht="15.75" customHeight="1" x14ac:dyDescent="0.3">
      <c r="BB1033173" s="38"/>
    </row>
    <row r="1033174" spans="54:54" ht="15.75" customHeight="1" x14ac:dyDescent="0.3">
      <c r="BB1033174" s="38"/>
    </row>
    <row r="1033175" spans="54:54" ht="15.75" customHeight="1" x14ac:dyDescent="0.3">
      <c r="BB1033175" s="38"/>
    </row>
    <row r="1033176" spans="54:54" ht="15.75" customHeight="1" x14ac:dyDescent="0.3">
      <c r="BB1033176" s="38"/>
    </row>
    <row r="1033177" spans="54:54" ht="15.75" customHeight="1" x14ac:dyDescent="0.3">
      <c r="BB1033177" s="38"/>
    </row>
    <row r="1033178" spans="54:54" ht="15.75" customHeight="1" x14ac:dyDescent="0.3">
      <c r="BB1033178" s="38"/>
    </row>
    <row r="1033179" spans="54:54" ht="15.75" customHeight="1" x14ac:dyDescent="0.3">
      <c r="BB1033179" s="38"/>
    </row>
    <row r="1033180" spans="54:54" ht="15.75" customHeight="1" x14ac:dyDescent="0.3">
      <c r="BB1033180" s="38"/>
    </row>
    <row r="1033181" spans="54:54" ht="15.75" customHeight="1" x14ac:dyDescent="0.3">
      <c r="BB1033181" s="38"/>
    </row>
    <row r="1033182" spans="54:54" ht="15.75" customHeight="1" x14ac:dyDescent="0.3">
      <c r="BB1033182" s="38"/>
    </row>
    <row r="1033183" spans="54:54" ht="15.75" customHeight="1" x14ac:dyDescent="0.3">
      <c r="BB1033183" s="38"/>
    </row>
    <row r="1033184" spans="54:54" ht="15.75" customHeight="1" x14ac:dyDescent="0.3">
      <c r="BB1033184" s="38"/>
    </row>
    <row r="1033185" spans="54:54" ht="15.75" customHeight="1" x14ac:dyDescent="0.3">
      <c r="BB1033185" s="38"/>
    </row>
    <row r="1033186" spans="54:54" ht="15.75" customHeight="1" x14ac:dyDescent="0.3">
      <c r="BB1033186" s="38"/>
    </row>
    <row r="1033187" spans="54:54" ht="15.75" customHeight="1" x14ac:dyDescent="0.3">
      <c r="BB1033187" s="38"/>
    </row>
    <row r="1033188" spans="54:54" ht="15.75" customHeight="1" x14ac:dyDescent="0.3">
      <c r="BB1033188" s="38"/>
    </row>
    <row r="1033189" spans="54:54" ht="15.75" customHeight="1" x14ac:dyDescent="0.3">
      <c r="BB1033189" s="38"/>
    </row>
    <row r="1033190" spans="54:54" ht="15.75" customHeight="1" x14ac:dyDescent="0.3">
      <c r="BB1033190" s="38"/>
    </row>
    <row r="1033191" spans="54:54" ht="15.75" customHeight="1" x14ac:dyDescent="0.3">
      <c r="BB1033191" s="38"/>
    </row>
    <row r="1033192" spans="54:54" ht="15.75" customHeight="1" x14ac:dyDescent="0.3">
      <c r="BB1033192" s="38"/>
    </row>
    <row r="1033193" spans="54:54" ht="15.75" customHeight="1" x14ac:dyDescent="0.3">
      <c r="BB1033193" s="38"/>
    </row>
    <row r="1033194" spans="54:54" ht="15.75" customHeight="1" x14ac:dyDescent="0.3">
      <c r="BB1033194" s="38"/>
    </row>
    <row r="1033195" spans="54:54" ht="15.75" customHeight="1" x14ac:dyDescent="0.3">
      <c r="BB1033195" s="38"/>
    </row>
    <row r="1033196" spans="54:54" ht="15.75" customHeight="1" x14ac:dyDescent="0.3">
      <c r="BB1033196" s="38"/>
    </row>
    <row r="1033197" spans="54:54" ht="15.75" customHeight="1" x14ac:dyDescent="0.3">
      <c r="BB1033197" s="38"/>
    </row>
    <row r="1033198" spans="54:54" ht="15.75" customHeight="1" x14ac:dyDescent="0.3">
      <c r="BB1033198" s="38"/>
    </row>
    <row r="1033199" spans="54:54" ht="15.75" customHeight="1" x14ac:dyDescent="0.3">
      <c r="BB1033199" s="38"/>
    </row>
    <row r="1033200" spans="54:54" ht="15.75" customHeight="1" x14ac:dyDescent="0.3">
      <c r="BB1033200" s="38"/>
    </row>
    <row r="1033201" spans="54:54" ht="15.75" customHeight="1" x14ac:dyDescent="0.3">
      <c r="BB1033201" s="38"/>
    </row>
    <row r="1033202" spans="54:54" ht="15.75" customHeight="1" x14ac:dyDescent="0.3">
      <c r="BB1033202" s="38"/>
    </row>
    <row r="1033203" spans="54:54" ht="15.75" customHeight="1" x14ac:dyDescent="0.3">
      <c r="BB1033203" s="38"/>
    </row>
    <row r="1033204" spans="54:54" ht="15.75" customHeight="1" x14ac:dyDescent="0.3">
      <c r="BB1033204" s="38"/>
    </row>
    <row r="1033205" spans="54:54" ht="15.75" customHeight="1" x14ac:dyDescent="0.3">
      <c r="BB1033205" s="38"/>
    </row>
    <row r="1033206" spans="54:54" ht="15.75" customHeight="1" x14ac:dyDescent="0.3">
      <c r="BB1033206" s="38"/>
    </row>
    <row r="1033207" spans="54:54" ht="15.75" customHeight="1" x14ac:dyDescent="0.3">
      <c r="BB1033207" s="38"/>
    </row>
    <row r="1033208" spans="54:54" ht="15.75" customHeight="1" x14ac:dyDescent="0.3">
      <c r="BB1033208" s="38"/>
    </row>
    <row r="1033209" spans="54:54" ht="15.75" customHeight="1" x14ac:dyDescent="0.3">
      <c r="BB1033209" s="38"/>
    </row>
    <row r="1033210" spans="54:54" ht="15.75" customHeight="1" x14ac:dyDescent="0.3">
      <c r="BB1033210" s="38"/>
    </row>
    <row r="1033211" spans="54:54" ht="15.75" customHeight="1" x14ac:dyDescent="0.3">
      <c r="BB1033211" s="38"/>
    </row>
    <row r="1033212" spans="54:54" ht="15.75" customHeight="1" x14ac:dyDescent="0.3">
      <c r="BB1033212" s="38"/>
    </row>
    <row r="1033213" spans="54:54" ht="15.75" customHeight="1" x14ac:dyDescent="0.3">
      <c r="BB1033213" s="38"/>
    </row>
    <row r="1033214" spans="54:54" ht="15.75" customHeight="1" x14ac:dyDescent="0.3">
      <c r="BB1033214" s="38"/>
    </row>
    <row r="1033215" spans="54:54" ht="15.75" customHeight="1" x14ac:dyDescent="0.3">
      <c r="BB1033215" s="38"/>
    </row>
    <row r="1033216" spans="54:54" ht="15.75" customHeight="1" x14ac:dyDescent="0.3">
      <c r="BB1033216" s="38"/>
    </row>
    <row r="1033217" spans="54:54" ht="15.75" customHeight="1" x14ac:dyDescent="0.3">
      <c r="BB1033217" s="38"/>
    </row>
    <row r="1033218" spans="54:54" ht="15.75" customHeight="1" x14ac:dyDescent="0.3">
      <c r="BB1033218" s="38"/>
    </row>
    <row r="1033219" spans="54:54" ht="15.75" customHeight="1" x14ac:dyDescent="0.3">
      <c r="BB1033219" s="38"/>
    </row>
    <row r="1033220" spans="54:54" ht="15.75" customHeight="1" x14ac:dyDescent="0.3">
      <c r="BB1033220" s="38"/>
    </row>
    <row r="1033221" spans="54:54" ht="15.75" customHeight="1" x14ac:dyDescent="0.3">
      <c r="BB1033221" s="38"/>
    </row>
    <row r="1033222" spans="54:54" ht="15.75" customHeight="1" x14ac:dyDescent="0.3">
      <c r="BB1033222" s="38"/>
    </row>
    <row r="1033223" spans="54:54" ht="15.75" customHeight="1" x14ac:dyDescent="0.3">
      <c r="BB1033223" s="38"/>
    </row>
    <row r="1033224" spans="54:54" ht="15.75" customHeight="1" x14ac:dyDescent="0.3">
      <c r="BB1033224" s="38"/>
    </row>
    <row r="1033225" spans="54:54" ht="15.75" customHeight="1" x14ac:dyDescent="0.3">
      <c r="BB1033225" s="38"/>
    </row>
    <row r="1033226" spans="54:54" ht="15.75" customHeight="1" x14ac:dyDescent="0.3">
      <c r="BB1033226" s="38"/>
    </row>
    <row r="1033227" spans="54:54" ht="15.75" customHeight="1" x14ac:dyDescent="0.3">
      <c r="BB1033227" s="38"/>
    </row>
    <row r="1033228" spans="54:54" ht="15.75" customHeight="1" x14ac:dyDescent="0.3">
      <c r="BB1033228" s="38"/>
    </row>
    <row r="1033229" spans="54:54" ht="15.75" customHeight="1" x14ac:dyDescent="0.3">
      <c r="BB1033229" s="38"/>
    </row>
    <row r="1033230" spans="54:54" ht="15.75" customHeight="1" x14ac:dyDescent="0.3">
      <c r="BB1033230" s="38"/>
    </row>
    <row r="1033231" spans="54:54" ht="15.75" customHeight="1" x14ac:dyDescent="0.3">
      <c r="BB1033231" s="38"/>
    </row>
    <row r="1033232" spans="54:54" ht="15.75" customHeight="1" x14ac:dyDescent="0.3">
      <c r="BB1033232" s="38"/>
    </row>
    <row r="1033233" spans="54:54" ht="15.75" customHeight="1" x14ac:dyDescent="0.3">
      <c r="BB1033233" s="38"/>
    </row>
    <row r="1033234" spans="54:54" ht="15.75" customHeight="1" x14ac:dyDescent="0.3">
      <c r="BB1033234" s="38"/>
    </row>
    <row r="1033235" spans="54:54" ht="15.75" customHeight="1" x14ac:dyDescent="0.3">
      <c r="BB1033235" s="38"/>
    </row>
    <row r="1033236" spans="54:54" ht="15.75" customHeight="1" x14ac:dyDescent="0.3">
      <c r="BB1033236" s="38"/>
    </row>
    <row r="1033237" spans="54:54" ht="15.75" customHeight="1" x14ac:dyDescent="0.3">
      <c r="BB1033237" s="38"/>
    </row>
    <row r="1033238" spans="54:54" ht="15.75" customHeight="1" x14ac:dyDescent="0.3">
      <c r="BB1033238" s="38"/>
    </row>
    <row r="1033239" spans="54:54" ht="15.75" customHeight="1" x14ac:dyDescent="0.3">
      <c r="BB1033239" s="38"/>
    </row>
    <row r="1033240" spans="54:54" ht="15.75" customHeight="1" x14ac:dyDescent="0.3">
      <c r="BB1033240" s="38"/>
    </row>
    <row r="1033241" spans="54:54" ht="15.75" customHeight="1" x14ac:dyDescent="0.3">
      <c r="BB1033241" s="38"/>
    </row>
    <row r="1033242" spans="54:54" ht="15.75" customHeight="1" x14ac:dyDescent="0.3">
      <c r="BB1033242" s="38"/>
    </row>
    <row r="1033243" spans="54:54" ht="15.75" customHeight="1" x14ac:dyDescent="0.3">
      <c r="BB1033243" s="38"/>
    </row>
    <row r="1033244" spans="54:54" ht="15.75" customHeight="1" x14ac:dyDescent="0.3">
      <c r="BB1033244" s="38"/>
    </row>
    <row r="1033245" spans="54:54" ht="15.75" customHeight="1" x14ac:dyDescent="0.3">
      <c r="BB1033245" s="38"/>
    </row>
    <row r="1033246" spans="54:54" ht="15.75" customHeight="1" x14ac:dyDescent="0.3">
      <c r="BB1033246" s="38"/>
    </row>
    <row r="1033247" spans="54:54" ht="15.75" customHeight="1" x14ac:dyDescent="0.3">
      <c r="BB1033247" s="38"/>
    </row>
    <row r="1033248" spans="54:54" ht="15.75" customHeight="1" x14ac:dyDescent="0.3">
      <c r="BB1033248" s="38"/>
    </row>
    <row r="1033249" spans="54:54" ht="15.75" customHeight="1" x14ac:dyDescent="0.3">
      <c r="BB1033249" s="38"/>
    </row>
    <row r="1033250" spans="54:54" ht="15.75" customHeight="1" x14ac:dyDescent="0.3">
      <c r="BB1033250" s="38"/>
    </row>
    <row r="1033251" spans="54:54" ht="15.75" customHeight="1" x14ac:dyDescent="0.3">
      <c r="BB1033251" s="38"/>
    </row>
    <row r="1033252" spans="54:54" ht="15.75" customHeight="1" x14ac:dyDescent="0.3">
      <c r="BB1033252" s="38"/>
    </row>
    <row r="1033253" spans="54:54" ht="15.75" customHeight="1" x14ac:dyDescent="0.3">
      <c r="BB1033253" s="38"/>
    </row>
    <row r="1033254" spans="54:54" ht="15.75" customHeight="1" x14ac:dyDescent="0.3">
      <c r="BB1033254" s="38"/>
    </row>
    <row r="1033255" spans="54:54" ht="15.75" customHeight="1" x14ac:dyDescent="0.3">
      <c r="BB1033255" s="38"/>
    </row>
    <row r="1033256" spans="54:54" ht="15.75" customHeight="1" x14ac:dyDescent="0.3">
      <c r="BB1033256" s="38"/>
    </row>
    <row r="1033257" spans="54:54" ht="15.75" customHeight="1" x14ac:dyDescent="0.3">
      <c r="BB1033257" s="38"/>
    </row>
    <row r="1033258" spans="54:54" ht="15.75" customHeight="1" x14ac:dyDescent="0.3">
      <c r="BB1033258" s="38"/>
    </row>
    <row r="1033259" spans="54:54" ht="15.75" customHeight="1" x14ac:dyDescent="0.3">
      <c r="BB1033259" s="38"/>
    </row>
    <row r="1033260" spans="54:54" ht="15.75" customHeight="1" x14ac:dyDescent="0.3">
      <c r="BB1033260" s="38"/>
    </row>
    <row r="1033261" spans="54:54" ht="15.75" customHeight="1" x14ac:dyDescent="0.3">
      <c r="BB1033261" s="38"/>
    </row>
    <row r="1033262" spans="54:54" ht="15.75" customHeight="1" x14ac:dyDescent="0.3">
      <c r="BB1033262" s="38"/>
    </row>
    <row r="1033263" spans="54:54" ht="15.75" customHeight="1" x14ac:dyDescent="0.3">
      <c r="BB1033263" s="38"/>
    </row>
    <row r="1033264" spans="54:54" ht="15.75" customHeight="1" x14ac:dyDescent="0.3">
      <c r="BB1033264" s="38"/>
    </row>
    <row r="1033265" spans="54:54" ht="15.75" customHeight="1" x14ac:dyDescent="0.3">
      <c r="BB1033265" s="38"/>
    </row>
    <row r="1033266" spans="54:54" ht="15.75" customHeight="1" x14ac:dyDescent="0.3">
      <c r="BB1033266" s="38"/>
    </row>
    <row r="1033267" spans="54:54" ht="15.75" customHeight="1" x14ac:dyDescent="0.3">
      <c r="BB1033267" s="38"/>
    </row>
    <row r="1033268" spans="54:54" ht="15.75" customHeight="1" x14ac:dyDescent="0.3">
      <c r="BB1033268" s="38"/>
    </row>
    <row r="1033269" spans="54:54" ht="15.75" customHeight="1" x14ac:dyDescent="0.3">
      <c r="BB1033269" s="38"/>
    </row>
    <row r="1033270" spans="54:54" ht="15.75" customHeight="1" x14ac:dyDescent="0.3">
      <c r="BB1033270" s="38"/>
    </row>
    <row r="1033271" spans="54:54" ht="15.75" customHeight="1" x14ac:dyDescent="0.3">
      <c r="BB1033271" s="38"/>
    </row>
    <row r="1033272" spans="54:54" ht="15.75" customHeight="1" x14ac:dyDescent="0.3">
      <c r="BB1033272" s="38"/>
    </row>
    <row r="1033273" spans="54:54" ht="15.75" customHeight="1" x14ac:dyDescent="0.3">
      <c r="BB1033273" s="38"/>
    </row>
    <row r="1033274" spans="54:54" ht="15.75" customHeight="1" x14ac:dyDescent="0.3">
      <c r="BB1033274" s="38"/>
    </row>
    <row r="1033275" spans="54:54" ht="15.75" customHeight="1" x14ac:dyDescent="0.3">
      <c r="BB1033275" s="38"/>
    </row>
    <row r="1033276" spans="54:54" ht="15.75" customHeight="1" x14ac:dyDescent="0.3">
      <c r="BB1033276" s="38"/>
    </row>
    <row r="1033277" spans="54:54" ht="15.75" customHeight="1" x14ac:dyDescent="0.3">
      <c r="BB1033277" s="38"/>
    </row>
    <row r="1033278" spans="54:54" ht="15.75" customHeight="1" x14ac:dyDescent="0.3">
      <c r="BB1033278" s="38"/>
    </row>
    <row r="1033279" spans="54:54" ht="15.75" customHeight="1" x14ac:dyDescent="0.3">
      <c r="BB1033279" s="38"/>
    </row>
    <row r="1033280" spans="54:54" ht="15.75" customHeight="1" x14ac:dyDescent="0.3">
      <c r="BB1033280" s="38"/>
    </row>
    <row r="1033281" spans="54:54" ht="15.75" customHeight="1" x14ac:dyDescent="0.3">
      <c r="BB1033281" s="38"/>
    </row>
    <row r="1033282" spans="54:54" ht="15.75" customHeight="1" x14ac:dyDescent="0.3">
      <c r="BB1033282" s="38"/>
    </row>
    <row r="1033283" spans="54:54" ht="15.75" customHeight="1" x14ac:dyDescent="0.3">
      <c r="BB1033283" s="38"/>
    </row>
    <row r="1033284" spans="54:54" ht="15.75" customHeight="1" x14ac:dyDescent="0.3">
      <c r="BB1033284" s="38"/>
    </row>
    <row r="1033285" spans="54:54" ht="15.75" customHeight="1" x14ac:dyDescent="0.3">
      <c r="BB1033285" s="38"/>
    </row>
    <row r="1033286" spans="54:54" ht="15.75" customHeight="1" x14ac:dyDescent="0.3">
      <c r="BB1033286" s="38"/>
    </row>
    <row r="1033287" spans="54:54" ht="15.75" customHeight="1" x14ac:dyDescent="0.3">
      <c r="BB1033287" s="38"/>
    </row>
    <row r="1033288" spans="54:54" ht="15.75" customHeight="1" x14ac:dyDescent="0.3">
      <c r="BB1033288" s="38"/>
    </row>
    <row r="1033289" spans="54:54" ht="15.75" customHeight="1" x14ac:dyDescent="0.3">
      <c r="BB1033289" s="38"/>
    </row>
    <row r="1033290" spans="54:54" ht="15.75" customHeight="1" x14ac:dyDescent="0.3">
      <c r="BB1033290" s="38"/>
    </row>
    <row r="1033291" spans="54:54" ht="15.75" customHeight="1" x14ac:dyDescent="0.3">
      <c r="BB1033291" s="38"/>
    </row>
    <row r="1033292" spans="54:54" ht="15.75" customHeight="1" x14ac:dyDescent="0.3">
      <c r="BB1033292" s="38"/>
    </row>
    <row r="1033293" spans="54:54" ht="15.75" customHeight="1" x14ac:dyDescent="0.3">
      <c r="BB1033293" s="38"/>
    </row>
    <row r="1033294" spans="54:54" ht="15.75" customHeight="1" x14ac:dyDescent="0.3">
      <c r="BB1033294" s="38"/>
    </row>
    <row r="1033295" spans="54:54" ht="15.75" customHeight="1" x14ac:dyDescent="0.3">
      <c r="BB1033295" s="38"/>
    </row>
    <row r="1033296" spans="54:54" ht="15.75" customHeight="1" x14ac:dyDescent="0.3">
      <c r="BB1033296" s="38"/>
    </row>
    <row r="1033297" spans="54:54" ht="15.75" customHeight="1" x14ac:dyDescent="0.3">
      <c r="BB1033297" s="38"/>
    </row>
    <row r="1033298" spans="54:54" ht="15.75" customHeight="1" x14ac:dyDescent="0.3">
      <c r="BB1033298" s="38"/>
    </row>
    <row r="1033299" spans="54:54" ht="15.75" customHeight="1" x14ac:dyDescent="0.3">
      <c r="BB1033299" s="38"/>
    </row>
    <row r="1033300" spans="54:54" ht="15.75" customHeight="1" x14ac:dyDescent="0.3">
      <c r="BB1033300" s="38"/>
    </row>
    <row r="1033301" spans="54:54" ht="15.75" customHeight="1" x14ac:dyDescent="0.3">
      <c r="BB1033301" s="38"/>
    </row>
    <row r="1033302" spans="54:54" ht="15.75" customHeight="1" x14ac:dyDescent="0.3">
      <c r="BB1033302" s="38"/>
    </row>
    <row r="1033303" spans="54:54" ht="15.75" customHeight="1" x14ac:dyDescent="0.3">
      <c r="BB1033303" s="38"/>
    </row>
    <row r="1033304" spans="54:54" ht="15.75" customHeight="1" x14ac:dyDescent="0.3">
      <c r="BB1033304" s="38"/>
    </row>
    <row r="1033305" spans="54:54" ht="15.75" customHeight="1" x14ac:dyDescent="0.3">
      <c r="BB1033305" s="38"/>
    </row>
    <row r="1033306" spans="54:54" ht="15.75" customHeight="1" x14ac:dyDescent="0.3">
      <c r="BB1033306" s="38"/>
    </row>
    <row r="1033307" spans="54:54" ht="15.75" customHeight="1" x14ac:dyDescent="0.3">
      <c r="BB1033307" s="38"/>
    </row>
    <row r="1033308" spans="54:54" ht="15.75" customHeight="1" x14ac:dyDescent="0.3">
      <c r="BB1033308" s="38"/>
    </row>
    <row r="1033309" spans="54:54" ht="15.75" customHeight="1" x14ac:dyDescent="0.3">
      <c r="BB1033309" s="38"/>
    </row>
    <row r="1033310" spans="54:54" ht="15.75" customHeight="1" x14ac:dyDescent="0.3">
      <c r="BB1033310" s="38"/>
    </row>
    <row r="1033311" spans="54:54" ht="15.75" customHeight="1" x14ac:dyDescent="0.3">
      <c r="BB1033311" s="38"/>
    </row>
    <row r="1033312" spans="54:54" ht="15.75" customHeight="1" x14ac:dyDescent="0.3">
      <c r="BB1033312" s="38"/>
    </row>
    <row r="1033313" spans="54:54" ht="15.75" customHeight="1" x14ac:dyDescent="0.3">
      <c r="BB1033313" s="38"/>
    </row>
    <row r="1033314" spans="54:54" ht="15.75" customHeight="1" x14ac:dyDescent="0.3">
      <c r="BB1033314" s="38"/>
    </row>
    <row r="1033315" spans="54:54" ht="15.75" customHeight="1" x14ac:dyDescent="0.3">
      <c r="BB1033315" s="38"/>
    </row>
    <row r="1033316" spans="54:54" ht="15.75" customHeight="1" x14ac:dyDescent="0.3">
      <c r="BB1033316" s="38"/>
    </row>
    <row r="1033317" spans="54:54" ht="15.75" customHeight="1" x14ac:dyDescent="0.3">
      <c r="BB1033317" s="38"/>
    </row>
    <row r="1033318" spans="54:54" ht="15.75" customHeight="1" x14ac:dyDescent="0.3">
      <c r="BB1033318" s="38"/>
    </row>
    <row r="1033319" spans="54:54" ht="15.75" customHeight="1" x14ac:dyDescent="0.3">
      <c r="BB1033319" s="38"/>
    </row>
    <row r="1033320" spans="54:54" ht="15.75" customHeight="1" x14ac:dyDescent="0.3">
      <c r="BB1033320" s="38"/>
    </row>
    <row r="1033321" spans="54:54" ht="15.75" customHeight="1" x14ac:dyDescent="0.3">
      <c r="BB1033321" s="38"/>
    </row>
    <row r="1033322" spans="54:54" ht="15.75" customHeight="1" x14ac:dyDescent="0.3">
      <c r="BB1033322" s="38"/>
    </row>
    <row r="1033323" spans="54:54" ht="15.75" customHeight="1" x14ac:dyDescent="0.3">
      <c r="BB1033323" s="38"/>
    </row>
    <row r="1033324" spans="54:54" ht="15.75" customHeight="1" x14ac:dyDescent="0.3">
      <c r="BB1033324" s="38"/>
    </row>
    <row r="1033325" spans="54:54" ht="15.75" customHeight="1" x14ac:dyDescent="0.3">
      <c r="BB1033325" s="38"/>
    </row>
    <row r="1033326" spans="54:54" ht="15.75" customHeight="1" x14ac:dyDescent="0.3">
      <c r="BB1033326" s="38"/>
    </row>
    <row r="1033327" spans="54:54" ht="15.75" customHeight="1" x14ac:dyDescent="0.3">
      <c r="BB1033327" s="38"/>
    </row>
    <row r="1033328" spans="54:54" ht="15.75" customHeight="1" x14ac:dyDescent="0.3">
      <c r="BB1033328" s="38"/>
    </row>
    <row r="1033329" spans="54:54" ht="15.75" customHeight="1" x14ac:dyDescent="0.3">
      <c r="BB1033329" s="38"/>
    </row>
    <row r="1033330" spans="54:54" ht="15.75" customHeight="1" x14ac:dyDescent="0.3">
      <c r="BB1033330" s="38"/>
    </row>
    <row r="1033331" spans="54:54" ht="15.75" customHeight="1" x14ac:dyDescent="0.3">
      <c r="BB1033331" s="38"/>
    </row>
    <row r="1033332" spans="54:54" ht="15.75" customHeight="1" x14ac:dyDescent="0.3">
      <c r="BB1033332" s="38"/>
    </row>
    <row r="1033333" spans="54:54" ht="15.75" customHeight="1" x14ac:dyDescent="0.3">
      <c r="BB1033333" s="38"/>
    </row>
    <row r="1033334" spans="54:54" ht="15.75" customHeight="1" x14ac:dyDescent="0.3">
      <c r="BB1033334" s="38"/>
    </row>
    <row r="1033335" spans="54:54" ht="15.75" customHeight="1" x14ac:dyDescent="0.3">
      <c r="BB1033335" s="38"/>
    </row>
    <row r="1033336" spans="54:54" ht="15.75" customHeight="1" x14ac:dyDescent="0.3">
      <c r="BB1033336" s="38"/>
    </row>
    <row r="1033337" spans="54:54" ht="15.75" customHeight="1" x14ac:dyDescent="0.3">
      <c r="BB1033337" s="38"/>
    </row>
    <row r="1033338" spans="54:54" ht="15.75" customHeight="1" x14ac:dyDescent="0.3">
      <c r="BB1033338" s="38"/>
    </row>
    <row r="1033339" spans="54:54" ht="15.75" customHeight="1" x14ac:dyDescent="0.3">
      <c r="BB1033339" s="38"/>
    </row>
    <row r="1033340" spans="54:54" ht="15.75" customHeight="1" x14ac:dyDescent="0.3">
      <c r="BB1033340" s="38"/>
    </row>
    <row r="1033341" spans="54:54" ht="15.75" customHeight="1" x14ac:dyDescent="0.3">
      <c r="BB1033341" s="38"/>
    </row>
    <row r="1033342" spans="54:54" ht="15.75" customHeight="1" x14ac:dyDescent="0.3">
      <c r="BB1033342" s="38"/>
    </row>
    <row r="1033343" spans="54:54" ht="15.75" customHeight="1" x14ac:dyDescent="0.3">
      <c r="BB1033343" s="38"/>
    </row>
    <row r="1033344" spans="54:54" ht="15.75" customHeight="1" x14ac:dyDescent="0.3">
      <c r="BB1033344" s="38"/>
    </row>
    <row r="1033345" spans="54:54" ht="15.75" customHeight="1" x14ac:dyDescent="0.3">
      <c r="BB1033345" s="38"/>
    </row>
    <row r="1033346" spans="54:54" ht="15.75" customHeight="1" x14ac:dyDescent="0.3">
      <c r="BB1033346" s="38"/>
    </row>
    <row r="1033347" spans="54:54" ht="15.75" customHeight="1" x14ac:dyDescent="0.3">
      <c r="BB1033347" s="38"/>
    </row>
    <row r="1033348" spans="54:54" ht="15.75" customHeight="1" x14ac:dyDescent="0.3">
      <c r="BB1033348" s="38"/>
    </row>
    <row r="1033349" spans="54:54" ht="15.75" customHeight="1" x14ac:dyDescent="0.3">
      <c r="BB1033349" s="38"/>
    </row>
    <row r="1033350" spans="54:54" ht="15.75" customHeight="1" x14ac:dyDescent="0.3">
      <c r="BB1033350" s="38"/>
    </row>
    <row r="1033351" spans="54:54" ht="15.75" customHeight="1" x14ac:dyDescent="0.3">
      <c r="BB1033351" s="38"/>
    </row>
    <row r="1033352" spans="54:54" ht="15.75" customHeight="1" x14ac:dyDescent="0.3">
      <c r="BB1033352" s="38"/>
    </row>
    <row r="1033353" spans="54:54" ht="15.75" customHeight="1" x14ac:dyDescent="0.3">
      <c r="BB1033353" s="38"/>
    </row>
    <row r="1033354" spans="54:54" ht="15.75" customHeight="1" x14ac:dyDescent="0.3">
      <c r="BB1033354" s="38"/>
    </row>
    <row r="1033355" spans="54:54" ht="15.75" customHeight="1" x14ac:dyDescent="0.3">
      <c r="BB1033355" s="38"/>
    </row>
    <row r="1033356" spans="54:54" ht="15.75" customHeight="1" x14ac:dyDescent="0.3">
      <c r="BB1033356" s="38"/>
    </row>
    <row r="1033357" spans="54:54" ht="15.75" customHeight="1" x14ac:dyDescent="0.3">
      <c r="BB1033357" s="38"/>
    </row>
    <row r="1033358" spans="54:54" ht="15.75" customHeight="1" x14ac:dyDescent="0.3">
      <c r="BB1033358" s="38"/>
    </row>
    <row r="1033359" spans="54:54" ht="15.75" customHeight="1" x14ac:dyDescent="0.3">
      <c r="BB1033359" s="38"/>
    </row>
    <row r="1033360" spans="54:54" ht="15.75" customHeight="1" x14ac:dyDescent="0.3">
      <c r="BB1033360" s="38"/>
    </row>
    <row r="1033361" spans="54:54" ht="15.75" customHeight="1" x14ac:dyDescent="0.3">
      <c r="BB1033361" s="38"/>
    </row>
    <row r="1033362" spans="54:54" ht="15.75" customHeight="1" x14ac:dyDescent="0.3">
      <c r="BB1033362" s="38"/>
    </row>
    <row r="1033363" spans="54:54" ht="15.75" customHeight="1" x14ac:dyDescent="0.3">
      <c r="BB1033363" s="38"/>
    </row>
    <row r="1033364" spans="54:54" ht="15.75" customHeight="1" x14ac:dyDescent="0.3">
      <c r="BB1033364" s="38"/>
    </row>
    <row r="1033365" spans="54:54" ht="15.75" customHeight="1" x14ac:dyDescent="0.3">
      <c r="BB1033365" s="38"/>
    </row>
    <row r="1033366" spans="54:54" ht="15.75" customHeight="1" x14ac:dyDescent="0.3">
      <c r="BB1033366" s="38"/>
    </row>
    <row r="1033367" spans="54:54" ht="15.75" customHeight="1" x14ac:dyDescent="0.3">
      <c r="BB1033367" s="38"/>
    </row>
    <row r="1033368" spans="54:54" ht="15.75" customHeight="1" x14ac:dyDescent="0.3">
      <c r="BB1033368" s="38"/>
    </row>
    <row r="1033369" spans="54:54" ht="15.75" customHeight="1" x14ac:dyDescent="0.3">
      <c r="BB1033369" s="38"/>
    </row>
    <row r="1033370" spans="54:54" ht="15.75" customHeight="1" x14ac:dyDescent="0.3">
      <c r="BB1033370" s="38"/>
    </row>
    <row r="1033371" spans="54:54" ht="15.75" customHeight="1" x14ac:dyDescent="0.3">
      <c r="BB1033371" s="38"/>
    </row>
    <row r="1033372" spans="54:54" ht="15.75" customHeight="1" x14ac:dyDescent="0.3">
      <c r="BB1033372" s="38"/>
    </row>
    <row r="1033373" spans="54:54" ht="15.75" customHeight="1" x14ac:dyDescent="0.3">
      <c r="BB1033373" s="38"/>
    </row>
    <row r="1033374" spans="54:54" ht="15.75" customHeight="1" x14ac:dyDescent="0.3">
      <c r="BB1033374" s="38"/>
    </row>
    <row r="1033375" spans="54:54" ht="15.75" customHeight="1" x14ac:dyDescent="0.3">
      <c r="BB1033375" s="38"/>
    </row>
    <row r="1033376" spans="54:54" ht="15.75" customHeight="1" x14ac:dyDescent="0.3">
      <c r="BB1033376" s="38"/>
    </row>
    <row r="1033377" spans="54:54" ht="15.75" customHeight="1" x14ac:dyDescent="0.3">
      <c r="BB1033377" s="38"/>
    </row>
    <row r="1033378" spans="54:54" ht="15.75" customHeight="1" x14ac:dyDescent="0.3">
      <c r="BB1033378" s="38"/>
    </row>
    <row r="1033379" spans="54:54" ht="15.75" customHeight="1" x14ac:dyDescent="0.3">
      <c r="BB1033379" s="38"/>
    </row>
    <row r="1033380" spans="54:54" ht="15.75" customHeight="1" x14ac:dyDescent="0.3">
      <c r="BB1033380" s="38"/>
    </row>
    <row r="1033381" spans="54:54" ht="15.75" customHeight="1" x14ac:dyDescent="0.3">
      <c r="BB1033381" s="38"/>
    </row>
    <row r="1033382" spans="54:54" ht="15.75" customHeight="1" x14ac:dyDescent="0.3">
      <c r="BB1033382" s="38"/>
    </row>
    <row r="1033383" spans="54:54" ht="15.75" customHeight="1" x14ac:dyDescent="0.3">
      <c r="BB1033383" s="38"/>
    </row>
    <row r="1033384" spans="54:54" ht="15.75" customHeight="1" x14ac:dyDescent="0.3">
      <c r="BB1033384" s="38"/>
    </row>
    <row r="1033385" spans="54:54" ht="15.75" customHeight="1" x14ac:dyDescent="0.3">
      <c r="BB1033385" s="38"/>
    </row>
    <row r="1033386" spans="54:54" ht="15.75" customHeight="1" x14ac:dyDescent="0.3">
      <c r="BB1033386" s="38"/>
    </row>
    <row r="1033387" spans="54:54" ht="15.75" customHeight="1" x14ac:dyDescent="0.3">
      <c r="BB1033387" s="38"/>
    </row>
    <row r="1033388" spans="54:54" ht="15.75" customHeight="1" x14ac:dyDescent="0.3">
      <c r="BB1033388" s="38"/>
    </row>
    <row r="1033389" spans="54:54" ht="15.75" customHeight="1" x14ac:dyDescent="0.3">
      <c r="BB1033389" s="38"/>
    </row>
    <row r="1033390" spans="54:54" ht="15.75" customHeight="1" x14ac:dyDescent="0.3">
      <c r="BB1033390" s="38"/>
    </row>
    <row r="1033391" spans="54:54" ht="15.75" customHeight="1" x14ac:dyDescent="0.3">
      <c r="BB1033391" s="38"/>
    </row>
    <row r="1033392" spans="54:54" ht="15.75" customHeight="1" x14ac:dyDescent="0.3">
      <c r="BB1033392" s="38"/>
    </row>
    <row r="1033393" spans="54:54" ht="15.75" customHeight="1" x14ac:dyDescent="0.3">
      <c r="BB1033393" s="38"/>
    </row>
    <row r="1033394" spans="54:54" ht="15.75" customHeight="1" x14ac:dyDescent="0.3">
      <c r="BB1033394" s="38"/>
    </row>
    <row r="1033395" spans="54:54" ht="15.75" customHeight="1" x14ac:dyDescent="0.3">
      <c r="BB1033395" s="38"/>
    </row>
    <row r="1033396" spans="54:54" ht="15.75" customHeight="1" x14ac:dyDescent="0.3">
      <c r="BB1033396" s="38"/>
    </row>
    <row r="1033397" spans="54:54" ht="15.75" customHeight="1" x14ac:dyDescent="0.3">
      <c r="BB1033397" s="38"/>
    </row>
    <row r="1033398" spans="54:54" ht="15.75" customHeight="1" x14ac:dyDescent="0.3">
      <c r="BB1033398" s="38"/>
    </row>
    <row r="1033399" spans="54:54" ht="15.75" customHeight="1" x14ac:dyDescent="0.3">
      <c r="BB1033399" s="38"/>
    </row>
    <row r="1033400" spans="54:54" ht="15.75" customHeight="1" x14ac:dyDescent="0.3">
      <c r="BB1033400" s="38"/>
    </row>
    <row r="1033401" spans="54:54" ht="15.75" customHeight="1" x14ac:dyDescent="0.3">
      <c r="BB1033401" s="38"/>
    </row>
    <row r="1033402" spans="54:54" ht="15.75" customHeight="1" x14ac:dyDescent="0.3">
      <c r="BB1033402" s="38"/>
    </row>
    <row r="1033403" spans="54:54" ht="15.75" customHeight="1" x14ac:dyDescent="0.3">
      <c r="BB1033403" s="38"/>
    </row>
    <row r="1033404" spans="54:54" ht="15.75" customHeight="1" x14ac:dyDescent="0.3">
      <c r="BB1033404" s="38"/>
    </row>
    <row r="1033405" spans="54:54" ht="15.75" customHeight="1" x14ac:dyDescent="0.3">
      <c r="BB1033405" s="38"/>
    </row>
    <row r="1033406" spans="54:54" ht="15.75" customHeight="1" x14ac:dyDescent="0.3">
      <c r="BB1033406" s="38"/>
    </row>
    <row r="1033407" spans="54:54" ht="15.75" customHeight="1" x14ac:dyDescent="0.3">
      <c r="BB1033407" s="38"/>
    </row>
    <row r="1033408" spans="54:54" ht="15.75" customHeight="1" x14ac:dyDescent="0.3">
      <c r="BB1033408" s="38"/>
    </row>
    <row r="1033409" spans="54:54" ht="15.75" customHeight="1" x14ac:dyDescent="0.3">
      <c r="BB1033409" s="38"/>
    </row>
    <row r="1033410" spans="54:54" ht="15.75" customHeight="1" x14ac:dyDescent="0.3">
      <c r="BB1033410" s="38"/>
    </row>
    <row r="1033411" spans="54:54" ht="15.75" customHeight="1" x14ac:dyDescent="0.3">
      <c r="BB1033411" s="38"/>
    </row>
    <row r="1033412" spans="54:54" ht="15.75" customHeight="1" x14ac:dyDescent="0.3">
      <c r="BB1033412" s="38"/>
    </row>
    <row r="1033413" spans="54:54" ht="15.75" customHeight="1" x14ac:dyDescent="0.3">
      <c r="BB1033413" s="38"/>
    </row>
    <row r="1033414" spans="54:54" ht="15.75" customHeight="1" x14ac:dyDescent="0.3">
      <c r="BB1033414" s="38"/>
    </row>
    <row r="1033415" spans="54:54" ht="15.75" customHeight="1" x14ac:dyDescent="0.3">
      <c r="BB1033415" s="38"/>
    </row>
    <row r="1033416" spans="54:54" ht="15.75" customHeight="1" x14ac:dyDescent="0.3">
      <c r="BB1033416" s="38"/>
    </row>
    <row r="1033417" spans="54:54" ht="15.75" customHeight="1" x14ac:dyDescent="0.3">
      <c r="BB1033417" s="38"/>
    </row>
    <row r="1033418" spans="54:54" ht="15.75" customHeight="1" x14ac:dyDescent="0.3">
      <c r="BB1033418" s="38"/>
    </row>
    <row r="1033419" spans="54:54" ht="15.75" customHeight="1" x14ac:dyDescent="0.3">
      <c r="BB1033419" s="38"/>
    </row>
    <row r="1033420" spans="54:54" ht="15.75" customHeight="1" x14ac:dyDescent="0.3">
      <c r="BB1033420" s="38"/>
    </row>
    <row r="1033421" spans="54:54" ht="15.75" customHeight="1" x14ac:dyDescent="0.3">
      <c r="BB1033421" s="38"/>
    </row>
    <row r="1033422" spans="54:54" ht="15.75" customHeight="1" x14ac:dyDescent="0.3">
      <c r="BB1033422" s="38"/>
    </row>
    <row r="1033423" spans="54:54" ht="15.75" customHeight="1" x14ac:dyDescent="0.3">
      <c r="BB1033423" s="38"/>
    </row>
    <row r="1033424" spans="54:54" ht="15.75" customHeight="1" x14ac:dyDescent="0.3">
      <c r="BB1033424" s="38"/>
    </row>
    <row r="1033425" spans="54:54" ht="15.75" customHeight="1" x14ac:dyDescent="0.3">
      <c r="BB1033425" s="38"/>
    </row>
    <row r="1033426" spans="54:54" ht="15.75" customHeight="1" x14ac:dyDescent="0.3">
      <c r="BB1033426" s="38"/>
    </row>
    <row r="1033427" spans="54:54" ht="15.75" customHeight="1" x14ac:dyDescent="0.3">
      <c r="BB1033427" s="38"/>
    </row>
    <row r="1033428" spans="54:54" ht="15.75" customHeight="1" x14ac:dyDescent="0.3">
      <c r="BB1033428" s="38"/>
    </row>
    <row r="1033429" spans="54:54" ht="15.75" customHeight="1" x14ac:dyDescent="0.3">
      <c r="BB1033429" s="38"/>
    </row>
    <row r="1033430" spans="54:54" ht="15.75" customHeight="1" x14ac:dyDescent="0.3">
      <c r="BB1033430" s="38"/>
    </row>
    <row r="1033431" spans="54:54" ht="15.75" customHeight="1" x14ac:dyDescent="0.3">
      <c r="BB1033431" s="38"/>
    </row>
    <row r="1033432" spans="54:54" ht="15.75" customHeight="1" x14ac:dyDescent="0.3">
      <c r="BB1033432" s="38"/>
    </row>
    <row r="1033433" spans="54:54" ht="15.75" customHeight="1" x14ac:dyDescent="0.3">
      <c r="BB1033433" s="38"/>
    </row>
    <row r="1033434" spans="54:54" ht="15.75" customHeight="1" x14ac:dyDescent="0.3">
      <c r="BB1033434" s="38"/>
    </row>
    <row r="1033435" spans="54:54" ht="15.75" customHeight="1" x14ac:dyDescent="0.3">
      <c r="BB1033435" s="38"/>
    </row>
    <row r="1033436" spans="54:54" ht="15.75" customHeight="1" x14ac:dyDescent="0.3">
      <c r="BB1033436" s="38"/>
    </row>
    <row r="1033437" spans="54:54" ht="15.75" customHeight="1" x14ac:dyDescent="0.3">
      <c r="BB1033437" s="38"/>
    </row>
    <row r="1033438" spans="54:54" ht="15.75" customHeight="1" x14ac:dyDescent="0.3">
      <c r="BB1033438" s="38"/>
    </row>
    <row r="1033439" spans="54:54" ht="15.75" customHeight="1" x14ac:dyDescent="0.3">
      <c r="BB1033439" s="38"/>
    </row>
    <row r="1033440" spans="54:54" ht="15.75" customHeight="1" x14ac:dyDescent="0.3">
      <c r="BB1033440" s="38"/>
    </row>
    <row r="1033441" spans="54:54" ht="15.75" customHeight="1" x14ac:dyDescent="0.3">
      <c r="BB1033441" s="38"/>
    </row>
    <row r="1033442" spans="54:54" ht="15.75" customHeight="1" x14ac:dyDescent="0.3">
      <c r="BB1033442" s="38"/>
    </row>
    <row r="1033443" spans="54:54" ht="15.75" customHeight="1" x14ac:dyDescent="0.3">
      <c r="BB1033443" s="38"/>
    </row>
    <row r="1033444" spans="54:54" ht="15.75" customHeight="1" x14ac:dyDescent="0.3">
      <c r="BB1033444" s="38"/>
    </row>
    <row r="1033445" spans="54:54" ht="15.75" customHeight="1" x14ac:dyDescent="0.3">
      <c r="BB1033445" s="38"/>
    </row>
    <row r="1033446" spans="54:54" ht="15.75" customHeight="1" x14ac:dyDescent="0.3">
      <c r="BB1033446" s="38"/>
    </row>
    <row r="1033447" spans="54:54" ht="15.75" customHeight="1" x14ac:dyDescent="0.3">
      <c r="BB1033447" s="38"/>
    </row>
    <row r="1033448" spans="54:54" ht="15.75" customHeight="1" x14ac:dyDescent="0.3">
      <c r="BB1033448" s="38"/>
    </row>
    <row r="1033449" spans="54:54" ht="15.75" customHeight="1" x14ac:dyDescent="0.3">
      <c r="BB1033449" s="38"/>
    </row>
    <row r="1033450" spans="54:54" ht="15.75" customHeight="1" x14ac:dyDescent="0.3">
      <c r="BB1033450" s="38"/>
    </row>
    <row r="1033451" spans="54:54" ht="15.75" customHeight="1" x14ac:dyDescent="0.3">
      <c r="BB1033451" s="38"/>
    </row>
    <row r="1033452" spans="54:54" ht="15.75" customHeight="1" x14ac:dyDescent="0.3">
      <c r="BB1033452" s="38"/>
    </row>
    <row r="1033453" spans="54:54" ht="15.75" customHeight="1" x14ac:dyDescent="0.3">
      <c r="BB1033453" s="38"/>
    </row>
    <row r="1033454" spans="54:54" ht="15.75" customHeight="1" x14ac:dyDescent="0.3">
      <c r="BB1033454" s="38"/>
    </row>
    <row r="1033455" spans="54:54" ht="15.75" customHeight="1" x14ac:dyDescent="0.3">
      <c r="BB1033455" s="38"/>
    </row>
    <row r="1033456" spans="54:54" ht="15.75" customHeight="1" x14ac:dyDescent="0.3">
      <c r="BB1033456" s="38"/>
    </row>
    <row r="1033457" spans="54:54" ht="15.75" customHeight="1" x14ac:dyDescent="0.3">
      <c r="BB1033457" s="38"/>
    </row>
    <row r="1033458" spans="54:54" ht="15.75" customHeight="1" x14ac:dyDescent="0.3">
      <c r="BB1033458" s="38"/>
    </row>
    <row r="1033459" spans="54:54" ht="15.75" customHeight="1" x14ac:dyDescent="0.3">
      <c r="BB1033459" s="38"/>
    </row>
    <row r="1033460" spans="54:54" ht="15.75" customHeight="1" x14ac:dyDescent="0.3">
      <c r="BB1033460" s="38"/>
    </row>
    <row r="1033461" spans="54:54" ht="15.75" customHeight="1" x14ac:dyDescent="0.3">
      <c r="BB1033461" s="38"/>
    </row>
    <row r="1033462" spans="54:54" ht="15.75" customHeight="1" x14ac:dyDescent="0.3">
      <c r="BB1033462" s="38"/>
    </row>
    <row r="1033463" spans="54:54" ht="15.75" customHeight="1" x14ac:dyDescent="0.3">
      <c r="BB1033463" s="38"/>
    </row>
    <row r="1033464" spans="54:54" ht="15.75" customHeight="1" x14ac:dyDescent="0.3">
      <c r="BB1033464" s="38"/>
    </row>
    <row r="1033465" spans="54:54" ht="15.75" customHeight="1" x14ac:dyDescent="0.3">
      <c r="BB1033465" s="38"/>
    </row>
    <row r="1033466" spans="54:54" ht="15.75" customHeight="1" x14ac:dyDescent="0.3">
      <c r="BB1033466" s="38"/>
    </row>
    <row r="1033467" spans="54:54" ht="15.75" customHeight="1" x14ac:dyDescent="0.3">
      <c r="BB1033467" s="38"/>
    </row>
    <row r="1033468" spans="54:54" ht="15.75" customHeight="1" x14ac:dyDescent="0.3">
      <c r="BB1033468" s="38"/>
    </row>
    <row r="1033469" spans="54:54" ht="15.75" customHeight="1" x14ac:dyDescent="0.3">
      <c r="BB1033469" s="38"/>
    </row>
    <row r="1033470" spans="54:54" ht="15.75" customHeight="1" x14ac:dyDescent="0.3">
      <c r="BB1033470" s="38"/>
    </row>
    <row r="1033471" spans="54:54" ht="15.75" customHeight="1" x14ac:dyDescent="0.3">
      <c r="BB1033471" s="38"/>
    </row>
    <row r="1033472" spans="54:54" ht="15.75" customHeight="1" x14ac:dyDescent="0.3">
      <c r="BB1033472" s="38"/>
    </row>
    <row r="1033473" spans="54:54" ht="15.75" customHeight="1" x14ac:dyDescent="0.3">
      <c r="BB1033473" s="38"/>
    </row>
    <row r="1033474" spans="54:54" ht="15.75" customHeight="1" x14ac:dyDescent="0.3">
      <c r="BB1033474" s="38"/>
    </row>
    <row r="1033475" spans="54:54" ht="15.75" customHeight="1" x14ac:dyDescent="0.3">
      <c r="BB1033475" s="38"/>
    </row>
    <row r="1033476" spans="54:54" ht="15.75" customHeight="1" x14ac:dyDescent="0.3">
      <c r="BB1033476" s="38"/>
    </row>
    <row r="1033477" spans="54:54" ht="15.75" customHeight="1" x14ac:dyDescent="0.3">
      <c r="BB1033477" s="38"/>
    </row>
    <row r="1033478" spans="54:54" ht="15.75" customHeight="1" x14ac:dyDescent="0.3">
      <c r="BB1033478" s="38"/>
    </row>
    <row r="1033479" spans="54:54" ht="15.75" customHeight="1" x14ac:dyDescent="0.3">
      <c r="BB1033479" s="38"/>
    </row>
    <row r="1033480" spans="54:54" ht="15.75" customHeight="1" x14ac:dyDescent="0.3">
      <c r="BB1033480" s="38"/>
    </row>
    <row r="1033481" spans="54:54" ht="15.75" customHeight="1" x14ac:dyDescent="0.3">
      <c r="BB1033481" s="38"/>
    </row>
    <row r="1033482" spans="54:54" ht="15.75" customHeight="1" x14ac:dyDescent="0.3">
      <c r="BB1033482" s="38"/>
    </row>
    <row r="1033483" spans="54:54" ht="15.75" customHeight="1" x14ac:dyDescent="0.3">
      <c r="BB1033483" s="38"/>
    </row>
    <row r="1033484" spans="54:54" ht="15.75" customHeight="1" x14ac:dyDescent="0.3">
      <c r="BB1033484" s="38"/>
    </row>
    <row r="1033485" spans="54:54" ht="15.75" customHeight="1" x14ac:dyDescent="0.3">
      <c r="BB1033485" s="38"/>
    </row>
    <row r="1033486" spans="54:54" ht="15.75" customHeight="1" x14ac:dyDescent="0.3">
      <c r="BB1033486" s="38"/>
    </row>
    <row r="1033487" spans="54:54" ht="15.75" customHeight="1" x14ac:dyDescent="0.3">
      <c r="BB1033487" s="38"/>
    </row>
    <row r="1033488" spans="54:54" ht="15.75" customHeight="1" x14ac:dyDescent="0.3">
      <c r="BB1033488" s="38"/>
    </row>
    <row r="1033489" spans="54:54" ht="15.75" customHeight="1" x14ac:dyDescent="0.3">
      <c r="BB1033489" s="38"/>
    </row>
    <row r="1033490" spans="54:54" ht="15.75" customHeight="1" x14ac:dyDescent="0.3">
      <c r="BB1033490" s="38"/>
    </row>
    <row r="1033491" spans="54:54" ht="15.75" customHeight="1" x14ac:dyDescent="0.3">
      <c r="BB1033491" s="38"/>
    </row>
    <row r="1033492" spans="54:54" ht="15.75" customHeight="1" x14ac:dyDescent="0.3">
      <c r="BB1033492" s="38"/>
    </row>
    <row r="1033493" spans="54:54" ht="15.75" customHeight="1" x14ac:dyDescent="0.3">
      <c r="BB1033493" s="38"/>
    </row>
    <row r="1033494" spans="54:54" ht="15.75" customHeight="1" x14ac:dyDescent="0.3">
      <c r="BB1033494" s="38"/>
    </row>
    <row r="1033495" spans="54:54" ht="15.75" customHeight="1" x14ac:dyDescent="0.3">
      <c r="BB1033495" s="38"/>
    </row>
    <row r="1033496" spans="54:54" ht="15.75" customHeight="1" x14ac:dyDescent="0.3">
      <c r="BB1033496" s="38"/>
    </row>
    <row r="1033497" spans="54:54" ht="15.75" customHeight="1" x14ac:dyDescent="0.3">
      <c r="BB1033497" s="38"/>
    </row>
    <row r="1033498" spans="54:54" ht="15.75" customHeight="1" x14ac:dyDescent="0.3">
      <c r="BB1033498" s="38"/>
    </row>
    <row r="1033499" spans="54:54" ht="15.75" customHeight="1" x14ac:dyDescent="0.3">
      <c r="BB1033499" s="38"/>
    </row>
    <row r="1033500" spans="54:54" ht="15.75" customHeight="1" x14ac:dyDescent="0.3">
      <c r="BB1033500" s="38"/>
    </row>
    <row r="1033501" spans="54:54" ht="15.75" customHeight="1" x14ac:dyDescent="0.3">
      <c r="BB1033501" s="38"/>
    </row>
    <row r="1033502" spans="54:54" ht="15.75" customHeight="1" x14ac:dyDescent="0.3">
      <c r="BB1033502" s="38"/>
    </row>
    <row r="1033503" spans="54:54" ht="15.75" customHeight="1" x14ac:dyDescent="0.3">
      <c r="BB1033503" s="38"/>
    </row>
    <row r="1033504" spans="54:54" ht="15.75" customHeight="1" x14ac:dyDescent="0.3">
      <c r="BB1033504" s="38"/>
    </row>
    <row r="1033505" spans="54:54" ht="15.75" customHeight="1" x14ac:dyDescent="0.3">
      <c r="BB1033505" s="38"/>
    </row>
    <row r="1033506" spans="54:54" ht="15.75" customHeight="1" x14ac:dyDescent="0.3">
      <c r="BB1033506" s="38"/>
    </row>
    <row r="1033507" spans="54:54" ht="15.75" customHeight="1" x14ac:dyDescent="0.3">
      <c r="BB1033507" s="38"/>
    </row>
    <row r="1033508" spans="54:54" ht="15.75" customHeight="1" x14ac:dyDescent="0.3">
      <c r="BB1033508" s="38"/>
    </row>
    <row r="1033509" spans="54:54" ht="15.75" customHeight="1" x14ac:dyDescent="0.3">
      <c r="BB1033509" s="38"/>
    </row>
    <row r="1033510" spans="54:54" ht="15.75" customHeight="1" x14ac:dyDescent="0.3">
      <c r="BB1033510" s="38"/>
    </row>
    <row r="1033511" spans="54:54" ht="15.75" customHeight="1" x14ac:dyDescent="0.3">
      <c r="BB1033511" s="38"/>
    </row>
    <row r="1033512" spans="54:54" ht="15.75" customHeight="1" x14ac:dyDescent="0.3">
      <c r="BB1033512" s="38"/>
    </row>
    <row r="1033513" spans="54:54" ht="15.75" customHeight="1" x14ac:dyDescent="0.3">
      <c r="BB1033513" s="38"/>
    </row>
    <row r="1033514" spans="54:54" ht="15.75" customHeight="1" x14ac:dyDescent="0.3">
      <c r="BB1033514" s="38"/>
    </row>
    <row r="1033515" spans="54:54" ht="15.75" customHeight="1" x14ac:dyDescent="0.3">
      <c r="BB1033515" s="38"/>
    </row>
    <row r="1033516" spans="54:54" ht="15.75" customHeight="1" x14ac:dyDescent="0.3">
      <c r="BB1033516" s="38"/>
    </row>
    <row r="1033517" spans="54:54" ht="15.75" customHeight="1" x14ac:dyDescent="0.3">
      <c r="BB1033517" s="38"/>
    </row>
    <row r="1033518" spans="54:54" ht="15.75" customHeight="1" x14ac:dyDescent="0.3">
      <c r="BB1033518" s="38"/>
    </row>
    <row r="1033519" spans="54:54" ht="15.75" customHeight="1" x14ac:dyDescent="0.3">
      <c r="BB1033519" s="38"/>
    </row>
    <row r="1033520" spans="54:54" ht="15.75" customHeight="1" x14ac:dyDescent="0.3">
      <c r="BB1033520" s="38"/>
    </row>
    <row r="1033521" spans="54:54" ht="15.75" customHeight="1" x14ac:dyDescent="0.3">
      <c r="BB1033521" s="38"/>
    </row>
    <row r="1033522" spans="54:54" ht="15.75" customHeight="1" x14ac:dyDescent="0.3">
      <c r="BB1033522" s="38"/>
    </row>
    <row r="1033523" spans="54:54" ht="15.75" customHeight="1" x14ac:dyDescent="0.3">
      <c r="BB1033523" s="38"/>
    </row>
    <row r="1033524" spans="54:54" ht="15.75" customHeight="1" x14ac:dyDescent="0.3">
      <c r="BB1033524" s="38"/>
    </row>
    <row r="1033525" spans="54:54" ht="15.75" customHeight="1" x14ac:dyDescent="0.3">
      <c r="BB1033525" s="38"/>
    </row>
    <row r="1033526" spans="54:54" ht="15.75" customHeight="1" x14ac:dyDescent="0.3">
      <c r="BB1033526" s="38"/>
    </row>
    <row r="1033527" spans="54:54" ht="15.75" customHeight="1" x14ac:dyDescent="0.3">
      <c r="BB1033527" s="38"/>
    </row>
    <row r="1033528" spans="54:54" ht="15.75" customHeight="1" x14ac:dyDescent="0.3">
      <c r="BB1033528" s="38"/>
    </row>
    <row r="1033529" spans="54:54" ht="15.75" customHeight="1" x14ac:dyDescent="0.3">
      <c r="BB1033529" s="38"/>
    </row>
    <row r="1033530" spans="54:54" ht="15.75" customHeight="1" x14ac:dyDescent="0.3">
      <c r="BB1033530" s="38"/>
    </row>
    <row r="1033531" spans="54:54" ht="15.75" customHeight="1" x14ac:dyDescent="0.3">
      <c r="BB1033531" s="38"/>
    </row>
    <row r="1033532" spans="54:54" ht="15.75" customHeight="1" x14ac:dyDescent="0.3">
      <c r="BB1033532" s="38"/>
    </row>
    <row r="1033533" spans="54:54" ht="15.75" customHeight="1" x14ac:dyDescent="0.3">
      <c r="BB1033533" s="38"/>
    </row>
    <row r="1033534" spans="54:54" ht="15.75" customHeight="1" x14ac:dyDescent="0.3">
      <c r="BB1033534" s="38"/>
    </row>
    <row r="1033535" spans="54:54" ht="15.75" customHeight="1" x14ac:dyDescent="0.3">
      <c r="BB1033535" s="38"/>
    </row>
    <row r="1033536" spans="54:54" ht="15.75" customHeight="1" x14ac:dyDescent="0.3">
      <c r="BB1033536" s="38"/>
    </row>
    <row r="1033537" spans="54:54" ht="15.75" customHeight="1" x14ac:dyDescent="0.3">
      <c r="BB1033537" s="38"/>
    </row>
    <row r="1033538" spans="54:54" ht="15.75" customHeight="1" x14ac:dyDescent="0.3">
      <c r="BB1033538" s="38"/>
    </row>
    <row r="1033539" spans="54:54" ht="15.75" customHeight="1" x14ac:dyDescent="0.3">
      <c r="BB1033539" s="38"/>
    </row>
    <row r="1033540" spans="54:54" ht="15.75" customHeight="1" x14ac:dyDescent="0.3">
      <c r="BB1033540" s="38"/>
    </row>
    <row r="1033541" spans="54:54" ht="15.75" customHeight="1" x14ac:dyDescent="0.3">
      <c r="BB1033541" s="38"/>
    </row>
    <row r="1033542" spans="54:54" ht="15.75" customHeight="1" x14ac:dyDescent="0.3">
      <c r="BB1033542" s="38"/>
    </row>
    <row r="1033543" spans="54:54" ht="15.75" customHeight="1" x14ac:dyDescent="0.3">
      <c r="BB1033543" s="38"/>
    </row>
    <row r="1033544" spans="54:54" ht="15.75" customHeight="1" x14ac:dyDescent="0.3">
      <c r="BB1033544" s="38"/>
    </row>
    <row r="1033545" spans="54:54" ht="15.75" customHeight="1" x14ac:dyDescent="0.3">
      <c r="BB1033545" s="38"/>
    </row>
    <row r="1033546" spans="54:54" ht="15.75" customHeight="1" x14ac:dyDescent="0.3">
      <c r="BB1033546" s="38"/>
    </row>
    <row r="1033547" spans="54:54" ht="15.75" customHeight="1" x14ac:dyDescent="0.3">
      <c r="BB1033547" s="38"/>
    </row>
    <row r="1033548" spans="54:54" ht="15.75" customHeight="1" x14ac:dyDescent="0.3">
      <c r="BB1033548" s="38"/>
    </row>
    <row r="1033549" spans="54:54" ht="15.75" customHeight="1" x14ac:dyDescent="0.3">
      <c r="BB1033549" s="38"/>
    </row>
    <row r="1033550" spans="54:54" ht="15.75" customHeight="1" x14ac:dyDescent="0.3">
      <c r="BB1033550" s="38"/>
    </row>
    <row r="1033551" spans="54:54" ht="15.75" customHeight="1" x14ac:dyDescent="0.3">
      <c r="BB1033551" s="38"/>
    </row>
    <row r="1033552" spans="54:54" ht="15.75" customHeight="1" x14ac:dyDescent="0.3">
      <c r="BB1033552" s="38"/>
    </row>
    <row r="1033553" spans="54:54" ht="15.75" customHeight="1" x14ac:dyDescent="0.3">
      <c r="BB1033553" s="38"/>
    </row>
    <row r="1033554" spans="54:54" ht="15.75" customHeight="1" x14ac:dyDescent="0.3">
      <c r="BB1033554" s="38"/>
    </row>
    <row r="1033555" spans="54:54" ht="15.75" customHeight="1" x14ac:dyDescent="0.3">
      <c r="BB1033555" s="38"/>
    </row>
    <row r="1033556" spans="54:54" ht="15.75" customHeight="1" x14ac:dyDescent="0.3">
      <c r="BB1033556" s="38"/>
    </row>
    <row r="1033557" spans="54:54" ht="15.75" customHeight="1" x14ac:dyDescent="0.3">
      <c r="BB1033557" s="38"/>
    </row>
    <row r="1033558" spans="54:54" ht="15.75" customHeight="1" x14ac:dyDescent="0.3">
      <c r="BB1033558" s="38"/>
    </row>
    <row r="1033559" spans="54:54" ht="15.75" customHeight="1" x14ac:dyDescent="0.3">
      <c r="BB1033559" s="38"/>
    </row>
    <row r="1033560" spans="54:54" ht="15.75" customHeight="1" x14ac:dyDescent="0.3">
      <c r="BB1033560" s="38"/>
    </row>
    <row r="1033561" spans="54:54" ht="15.75" customHeight="1" x14ac:dyDescent="0.3">
      <c r="BB1033561" s="38"/>
    </row>
    <row r="1033562" spans="54:54" ht="15.75" customHeight="1" x14ac:dyDescent="0.3">
      <c r="BB1033562" s="38"/>
    </row>
    <row r="1033563" spans="54:54" ht="15.75" customHeight="1" x14ac:dyDescent="0.3">
      <c r="BB1033563" s="38"/>
    </row>
    <row r="1033564" spans="54:54" ht="15.75" customHeight="1" x14ac:dyDescent="0.3">
      <c r="BB1033564" s="38"/>
    </row>
    <row r="1033565" spans="54:54" ht="15.75" customHeight="1" x14ac:dyDescent="0.3">
      <c r="BB1033565" s="38"/>
    </row>
    <row r="1033566" spans="54:54" ht="15.75" customHeight="1" x14ac:dyDescent="0.3">
      <c r="BB1033566" s="38"/>
    </row>
    <row r="1033567" spans="54:54" ht="15.75" customHeight="1" x14ac:dyDescent="0.3">
      <c r="BB1033567" s="38"/>
    </row>
    <row r="1033568" spans="54:54" ht="15.75" customHeight="1" x14ac:dyDescent="0.3">
      <c r="BB1033568" s="38"/>
    </row>
    <row r="1033569" spans="54:54" ht="15.75" customHeight="1" x14ac:dyDescent="0.3">
      <c r="BB1033569" s="38"/>
    </row>
    <row r="1033570" spans="54:54" ht="15.75" customHeight="1" x14ac:dyDescent="0.3">
      <c r="BB1033570" s="38"/>
    </row>
    <row r="1033571" spans="54:54" ht="15.75" customHeight="1" x14ac:dyDescent="0.3">
      <c r="BB1033571" s="38"/>
    </row>
    <row r="1033572" spans="54:54" ht="15.75" customHeight="1" x14ac:dyDescent="0.3">
      <c r="BB1033572" s="38"/>
    </row>
    <row r="1033573" spans="54:54" ht="15.75" customHeight="1" x14ac:dyDescent="0.3">
      <c r="BB1033573" s="38"/>
    </row>
    <row r="1033574" spans="54:54" ht="15.75" customHeight="1" x14ac:dyDescent="0.3">
      <c r="BB1033574" s="38"/>
    </row>
    <row r="1033575" spans="54:54" ht="15.75" customHeight="1" x14ac:dyDescent="0.3">
      <c r="BB1033575" s="38"/>
    </row>
    <row r="1033576" spans="54:54" ht="15.75" customHeight="1" x14ac:dyDescent="0.3">
      <c r="BB1033576" s="38"/>
    </row>
    <row r="1033577" spans="54:54" ht="15.75" customHeight="1" x14ac:dyDescent="0.3">
      <c r="BB1033577" s="38"/>
    </row>
    <row r="1033578" spans="54:54" ht="15.75" customHeight="1" x14ac:dyDescent="0.3">
      <c r="BB1033578" s="38"/>
    </row>
    <row r="1033579" spans="54:54" ht="15.75" customHeight="1" x14ac:dyDescent="0.3">
      <c r="BB1033579" s="38"/>
    </row>
    <row r="1033580" spans="54:54" ht="15.75" customHeight="1" x14ac:dyDescent="0.3">
      <c r="BB1033580" s="38"/>
    </row>
    <row r="1033581" spans="54:54" ht="15.75" customHeight="1" x14ac:dyDescent="0.3">
      <c r="BB1033581" s="38"/>
    </row>
    <row r="1033582" spans="54:54" ht="15.75" customHeight="1" x14ac:dyDescent="0.3">
      <c r="BB1033582" s="38"/>
    </row>
    <row r="1033583" spans="54:54" ht="15.75" customHeight="1" x14ac:dyDescent="0.3">
      <c r="BB1033583" s="38"/>
    </row>
    <row r="1033584" spans="54:54" ht="15.75" customHeight="1" x14ac:dyDescent="0.3">
      <c r="BB1033584" s="38"/>
    </row>
    <row r="1033585" spans="54:54" ht="15.75" customHeight="1" x14ac:dyDescent="0.3">
      <c r="BB1033585" s="38"/>
    </row>
    <row r="1033586" spans="54:54" ht="15.75" customHeight="1" x14ac:dyDescent="0.3">
      <c r="BB1033586" s="38"/>
    </row>
    <row r="1033587" spans="54:54" ht="15.75" customHeight="1" x14ac:dyDescent="0.3">
      <c r="BB1033587" s="38"/>
    </row>
    <row r="1033588" spans="54:54" ht="15.75" customHeight="1" x14ac:dyDescent="0.3">
      <c r="BB1033588" s="38"/>
    </row>
    <row r="1033589" spans="54:54" ht="15.75" customHeight="1" x14ac:dyDescent="0.3">
      <c r="BB1033589" s="38"/>
    </row>
    <row r="1033590" spans="54:54" ht="15.75" customHeight="1" x14ac:dyDescent="0.3">
      <c r="BB1033590" s="38"/>
    </row>
    <row r="1033591" spans="54:54" ht="15.75" customHeight="1" x14ac:dyDescent="0.3">
      <c r="BB1033591" s="38"/>
    </row>
    <row r="1033592" spans="54:54" ht="15.75" customHeight="1" x14ac:dyDescent="0.3">
      <c r="BB1033592" s="38"/>
    </row>
    <row r="1033593" spans="54:54" ht="15.75" customHeight="1" x14ac:dyDescent="0.3">
      <c r="BB1033593" s="38"/>
    </row>
    <row r="1033594" spans="54:54" ht="15.75" customHeight="1" x14ac:dyDescent="0.3">
      <c r="BB1033594" s="38"/>
    </row>
    <row r="1033595" spans="54:54" ht="15.75" customHeight="1" x14ac:dyDescent="0.3">
      <c r="BB1033595" s="38"/>
    </row>
    <row r="1033596" spans="54:54" ht="15.75" customHeight="1" x14ac:dyDescent="0.3">
      <c r="BB1033596" s="38"/>
    </row>
    <row r="1033597" spans="54:54" ht="15.75" customHeight="1" x14ac:dyDescent="0.3">
      <c r="BB1033597" s="38"/>
    </row>
    <row r="1033598" spans="54:54" ht="15.75" customHeight="1" x14ac:dyDescent="0.3">
      <c r="BB1033598" s="38"/>
    </row>
    <row r="1033599" spans="54:54" ht="15.75" customHeight="1" x14ac:dyDescent="0.3">
      <c r="BB1033599" s="38"/>
    </row>
    <row r="1033600" spans="54:54" ht="15.75" customHeight="1" x14ac:dyDescent="0.3">
      <c r="BB1033600" s="38"/>
    </row>
    <row r="1033601" spans="54:54" ht="15.75" customHeight="1" x14ac:dyDescent="0.3">
      <c r="BB1033601" s="38"/>
    </row>
    <row r="1033602" spans="54:54" ht="15.75" customHeight="1" x14ac:dyDescent="0.3">
      <c r="BB1033602" s="38"/>
    </row>
    <row r="1033603" spans="54:54" ht="15.75" customHeight="1" x14ac:dyDescent="0.3">
      <c r="BB1033603" s="38"/>
    </row>
    <row r="1033604" spans="54:54" ht="15.75" customHeight="1" x14ac:dyDescent="0.3">
      <c r="BB1033604" s="38"/>
    </row>
    <row r="1033605" spans="54:54" ht="15.75" customHeight="1" x14ac:dyDescent="0.3">
      <c r="BB1033605" s="38"/>
    </row>
    <row r="1033606" spans="54:54" ht="15.75" customHeight="1" x14ac:dyDescent="0.3">
      <c r="BB1033606" s="38"/>
    </row>
    <row r="1033607" spans="54:54" ht="15.75" customHeight="1" x14ac:dyDescent="0.3">
      <c r="BB1033607" s="38"/>
    </row>
    <row r="1033608" spans="54:54" ht="15.75" customHeight="1" x14ac:dyDescent="0.3">
      <c r="BB1033608" s="38"/>
    </row>
    <row r="1033609" spans="54:54" ht="15.75" customHeight="1" x14ac:dyDescent="0.3">
      <c r="BB1033609" s="38"/>
    </row>
    <row r="1033610" spans="54:54" ht="15.75" customHeight="1" x14ac:dyDescent="0.3">
      <c r="BB1033610" s="38"/>
    </row>
    <row r="1033611" spans="54:54" ht="15.75" customHeight="1" x14ac:dyDescent="0.3">
      <c r="BB1033611" s="38"/>
    </row>
    <row r="1033612" spans="54:54" ht="15.75" customHeight="1" x14ac:dyDescent="0.3">
      <c r="BB1033612" s="38"/>
    </row>
    <row r="1033613" spans="54:54" ht="15.75" customHeight="1" x14ac:dyDescent="0.3">
      <c r="BB1033613" s="38"/>
    </row>
    <row r="1033614" spans="54:54" ht="15.75" customHeight="1" x14ac:dyDescent="0.3">
      <c r="BB1033614" s="38"/>
    </row>
    <row r="1033615" spans="54:54" ht="15.75" customHeight="1" x14ac:dyDescent="0.3">
      <c r="BB1033615" s="38"/>
    </row>
    <row r="1033616" spans="54:54" ht="15.75" customHeight="1" x14ac:dyDescent="0.3">
      <c r="BB1033616" s="38"/>
    </row>
    <row r="1033617" spans="54:54" ht="15.75" customHeight="1" x14ac:dyDescent="0.3">
      <c r="BB1033617" s="38"/>
    </row>
    <row r="1033618" spans="54:54" ht="15.75" customHeight="1" x14ac:dyDescent="0.3">
      <c r="BB1033618" s="38"/>
    </row>
    <row r="1033619" spans="54:54" ht="15.75" customHeight="1" x14ac:dyDescent="0.3">
      <c r="BB1033619" s="38"/>
    </row>
    <row r="1033620" spans="54:54" ht="15.75" customHeight="1" x14ac:dyDescent="0.3">
      <c r="BB1033620" s="38"/>
    </row>
    <row r="1033621" spans="54:54" ht="15.75" customHeight="1" x14ac:dyDescent="0.3">
      <c r="BB1033621" s="38"/>
    </row>
    <row r="1033622" spans="54:54" ht="15.75" customHeight="1" x14ac:dyDescent="0.3">
      <c r="BB1033622" s="38"/>
    </row>
    <row r="1033623" spans="54:54" ht="15.75" customHeight="1" x14ac:dyDescent="0.3">
      <c r="BB1033623" s="38"/>
    </row>
    <row r="1033624" spans="54:54" ht="15.75" customHeight="1" x14ac:dyDescent="0.3">
      <c r="BB1033624" s="38"/>
    </row>
    <row r="1033625" spans="54:54" ht="15.75" customHeight="1" x14ac:dyDescent="0.3">
      <c r="BB1033625" s="38"/>
    </row>
    <row r="1033626" spans="54:54" ht="15.75" customHeight="1" x14ac:dyDescent="0.3">
      <c r="BB1033626" s="38"/>
    </row>
    <row r="1033627" spans="54:54" ht="15.75" customHeight="1" x14ac:dyDescent="0.3">
      <c r="BB1033627" s="38"/>
    </row>
    <row r="1033628" spans="54:54" ht="15.75" customHeight="1" x14ac:dyDescent="0.3">
      <c r="BB1033628" s="38"/>
    </row>
    <row r="1033629" spans="54:54" ht="15.75" customHeight="1" x14ac:dyDescent="0.3">
      <c r="BB1033629" s="38"/>
    </row>
    <row r="1033630" spans="54:54" ht="15.75" customHeight="1" x14ac:dyDescent="0.3">
      <c r="BB1033630" s="38"/>
    </row>
    <row r="1033631" spans="54:54" ht="15.75" customHeight="1" x14ac:dyDescent="0.3">
      <c r="BB1033631" s="38"/>
    </row>
    <row r="1033632" spans="54:54" ht="15.75" customHeight="1" x14ac:dyDescent="0.3">
      <c r="BB1033632" s="38"/>
    </row>
    <row r="1033633" spans="54:54" ht="15.75" customHeight="1" x14ac:dyDescent="0.3">
      <c r="BB1033633" s="38"/>
    </row>
    <row r="1033634" spans="54:54" ht="15.75" customHeight="1" x14ac:dyDescent="0.3">
      <c r="BB1033634" s="38"/>
    </row>
    <row r="1033635" spans="54:54" ht="15.75" customHeight="1" x14ac:dyDescent="0.3">
      <c r="BB1033635" s="38"/>
    </row>
    <row r="1033636" spans="54:54" ht="15.75" customHeight="1" x14ac:dyDescent="0.3">
      <c r="BB1033636" s="38"/>
    </row>
    <row r="1033637" spans="54:54" ht="15.75" customHeight="1" x14ac:dyDescent="0.3">
      <c r="BB1033637" s="38"/>
    </row>
    <row r="1033638" spans="54:54" ht="15.75" customHeight="1" x14ac:dyDescent="0.3">
      <c r="BB1033638" s="38"/>
    </row>
    <row r="1033639" spans="54:54" ht="15.75" customHeight="1" x14ac:dyDescent="0.3">
      <c r="BB1033639" s="38"/>
    </row>
    <row r="1033640" spans="54:54" ht="15.75" customHeight="1" x14ac:dyDescent="0.3">
      <c r="BB1033640" s="38"/>
    </row>
    <row r="1033641" spans="54:54" ht="15.75" customHeight="1" x14ac:dyDescent="0.3">
      <c r="BB1033641" s="38"/>
    </row>
    <row r="1033642" spans="54:54" ht="15.75" customHeight="1" x14ac:dyDescent="0.3">
      <c r="BB1033642" s="38"/>
    </row>
    <row r="1033643" spans="54:54" ht="15.75" customHeight="1" x14ac:dyDescent="0.3">
      <c r="BB1033643" s="38"/>
    </row>
    <row r="1033644" spans="54:54" ht="15.75" customHeight="1" x14ac:dyDescent="0.3">
      <c r="BB1033644" s="38"/>
    </row>
    <row r="1033645" spans="54:54" ht="15.75" customHeight="1" x14ac:dyDescent="0.3">
      <c r="BB1033645" s="38"/>
    </row>
    <row r="1033646" spans="54:54" ht="15.75" customHeight="1" x14ac:dyDescent="0.3">
      <c r="BB1033646" s="38"/>
    </row>
    <row r="1033647" spans="54:54" ht="15.75" customHeight="1" x14ac:dyDescent="0.3">
      <c r="BB1033647" s="38"/>
    </row>
    <row r="1033648" spans="54:54" ht="15.75" customHeight="1" x14ac:dyDescent="0.3">
      <c r="BB1033648" s="38"/>
    </row>
    <row r="1033649" spans="54:54" ht="15.75" customHeight="1" x14ac:dyDescent="0.3">
      <c r="BB1033649" s="38"/>
    </row>
    <row r="1033650" spans="54:54" ht="15.75" customHeight="1" x14ac:dyDescent="0.3">
      <c r="BB1033650" s="38"/>
    </row>
    <row r="1033651" spans="54:54" ht="15.75" customHeight="1" x14ac:dyDescent="0.3">
      <c r="BB1033651" s="38"/>
    </row>
    <row r="1033652" spans="54:54" ht="15.75" customHeight="1" x14ac:dyDescent="0.3">
      <c r="BB1033652" s="38"/>
    </row>
    <row r="1033653" spans="54:54" ht="15.75" customHeight="1" x14ac:dyDescent="0.3">
      <c r="BB1033653" s="38"/>
    </row>
    <row r="1033654" spans="54:54" ht="15.75" customHeight="1" x14ac:dyDescent="0.3">
      <c r="BB1033654" s="38"/>
    </row>
    <row r="1033655" spans="54:54" ht="15.75" customHeight="1" x14ac:dyDescent="0.3">
      <c r="BB1033655" s="38"/>
    </row>
    <row r="1033656" spans="54:54" ht="15.75" customHeight="1" x14ac:dyDescent="0.3">
      <c r="BB1033656" s="38"/>
    </row>
    <row r="1033657" spans="54:54" ht="15.75" customHeight="1" x14ac:dyDescent="0.3">
      <c r="BB1033657" s="38"/>
    </row>
    <row r="1033658" spans="54:54" ht="15.75" customHeight="1" x14ac:dyDescent="0.3">
      <c r="BB1033658" s="38"/>
    </row>
    <row r="1033659" spans="54:54" ht="15.75" customHeight="1" x14ac:dyDescent="0.3">
      <c r="BB1033659" s="38"/>
    </row>
    <row r="1033660" spans="54:54" ht="15.75" customHeight="1" x14ac:dyDescent="0.3">
      <c r="BB1033660" s="38"/>
    </row>
    <row r="1033661" spans="54:54" ht="15.75" customHeight="1" x14ac:dyDescent="0.3">
      <c r="BB1033661" s="38"/>
    </row>
    <row r="1033662" spans="54:54" ht="15.75" customHeight="1" x14ac:dyDescent="0.3">
      <c r="BB1033662" s="38"/>
    </row>
    <row r="1033663" spans="54:54" ht="15.75" customHeight="1" x14ac:dyDescent="0.3">
      <c r="BB1033663" s="38"/>
    </row>
    <row r="1033664" spans="54:54" ht="15.75" customHeight="1" x14ac:dyDescent="0.3">
      <c r="BB1033664" s="38"/>
    </row>
    <row r="1033665" spans="54:54" ht="15.75" customHeight="1" x14ac:dyDescent="0.3">
      <c r="BB1033665" s="38"/>
    </row>
    <row r="1033666" spans="54:54" ht="15.75" customHeight="1" x14ac:dyDescent="0.3">
      <c r="BB1033666" s="38"/>
    </row>
    <row r="1033667" spans="54:54" ht="15.75" customHeight="1" x14ac:dyDescent="0.3">
      <c r="BB1033667" s="38"/>
    </row>
    <row r="1033668" spans="54:54" ht="15.75" customHeight="1" x14ac:dyDescent="0.3">
      <c r="BB1033668" s="38"/>
    </row>
    <row r="1033669" spans="54:54" ht="15.75" customHeight="1" x14ac:dyDescent="0.3">
      <c r="BB1033669" s="38"/>
    </row>
    <row r="1033670" spans="54:54" ht="15.75" customHeight="1" x14ac:dyDescent="0.3">
      <c r="BB1033670" s="38"/>
    </row>
    <row r="1033671" spans="54:54" ht="15.75" customHeight="1" x14ac:dyDescent="0.3">
      <c r="BB1033671" s="38"/>
    </row>
    <row r="1033672" spans="54:54" ht="15.75" customHeight="1" x14ac:dyDescent="0.3">
      <c r="BB1033672" s="38"/>
    </row>
    <row r="1033673" spans="54:54" ht="15.75" customHeight="1" x14ac:dyDescent="0.3">
      <c r="BB1033673" s="38"/>
    </row>
    <row r="1033674" spans="54:54" ht="15.75" customHeight="1" x14ac:dyDescent="0.3">
      <c r="BB1033674" s="38"/>
    </row>
    <row r="1033675" spans="54:54" ht="15.75" customHeight="1" x14ac:dyDescent="0.3">
      <c r="BB1033675" s="38"/>
    </row>
    <row r="1033676" spans="54:54" ht="15.75" customHeight="1" x14ac:dyDescent="0.3">
      <c r="BB1033676" s="38"/>
    </row>
    <row r="1033677" spans="54:54" ht="15.75" customHeight="1" x14ac:dyDescent="0.3">
      <c r="BB1033677" s="38"/>
    </row>
    <row r="1033678" spans="54:54" ht="15.75" customHeight="1" x14ac:dyDescent="0.3">
      <c r="BB1033678" s="38"/>
    </row>
    <row r="1033679" spans="54:54" ht="15.75" customHeight="1" x14ac:dyDescent="0.3">
      <c r="BB1033679" s="38"/>
    </row>
    <row r="1033680" spans="54:54" ht="15.75" customHeight="1" x14ac:dyDescent="0.3">
      <c r="BB1033680" s="38"/>
    </row>
    <row r="1033681" spans="54:54" ht="15.75" customHeight="1" x14ac:dyDescent="0.3">
      <c r="BB1033681" s="38"/>
    </row>
    <row r="1033682" spans="54:54" ht="15.75" customHeight="1" x14ac:dyDescent="0.3">
      <c r="BB1033682" s="38"/>
    </row>
    <row r="1033683" spans="54:54" ht="15.75" customHeight="1" x14ac:dyDescent="0.3">
      <c r="BB1033683" s="38"/>
    </row>
    <row r="1033684" spans="54:54" ht="15.75" customHeight="1" x14ac:dyDescent="0.3">
      <c r="BB1033684" s="38"/>
    </row>
    <row r="1033685" spans="54:54" ht="15.75" customHeight="1" x14ac:dyDescent="0.3">
      <c r="BB1033685" s="38"/>
    </row>
    <row r="1033686" spans="54:54" ht="15.75" customHeight="1" x14ac:dyDescent="0.3">
      <c r="BB1033686" s="38"/>
    </row>
    <row r="1033687" spans="54:54" ht="15.75" customHeight="1" x14ac:dyDescent="0.3">
      <c r="BB1033687" s="38"/>
    </row>
    <row r="1033688" spans="54:54" ht="15.75" customHeight="1" x14ac:dyDescent="0.3">
      <c r="BB1033688" s="38"/>
    </row>
    <row r="1033689" spans="54:54" ht="15.75" customHeight="1" x14ac:dyDescent="0.3">
      <c r="BB1033689" s="38"/>
    </row>
    <row r="1033690" spans="54:54" ht="15.75" customHeight="1" x14ac:dyDescent="0.3">
      <c r="BB1033690" s="38"/>
    </row>
    <row r="1033691" spans="54:54" ht="15.75" customHeight="1" x14ac:dyDescent="0.3">
      <c r="BB1033691" s="38"/>
    </row>
    <row r="1033692" spans="54:54" ht="15.75" customHeight="1" x14ac:dyDescent="0.3">
      <c r="BB1033692" s="38"/>
    </row>
    <row r="1033693" spans="54:54" ht="15.75" customHeight="1" x14ac:dyDescent="0.3">
      <c r="BB1033693" s="38"/>
    </row>
    <row r="1033694" spans="54:54" ht="15.75" customHeight="1" x14ac:dyDescent="0.3">
      <c r="BB1033694" s="38"/>
    </row>
    <row r="1033695" spans="54:54" ht="15.75" customHeight="1" x14ac:dyDescent="0.3">
      <c r="BB1033695" s="38"/>
    </row>
    <row r="1033696" spans="54:54" ht="15.75" customHeight="1" x14ac:dyDescent="0.3">
      <c r="BB1033696" s="38"/>
    </row>
    <row r="1033697" spans="54:54" ht="15.75" customHeight="1" x14ac:dyDescent="0.3">
      <c r="BB1033697" s="38"/>
    </row>
    <row r="1033698" spans="54:54" ht="15.75" customHeight="1" x14ac:dyDescent="0.3">
      <c r="BB1033698" s="38"/>
    </row>
    <row r="1033699" spans="54:54" ht="15.75" customHeight="1" x14ac:dyDescent="0.3">
      <c r="BB1033699" s="38"/>
    </row>
    <row r="1033700" spans="54:54" ht="15.75" customHeight="1" x14ac:dyDescent="0.3">
      <c r="BB1033700" s="38"/>
    </row>
    <row r="1033701" spans="54:54" ht="15.75" customHeight="1" x14ac:dyDescent="0.3">
      <c r="BB1033701" s="38"/>
    </row>
    <row r="1033702" spans="54:54" ht="15.75" customHeight="1" x14ac:dyDescent="0.3">
      <c r="BB1033702" s="38"/>
    </row>
    <row r="1033703" spans="54:54" ht="15.75" customHeight="1" x14ac:dyDescent="0.3">
      <c r="BB1033703" s="38"/>
    </row>
    <row r="1033704" spans="54:54" ht="15.75" customHeight="1" x14ac:dyDescent="0.3">
      <c r="BB1033704" s="38"/>
    </row>
    <row r="1033705" spans="54:54" ht="15.75" customHeight="1" x14ac:dyDescent="0.3">
      <c r="BB1033705" s="38"/>
    </row>
    <row r="1033706" spans="54:54" ht="15.75" customHeight="1" x14ac:dyDescent="0.3">
      <c r="BB1033706" s="38"/>
    </row>
    <row r="1033707" spans="54:54" ht="15.75" customHeight="1" x14ac:dyDescent="0.3">
      <c r="BB1033707" s="38"/>
    </row>
    <row r="1033708" spans="54:54" ht="15.75" customHeight="1" x14ac:dyDescent="0.3">
      <c r="BB1033708" s="38"/>
    </row>
    <row r="1033709" spans="54:54" ht="15.75" customHeight="1" x14ac:dyDescent="0.3">
      <c r="BB1033709" s="38"/>
    </row>
    <row r="1033710" spans="54:54" ht="15.75" customHeight="1" x14ac:dyDescent="0.3">
      <c r="BB1033710" s="38"/>
    </row>
    <row r="1033711" spans="54:54" ht="15.75" customHeight="1" x14ac:dyDescent="0.3">
      <c r="BB1033711" s="38"/>
    </row>
    <row r="1033712" spans="54:54" ht="15.75" customHeight="1" x14ac:dyDescent="0.3">
      <c r="BB1033712" s="38"/>
    </row>
    <row r="1033713" spans="54:54" ht="15.75" customHeight="1" x14ac:dyDescent="0.3">
      <c r="BB1033713" s="38"/>
    </row>
    <row r="1033714" spans="54:54" ht="15.75" customHeight="1" x14ac:dyDescent="0.3">
      <c r="BB1033714" s="38"/>
    </row>
    <row r="1033715" spans="54:54" ht="15.75" customHeight="1" x14ac:dyDescent="0.3">
      <c r="BB1033715" s="38"/>
    </row>
    <row r="1033716" spans="54:54" ht="15.75" customHeight="1" x14ac:dyDescent="0.3">
      <c r="BB1033716" s="38"/>
    </row>
    <row r="1033717" spans="54:54" ht="15.75" customHeight="1" x14ac:dyDescent="0.3">
      <c r="BB1033717" s="38"/>
    </row>
    <row r="1033718" spans="54:54" ht="15.75" customHeight="1" x14ac:dyDescent="0.3">
      <c r="BB1033718" s="38"/>
    </row>
    <row r="1033719" spans="54:54" ht="15.75" customHeight="1" x14ac:dyDescent="0.3">
      <c r="BB1033719" s="38"/>
    </row>
    <row r="1033720" spans="54:54" ht="15.75" customHeight="1" x14ac:dyDescent="0.3">
      <c r="BB1033720" s="38"/>
    </row>
    <row r="1033721" spans="54:54" ht="15.75" customHeight="1" x14ac:dyDescent="0.3">
      <c r="BB1033721" s="38"/>
    </row>
    <row r="1033722" spans="54:54" ht="15.75" customHeight="1" x14ac:dyDescent="0.3">
      <c r="BB1033722" s="38"/>
    </row>
    <row r="1033723" spans="54:54" ht="15.75" customHeight="1" x14ac:dyDescent="0.3">
      <c r="BB1033723" s="38"/>
    </row>
    <row r="1033724" spans="54:54" ht="15.75" customHeight="1" x14ac:dyDescent="0.3">
      <c r="BB1033724" s="38"/>
    </row>
    <row r="1033725" spans="54:54" ht="15.75" customHeight="1" x14ac:dyDescent="0.3">
      <c r="BB1033725" s="38"/>
    </row>
    <row r="1033726" spans="54:54" ht="15.75" customHeight="1" x14ac:dyDescent="0.3">
      <c r="BB1033726" s="38"/>
    </row>
    <row r="1033727" spans="54:54" ht="15.75" customHeight="1" x14ac:dyDescent="0.3">
      <c r="BB1033727" s="38"/>
    </row>
    <row r="1033728" spans="54:54" ht="15.75" customHeight="1" x14ac:dyDescent="0.3">
      <c r="BB1033728" s="38"/>
    </row>
    <row r="1033729" spans="54:54" ht="15.75" customHeight="1" x14ac:dyDescent="0.3">
      <c r="BB1033729" s="38"/>
    </row>
    <row r="1033730" spans="54:54" ht="15.75" customHeight="1" x14ac:dyDescent="0.3">
      <c r="BB1033730" s="38"/>
    </row>
    <row r="1033731" spans="54:54" ht="15.75" customHeight="1" x14ac:dyDescent="0.3">
      <c r="BB1033731" s="38"/>
    </row>
    <row r="1033732" spans="54:54" ht="15.75" customHeight="1" x14ac:dyDescent="0.3">
      <c r="BB1033732" s="38"/>
    </row>
    <row r="1033733" spans="54:54" ht="15.75" customHeight="1" x14ac:dyDescent="0.3">
      <c r="BB1033733" s="38"/>
    </row>
    <row r="1033734" spans="54:54" ht="15.75" customHeight="1" x14ac:dyDescent="0.3">
      <c r="BB1033734" s="38"/>
    </row>
    <row r="1033735" spans="54:54" ht="15.75" customHeight="1" x14ac:dyDescent="0.3">
      <c r="BB1033735" s="38"/>
    </row>
    <row r="1033736" spans="54:54" ht="15.75" customHeight="1" x14ac:dyDescent="0.3">
      <c r="BB1033736" s="38"/>
    </row>
    <row r="1033737" spans="54:54" ht="15.75" customHeight="1" x14ac:dyDescent="0.3">
      <c r="BB1033737" s="38"/>
    </row>
    <row r="1033738" spans="54:54" ht="15.75" customHeight="1" x14ac:dyDescent="0.3">
      <c r="BB1033738" s="38"/>
    </row>
    <row r="1033739" spans="54:54" ht="15.75" customHeight="1" x14ac:dyDescent="0.3">
      <c r="BB1033739" s="38"/>
    </row>
    <row r="1033740" spans="54:54" ht="15.75" customHeight="1" x14ac:dyDescent="0.3">
      <c r="BB1033740" s="38"/>
    </row>
    <row r="1033741" spans="54:54" ht="15.75" customHeight="1" x14ac:dyDescent="0.3">
      <c r="BB1033741" s="38"/>
    </row>
    <row r="1033742" spans="54:54" ht="15.75" customHeight="1" x14ac:dyDescent="0.3">
      <c r="BB1033742" s="38"/>
    </row>
    <row r="1033743" spans="54:54" ht="15.75" customHeight="1" x14ac:dyDescent="0.3">
      <c r="BB1033743" s="38"/>
    </row>
    <row r="1033744" spans="54:54" ht="15.75" customHeight="1" x14ac:dyDescent="0.3">
      <c r="BB1033744" s="38"/>
    </row>
    <row r="1033745" spans="54:54" ht="15.75" customHeight="1" x14ac:dyDescent="0.3">
      <c r="BB1033745" s="38"/>
    </row>
    <row r="1033746" spans="54:54" ht="15.75" customHeight="1" x14ac:dyDescent="0.3">
      <c r="BB1033746" s="38"/>
    </row>
    <row r="1033747" spans="54:54" ht="15.75" customHeight="1" x14ac:dyDescent="0.3">
      <c r="BB1033747" s="38"/>
    </row>
    <row r="1033748" spans="54:54" ht="15.75" customHeight="1" x14ac:dyDescent="0.3">
      <c r="BB1033748" s="38"/>
    </row>
    <row r="1033749" spans="54:54" ht="15.75" customHeight="1" x14ac:dyDescent="0.3">
      <c r="BB1033749" s="38"/>
    </row>
    <row r="1033750" spans="54:54" ht="15.75" customHeight="1" x14ac:dyDescent="0.3">
      <c r="BB1033750" s="38"/>
    </row>
    <row r="1033751" spans="54:54" ht="15.75" customHeight="1" x14ac:dyDescent="0.3">
      <c r="BB1033751" s="38"/>
    </row>
    <row r="1033752" spans="54:54" ht="15.75" customHeight="1" x14ac:dyDescent="0.3">
      <c r="BB1033752" s="38"/>
    </row>
    <row r="1033753" spans="54:54" ht="15.75" customHeight="1" x14ac:dyDescent="0.3">
      <c r="BB1033753" s="38"/>
    </row>
    <row r="1033754" spans="54:54" ht="15.75" customHeight="1" x14ac:dyDescent="0.3">
      <c r="BB1033754" s="38"/>
    </row>
    <row r="1033755" spans="54:54" ht="15.75" customHeight="1" x14ac:dyDescent="0.3">
      <c r="BB1033755" s="38"/>
    </row>
    <row r="1033756" spans="54:54" ht="15.75" customHeight="1" x14ac:dyDescent="0.3">
      <c r="BB1033756" s="38"/>
    </row>
    <row r="1033757" spans="54:54" ht="15.75" customHeight="1" x14ac:dyDescent="0.3">
      <c r="BB1033757" s="38"/>
    </row>
    <row r="1033758" spans="54:54" ht="15.75" customHeight="1" x14ac:dyDescent="0.3">
      <c r="BB1033758" s="38"/>
    </row>
    <row r="1033759" spans="54:54" ht="15.75" customHeight="1" x14ac:dyDescent="0.3">
      <c r="BB1033759" s="38"/>
    </row>
    <row r="1033760" spans="54:54" ht="15.75" customHeight="1" x14ac:dyDescent="0.3">
      <c r="BB1033760" s="38"/>
    </row>
    <row r="1033761" spans="54:54" ht="15.75" customHeight="1" x14ac:dyDescent="0.3">
      <c r="BB1033761" s="38"/>
    </row>
    <row r="1033762" spans="54:54" ht="15.75" customHeight="1" x14ac:dyDescent="0.3">
      <c r="BB1033762" s="38"/>
    </row>
    <row r="1033763" spans="54:54" ht="15.75" customHeight="1" x14ac:dyDescent="0.3">
      <c r="BB1033763" s="38"/>
    </row>
    <row r="1033764" spans="54:54" ht="15.75" customHeight="1" x14ac:dyDescent="0.3">
      <c r="BB1033764" s="38"/>
    </row>
    <row r="1033765" spans="54:54" ht="15.75" customHeight="1" x14ac:dyDescent="0.3">
      <c r="BB1033765" s="38"/>
    </row>
    <row r="1033766" spans="54:54" ht="15.75" customHeight="1" x14ac:dyDescent="0.3">
      <c r="BB1033766" s="38"/>
    </row>
    <row r="1033767" spans="54:54" ht="15.75" customHeight="1" x14ac:dyDescent="0.3">
      <c r="BB1033767" s="38"/>
    </row>
    <row r="1033768" spans="54:54" ht="15.75" customHeight="1" x14ac:dyDescent="0.3">
      <c r="BB1033768" s="38"/>
    </row>
    <row r="1033769" spans="54:54" ht="15.75" customHeight="1" x14ac:dyDescent="0.3">
      <c r="BB1033769" s="38"/>
    </row>
    <row r="1033770" spans="54:54" ht="15.75" customHeight="1" x14ac:dyDescent="0.3">
      <c r="BB1033770" s="38"/>
    </row>
    <row r="1033771" spans="54:54" ht="15.75" customHeight="1" x14ac:dyDescent="0.3">
      <c r="BB1033771" s="38"/>
    </row>
    <row r="1033772" spans="54:54" ht="15.75" customHeight="1" x14ac:dyDescent="0.3">
      <c r="BB1033772" s="38"/>
    </row>
    <row r="1033773" spans="54:54" ht="15.75" customHeight="1" x14ac:dyDescent="0.3">
      <c r="BB1033773" s="38"/>
    </row>
    <row r="1033774" spans="54:54" ht="15.75" customHeight="1" x14ac:dyDescent="0.3">
      <c r="BB1033774" s="38"/>
    </row>
    <row r="1033775" spans="54:54" ht="15.75" customHeight="1" x14ac:dyDescent="0.3">
      <c r="BB1033775" s="38"/>
    </row>
    <row r="1033776" spans="54:54" ht="15.75" customHeight="1" x14ac:dyDescent="0.3">
      <c r="BB1033776" s="38"/>
    </row>
    <row r="1033777" spans="54:54" ht="15.75" customHeight="1" x14ac:dyDescent="0.3">
      <c r="BB1033777" s="38"/>
    </row>
    <row r="1033778" spans="54:54" ht="15.75" customHeight="1" x14ac:dyDescent="0.3">
      <c r="BB1033778" s="38"/>
    </row>
    <row r="1033779" spans="54:54" ht="15.75" customHeight="1" x14ac:dyDescent="0.3">
      <c r="BB1033779" s="38"/>
    </row>
    <row r="1033780" spans="54:54" ht="15.75" customHeight="1" x14ac:dyDescent="0.3">
      <c r="BB1033780" s="38"/>
    </row>
    <row r="1033781" spans="54:54" ht="15.75" customHeight="1" x14ac:dyDescent="0.3">
      <c r="BB1033781" s="38"/>
    </row>
    <row r="1033782" spans="54:54" ht="15.75" customHeight="1" x14ac:dyDescent="0.3">
      <c r="BB1033782" s="38"/>
    </row>
    <row r="1033783" spans="54:54" ht="15.75" customHeight="1" x14ac:dyDescent="0.3">
      <c r="BB1033783" s="38"/>
    </row>
    <row r="1033784" spans="54:54" ht="15.75" customHeight="1" x14ac:dyDescent="0.3">
      <c r="BB1033784" s="38"/>
    </row>
    <row r="1033785" spans="54:54" ht="15.75" customHeight="1" x14ac:dyDescent="0.3">
      <c r="BB1033785" s="38"/>
    </row>
    <row r="1033786" spans="54:54" ht="15.75" customHeight="1" x14ac:dyDescent="0.3">
      <c r="BB1033786" s="38"/>
    </row>
    <row r="1033787" spans="54:54" ht="15.75" customHeight="1" x14ac:dyDescent="0.3">
      <c r="BB1033787" s="38"/>
    </row>
    <row r="1033788" spans="54:54" ht="15.75" customHeight="1" x14ac:dyDescent="0.3">
      <c r="BB1033788" s="38"/>
    </row>
    <row r="1033789" spans="54:54" ht="15.75" customHeight="1" x14ac:dyDescent="0.3">
      <c r="BB1033789" s="38"/>
    </row>
    <row r="1033790" spans="54:54" ht="15.75" customHeight="1" x14ac:dyDescent="0.3">
      <c r="BB1033790" s="38"/>
    </row>
    <row r="1033791" spans="54:54" ht="15.75" customHeight="1" x14ac:dyDescent="0.3">
      <c r="BB1033791" s="38"/>
    </row>
    <row r="1033792" spans="54:54" ht="15.75" customHeight="1" x14ac:dyDescent="0.3">
      <c r="BB1033792" s="38"/>
    </row>
    <row r="1033793" spans="54:54" ht="15.75" customHeight="1" x14ac:dyDescent="0.3">
      <c r="BB1033793" s="38"/>
    </row>
    <row r="1033794" spans="54:54" ht="15.75" customHeight="1" x14ac:dyDescent="0.3">
      <c r="BB1033794" s="38"/>
    </row>
    <row r="1033795" spans="54:54" ht="15.75" customHeight="1" x14ac:dyDescent="0.3">
      <c r="BB1033795" s="38"/>
    </row>
    <row r="1033796" spans="54:54" ht="15.75" customHeight="1" x14ac:dyDescent="0.3">
      <c r="BB1033796" s="38"/>
    </row>
    <row r="1033797" spans="54:54" ht="15.75" customHeight="1" x14ac:dyDescent="0.3">
      <c r="BB1033797" s="38"/>
    </row>
    <row r="1033798" spans="54:54" ht="15.75" customHeight="1" x14ac:dyDescent="0.3">
      <c r="BB1033798" s="38"/>
    </row>
    <row r="1033799" spans="54:54" ht="15.75" customHeight="1" x14ac:dyDescent="0.3">
      <c r="BB1033799" s="38"/>
    </row>
    <row r="1033800" spans="54:54" ht="15.75" customHeight="1" x14ac:dyDescent="0.3">
      <c r="BB1033800" s="38"/>
    </row>
    <row r="1033801" spans="54:54" ht="15.75" customHeight="1" x14ac:dyDescent="0.3">
      <c r="BB1033801" s="38"/>
    </row>
    <row r="1033802" spans="54:54" ht="15.75" customHeight="1" x14ac:dyDescent="0.3">
      <c r="BB1033802" s="38"/>
    </row>
    <row r="1033803" spans="54:54" ht="15.75" customHeight="1" x14ac:dyDescent="0.3">
      <c r="BB1033803" s="38"/>
    </row>
    <row r="1033804" spans="54:54" ht="15.75" customHeight="1" x14ac:dyDescent="0.3">
      <c r="BB1033804" s="38"/>
    </row>
    <row r="1033805" spans="54:54" ht="15.75" customHeight="1" x14ac:dyDescent="0.3">
      <c r="BB1033805" s="38"/>
    </row>
    <row r="1033806" spans="54:54" ht="15.75" customHeight="1" x14ac:dyDescent="0.3">
      <c r="BB1033806" s="38"/>
    </row>
    <row r="1033807" spans="54:54" ht="15.75" customHeight="1" x14ac:dyDescent="0.3">
      <c r="BB1033807" s="38"/>
    </row>
    <row r="1033808" spans="54:54" ht="15.75" customHeight="1" x14ac:dyDescent="0.3">
      <c r="BB1033808" s="38"/>
    </row>
    <row r="1033809" spans="54:54" ht="15.75" customHeight="1" x14ac:dyDescent="0.3">
      <c r="BB1033809" s="38"/>
    </row>
    <row r="1033810" spans="54:54" ht="15.75" customHeight="1" x14ac:dyDescent="0.3">
      <c r="BB1033810" s="38"/>
    </row>
    <row r="1033811" spans="54:54" ht="15.75" customHeight="1" x14ac:dyDescent="0.3">
      <c r="BB1033811" s="38"/>
    </row>
    <row r="1033812" spans="54:54" ht="15.75" customHeight="1" x14ac:dyDescent="0.3">
      <c r="BB1033812" s="38"/>
    </row>
    <row r="1033813" spans="54:54" ht="15.75" customHeight="1" x14ac:dyDescent="0.3">
      <c r="BB1033813" s="38"/>
    </row>
    <row r="1033814" spans="54:54" ht="15.75" customHeight="1" x14ac:dyDescent="0.3">
      <c r="BB1033814" s="38"/>
    </row>
    <row r="1033815" spans="54:54" ht="15.75" customHeight="1" x14ac:dyDescent="0.3">
      <c r="BB1033815" s="38"/>
    </row>
    <row r="1033816" spans="54:54" ht="15.75" customHeight="1" x14ac:dyDescent="0.3">
      <c r="BB1033816" s="38"/>
    </row>
    <row r="1033817" spans="54:54" ht="15.75" customHeight="1" x14ac:dyDescent="0.3">
      <c r="BB1033817" s="38"/>
    </row>
    <row r="1033818" spans="54:54" ht="15.75" customHeight="1" x14ac:dyDescent="0.3">
      <c r="BB1033818" s="38"/>
    </row>
    <row r="1033819" spans="54:54" ht="15.75" customHeight="1" x14ac:dyDescent="0.3">
      <c r="BB1033819" s="38"/>
    </row>
    <row r="1033820" spans="54:54" ht="15.75" customHeight="1" x14ac:dyDescent="0.3">
      <c r="BB1033820" s="38"/>
    </row>
    <row r="1033821" spans="54:54" ht="15.75" customHeight="1" x14ac:dyDescent="0.3">
      <c r="BB1033821" s="38"/>
    </row>
    <row r="1033822" spans="54:54" ht="15.75" customHeight="1" x14ac:dyDescent="0.3">
      <c r="BB1033822" s="38"/>
    </row>
    <row r="1033823" spans="54:54" ht="15.75" customHeight="1" x14ac:dyDescent="0.3">
      <c r="BB1033823" s="38"/>
    </row>
    <row r="1033824" spans="54:54" ht="15.75" customHeight="1" x14ac:dyDescent="0.3">
      <c r="BB1033824" s="38"/>
    </row>
    <row r="1033825" spans="54:54" ht="15.75" customHeight="1" x14ac:dyDescent="0.3">
      <c r="BB1033825" s="38"/>
    </row>
    <row r="1033826" spans="54:54" ht="15.75" customHeight="1" x14ac:dyDescent="0.3">
      <c r="BB1033826" s="38"/>
    </row>
    <row r="1033827" spans="54:54" ht="15.75" customHeight="1" x14ac:dyDescent="0.3">
      <c r="BB1033827" s="38"/>
    </row>
    <row r="1033828" spans="54:54" ht="15.75" customHeight="1" x14ac:dyDescent="0.3">
      <c r="BB1033828" s="38"/>
    </row>
    <row r="1033829" spans="54:54" ht="15.75" customHeight="1" x14ac:dyDescent="0.3">
      <c r="BB1033829" s="38"/>
    </row>
    <row r="1033830" spans="54:54" ht="15.75" customHeight="1" x14ac:dyDescent="0.3">
      <c r="BB1033830" s="38"/>
    </row>
    <row r="1033831" spans="54:54" ht="15.75" customHeight="1" x14ac:dyDescent="0.3">
      <c r="BB1033831" s="38"/>
    </row>
    <row r="1033832" spans="54:54" ht="15.75" customHeight="1" x14ac:dyDescent="0.3">
      <c r="BB1033832" s="38"/>
    </row>
    <row r="1033833" spans="54:54" ht="15.75" customHeight="1" x14ac:dyDescent="0.3">
      <c r="BB1033833" s="38"/>
    </row>
    <row r="1033834" spans="54:54" ht="15.75" customHeight="1" x14ac:dyDescent="0.3">
      <c r="BB1033834" s="38"/>
    </row>
    <row r="1033835" spans="54:54" ht="15.75" customHeight="1" x14ac:dyDescent="0.3">
      <c r="BB1033835" s="38"/>
    </row>
    <row r="1033836" spans="54:54" ht="15.75" customHeight="1" x14ac:dyDescent="0.3">
      <c r="BB1033836" s="38"/>
    </row>
    <row r="1033837" spans="54:54" ht="15.75" customHeight="1" x14ac:dyDescent="0.3">
      <c r="BB1033837" s="38"/>
    </row>
    <row r="1033838" spans="54:54" ht="15.75" customHeight="1" x14ac:dyDescent="0.3">
      <c r="BB1033838" s="38"/>
    </row>
    <row r="1033839" spans="54:54" ht="15.75" customHeight="1" x14ac:dyDescent="0.3">
      <c r="BB1033839" s="38"/>
    </row>
    <row r="1033840" spans="54:54" ht="15.75" customHeight="1" x14ac:dyDescent="0.3">
      <c r="BB1033840" s="38"/>
    </row>
    <row r="1033841" spans="54:54" ht="15.75" customHeight="1" x14ac:dyDescent="0.3">
      <c r="BB1033841" s="38"/>
    </row>
    <row r="1033842" spans="54:54" ht="15.75" customHeight="1" x14ac:dyDescent="0.3">
      <c r="BB1033842" s="38"/>
    </row>
    <row r="1033843" spans="54:54" ht="15.75" customHeight="1" x14ac:dyDescent="0.3">
      <c r="BB1033843" s="38"/>
    </row>
    <row r="1033844" spans="54:54" ht="15.75" customHeight="1" x14ac:dyDescent="0.3">
      <c r="BB1033844" s="38"/>
    </row>
    <row r="1033845" spans="54:54" ht="15.75" customHeight="1" x14ac:dyDescent="0.3">
      <c r="BB1033845" s="38"/>
    </row>
    <row r="1033846" spans="54:54" ht="15.75" customHeight="1" x14ac:dyDescent="0.3">
      <c r="BB1033846" s="38"/>
    </row>
    <row r="1033847" spans="54:54" ht="15.75" customHeight="1" x14ac:dyDescent="0.3">
      <c r="BB1033847" s="38"/>
    </row>
    <row r="1033848" spans="54:54" ht="15.75" customHeight="1" x14ac:dyDescent="0.3">
      <c r="BB1033848" s="38"/>
    </row>
    <row r="1033849" spans="54:54" ht="15.75" customHeight="1" x14ac:dyDescent="0.3">
      <c r="BB1033849" s="38"/>
    </row>
    <row r="1033850" spans="54:54" ht="15.75" customHeight="1" x14ac:dyDescent="0.3">
      <c r="BB1033850" s="38"/>
    </row>
    <row r="1033851" spans="54:54" ht="15.75" customHeight="1" x14ac:dyDescent="0.3">
      <c r="BB1033851" s="38"/>
    </row>
    <row r="1033852" spans="54:54" ht="15.75" customHeight="1" x14ac:dyDescent="0.3">
      <c r="BB1033852" s="38"/>
    </row>
    <row r="1033853" spans="54:54" ht="15.75" customHeight="1" x14ac:dyDescent="0.3">
      <c r="BB1033853" s="38"/>
    </row>
    <row r="1033854" spans="54:54" ht="15.75" customHeight="1" x14ac:dyDescent="0.3">
      <c r="BB1033854" s="38"/>
    </row>
    <row r="1033855" spans="54:54" ht="15.75" customHeight="1" x14ac:dyDescent="0.3">
      <c r="BB1033855" s="38"/>
    </row>
    <row r="1033856" spans="54:54" ht="15.75" customHeight="1" x14ac:dyDescent="0.3">
      <c r="BB1033856" s="38"/>
    </row>
    <row r="1033857" spans="54:54" ht="15.75" customHeight="1" x14ac:dyDescent="0.3">
      <c r="BB1033857" s="38"/>
    </row>
    <row r="1033858" spans="54:54" ht="15.75" customHeight="1" x14ac:dyDescent="0.3">
      <c r="BB1033858" s="38"/>
    </row>
    <row r="1033859" spans="54:54" ht="15.75" customHeight="1" x14ac:dyDescent="0.3">
      <c r="BB1033859" s="38"/>
    </row>
    <row r="1033860" spans="54:54" ht="15.75" customHeight="1" x14ac:dyDescent="0.3">
      <c r="BB1033860" s="38"/>
    </row>
    <row r="1033861" spans="54:54" ht="15.75" customHeight="1" x14ac:dyDescent="0.3">
      <c r="BB1033861" s="38"/>
    </row>
    <row r="1033862" spans="54:54" ht="15.75" customHeight="1" x14ac:dyDescent="0.3">
      <c r="BB1033862" s="38"/>
    </row>
    <row r="1033863" spans="54:54" ht="15.75" customHeight="1" x14ac:dyDescent="0.3">
      <c r="BB1033863" s="38"/>
    </row>
    <row r="1033864" spans="54:54" ht="15.75" customHeight="1" x14ac:dyDescent="0.3">
      <c r="BB1033864" s="38"/>
    </row>
    <row r="1033865" spans="54:54" ht="15.75" customHeight="1" x14ac:dyDescent="0.3">
      <c r="BB1033865" s="38"/>
    </row>
    <row r="1033866" spans="54:54" ht="15.75" customHeight="1" x14ac:dyDescent="0.3">
      <c r="BB1033866" s="38"/>
    </row>
    <row r="1033867" spans="54:54" ht="15.75" customHeight="1" x14ac:dyDescent="0.3">
      <c r="BB1033867" s="38"/>
    </row>
    <row r="1033868" spans="54:54" ht="15.75" customHeight="1" x14ac:dyDescent="0.3">
      <c r="BB1033868" s="38"/>
    </row>
    <row r="1033869" spans="54:54" ht="15.75" customHeight="1" x14ac:dyDescent="0.3">
      <c r="BB1033869" s="38"/>
    </row>
    <row r="1033870" spans="54:54" ht="15.75" customHeight="1" x14ac:dyDescent="0.3">
      <c r="BB1033870" s="38"/>
    </row>
    <row r="1033871" spans="54:54" ht="15.75" customHeight="1" x14ac:dyDescent="0.3">
      <c r="BB1033871" s="38"/>
    </row>
    <row r="1033872" spans="54:54" ht="15.75" customHeight="1" x14ac:dyDescent="0.3">
      <c r="BB1033872" s="38"/>
    </row>
    <row r="1033873" spans="54:54" ht="15.75" customHeight="1" x14ac:dyDescent="0.3">
      <c r="BB1033873" s="38"/>
    </row>
    <row r="1033874" spans="54:54" ht="15.75" customHeight="1" x14ac:dyDescent="0.3">
      <c r="BB1033874" s="38"/>
    </row>
    <row r="1033875" spans="54:54" ht="15.75" customHeight="1" x14ac:dyDescent="0.3">
      <c r="BB1033875" s="38"/>
    </row>
    <row r="1033876" spans="54:54" ht="15.75" customHeight="1" x14ac:dyDescent="0.3">
      <c r="BB1033876" s="38"/>
    </row>
    <row r="1033877" spans="54:54" ht="15.75" customHeight="1" x14ac:dyDescent="0.3">
      <c r="BB1033877" s="38"/>
    </row>
    <row r="1033878" spans="54:54" ht="15.75" customHeight="1" x14ac:dyDescent="0.3">
      <c r="BB1033878" s="38"/>
    </row>
    <row r="1033879" spans="54:54" ht="15.75" customHeight="1" x14ac:dyDescent="0.3">
      <c r="BB1033879" s="38"/>
    </row>
    <row r="1033880" spans="54:54" ht="15.75" customHeight="1" x14ac:dyDescent="0.3">
      <c r="BB1033880" s="38"/>
    </row>
    <row r="1033881" spans="54:54" ht="15.75" customHeight="1" x14ac:dyDescent="0.3">
      <c r="BB1033881" s="38"/>
    </row>
    <row r="1033882" spans="54:54" ht="15.75" customHeight="1" x14ac:dyDescent="0.3">
      <c r="BB1033882" s="38"/>
    </row>
    <row r="1033883" spans="54:54" ht="15.75" customHeight="1" x14ac:dyDescent="0.3">
      <c r="BB1033883" s="38"/>
    </row>
    <row r="1033884" spans="54:54" ht="15.75" customHeight="1" x14ac:dyDescent="0.3">
      <c r="BB1033884" s="38"/>
    </row>
    <row r="1033885" spans="54:54" ht="15.75" customHeight="1" x14ac:dyDescent="0.3">
      <c r="BB1033885" s="38"/>
    </row>
    <row r="1033886" spans="54:54" ht="15.75" customHeight="1" x14ac:dyDescent="0.3">
      <c r="BB1033886" s="38"/>
    </row>
    <row r="1033887" spans="54:54" ht="15.75" customHeight="1" x14ac:dyDescent="0.3">
      <c r="BB1033887" s="38"/>
    </row>
    <row r="1033888" spans="54:54" ht="15.75" customHeight="1" x14ac:dyDescent="0.3">
      <c r="BB1033888" s="38"/>
    </row>
    <row r="1033889" spans="54:54" ht="15.75" customHeight="1" x14ac:dyDescent="0.3">
      <c r="BB1033889" s="38"/>
    </row>
    <row r="1033890" spans="54:54" ht="15.75" customHeight="1" x14ac:dyDescent="0.3">
      <c r="BB1033890" s="38"/>
    </row>
    <row r="1033891" spans="54:54" ht="15.75" customHeight="1" x14ac:dyDescent="0.3">
      <c r="BB1033891" s="38"/>
    </row>
    <row r="1033892" spans="54:54" ht="15.75" customHeight="1" x14ac:dyDescent="0.3">
      <c r="BB1033892" s="38"/>
    </row>
    <row r="1033893" spans="54:54" ht="15.75" customHeight="1" x14ac:dyDescent="0.3">
      <c r="BB1033893" s="38"/>
    </row>
    <row r="1033894" spans="54:54" ht="15.75" customHeight="1" x14ac:dyDescent="0.3">
      <c r="BB1033894" s="38"/>
    </row>
    <row r="1033895" spans="54:54" ht="15.75" customHeight="1" x14ac:dyDescent="0.3">
      <c r="BB1033895" s="38"/>
    </row>
    <row r="1033896" spans="54:54" ht="15.75" customHeight="1" x14ac:dyDescent="0.3">
      <c r="BB1033896" s="38"/>
    </row>
    <row r="1033897" spans="54:54" ht="15.75" customHeight="1" x14ac:dyDescent="0.3">
      <c r="BB1033897" s="38"/>
    </row>
    <row r="1033898" spans="54:54" ht="15.75" customHeight="1" x14ac:dyDescent="0.3">
      <c r="BB1033898" s="38"/>
    </row>
    <row r="1033899" spans="54:54" ht="15.75" customHeight="1" x14ac:dyDescent="0.3">
      <c r="BB1033899" s="38"/>
    </row>
    <row r="1033900" spans="54:54" ht="15.75" customHeight="1" x14ac:dyDescent="0.3">
      <c r="BB1033900" s="38"/>
    </row>
    <row r="1033901" spans="54:54" ht="15.75" customHeight="1" x14ac:dyDescent="0.3">
      <c r="BB1033901" s="38"/>
    </row>
    <row r="1033902" spans="54:54" ht="15.75" customHeight="1" x14ac:dyDescent="0.3">
      <c r="BB1033902" s="38"/>
    </row>
    <row r="1033903" spans="54:54" ht="15.75" customHeight="1" x14ac:dyDescent="0.3">
      <c r="BB1033903" s="38"/>
    </row>
    <row r="1033904" spans="54:54" ht="15.75" customHeight="1" x14ac:dyDescent="0.3">
      <c r="BB1033904" s="38"/>
    </row>
    <row r="1033905" spans="54:54" ht="15.75" customHeight="1" x14ac:dyDescent="0.3">
      <c r="BB1033905" s="38"/>
    </row>
    <row r="1033906" spans="54:54" ht="15.75" customHeight="1" x14ac:dyDescent="0.3">
      <c r="BB1033906" s="38"/>
    </row>
    <row r="1033907" spans="54:54" ht="15.75" customHeight="1" x14ac:dyDescent="0.3">
      <c r="BB1033907" s="38"/>
    </row>
    <row r="1033908" spans="54:54" ht="15.75" customHeight="1" x14ac:dyDescent="0.3">
      <c r="BB1033908" s="38"/>
    </row>
    <row r="1033909" spans="54:54" ht="15.75" customHeight="1" x14ac:dyDescent="0.3">
      <c r="BB1033909" s="38"/>
    </row>
    <row r="1033910" spans="54:54" ht="15.75" customHeight="1" x14ac:dyDescent="0.3">
      <c r="BB1033910" s="38"/>
    </row>
    <row r="1033911" spans="54:54" ht="15.75" customHeight="1" x14ac:dyDescent="0.3">
      <c r="BB1033911" s="38"/>
    </row>
    <row r="1033912" spans="54:54" ht="15.75" customHeight="1" x14ac:dyDescent="0.3">
      <c r="BB1033912" s="38"/>
    </row>
    <row r="1033913" spans="54:54" ht="15.75" customHeight="1" x14ac:dyDescent="0.3">
      <c r="BB1033913" s="38"/>
    </row>
    <row r="1033914" spans="54:54" ht="15.75" customHeight="1" x14ac:dyDescent="0.3">
      <c r="BB1033914" s="38"/>
    </row>
    <row r="1033915" spans="54:54" ht="15.75" customHeight="1" x14ac:dyDescent="0.3">
      <c r="BB1033915" s="38"/>
    </row>
    <row r="1033916" spans="54:54" ht="15.75" customHeight="1" x14ac:dyDescent="0.3">
      <c r="BB1033916" s="38"/>
    </row>
    <row r="1033917" spans="54:54" ht="15.75" customHeight="1" x14ac:dyDescent="0.3">
      <c r="BB1033917" s="38"/>
    </row>
    <row r="1033918" spans="54:54" ht="15.75" customHeight="1" x14ac:dyDescent="0.3">
      <c r="BB1033918" s="38"/>
    </row>
    <row r="1033919" spans="54:54" ht="15.75" customHeight="1" x14ac:dyDescent="0.3">
      <c r="BB1033919" s="38"/>
    </row>
    <row r="1033920" spans="54:54" ht="15.75" customHeight="1" x14ac:dyDescent="0.3">
      <c r="BB1033920" s="38"/>
    </row>
    <row r="1033921" spans="54:54" ht="15.75" customHeight="1" x14ac:dyDescent="0.3">
      <c r="BB1033921" s="38"/>
    </row>
    <row r="1033922" spans="54:54" ht="15.75" customHeight="1" x14ac:dyDescent="0.3">
      <c r="BB1033922" s="38"/>
    </row>
    <row r="1033923" spans="54:54" ht="15.75" customHeight="1" x14ac:dyDescent="0.3">
      <c r="BB1033923" s="38"/>
    </row>
    <row r="1033924" spans="54:54" ht="15.75" customHeight="1" x14ac:dyDescent="0.3">
      <c r="BB1033924" s="38"/>
    </row>
    <row r="1033925" spans="54:54" ht="15.75" customHeight="1" x14ac:dyDescent="0.3">
      <c r="BB1033925" s="38"/>
    </row>
    <row r="1033926" spans="54:54" ht="15.75" customHeight="1" x14ac:dyDescent="0.3">
      <c r="BB1033926" s="38"/>
    </row>
    <row r="1033927" spans="54:54" ht="15.75" customHeight="1" x14ac:dyDescent="0.3">
      <c r="BB1033927" s="38"/>
    </row>
    <row r="1033928" spans="54:54" ht="15.75" customHeight="1" x14ac:dyDescent="0.3">
      <c r="BB1033928" s="38"/>
    </row>
    <row r="1033929" spans="54:54" ht="15.75" customHeight="1" x14ac:dyDescent="0.3">
      <c r="BB1033929" s="38"/>
    </row>
    <row r="1033930" spans="54:54" ht="15.75" customHeight="1" x14ac:dyDescent="0.3">
      <c r="BB1033930" s="38"/>
    </row>
    <row r="1033931" spans="54:54" ht="15.75" customHeight="1" x14ac:dyDescent="0.3">
      <c r="BB1033931" s="38"/>
    </row>
    <row r="1033932" spans="54:54" ht="15.75" customHeight="1" x14ac:dyDescent="0.3">
      <c r="BB1033932" s="38"/>
    </row>
    <row r="1033933" spans="54:54" ht="15.75" customHeight="1" x14ac:dyDescent="0.3">
      <c r="BB1033933" s="38"/>
    </row>
    <row r="1033934" spans="54:54" ht="15.75" customHeight="1" x14ac:dyDescent="0.3">
      <c r="BB1033934" s="38"/>
    </row>
    <row r="1033935" spans="54:54" ht="15.75" customHeight="1" x14ac:dyDescent="0.3">
      <c r="BB1033935" s="38"/>
    </row>
    <row r="1033936" spans="54:54" ht="15.75" customHeight="1" x14ac:dyDescent="0.3">
      <c r="BB1033936" s="38"/>
    </row>
    <row r="1033937" spans="54:54" ht="15.75" customHeight="1" x14ac:dyDescent="0.3">
      <c r="BB1033937" s="38"/>
    </row>
    <row r="1033938" spans="54:54" ht="15.75" customHeight="1" x14ac:dyDescent="0.3">
      <c r="BB1033938" s="38"/>
    </row>
    <row r="1033939" spans="54:54" ht="15.75" customHeight="1" x14ac:dyDescent="0.3">
      <c r="BB1033939" s="38"/>
    </row>
    <row r="1033940" spans="54:54" ht="15.75" customHeight="1" x14ac:dyDescent="0.3">
      <c r="BB1033940" s="38"/>
    </row>
    <row r="1033941" spans="54:54" ht="15.75" customHeight="1" x14ac:dyDescent="0.3">
      <c r="BB1033941" s="38"/>
    </row>
    <row r="1033942" spans="54:54" ht="15.75" customHeight="1" x14ac:dyDescent="0.3">
      <c r="BB1033942" s="38"/>
    </row>
    <row r="1033943" spans="54:54" ht="15.75" customHeight="1" x14ac:dyDescent="0.3">
      <c r="BB1033943" s="38"/>
    </row>
    <row r="1033944" spans="54:54" ht="15.75" customHeight="1" x14ac:dyDescent="0.3">
      <c r="BB1033944" s="38"/>
    </row>
    <row r="1033945" spans="54:54" ht="15.75" customHeight="1" x14ac:dyDescent="0.3">
      <c r="BB1033945" s="38"/>
    </row>
    <row r="1033946" spans="54:54" ht="15.75" customHeight="1" x14ac:dyDescent="0.3">
      <c r="BB1033946" s="38"/>
    </row>
    <row r="1033947" spans="54:54" ht="15.75" customHeight="1" x14ac:dyDescent="0.3">
      <c r="BB1033947" s="38"/>
    </row>
    <row r="1033948" spans="54:54" ht="15.75" customHeight="1" x14ac:dyDescent="0.3">
      <c r="BB1033948" s="38"/>
    </row>
    <row r="1033949" spans="54:54" ht="15.75" customHeight="1" x14ac:dyDescent="0.3">
      <c r="BB1033949" s="38"/>
    </row>
    <row r="1033950" spans="54:54" ht="15.75" customHeight="1" x14ac:dyDescent="0.3">
      <c r="BB1033950" s="38"/>
    </row>
    <row r="1033951" spans="54:54" ht="15.75" customHeight="1" x14ac:dyDescent="0.3">
      <c r="BB1033951" s="38"/>
    </row>
    <row r="1033952" spans="54:54" ht="15.75" customHeight="1" x14ac:dyDescent="0.3">
      <c r="BB1033952" s="38"/>
    </row>
    <row r="1033953" spans="54:54" ht="15.75" customHeight="1" x14ac:dyDescent="0.3">
      <c r="BB1033953" s="38"/>
    </row>
    <row r="1033954" spans="54:54" ht="15.75" customHeight="1" x14ac:dyDescent="0.3">
      <c r="BB1033954" s="38"/>
    </row>
    <row r="1033955" spans="54:54" ht="15.75" customHeight="1" x14ac:dyDescent="0.3">
      <c r="BB1033955" s="38"/>
    </row>
    <row r="1033956" spans="54:54" ht="15.75" customHeight="1" x14ac:dyDescent="0.3">
      <c r="BB1033956" s="38"/>
    </row>
    <row r="1033957" spans="54:54" ht="15.75" customHeight="1" x14ac:dyDescent="0.3">
      <c r="BB1033957" s="38"/>
    </row>
    <row r="1033958" spans="54:54" ht="15.75" customHeight="1" x14ac:dyDescent="0.3">
      <c r="BB1033958" s="38"/>
    </row>
    <row r="1033959" spans="54:54" ht="15.75" customHeight="1" x14ac:dyDescent="0.3">
      <c r="BB1033959" s="38"/>
    </row>
    <row r="1033960" spans="54:54" ht="15.75" customHeight="1" x14ac:dyDescent="0.3">
      <c r="BB1033960" s="38"/>
    </row>
    <row r="1033961" spans="54:54" ht="15.75" customHeight="1" x14ac:dyDescent="0.3">
      <c r="BB1033961" s="38"/>
    </row>
    <row r="1033962" spans="54:54" ht="15.75" customHeight="1" x14ac:dyDescent="0.3">
      <c r="BB1033962" s="38"/>
    </row>
    <row r="1033963" spans="54:54" ht="15.75" customHeight="1" x14ac:dyDescent="0.3">
      <c r="BB1033963" s="38"/>
    </row>
    <row r="1033964" spans="54:54" ht="15.75" customHeight="1" x14ac:dyDescent="0.3">
      <c r="BB1033964" s="38"/>
    </row>
    <row r="1033965" spans="54:54" ht="15.75" customHeight="1" x14ac:dyDescent="0.3">
      <c r="BB1033965" s="38"/>
    </row>
    <row r="1033966" spans="54:54" ht="15.75" customHeight="1" x14ac:dyDescent="0.3">
      <c r="BB1033966" s="38"/>
    </row>
    <row r="1033967" spans="54:54" ht="15.75" customHeight="1" x14ac:dyDescent="0.3">
      <c r="BB1033967" s="38"/>
    </row>
    <row r="1033968" spans="54:54" ht="15.75" customHeight="1" x14ac:dyDescent="0.3">
      <c r="BB1033968" s="38"/>
    </row>
    <row r="1033969" spans="54:54" ht="15.75" customHeight="1" x14ac:dyDescent="0.3">
      <c r="BB1033969" s="38"/>
    </row>
    <row r="1033970" spans="54:54" ht="15.75" customHeight="1" x14ac:dyDescent="0.3">
      <c r="BB1033970" s="38"/>
    </row>
    <row r="1033971" spans="54:54" ht="15.75" customHeight="1" x14ac:dyDescent="0.3">
      <c r="BB1033971" s="38"/>
    </row>
    <row r="1033972" spans="54:54" ht="15.75" customHeight="1" x14ac:dyDescent="0.3">
      <c r="BB1033972" s="38"/>
    </row>
    <row r="1033973" spans="54:54" ht="15.75" customHeight="1" x14ac:dyDescent="0.3">
      <c r="BB1033973" s="38"/>
    </row>
    <row r="1033974" spans="54:54" ht="15.75" customHeight="1" x14ac:dyDescent="0.3">
      <c r="BB1033974" s="38"/>
    </row>
    <row r="1033975" spans="54:54" ht="15.75" customHeight="1" x14ac:dyDescent="0.3">
      <c r="BB1033975" s="38"/>
    </row>
    <row r="1033976" spans="54:54" ht="15.75" customHeight="1" x14ac:dyDescent="0.3">
      <c r="BB1033976" s="38"/>
    </row>
    <row r="1033977" spans="54:54" ht="15.75" customHeight="1" x14ac:dyDescent="0.3">
      <c r="BB1033977" s="38"/>
    </row>
    <row r="1033978" spans="54:54" ht="15.75" customHeight="1" x14ac:dyDescent="0.3">
      <c r="BB1033978" s="38"/>
    </row>
    <row r="1033979" spans="54:54" ht="15.75" customHeight="1" x14ac:dyDescent="0.3">
      <c r="BB1033979" s="38"/>
    </row>
    <row r="1033980" spans="54:54" ht="15.75" customHeight="1" x14ac:dyDescent="0.3">
      <c r="BB1033980" s="38"/>
    </row>
    <row r="1033981" spans="54:54" ht="15.75" customHeight="1" x14ac:dyDescent="0.3">
      <c r="BB1033981" s="38"/>
    </row>
    <row r="1033982" spans="54:54" ht="15.75" customHeight="1" x14ac:dyDescent="0.3">
      <c r="BB1033982" s="38"/>
    </row>
    <row r="1033983" spans="54:54" ht="15.75" customHeight="1" x14ac:dyDescent="0.3">
      <c r="BB1033983" s="38"/>
    </row>
    <row r="1033984" spans="54:54" ht="15.75" customHeight="1" x14ac:dyDescent="0.3">
      <c r="BB1033984" s="38"/>
    </row>
    <row r="1033985" spans="54:54" ht="15.75" customHeight="1" x14ac:dyDescent="0.3">
      <c r="BB1033985" s="38"/>
    </row>
    <row r="1033986" spans="54:54" ht="15.75" customHeight="1" x14ac:dyDescent="0.3">
      <c r="BB1033986" s="38"/>
    </row>
    <row r="1033987" spans="54:54" ht="15.75" customHeight="1" x14ac:dyDescent="0.3">
      <c r="BB1033987" s="38"/>
    </row>
    <row r="1033988" spans="54:54" ht="15.75" customHeight="1" x14ac:dyDescent="0.3">
      <c r="BB1033988" s="38"/>
    </row>
    <row r="1033989" spans="54:54" ht="15.75" customHeight="1" x14ac:dyDescent="0.3">
      <c r="BB1033989" s="38"/>
    </row>
    <row r="1033990" spans="54:54" ht="15.75" customHeight="1" x14ac:dyDescent="0.3">
      <c r="BB1033990" s="38"/>
    </row>
    <row r="1033991" spans="54:54" ht="15.75" customHeight="1" x14ac:dyDescent="0.3">
      <c r="BB1033991" s="38"/>
    </row>
    <row r="1033992" spans="54:54" ht="15.75" customHeight="1" x14ac:dyDescent="0.3">
      <c r="BB1033992" s="38"/>
    </row>
    <row r="1033993" spans="54:54" ht="15.75" customHeight="1" x14ac:dyDescent="0.3">
      <c r="BB1033993" s="38"/>
    </row>
    <row r="1033994" spans="54:54" ht="15.75" customHeight="1" x14ac:dyDescent="0.3">
      <c r="BB1033994" s="38"/>
    </row>
    <row r="1033995" spans="54:54" ht="15.75" customHeight="1" x14ac:dyDescent="0.3">
      <c r="BB1033995" s="38"/>
    </row>
    <row r="1033996" spans="54:54" ht="15.75" customHeight="1" x14ac:dyDescent="0.3">
      <c r="BB1033996" s="38"/>
    </row>
    <row r="1033997" spans="54:54" ht="15.75" customHeight="1" x14ac:dyDescent="0.3">
      <c r="BB1033997" s="38"/>
    </row>
    <row r="1033998" spans="54:54" ht="15.75" customHeight="1" x14ac:dyDescent="0.3">
      <c r="BB1033998" s="38"/>
    </row>
    <row r="1033999" spans="54:54" ht="15.75" customHeight="1" x14ac:dyDescent="0.3">
      <c r="BB1033999" s="38"/>
    </row>
    <row r="1034000" spans="54:54" ht="15.75" customHeight="1" x14ac:dyDescent="0.3">
      <c r="BB1034000" s="38"/>
    </row>
    <row r="1034001" spans="54:54" ht="15.75" customHeight="1" x14ac:dyDescent="0.3">
      <c r="BB1034001" s="38"/>
    </row>
    <row r="1034002" spans="54:54" ht="15.75" customHeight="1" x14ac:dyDescent="0.3">
      <c r="BB1034002" s="38"/>
    </row>
    <row r="1034003" spans="54:54" ht="15.75" customHeight="1" x14ac:dyDescent="0.3">
      <c r="BB1034003" s="38"/>
    </row>
    <row r="1034004" spans="54:54" ht="15.75" customHeight="1" x14ac:dyDescent="0.3">
      <c r="BB1034004" s="38"/>
    </row>
    <row r="1034005" spans="54:54" ht="15.75" customHeight="1" x14ac:dyDescent="0.3">
      <c r="BB1034005" s="38"/>
    </row>
    <row r="1034006" spans="54:54" ht="15.75" customHeight="1" x14ac:dyDescent="0.3">
      <c r="BB1034006" s="38"/>
    </row>
    <row r="1034007" spans="54:54" ht="15.75" customHeight="1" x14ac:dyDescent="0.3">
      <c r="BB1034007" s="38"/>
    </row>
    <row r="1034008" spans="54:54" ht="15.75" customHeight="1" x14ac:dyDescent="0.3">
      <c r="BB1034008" s="38"/>
    </row>
    <row r="1034009" spans="54:54" ht="15.75" customHeight="1" x14ac:dyDescent="0.3">
      <c r="BB1034009" s="38"/>
    </row>
    <row r="1034010" spans="54:54" ht="15.75" customHeight="1" x14ac:dyDescent="0.3">
      <c r="BB1034010" s="38"/>
    </row>
    <row r="1034011" spans="54:54" ht="15.75" customHeight="1" x14ac:dyDescent="0.3">
      <c r="BB1034011" s="38"/>
    </row>
    <row r="1034012" spans="54:54" ht="15.75" customHeight="1" x14ac:dyDescent="0.3">
      <c r="BB1034012" s="38"/>
    </row>
    <row r="1034013" spans="54:54" ht="15.75" customHeight="1" x14ac:dyDescent="0.3">
      <c r="BB1034013" s="38"/>
    </row>
    <row r="1034014" spans="54:54" ht="15.75" customHeight="1" x14ac:dyDescent="0.3">
      <c r="BB1034014" s="38"/>
    </row>
    <row r="1034015" spans="54:54" ht="15.75" customHeight="1" x14ac:dyDescent="0.3">
      <c r="BB1034015" s="38"/>
    </row>
    <row r="1034016" spans="54:54" ht="15.75" customHeight="1" x14ac:dyDescent="0.3">
      <c r="BB1034016" s="38"/>
    </row>
    <row r="1034017" spans="54:54" ht="15.75" customHeight="1" x14ac:dyDescent="0.3">
      <c r="BB1034017" s="38"/>
    </row>
    <row r="1034018" spans="54:54" ht="15.75" customHeight="1" x14ac:dyDescent="0.3">
      <c r="BB1034018" s="38"/>
    </row>
    <row r="1034019" spans="54:54" ht="15.75" customHeight="1" x14ac:dyDescent="0.3">
      <c r="BB1034019" s="38"/>
    </row>
    <row r="1034020" spans="54:54" ht="15.75" customHeight="1" x14ac:dyDescent="0.3">
      <c r="BB1034020" s="38"/>
    </row>
    <row r="1034021" spans="54:54" ht="15.75" customHeight="1" x14ac:dyDescent="0.3">
      <c r="BB1034021" s="38"/>
    </row>
    <row r="1034022" spans="54:54" ht="15.75" customHeight="1" x14ac:dyDescent="0.3">
      <c r="BB1034022" s="38"/>
    </row>
    <row r="1034023" spans="54:54" ht="15.75" customHeight="1" x14ac:dyDescent="0.3">
      <c r="BB1034023" s="38"/>
    </row>
    <row r="1034024" spans="54:54" ht="15.75" customHeight="1" x14ac:dyDescent="0.3">
      <c r="BB1034024" s="38"/>
    </row>
    <row r="1034025" spans="54:54" ht="15.75" customHeight="1" x14ac:dyDescent="0.3">
      <c r="BB1034025" s="38"/>
    </row>
    <row r="1034026" spans="54:54" ht="15.75" customHeight="1" x14ac:dyDescent="0.3">
      <c r="BB1034026" s="38"/>
    </row>
    <row r="1034027" spans="54:54" ht="15.75" customHeight="1" x14ac:dyDescent="0.3">
      <c r="BB1034027" s="38"/>
    </row>
    <row r="1034028" spans="54:54" ht="15.75" customHeight="1" x14ac:dyDescent="0.3">
      <c r="BB1034028" s="38"/>
    </row>
    <row r="1034029" spans="54:54" ht="15.75" customHeight="1" x14ac:dyDescent="0.3">
      <c r="BB1034029" s="38"/>
    </row>
    <row r="1034030" spans="54:54" ht="15.75" customHeight="1" x14ac:dyDescent="0.3">
      <c r="BB1034030" s="38"/>
    </row>
    <row r="1034031" spans="54:54" ht="15.75" customHeight="1" x14ac:dyDescent="0.3">
      <c r="BB1034031" s="38"/>
    </row>
    <row r="1034032" spans="54:54" ht="15.75" customHeight="1" x14ac:dyDescent="0.3">
      <c r="BB1034032" s="38"/>
    </row>
    <row r="1034033" spans="54:54" ht="15.75" customHeight="1" x14ac:dyDescent="0.3">
      <c r="BB1034033" s="38"/>
    </row>
    <row r="1034034" spans="54:54" ht="15.75" customHeight="1" x14ac:dyDescent="0.3">
      <c r="BB1034034" s="38"/>
    </row>
    <row r="1034035" spans="54:54" ht="15.75" customHeight="1" x14ac:dyDescent="0.3">
      <c r="BB1034035" s="38"/>
    </row>
    <row r="1034036" spans="54:54" ht="15.75" customHeight="1" x14ac:dyDescent="0.3">
      <c r="BB1034036" s="38"/>
    </row>
    <row r="1034037" spans="54:54" ht="15.75" customHeight="1" x14ac:dyDescent="0.3">
      <c r="BB1034037" s="38"/>
    </row>
    <row r="1034038" spans="54:54" ht="15.75" customHeight="1" x14ac:dyDescent="0.3">
      <c r="BB1034038" s="38"/>
    </row>
    <row r="1034039" spans="54:54" ht="15.75" customHeight="1" x14ac:dyDescent="0.3">
      <c r="BB1034039" s="38"/>
    </row>
    <row r="1034040" spans="54:54" ht="15.75" customHeight="1" x14ac:dyDescent="0.3">
      <c r="BB1034040" s="38"/>
    </row>
    <row r="1034041" spans="54:54" ht="15.75" customHeight="1" x14ac:dyDescent="0.3">
      <c r="BB1034041" s="38"/>
    </row>
    <row r="1034042" spans="54:54" ht="15.75" customHeight="1" x14ac:dyDescent="0.3">
      <c r="BB1034042" s="38"/>
    </row>
    <row r="1034043" spans="54:54" ht="15.75" customHeight="1" x14ac:dyDescent="0.3">
      <c r="BB1034043" s="38"/>
    </row>
    <row r="1034044" spans="54:54" ht="15.75" customHeight="1" x14ac:dyDescent="0.3">
      <c r="BB1034044" s="38"/>
    </row>
    <row r="1034045" spans="54:54" ht="15.75" customHeight="1" x14ac:dyDescent="0.3">
      <c r="BB1034045" s="38"/>
    </row>
    <row r="1034046" spans="54:54" ht="15.75" customHeight="1" x14ac:dyDescent="0.3">
      <c r="BB1034046" s="38"/>
    </row>
    <row r="1034047" spans="54:54" ht="15.75" customHeight="1" x14ac:dyDescent="0.3">
      <c r="BB1034047" s="38"/>
    </row>
    <row r="1034048" spans="54:54" ht="15.75" customHeight="1" x14ac:dyDescent="0.3">
      <c r="BB1034048" s="38"/>
    </row>
    <row r="1034049" spans="54:54" ht="15.75" customHeight="1" x14ac:dyDescent="0.3">
      <c r="BB1034049" s="38"/>
    </row>
    <row r="1034050" spans="54:54" ht="15.75" customHeight="1" x14ac:dyDescent="0.3">
      <c r="BB1034050" s="38"/>
    </row>
    <row r="1034051" spans="54:54" ht="15.75" customHeight="1" x14ac:dyDescent="0.3">
      <c r="BB1034051" s="38"/>
    </row>
    <row r="1034052" spans="54:54" ht="15.75" customHeight="1" x14ac:dyDescent="0.3">
      <c r="BB1034052" s="38"/>
    </row>
    <row r="1034053" spans="54:54" ht="15.75" customHeight="1" x14ac:dyDescent="0.3">
      <c r="BB1034053" s="38"/>
    </row>
    <row r="1034054" spans="54:54" ht="15.75" customHeight="1" x14ac:dyDescent="0.3">
      <c r="BB1034054" s="38"/>
    </row>
    <row r="1034055" spans="54:54" ht="15.75" customHeight="1" x14ac:dyDescent="0.3">
      <c r="BB1034055" s="38"/>
    </row>
    <row r="1034056" spans="54:54" ht="15.75" customHeight="1" x14ac:dyDescent="0.3">
      <c r="BB1034056" s="38"/>
    </row>
    <row r="1034057" spans="54:54" ht="15.75" customHeight="1" x14ac:dyDescent="0.3">
      <c r="BB1034057" s="38"/>
    </row>
    <row r="1034058" spans="54:54" ht="15.75" customHeight="1" x14ac:dyDescent="0.3">
      <c r="BB1034058" s="38"/>
    </row>
    <row r="1034059" spans="54:54" ht="15.75" customHeight="1" x14ac:dyDescent="0.3">
      <c r="BB1034059" s="38"/>
    </row>
    <row r="1034060" spans="54:54" ht="15.75" customHeight="1" x14ac:dyDescent="0.3">
      <c r="BB1034060" s="38"/>
    </row>
    <row r="1034061" spans="54:54" ht="15.75" customHeight="1" x14ac:dyDescent="0.3">
      <c r="BB1034061" s="38"/>
    </row>
    <row r="1034062" spans="54:54" ht="15.75" customHeight="1" x14ac:dyDescent="0.3">
      <c r="BB1034062" s="38"/>
    </row>
    <row r="1034063" spans="54:54" ht="15.75" customHeight="1" x14ac:dyDescent="0.3">
      <c r="BB1034063" s="38"/>
    </row>
    <row r="1034064" spans="54:54" ht="15.75" customHeight="1" x14ac:dyDescent="0.3">
      <c r="BB1034064" s="38"/>
    </row>
    <row r="1034065" spans="54:54" ht="15.75" customHeight="1" x14ac:dyDescent="0.3">
      <c r="BB1034065" s="38"/>
    </row>
    <row r="1034066" spans="54:54" ht="15.75" customHeight="1" x14ac:dyDescent="0.3">
      <c r="BB1034066" s="38"/>
    </row>
    <row r="1034067" spans="54:54" ht="15.75" customHeight="1" x14ac:dyDescent="0.3">
      <c r="BB1034067" s="38"/>
    </row>
    <row r="1034068" spans="54:54" ht="15.75" customHeight="1" x14ac:dyDescent="0.3">
      <c r="BB1034068" s="38"/>
    </row>
    <row r="1034069" spans="54:54" ht="15.75" customHeight="1" x14ac:dyDescent="0.3">
      <c r="BB1034069" s="38"/>
    </row>
    <row r="1034070" spans="54:54" ht="15.75" customHeight="1" x14ac:dyDescent="0.3">
      <c r="BB1034070" s="38"/>
    </row>
    <row r="1034071" spans="54:54" ht="15.75" customHeight="1" x14ac:dyDescent="0.3">
      <c r="BB1034071" s="38"/>
    </row>
    <row r="1034072" spans="54:54" ht="15.75" customHeight="1" x14ac:dyDescent="0.3">
      <c r="BB1034072" s="38"/>
    </row>
    <row r="1034073" spans="54:54" ht="15.75" customHeight="1" x14ac:dyDescent="0.3">
      <c r="BB1034073" s="38"/>
    </row>
    <row r="1034074" spans="54:54" ht="15.75" customHeight="1" x14ac:dyDescent="0.3">
      <c r="BB1034074" s="38"/>
    </row>
    <row r="1034075" spans="54:54" ht="15.75" customHeight="1" x14ac:dyDescent="0.3">
      <c r="BB1034075" s="38"/>
    </row>
    <row r="1034076" spans="54:54" ht="15.75" customHeight="1" x14ac:dyDescent="0.3">
      <c r="BB1034076" s="38"/>
    </row>
    <row r="1034077" spans="54:54" ht="15.75" customHeight="1" x14ac:dyDescent="0.3">
      <c r="BB1034077" s="38"/>
    </row>
    <row r="1034078" spans="54:54" ht="15.75" customHeight="1" x14ac:dyDescent="0.3">
      <c r="BB1034078" s="38"/>
    </row>
    <row r="1034079" spans="54:54" ht="15.75" customHeight="1" x14ac:dyDescent="0.3">
      <c r="BB1034079" s="38"/>
    </row>
    <row r="1034080" spans="54:54" ht="15.75" customHeight="1" x14ac:dyDescent="0.3">
      <c r="BB1034080" s="38"/>
    </row>
    <row r="1034081" spans="54:54" ht="15.75" customHeight="1" x14ac:dyDescent="0.3">
      <c r="BB1034081" s="38"/>
    </row>
    <row r="1034082" spans="54:54" ht="15.75" customHeight="1" x14ac:dyDescent="0.3">
      <c r="BB1034082" s="38"/>
    </row>
    <row r="1034083" spans="54:54" ht="15.75" customHeight="1" x14ac:dyDescent="0.3">
      <c r="BB1034083" s="38"/>
    </row>
    <row r="1034084" spans="54:54" ht="15.75" customHeight="1" x14ac:dyDescent="0.3">
      <c r="BB1034084" s="38"/>
    </row>
    <row r="1034085" spans="54:54" ht="15.75" customHeight="1" x14ac:dyDescent="0.3">
      <c r="BB1034085" s="38"/>
    </row>
    <row r="1034086" spans="54:54" ht="15.75" customHeight="1" x14ac:dyDescent="0.3">
      <c r="BB1034086" s="38"/>
    </row>
    <row r="1034087" spans="54:54" ht="15.75" customHeight="1" x14ac:dyDescent="0.3">
      <c r="BB1034087" s="38"/>
    </row>
    <row r="1034088" spans="54:54" ht="15.75" customHeight="1" x14ac:dyDescent="0.3">
      <c r="BB1034088" s="38"/>
    </row>
    <row r="1034089" spans="54:54" ht="15.75" customHeight="1" x14ac:dyDescent="0.3">
      <c r="BB1034089" s="38"/>
    </row>
    <row r="1034090" spans="54:54" ht="15.75" customHeight="1" x14ac:dyDescent="0.3">
      <c r="BB1034090" s="38"/>
    </row>
    <row r="1034091" spans="54:54" ht="15.75" customHeight="1" x14ac:dyDescent="0.3">
      <c r="BB1034091" s="38"/>
    </row>
    <row r="1034092" spans="54:54" ht="15.75" customHeight="1" x14ac:dyDescent="0.3">
      <c r="BB1034092" s="38"/>
    </row>
    <row r="1034093" spans="54:54" ht="15.75" customHeight="1" x14ac:dyDescent="0.3">
      <c r="BB1034093" s="38"/>
    </row>
    <row r="1034094" spans="54:54" ht="15.75" customHeight="1" x14ac:dyDescent="0.3">
      <c r="BB1034094" s="38"/>
    </row>
    <row r="1034095" spans="54:54" ht="15.75" customHeight="1" x14ac:dyDescent="0.3">
      <c r="BB1034095" s="38"/>
    </row>
    <row r="1034096" spans="54:54" ht="15.75" customHeight="1" x14ac:dyDescent="0.3">
      <c r="BB1034096" s="38"/>
    </row>
    <row r="1034097" spans="54:54" ht="15.75" customHeight="1" x14ac:dyDescent="0.3">
      <c r="BB1034097" s="38"/>
    </row>
    <row r="1034098" spans="54:54" ht="15.75" customHeight="1" x14ac:dyDescent="0.3">
      <c r="BB1034098" s="38"/>
    </row>
    <row r="1034099" spans="54:54" ht="15.75" customHeight="1" x14ac:dyDescent="0.3">
      <c r="BB1034099" s="38"/>
    </row>
    <row r="1034100" spans="54:54" ht="15.75" customHeight="1" x14ac:dyDescent="0.3">
      <c r="BB1034100" s="38"/>
    </row>
    <row r="1034101" spans="54:54" ht="15.75" customHeight="1" x14ac:dyDescent="0.3">
      <c r="BB1034101" s="38"/>
    </row>
    <row r="1034102" spans="54:54" ht="15.75" customHeight="1" x14ac:dyDescent="0.3">
      <c r="BB1034102" s="38"/>
    </row>
    <row r="1034103" spans="54:54" ht="15.75" customHeight="1" x14ac:dyDescent="0.3">
      <c r="BB1034103" s="38"/>
    </row>
    <row r="1034104" spans="54:54" ht="15.75" customHeight="1" x14ac:dyDescent="0.3">
      <c r="BB1034104" s="38"/>
    </row>
    <row r="1034105" spans="54:54" ht="15.75" customHeight="1" x14ac:dyDescent="0.3">
      <c r="BB1034105" s="38"/>
    </row>
    <row r="1034106" spans="54:54" ht="15.75" customHeight="1" x14ac:dyDescent="0.3">
      <c r="BB1034106" s="38"/>
    </row>
    <row r="1034107" spans="54:54" ht="15.75" customHeight="1" x14ac:dyDescent="0.3">
      <c r="BB1034107" s="38"/>
    </row>
    <row r="1034108" spans="54:54" ht="15.75" customHeight="1" x14ac:dyDescent="0.3">
      <c r="BB1034108" s="38"/>
    </row>
    <row r="1034109" spans="54:54" ht="15.75" customHeight="1" x14ac:dyDescent="0.3">
      <c r="BB1034109" s="38"/>
    </row>
    <row r="1034110" spans="54:54" ht="15.75" customHeight="1" x14ac:dyDescent="0.3">
      <c r="BB1034110" s="38"/>
    </row>
    <row r="1034111" spans="54:54" ht="15.75" customHeight="1" x14ac:dyDescent="0.3">
      <c r="BB1034111" s="38"/>
    </row>
    <row r="1034112" spans="54:54" ht="15.75" customHeight="1" x14ac:dyDescent="0.3">
      <c r="BB1034112" s="38"/>
    </row>
    <row r="1034113" spans="54:54" ht="15.75" customHeight="1" x14ac:dyDescent="0.3">
      <c r="BB1034113" s="38"/>
    </row>
    <row r="1034114" spans="54:54" ht="15.75" customHeight="1" x14ac:dyDescent="0.3">
      <c r="BB1034114" s="38"/>
    </row>
    <row r="1034115" spans="54:54" ht="15.75" customHeight="1" x14ac:dyDescent="0.3">
      <c r="BB1034115" s="38"/>
    </row>
    <row r="1034116" spans="54:54" ht="15.75" customHeight="1" x14ac:dyDescent="0.3">
      <c r="BB1034116" s="38"/>
    </row>
    <row r="1034117" spans="54:54" ht="15.75" customHeight="1" x14ac:dyDescent="0.3">
      <c r="BB1034117" s="38"/>
    </row>
    <row r="1034118" spans="54:54" ht="15.75" customHeight="1" x14ac:dyDescent="0.3">
      <c r="BB1034118" s="38"/>
    </row>
    <row r="1034119" spans="54:54" ht="15.75" customHeight="1" x14ac:dyDescent="0.3">
      <c r="BB1034119" s="38"/>
    </row>
    <row r="1034120" spans="54:54" ht="15.75" customHeight="1" x14ac:dyDescent="0.3">
      <c r="BB1034120" s="38"/>
    </row>
    <row r="1034121" spans="54:54" ht="15.75" customHeight="1" x14ac:dyDescent="0.3">
      <c r="BB1034121" s="38"/>
    </row>
    <row r="1034122" spans="54:54" ht="15.75" customHeight="1" x14ac:dyDescent="0.3">
      <c r="BB1034122" s="38"/>
    </row>
    <row r="1034123" spans="54:54" ht="15.75" customHeight="1" x14ac:dyDescent="0.3">
      <c r="BB1034123" s="38"/>
    </row>
    <row r="1034124" spans="54:54" ht="15.75" customHeight="1" x14ac:dyDescent="0.3">
      <c r="BB1034124" s="38"/>
    </row>
    <row r="1034125" spans="54:54" ht="15.75" customHeight="1" x14ac:dyDescent="0.3">
      <c r="BB1034125" s="38"/>
    </row>
    <row r="1034126" spans="54:54" ht="15.75" customHeight="1" x14ac:dyDescent="0.3">
      <c r="BB1034126" s="38"/>
    </row>
    <row r="1034127" spans="54:54" ht="15.75" customHeight="1" x14ac:dyDescent="0.3">
      <c r="BB1034127" s="38"/>
    </row>
    <row r="1034128" spans="54:54" ht="15.75" customHeight="1" x14ac:dyDescent="0.3">
      <c r="BB1034128" s="38"/>
    </row>
    <row r="1034129" spans="54:54" ht="15.75" customHeight="1" x14ac:dyDescent="0.3">
      <c r="BB1034129" s="38"/>
    </row>
    <row r="1034130" spans="54:54" ht="15.75" customHeight="1" x14ac:dyDescent="0.3">
      <c r="BB1034130" s="38"/>
    </row>
    <row r="1034131" spans="54:54" ht="15.75" customHeight="1" x14ac:dyDescent="0.3">
      <c r="BB1034131" s="38"/>
    </row>
    <row r="1034132" spans="54:54" ht="15.75" customHeight="1" x14ac:dyDescent="0.3">
      <c r="BB1034132" s="38"/>
    </row>
    <row r="1034133" spans="54:54" ht="15.75" customHeight="1" x14ac:dyDescent="0.3">
      <c r="BB1034133" s="38"/>
    </row>
    <row r="1034134" spans="54:54" ht="15.75" customHeight="1" x14ac:dyDescent="0.3">
      <c r="BB1034134" s="38"/>
    </row>
    <row r="1034135" spans="54:54" ht="15.75" customHeight="1" x14ac:dyDescent="0.3">
      <c r="BB1034135" s="38"/>
    </row>
    <row r="1034136" spans="54:54" ht="15.75" customHeight="1" x14ac:dyDescent="0.3">
      <c r="BB1034136" s="38"/>
    </row>
    <row r="1034137" spans="54:54" ht="15.75" customHeight="1" x14ac:dyDescent="0.3">
      <c r="BB1034137" s="38"/>
    </row>
    <row r="1034138" spans="54:54" ht="15.75" customHeight="1" x14ac:dyDescent="0.3">
      <c r="BB1034138" s="38"/>
    </row>
    <row r="1034139" spans="54:54" ht="15.75" customHeight="1" x14ac:dyDescent="0.3">
      <c r="BB1034139" s="38"/>
    </row>
    <row r="1034140" spans="54:54" ht="15.75" customHeight="1" x14ac:dyDescent="0.3">
      <c r="BB1034140" s="38"/>
    </row>
    <row r="1034141" spans="54:54" ht="15.75" customHeight="1" x14ac:dyDescent="0.3">
      <c r="BB1034141" s="38"/>
    </row>
    <row r="1034142" spans="54:54" ht="15.75" customHeight="1" x14ac:dyDescent="0.3">
      <c r="BB1034142" s="38"/>
    </row>
    <row r="1034143" spans="54:54" ht="15.75" customHeight="1" x14ac:dyDescent="0.3">
      <c r="BB1034143" s="38"/>
    </row>
    <row r="1034144" spans="54:54" ht="15.75" customHeight="1" x14ac:dyDescent="0.3">
      <c r="BB1034144" s="38"/>
    </row>
    <row r="1034145" spans="54:54" ht="15.75" customHeight="1" x14ac:dyDescent="0.3">
      <c r="BB1034145" s="38"/>
    </row>
    <row r="1034146" spans="54:54" ht="15.75" customHeight="1" x14ac:dyDescent="0.3">
      <c r="BB1034146" s="38"/>
    </row>
    <row r="1034147" spans="54:54" ht="15.75" customHeight="1" x14ac:dyDescent="0.3">
      <c r="BB1034147" s="38"/>
    </row>
    <row r="1034148" spans="54:54" ht="15.75" customHeight="1" x14ac:dyDescent="0.3">
      <c r="BB1034148" s="38"/>
    </row>
    <row r="1034149" spans="54:54" ht="15.75" customHeight="1" x14ac:dyDescent="0.3">
      <c r="BB1034149" s="38"/>
    </row>
    <row r="1034150" spans="54:54" ht="15.75" customHeight="1" x14ac:dyDescent="0.3">
      <c r="BB1034150" s="38"/>
    </row>
    <row r="1034151" spans="54:54" ht="15.75" customHeight="1" x14ac:dyDescent="0.3">
      <c r="BB1034151" s="38"/>
    </row>
    <row r="1034152" spans="54:54" ht="15.75" customHeight="1" x14ac:dyDescent="0.3">
      <c r="BB1034152" s="38"/>
    </row>
    <row r="1034153" spans="54:54" ht="15.75" customHeight="1" x14ac:dyDescent="0.3">
      <c r="BB1034153" s="38"/>
    </row>
    <row r="1034154" spans="54:54" ht="15.75" customHeight="1" x14ac:dyDescent="0.3">
      <c r="BB1034154" s="38"/>
    </row>
    <row r="1034155" spans="54:54" ht="15.75" customHeight="1" x14ac:dyDescent="0.3">
      <c r="BB1034155" s="38"/>
    </row>
    <row r="1034156" spans="54:54" ht="15.75" customHeight="1" x14ac:dyDescent="0.3">
      <c r="BB1034156" s="38"/>
    </row>
    <row r="1034157" spans="54:54" ht="15.75" customHeight="1" x14ac:dyDescent="0.3">
      <c r="BB1034157" s="38"/>
    </row>
    <row r="1034158" spans="54:54" ht="15.75" customHeight="1" x14ac:dyDescent="0.3">
      <c r="BB1034158" s="38"/>
    </row>
    <row r="1034159" spans="54:54" ht="15.75" customHeight="1" x14ac:dyDescent="0.3">
      <c r="BB1034159" s="38"/>
    </row>
    <row r="1034160" spans="54:54" ht="15.75" customHeight="1" x14ac:dyDescent="0.3">
      <c r="BB1034160" s="38"/>
    </row>
    <row r="1034161" spans="54:54" ht="15.75" customHeight="1" x14ac:dyDescent="0.3">
      <c r="BB1034161" s="38"/>
    </row>
    <row r="1034162" spans="54:54" ht="15.75" customHeight="1" x14ac:dyDescent="0.3">
      <c r="BB1034162" s="38"/>
    </row>
    <row r="1034163" spans="54:54" ht="15.75" customHeight="1" x14ac:dyDescent="0.3">
      <c r="BB1034163" s="38"/>
    </row>
    <row r="1034164" spans="54:54" ht="15.75" customHeight="1" x14ac:dyDescent="0.3">
      <c r="BB1034164" s="38"/>
    </row>
    <row r="1034165" spans="54:54" ht="15.75" customHeight="1" x14ac:dyDescent="0.3">
      <c r="BB1034165" s="38"/>
    </row>
    <row r="1034166" spans="54:54" ht="15.75" customHeight="1" x14ac:dyDescent="0.3">
      <c r="BB1034166" s="38"/>
    </row>
    <row r="1034167" spans="54:54" ht="15.75" customHeight="1" x14ac:dyDescent="0.3">
      <c r="BB1034167" s="38"/>
    </row>
    <row r="1034168" spans="54:54" ht="15.75" customHeight="1" x14ac:dyDescent="0.3">
      <c r="BB1034168" s="38"/>
    </row>
    <row r="1034169" spans="54:54" ht="15.75" customHeight="1" x14ac:dyDescent="0.3">
      <c r="BB1034169" s="38"/>
    </row>
    <row r="1034170" spans="54:54" ht="15.75" customHeight="1" x14ac:dyDescent="0.3">
      <c r="BB1034170" s="38"/>
    </row>
    <row r="1034171" spans="54:54" ht="15.75" customHeight="1" x14ac:dyDescent="0.3">
      <c r="BB1034171" s="38"/>
    </row>
    <row r="1034172" spans="54:54" ht="15.75" customHeight="1" x14ac:dyDescent="0.3">
      <c r="BB1034172" s="38"/>
    </row>
    <row r="1034173" spans="54:54" ht="15.75" customHeight="1" x14ac:dyDescent="0.3">
      <c r="BB1034173" s="38"/>
    </row>
    <row r="1034174" spans="54:54" ht="15.75" customHeight="1" x14ac:dyDescent="0.3">
      <c r="BB1034174" s="38"/>
    </row>
    <row r="1034175" spans="54:54" ht="15.75" customHeight="1" x14ac:dyDescent="0.3">
      <c r="BB1034175" s="38"/>
    </row>
    <row r="1034176" spans="54:54" ht="15.75" customHeight="1" x14ac:dyDescent="0.3">
      <c r="BB1034176" s="38"/>
    </row>
    <row r="1034177" spans="54:54" ht="15.75" customHeight="1" x14ac:dyDescent="0.3">
      <c r="BB1034177" s="38"/>
    </row>
    <row r="1034178" spans="54:54" ht="15.75" customHeight="1" x14ac:dyDescent="0.3">
      <c r="BB1034178" s="38"/>
    </row>
    <row r="1034179" spans="54:54" ht="15.75" customHeight="1" x14ac:dyDescent="0.3">
      <c r="BB1034179" s="38"/>
    </row>
    <row r="1034180" spans="54:54" ht="15.75" customHeight="1" x14ac:dyDescent="0.3">
      <c r="BB1034180" s="38"/>
    </row>
    <row r="1034181" spans="54:54" ht="15.75" customHeight="1" x14ac:dyDescent="0.3">
      <c r="BB1034181" s="38"/>
    </row>
    <row r="1034182" spans="54:54" ht="15.75" customHeight="1" x14ac:dyDescent="0.3">
      <c r="BB1034182" s="38"/>
    </row>
    <row r="1034183" spans="54:54" ht="15.75" customHeight="1" x14ac:dyDescent="0.3">
      <c r="BB1034183" s="38"/>
    </row>
    <row r="1034184" spans="54:54" ht="15.75" customHeight="1" x14ac:dyDescent="0.3">
      <c r="BB1034184" s="38"/>
    </row>
    <row r="1034185" spans="54:54" ht="15.75" customHeight="1" x14ac:dyDescent="0.3">
      <c r="BB1034185" s="38"/>
    </row>
    <row r="1034186" spans="54:54" ht="15.75" customHeight="1" x14ac:dyDescent="0.3">
      <c r="BB1034186" s="38"/>
    </row>
    <row r="1034187" spans="54:54" ht="15.75" customHeight="1" x14ac:dyDescent="0.3">
      <c r="BB1034187" s="38"/>
    </row>
    <row r="1034188" spans="54:54" ht="15.75" customHeight="1" x14ac:dyDescent="0.3">
      <c r="BB1034188" s="38"/>
    </row>
    <row r="1034189" spans="54:54" ht="15.75" customHeight="1" x14ac:dyDescent="0.3">
      <c r="BB1034189" s="38"/>
    </row>
    <row r="1034190" spans="54:54" ht="15.75" customHeight="1" x14ac:dyDescent="0.3">
      <c r="BB1034190" s="38"/>
    </row>
    <row r="1034191" spans="54:54" ht="15.75" customHeight="1" x14ac:dyDescent="0.3">
      <c r="BB1034191" s="38"/>
    </row>
    <row r="1034192" spans="54:54" ht="15.75" customHeight="1" x14ac:dyDescent="0.3">
      <c r="BB1034192" s="38"/>
    </row>
    <row r="1034193" spans="54:54" ht="15.75" customHeight="1" x14ac:dyDescent="0.3">
      <c r="BB1034193" s="38"/>
    </row>
    <row r="1034194" spans="54:54" ht="15.75" customHeight="1" x14ac:dyDescent="0.3">
      <c r="BB1034194" s="38"/>
    </row>
    <row r="1034195" spans="54:54" ht="15.75" customHeight="1" x14ac:dyDescent="0.3">
      <c r="BB1034195" s="38"/>
    </row>
    <row r="1034196" spans="54:54" ht="15.75" customHeight="1" x14ac:dyDescent="0.3">
      <c r="BB1034196" s="38"/>
    </row>
    <row r="1034197" spans="54:54" ht="15.75" customHeight="1" x14ac:dyDescent="0.3">
      <c r="BB1034197" s="38"/>
    </row>
    <row r="1034198" spans="54:54" ht="15.75" customHeight="1" x14ac:dyDescent="0.3">
      <c r="BB1034198" s="38"/>
    </row>
    <row r="1034199" spans="54:54" ht="15.75" customHeight="1" x14ac:dyDescent="0.3">
      <c r="BB1034199" s="38"/>
    </row>
    <row r="1034200" spans="54:54" ht="15.75" customHeight="1" x14ac:dyDescent="0.3">
      <c r="BB1034200" s="38"/>
    </row>
    <row r="1034201" spans="54:54" ht="15.75" customHeight="1" x14ac:dyDescent="0.3">
      <c r="BB1034201" s="38"/>
    </row>
    <row r="1034202" spans="54:54" ht="15.75" customHeight="1" x14ac:dyDescent="0.3">
      <c r="BB1034202" s="38"/>
    </row>
    <row r="1034203" spans="54:54" ht="15.75" customHeight="1" x14ac:dyDescent="0.3">
      <c r="BB1034203" s="38"/>
    </row>
    <row r="1034204" spans="54:54" ht="15.75" customHeight="1" x14ac:dyDescent="0.3">
      <c r="BB1034204" s="38"/>
    </row>
    <row r="1034205" spans="54:54" ht="15.75" customHeight="1" x14ac:dyDescent="0.3">
      <c r="BB1034205" s="38"/>
    </row>
    <row r="1034206" spans="54:54" ht="15.75" customHeight="1" x14ac:dyDescent="0.3">
      <c r="BB1034206" s="38"/>
    </row>
    <row r="1034207" spans="54:54" ht="15.75" customHeight="1" x14ac:dyDescent="0.3">
      <c r="BB1034207" s="38"/>
    </row>
    <row r="1034208" spans="54:54" ht="15.75" customHeight="1" x14ac:dyDescent="0.3">
      <c r="BB1034208" s="38"/>
    </row>
    <row r="1034209" spans="54:54" ht="15.75" customHeight="1" x14ac:dyDescent="0.3">
      <c r="BB1034209" s="38"/>
    </row>
    <row r="1034210" spans="54:54" ht="15.75" customHeight="1" x14ac:dyDescent="0.3">
      <c r="BB1034210" s="38"/>
    </row>
    <row r="1034211" spans="54:54" ht="15.75" customHeight="1" x14ac:dyDescent="0.3">
      <c r="BB1034211" s="38"/>
    </row>
    <row r="1034212" spans="54:54" ht="15.75" customHeight="1" x14ac:dyDescent="0.3">
      <c r="BB1034212" s="38"/>
    </row>
    <row r="1034213" spans="54:54" ht="15.75" customHeight="1" x14ac:dyDescent="0.3">
      <c r="BB1034213" s="38"/>
    </row>
    <row r="1034214" spans="54:54" ht="15.75" customHeight="1" x14ac:dyDescent="0.3">
      <c r="BB1034214" s="38"/>
    </row>
    <row r="1034215" spans="54:54" ht="15.75" customHeight="1" x14ac:dyDescent="0.3">
      <c r="BB1034215" s="38"/>
    </row>
    <row r="1034216" spans="54:54" ht="15.75" customHeight="1" x14ac:dyDescent="0.3">
      <c r="BB1034216" s="38"/>
    </row>
    <row r="1034217" spans="54:54" ht="15.75" customHeight="1" x14ac:dyDescent="0.3">
      <c r="BB1034217" s="38"/>
    </row>
    <row r="1034218" spans="54:54" ht="15.75" customHeight="1" x14ac:dyDescent="0.3">
      <c r="BB1034218" s="38"/>
    </row>
    <row r="1034219" spans="54:54" ht="15.75" customHeight="1" x14ac:dyDescent="0.3">
      <c r="BB1034219" s="38"/>
    </row>
    <row r="1034220" spans="54:54" ht="15.75" customHeight="1" x14ac:dyDescent="0.3">
      <c r="BB1034220" s="38"/>
    </row>
    <row r="1034221" spans="54:54" ht="15.75" customHeight="1" x14ac:dyDescent="0.3">
      <c r="BB1034221" s="38"/>
    </row>
    <row r="1034222" spans="54:54" ht="15.75" customHeight="1" x14ac:dyDescent="0.3">
      <c r="BB1034222" s="38"/>
    </row>
    <row r="1034223" spans="54:54" ht="15.75" customHeight="1" x14ac:dyDescent="0.3">
      <c r="BB1034223" s="38"/>
    </row>
    <row r="1034224" spans="54:54" ht="15.75" customHeight="1" x14ac:dyDescent="0.3">
      <c r="BB1034224" s="38"/>
    </row>
    <row r="1034225" spans="54:54" ht="15.75" customHeight="1" x14ac:dyDescent="0.3">
      <c r="BB1034225" s="38"/>
    </row>
    <row r="1034226" spans="54:54" ht="15.75" customHeight="1" x14ac:dyDescent="0.3">
      <c r="BB1034226" s="38"/>
    </row>
    <row r="1034227" spans="54:54" ht="15.75" customHeight="1" x14ac:dyDescent="0.3">
      <c r="BB1034227" s="38"/>
    </row>
    <row r="1034228" spans="54:54" ht="15.75" customHeight="1" x14ac:dyDescent="0.3">
      <c r="BB1034228" s="38"/>
    </row>
    <row r="1034229" spans="54:54" ht="15.75" customHeight="1" x14ac:dyDescent="0.3">
      <c r="BB1034229" s="38"/>
    </row>
    <row r="1034230" spans="54:54" ht="15.75" customHeight="1" x14ac:dyDescent="0.3">
      <c r="BB1034230" s="38"/>
    </row>
    <row r="1034231" spans="54:54" ht="15.75" customHeight="1" x14ac:dyDescent="0.3">
      <c r="BB1034231" s="38"/>
    </row>
    <row r="1034232" spans="54:54" ht="15.75" customHeight="1" x14ac:dyDescent="0.3">
      <c r="BB1034232" s="38"/>
    </row>
    <row r="1034233" spans="54:54" ht="15.75" customHeight="1" x14ac:dyDescent="0.3">
      <c r="BB1034233" s="38"/>
    </row>
    <row r="1034234" spans="54:54" ht="15.75" customHeight="1" x14ac:dyDescent="0.3">
      <c r="BB1034234" s="38"/>
    </row>
    <row r="1034235" spans="54:54" ht="15.75" customHeight="1" x14ac:dyDescent="0.3">
      <c r="BB1034235" s="38"/>
    </row>
    <row r="1034236" spans="54:54" ht="15.75" customHeight="1" x14ac:dyDescent="0.3">
      <c r="BB1034236" s="38"/>
    </row>
    <row r="1034237" spans="54:54" ht="15.75" customHeight="1" x14ac:dyDescent="0.3">
      <c r="BB1034237" s="38"/>
    </row>
    <row r="1034238" spans="54:54" ht="15.75" customHeight="1" x14ac:dyDescent="0.3">
      <c r="BB1034238" s="38"/>
    </row>
    <row r="1034239" spans="54:54" ht="15.75" customHeight="1" x14ac:dyDescent="0.3">
      <c r="BB1034239" s="38"/>
    </row>
    <row r="1034240" spans="54:54" ht="15.75" customHeight="1" x14ac:dyDescent="0.3">
      <c r="BB1034240" s="38"/>
    </row>
    <row r="1034241" spans="54:54" ht="15.75" customHeight="1" x14ac:dyDescent="0.3">
      <c r="BB1034241" s="38"/>
    </row>
    <row r="1034242" spans="54:54" ht="15.75" customHeight="1" x14ac:dyDescent="0.3">
      <c r="BB1034242" s="38"/>
    </row>
    <row r="1034243" spans="54:54" ht="15.75" customHeight="1" x14ac:dyDescent="0.3">
      <c r="BB1034243" s="38"/>
    </row>
    <row r="1034244" spans="54:54" ht="15.75" customHeight="1" x14ac:dyDescent="0.3">
      <c r="BB1034244" s="38"/>
    </row>
    <row r="1034245" spans="54:54" ht="15.75" customHeight="1" x14ac:dyDescent="0.3">
      <c r="BB1034245" s="38"/>
    </row>
    <row r="1034246" spans="54:54" ht="15.75" customHeight="1" x14ac:dyDescent="0.3">
      <c r="BB1034246" s="38"/>
    </row>
    <row r="1034247" spans="54:54" ht="15.75" customHeight="1" x14ac:dyDescent="0.3">
      <c r="BB1034247" s="38"/>
    </row>
    <row r="1034248" spans="54:54" ht="15.75" customHeight="1" x14ac:dyDescent="0.3">
      <c r="BB1034248" s="38"/>
    </row>
    <row r="1034249" spans="54:54" ht="15.75" customHeight="1" x14ac:dyDescent="0.3">
      <c r="BB1034249" s="38"/>
    </row>
    <row r="1034250" spans="54:54" ht="15.75" customHeight="1" x14ac:dyDescent="0.3">
      <c r="BB1034250" s="38"/>
    </row>
    <row r="1034251" spans="54:54" ht="15.75" customHeight="1" x14ac:dyDescent="0.3">
      <c r="BB1034251" s="38"/>
    </row>
    <row r="1034252" spans="54:54" ht="15.75" customHeight="1" x14ac:dyDescent="0.3">
      <c r="BB1034252" s="38"/>
    </row>
    <row r="1034253" spans="54:54" ht="15.75" customHeight="1" x14ac:dyDescent="0.3">
      <c r="BB1034253" s="38"/>
    </row>
    <row r="1034254" spans="54:54" ht="15.75" customHeight="1" x14ac:dyDescent="0.3">
      <c r="BB1034254" s="38"/>
    </row>
    <row r="1034255" spans="54:54" ht="15.75" customHeight="1" x14ac:dyDescent="0.3">
      <c r="BB1034255" s="38"/>
    </row>
    <row r="1034256" spans="54:54" ht="15.75" customHeight="1" x14ac:dyDescent="0.3">
      <c r="BB1034256" s="38"/>
    </row>
    <row r="1034257" spans="54:54" ht="15.75" customHeight="1" x14ac:dyDescent="0.3">
      <c r="BB1034257" s="38"/>
    </row>
    <row r="1034258" spans="54:54" ht="15.75" customHeight="1" x14ac:dyDescent="0.3">
      <c r="BB1034258" s="38"/>
    </row>
    <row r="1034259" spans="54:54" ht="15.75" customHeight="1" x14ac:dyDescent="0.3">
      <c r="BB1034259" s="38"/>
    </row>
    <row r="1034260" spans="54:54" ht="15.75" customHeight="1" x14ac:dyDescent="0.3">
      <c r="BB1034260" s="38"/>
    </row>
    <row r="1034261" spans="54:54" ht="15.75" customHeight="1" x14ac:dyDescent="0.3">
      <c r="BB1034261" s="38"/>
    </row>
    <row r="1034262" spans="54:54" ht="15.75" customHeight="1" x14ac:dyDescent="0.3">
      <c r="BB1034262" s="38"/>
    </row>
    <row r="1034263" spans="54:54" ht="15.75" customHeight="1" x14ac:dyDescent="0.3">
      <c r="BB1034263" s="38"/>
    </row>
    <row r="1034264" spans="54:54" ht="15.75" customHeight="1" x14ac:dyDescent="0.3">
      <c r="BB1034264" s="38"/>
    </row>
    <row r="1034265" spans="54:54" ht="15.75" customHeight="1" x14ac:dyDescent="0.3">
      <c r="BB1034265" s="38"/>
    </row>
    <row r="1034266" spans="54:54" ht="15.75" customHeight="1" x14ac:dyDescent="0.3">
      <c r="BB1034266" s="38"/>
    </row>
    <row r="1034267" spans="54:54" ht="15.75" customHeight="1" x14ac:dyDescent="0.3">
      <c r="BB1034267" s="38"/>
    </row>
    <row r="1034268" spans="54:54" ht="15.75" customHeight="1" x14ac:dyDescent="0.3">
      <c r="BB1034268" s="38"/>
    </row>
    <row r="1034269" spans="54:54" ht="15.75" customHeight="1" x14ac:dyDescent="0.3">
      <c r="BB1034269" s="38"/>
    </row>
    <row r="1034270" spans="54:54" ht="15.75" customHeight="1" x14ac:dyDescent="0.3">
      <c r="BB1034270" s="38"/>
    </row>
    <row r="1034271" spans="54:54" ht="15.75" customHeight="1" x14ac:dyDescent="0.3">
      <c r="BB1034271" s="38"/>
    </row>
    <row r="1034272" spans="54:54" ht="15.75" customHeight="1" x14ac:dyDescent="0.3">
      <c r="BB1034272" s="38"/>
    </row>
    <row r="1034273" spans="54:54" ht="15.75" customHeight="1" x14ac:dyDescent="0.3">
      <c r="BB1034273" s="38"/>
    </row>
    <row r="1034274" spans="54:54" ht="15.75" customHeight="1" x14ac:dyDescent="0.3">
      <c r="BB1034274" s="38"/>
    </row>
    <row r="1034275" spans="54:54" ht="15.75" customHeight="1" x14ac:dyDescent="0.3">
      <c r="BB1034275" s="38"/>
    </row>
    <row r="1034276" spans="54:54" ht="15.75" customHeight="1" x14ac:dyDescent="0.3">
      <c r="BB1034276" s="38"/>
    </row>
    <row r="1034277" spans="54:54" ht="15.75" customHeight="1" x14ac:dyDescent="0.3">
      <c r="BB1034277" s="38"/>
    </row>
    <row r="1034278" spans="54:54" ht="15.75" customHeight="1" x14ac:dyDescent="0.3">
      <c r="BB1034278" s="38"/>
    </row>
    <row r="1034279" spans="54:54" ht="15.75" customHeight="1" x14ac:dyDescent="0.3">
      <c r="BB1034279" s="38"/>
    </row>
    <row r="1034280" spans="54:54" ht="15.75" customHeight="1" x14ac:dyDescent="0.3">
      <c r="BB1034280" s="38"/>
    </row>
    <row r="1034281" spans="54:54" ht="15.75" customHeight="1" x14ac:dyDescent="0.3">
      <c r="BB1034281" s="38"/>
    </row>
    <row r="1034282" spans="54:54" ht="15.75" customHeight="1" x14ac:dyDescent="0.3">
      <c r="BB1034282" s="38"/>
    </row>
    <row r="1034283" spans="54:54" ht="15.75" customHeight="1" x14ac:dyDescent="0.3">
      <c r="BB1034283" s="38"/>
    </row>
    <row r="1034284" spans="54:54" ht="15.75" customHeight="1" x14ac:dyDescent="0.3">
      <c r="BB1034284" s="38"/>
    </row>
    <row r="1034285" spans="54:54" ht="15.75" customHeight="1" x14ac:dyDescent="0.3">
      <c r="BB1034285" s="38"/>
    </row>
    <row r="1034286" spans="54:54" ht="15.75" customHeight="1" x14ac:dyDescent="0.3">
      <c r="BB1034286" s="38"/>
    </row>
    <row r="1034287" spans="54:54" ht="15.75" customHeight="1" x14ac:dyDescent="0.3">
      <c r="BB1034287" s="38"/>
    </row>
    <row r="1034288" spans="54:54" ht="15.75" customHeight="1" x14ac:dyDescent="0.3">
      <c r="BB1034288" s="38"/>
    </row>
    <row r="1034289" spans="54:54" ht="15.75" customHeight="1" x14ac:dyDescent="0.3">
      <c r="BB1034289" s="38"/>
    </row>
    <row r="1034290" spans="54:54" ht="15.75" customHeight="1" x14ac:dyDescent="0.3">
      <c r="BB1034290" s="38"/>
    </row>
    <row r="1034291" spans="54:54" ht="15.75" customHeight="1" x14ac:dyDescent="0.3">
      <c r="BB1034291" s="38"/>
    </row>
    <row r="1034292" spans="54:54" ht="15.75" customHeight="1" x14ac:dyDescent="0.3">
      <c r="BB1034292" s="38"/>
    </row>
    <row r="1034293" spans="54:54" ht="15.75" customHeight="1" x14ac:dyDescent="0.3">
      <c r="BB1034293" s="38"/>
    </row>
    <row r="1034294" spans="54:54" ht="15.75" customHeight="1" x14ac:dyDescent="0.3">
      <c r="BB1034294" s="38"/>
    </row>
    <row r="1034295" spans="54:54" ht="15.75" customHeight="1" x14ac:dyDescent="0.3">
      <c r="BB1034295" s="38"/>
    </row>
    <row r="1034296" spans="54:54" ht="15.75" customHeight="1" x14ac:dyDescent="0.3">
      <c r="BB1034296" s="38"/>
    </row>
    <row r="1034297" spans="54:54" ht="15.75" customHeight="1" x14ac:dyDescent="0.3">
      <c r="BB1034297" s="38"/>
    </row>
    <row r="1034298" spans="54:54" ht="15.75" customHeight="1" x14ac:dyDescent="0.3">
      <c r="BB1034298" s="38"/>
    </row>
    <row r="1034299" spans="54:54" ht="15.75" customHeight="1" x14ac:dyDescent="0.3">
      <c r="BB1034299" s="38"/>
    </row>
    <row r="1034300" spans="54:54" ht="15.75" customHeight="1" x14ac:dyDescent="0.3">
      <c r="BB1034300" s="38"/>
    </row>
    <row r="1034301" spans="54:54" ht="15.75" customHeight="1" x14ac:dyDescent="0.3">
      <c r="BB1034301" s="38"/>
    </row>
    <row r="1034302" spans="54:54" ht="15.75" customHeight="1" x14ac:dyDescent="0.3">
      <c r="BB1034302" s="38"/>
    </row>
    <row r="1034303" spans="54:54" ht="15.75" customHeight="1" x14ac:dyDescent="0.3">
      <c r="BB1034303" s="38"/>
    </row>
    <row r="1034304" spans="54:54" ht="15.75" customHeight="1" x14ac:dyDescent="0.3">
      <c r="BB1034304" s="38"/>
    </row>
    <row r="1034305" spans="54:54" ht="15.75" customHeight="1" x14ac:dyDescent="0.3">
      <c r="BB1034305" s="38"/>
    </row>
    <row r="1034306" spans="54:54" ht="15.75" customHeight="1" x14ac:dyDescent="0.3">
      <c r="BB1034306" s="38"/>
    </row>
    <row r="1034307" spans="54:54" ht="15.75" customHeight="1" x14ac:dyDescent="0.3">
      <c r="BB1034307" s="38"/>
    </row>
    <row r="1034308" spans="54:54" ht="15.75" customHeight="1" x14ac:dyDescent="0.3">
      <c r="BB1034308" s="38"/>
    </row>
    <row r="1034309" spans="54:54" ht="15.75" customHeight="1" x14ac:dyDescent="0.3">
      <c r="BB1034309" s="38"/>
    </row>
    <row r="1034310" spans="54:54" ht="15.75" customHeight="1" x14ac:dyDescent="0.3">
      <c r="BB1034310" s="38"/>
    </row>
    <row r="1034311" spans="54:54" ht="15.75" customHeight="1" x14ac:dyDescent="0.3">
      <c r="BB1034311" s="38"/>
    </row>
    <row r="1034312" spans="54:54" ht="15.75" customHeight="1" x14ac:dyDescent="0.3">
      <c r="BB1034312" s="38"/>
    </row>
    <row r="1034313" spans="54:54" ht="15.75" customHeight="1" x14ac:dyDescent="0.3">
      <c r="BB1034313" s="38"/>
    </row>
    <row r="1034314" spans="54:54" ht="15.75" customHeight="1" x14ac:dyDescent="0.3">
      <c r="BB1034314" s="38"/>
    </row>
    <row r="1034315" spans="54:54" ht="15.75" customHeight="1" x14ac:dyDescent="0.3">
      <c r="BB1034315" s="38"/>
    </row>
    <row r="1034316" spans="54:54" ht="15.75" customHeight="1" x14ac:dyDescent="0.3">
      <c r="BB1034316" s="38"/>
    </row>
    <row r="1034317" spans="54:54" ht="15.75" customHeight="1" x14ac:dyDescent="0.3">
      <c r="BB1034317" s="38"/>
    </row>
    <row r="1034318" spans="54:54" ht="15.75" customHeight="1" x14ac:dyDescent="0.3">
      <c r="BB1034318" s="38"/>
    </row>
    <row r="1034319" spans="54:54" ht="15.75" customHeight="1" x14ac:dyDescent="0.3">
      <c r="BB1034319" s="38"/>
    </row>
    <row r="1034320" spans="54:54" ht="15.75" customHeight="1" x14ac:dyDescent="0.3">
      <c r="BB1034320" s="38"/>
    </row>
    <row r="1034321" spans="54:54" ht="15.75" customHeight="1" x14ac:dyDescent="0.3">
      <c r="BB1034321" s="38"/>
    </row>
    <row r="1034322" spans="54:54" ht="15.75" customHeight="1" x14ac:dyDescent="0.3">
      <c r="BB1034322" s="38"/>
    </row>
    <row r="1034323" spans="54:54" ht="15.75" customHeight="1" x14ac:dyDescent="0.3">
      <c r="BB1034323" s="38"/>
    </row>
    <row r="1034324" spans="54:54" ht="15.75" customHeight="1" x14ac:dyDescent="0.3">
      <c r="BB1034324" s="38"/>
    </row>
    <row r="1034325" spans="54:54" ht="15.75" customHeight="1" x14ac:dyDescent="0.3">
      <c r="BB1034325" s="38"/>
    </row>
    <row r="1034326" spans="54:54" ht="15.75" customHeight="1" x14ac:dyDescent="0.3">
      <c r="BB1034326" s="38"/>
    </row>
    <row r="1034327" spans="54:54" ht="15.75" customHeight="1" x14ac:dyDescent="0.3">
      <c r="BB1034327" s="38"/>
    </row>
    <row r="1034328" spans="54:54" ht="15.75" customHeight="1" x14ac:dyDescent="0.3">
      <c r="BB1034328" s="38"/>
    </row>
    <row r="1034329" spans="54:54" ht="15.75" customHeight="1" x14ac:dyDescent="0.3">
      <c r="BB1034329" s="38"/>
    </row>
    <row r="1034330" spans="54:54" ht="15.75" customHeight="1" x14ac:dyDescent="0.3">
      <c r="BB1034330" s="38"/>
    </row>
    <row r="1034331" spans="54:54" ht="15.75" customHeight="1" x14ac:dyDescent="0.3">
      <c r="BB1034331" s="38"/>
    </row>
    <row r="1034332" spans="54:54" ht="15.75" customHeight="1" x14ac:dyDescent="0.3">
      <c r="BB1034332" s="38"/>
    </row>
    <row r="1034333" spans="54:54" ht="15.75" customHeight="1" x14ac:dyDescent="0.3">
      <c r="BB1034333" s="38"/>
    </row>
    <row r="1034334" spans="54:54" ht="15.75" customHeight="1" x14ac:dyDescent="0.3">
      <c r="BB1034334" s="38"/>
    </row>
    <row r="1034335" spans="54:54" ht="15.75" customHeight="1" x14ac:dyDescent="0.3">
      <c r="BB1034335" s="38"/>
    </row>
    <row r="1034336" spans="54:54" ht="15.75" customHeight="1" x14ac:dyDescent="0.3">
      <c r="BB1034336" s="38"/>
    </row>
    <row r="1034337" spans="54:54" ht="15.75" customHeight="1" x14ac:dyDescent="0.3">
      <c r="BB1034337" s="38"/>
    </row>
    <row r="1034338" spans="54:54" ht="15.75" customHeight="1" x14ac:dyDescent="0.3">
      <c r="BB1034338" s="38"/>
    </row>
    <row r="1034339" spans="54:54" ht="15.75" customHeight="1" x14ac:dyDescent="0.3">
      <c r="BB1034339" s="38"/>
    </row>
    <row r="1034340" spans="54:54" ht="15.75" customHeight="1" x14ac:dyDescent="0.3">
      <c r="BB1034340" s="38"/>
    </row>
    <row r="1034341" spans="54:54" ht="15.75" customHeight="1" x14ac:dyDescent="0.3">
      <c r="BB1034341" s="38"/>
    </row>
    <row r="1034342" spans="54:54" ht="15.75" customHeight="1" x14ac:dyDescent="0.3">
      <c r="BB1034342" s="38"/>
    </row>
    <row r="1034343" spans="54:54" ht="15.75" customHeight="1" x14ac:dyDescent="0.3">
      <c r="BB1034343" s="38"/>
    </row>
    <row r="1034344" spans="54:54" ht="15.75" customHeight="1" x14ac:dyDescent="0.3">
      <c r="BB1034344" s="38"/>
    </row>
    <row r="1034345" spans="54:54" ht="15.75" customHeight="1" x14ac:dyDescent="0.3">
      <c r="BB1034345" s="38"/>
    </row>
    <row r="1034346" spans="54:54" ht="15.75" customHeight="1" x14ac:dyDescent="0.3">
      <c r="BB1034346" s="38"/>
    </row>
    <row r="1034347" spans="54:54" ht="15.75" customHeight="1" x14ac:dyDescent="0.3">
      <c r="BB1034347" s="38"/>
    </row>
    <row r="1034348" spans="54:54" ht="15.75" customHeight="1" x14ac:dyDescent="0.3">
      <c r="BB1034348" s="38"/>
    </row>
    <row r="1034349" spans="54:54" ht="15.75" customHeight="1" x14ac:dyDescent="0.3">
      <c r="BB1034349" s="38"/>
    </row>
    <row r="1034350" spans="54:54" ht="15.75" customHeight="1" x14ac:dyDescent="0.3">
      <c r="BB1034350" s="38"/>
    </row>
    <row r="1034351" spans="54:54" ht="15.75" customHeight="1" x14ac:dyDescent="0.3">
      <c r="BB1034351" s="38"/>
    </row>
    <row r="1034352" spans="54:54" ht="15.75" customHeight="1" x14ac:dyDescent="0.3">
      <c r="BB1034352" s="38"/>
    </row>
    <row r="1034353" spans="54:54" ht="15.75" customHeight="1" x14ac:dyDescent="0.3">
      <c r="BB1034353" s="38"/>
    </row>
    <row r="1034354" spans="54:54" ht="15.75" customHeight="1" x14ac:dyDescent="0.3">
      <c r="BB1034354" s="38"/>
    </row>
    <row r="1034355" spans="54:54" ht="15.75" customHeight="1" x14ac:dyDescent="0.3">
      <c r="BB1034355" s="38"/>
    </row>
    <row r="1034356" spans="54:54" ht="15.75" customHeight="1" x14ac:dyDescent="0.3">
      <c r="BB1034356" s="38"/>
    </row>
    <row r="1034357" spans="54:54" ht="15.75" customHeight="1" x14ac:dyDescent="0.3">
      <c r="BB1034357" s="38"/>
    </row>
    <row r="1034358" spans="54:54" ht="15.75" customHeight="1" x14ac:dyDescent="0.3">
      <c r="BB1034358" s="38"/>
    </row>
    <row r="1034359" spans="54:54" ht="15.75" customHeight="1" x14ac:dyDescent="0.3">
      <c r="BB1034359" s="38"/>
    </row>
    <row r="1034360" spans="54:54" ht="15.75" customHeight="1" x14ac:dyDescent="0.3">
      <c r="BB1034360" s="38"/>
    </row>
    <row r="1034361" spans="54:54" ht="15.75" customHeight="1" x14ac:dyDescent="0.3">
      <c r="BB1034361" s="38"/>
    </row>
    <row r="1034362" spans="54:54" ht="15.75" customHeight="1" x14ac:dyDescent="0.3">
      <c r="BB1034362" s="38"/>
    </row>
    <row r="1034363" spans="54:54" ht="15.75" customHeight="1" x14ac:dyDescent="0.3">
      <c r="BB1034363" s="38"/>
    </row>
    <row r="1034364" spans="54:54" ht="15.75" customHeight="1" x14ac:dyDescent="0.3">
      <c r="BB1034364" s="38"/>
    </row>
    <row r="1034365" spans="54:54" ht="15.75" customHeight="1" x14ac:dyDescent="0.3">
      <c r="BB1034365" s="38"/>
    </row>
    <row r="1034366" spans="54:54" ht="15.75" customHeight="1" x14ac:dyDescent="0.3">
      <c r="BB1034366" s="38"/>
    </row>
    <row r="1034367" spans="54:54" ht="15.75" customHeight="1" x14ac:dyDescent="0.3">
      <c r="BB1034367" s="38"/>
    </row>
    <row r="1034368" spans="54:54" ht="15.75" customHeight="1" x14ac:dyDescent="0.3">
      <c r="BB1034368" s="38"/>
    </row>
    <row r="1034369" spans="54:54" ht="15.75" customHeight="1" x14ac:dyDescent="0.3">
      <c r="BB1034369" s="38"/>
    </row>
    <row r="1034370" spans="54:54" ht="15.75" customHeight="1" x14ac:dyDescent="0.3">
      <c r="BB1034370" s="38"/>
    </row>
    <row r="1034371" spans="54:54" ht="15.75" customHeight="1" x14ac:dyDescent="0.3">
      <c r="BB1034371" s="38"/>
    </row>
    <row r="1034372" spans="54:54" ht="15.75" customHeight="1" x14ac:dyDescent="0.3">
      <c r="BB1034372" s="38"/>
    </row>
    <row r="1034373" spans="54:54" ht="15.75" customHeight="1" x14ac:dyDescent="0.3">
      <c r="BB1034373" s="38"/>
    </row>
    <row r="1034374" spans="54:54" ht="15.75" customHeight="1" x14ac:dyDescent="0.3">
      <c r="BB1034374" s="38"/>
    </row>
    <row r="1034375" spans="54:54" ht="15.75" customHeight="1" x14ac:dyDescent="0.3">
      <c r="BB1034375" s="38"/>
    </row>
    <row r="1034376" spans="54:54" ht="15.75" customHeight="1" x14ac:dyDescent="0.3">
      <c r="BB1034376" s="38"/>
    </row>
    <row r="1034377" spans="54:54" ht="15.75" customHeight="1" x14ac:dyDescent="0.3">
      <c r="BB1034377" s="38"/>
    </row>
    <row r="1034378" spans="54:54" ht="15.75" customHeight="1" x14ac:dyDescent="0.3">
      <c r="BB1034378" s="38"/>
    </row>
    <row r="1034379" spans="54:54" ht="15.75" customHeight="1" x14ac:dyDescent="0.3">
      <c r="BB1034379" s="38"/>
    </row>
    <row r="1034380" spans="54:54" ht="15.75" customHeight="1" x14ac:dyDescent="0.3">
      <c r="BB1034380" s="38"/>
    </row>
    <row r="1034381" spans="54:54" ht="15.75" customHeight="1" x14ac:dyDescent="0.3">
      <c r="BB1034381" s="38"/>
    </row>
    <row r="1034382" spans="54:54" ht="15.75" customHeight="1" x14ac:dyDescent="0.3">
      <c r="BB1034382" s="38"/>
    </row>
    <row r="1034383" spans="54:54" ht="15.75" customHeight="1" x14ac:dyDescent="0.3">
      <c r="BB1034383" s="38"/>
    </row>
    <row r="1034384" spans="54:54" ht="15.75" customHeight="1" x14ac:dyDescent="0.3">
      <c r="BB1034384" s="38"/>
    </row>
    <row r="1034385" spans="54:54" ht="15.75" customHeight="1" x14ac:dyDescent="0.3">
      <c r="BB1034385" s="38"/>
    </row>
    <row r="1034386" spans="54:54" ht="15.75" customHeight="1" x14ac:dyDescent="0.3">
      <c r="BB1034386" s="38"/>
    </row>
    <row r="1034387" spans="54:54" ht="15.75" customHeight="1" x14ac:dyDescent="0.3">
      <c r="BB1034387" s="38"/>
    </row>
    <row r="1034388" spans="54:54" ht="15.75" customHeight="1" x14ac:dyDescent="0.3">
      <c r="BB1034388" s="38"/>
    </row>
    <row r="1034389" spans="54:54" ht="15.75" customHeight="1" x14ac:dyDescent="0.3">
      <c r="BB1034389" s="38"/>
    </row>
    <row r="1034390" spans="54:54" ht="15.75" customHeight="1" x14ac:dyDescent="0.3">
      <c r="BB1034390" s="38"/>
    </row>
    <row r="1034391" spans="54:54" ht="15.75" customHeight="1" x14ac:dyDescent="0.3">
      <c r="BB1034391" s="38"/>
    </row>
    <row r="1034392" spans="54:54" ht="15.75" customHeight="1" x14ac:dyDescent="0.3">
      <c r="BB1034392" s="38"/>
    </row>
    <row r="1034393" spans="54:54" ht="15.75" customHeight="1" x14ac:dyDescent="0.3">
      <c r="BB1034393" s="38"/>
    </row>
    <row r="1034394" spans="54:54" ht="15.75" customHeight="1" x14ac:dyDescent="0.3">
      <c r="BB1034394" s="38"/>
    </row>
    <row r="1034395" spans="54:54" ht="15.75" customHeight="1" x14ac:dyDescent="0.3">
      <c r="BB1034395" s="38"/>
    </row>
    <row r="1034396" spans="54:54" ht="15.75" customHeight="1" x14ac:dyDescent="0.3">
      <c r="BB1034396" s="38"/>
    </row>
    <row r="1034397" spans="54:54" ht="15.75" customHeight="1" x14ac:dyDescent="0.3">
      <c r="BB1034397" s="38"/>
    </row>
    <row r="1034398" spans="54:54" ht="15.75" customHeight="1" x14ac:dyDescent="0.3">
      <c r="BB1034398" s="38"/>
    </row>
    <row r="1034399" spans="54:54" ht="15.75" customHeight="1" x14ac:dyDescent="0.3">
      <c r="BB1034399" s="38"/>
    </row>
    <row r="1034400" spans="54:54" ht="15.75" customHeight="1" x14ac:dyDescent="0.3">
      <c r="BB1034400" s="38"/>
    </row>
    <row r="1034401" spans="54:54" ht="15.75" customHeight="1" x14ac:dyDescent="0.3">
      <c r="BB1034401" s="38"/>
    </row>
    <row r="1034402" spans="54:54" ht="15.75" customHeight="1" x14ac:dyDescent="0.3">
      <c r="BB1034402" s="38"/>
    </row>
    <row r="1034403" spans="54:54" ht="15.75" customHeight="1" x14ac:dyDescent="0.3">
      <c r="BB1034403" s="38"/>
    </row>
    <row r="1034404" spans="54:54" ht="15.75" customHeight="1" x14ac:dyDescent="0.3">
      <c r="BB1034404" s="38"/>
    </row>
    <row r="1034405" spans="54:54" ht="15.75" customHeight="1" x14ac:dyDescent="0.3">
      <c r="BB1034405" s="38"/>
    </row>
    <row r="1034406" spans="54:54" ht="15.75" customHeight="1" x14ac:dyDescent="0.3">
      <c r="BB1034406" s="38"/>
    </row>
    <row r="1034407" spans="54:54" ht="15.75" customHeight="1" x14ac:dyDescent="0.3">
      <c r="BB1034407" s="38"/>
    </row>
    <row r="1034408" spans="54:54" ht="15.75" customHeight="1" x14ac:dyDescent="0.3">
      <c r="BB1034408" s="38"/>
    </row>
    <row r="1034409" spans="54:54" ht="15.75" customHeight="1" x14ac:dyDescent="0.3">
      <c r="BB1034409" s="38"/>
    </row>
    <row r="1034410" spans="54:54" ht="15.75" customHeight="1" x14ac:dyDescent="0.3">
      <c r="BB1034410" s="38"/>
    </row>
    <row r="1034411" spans="54:54" ht="15.75" customHeight="1" x14ac:dyDescent="0.3">
      <c r="BB1034411" s="38"/>
    </row>
    <row r="1034412" spans="54:54" ht="15.75" customHeight="1" x14ac:dyDescent="0.3">
      <c r="BB1034412" s="38"/>
    </row>
    <row r="1034413" spans="54:54" ht="15.75" customHeight="1" x14ac:dyDescent="0.3">
      <c r="BB1034413" s="38"/>
    </row>
    <row r="1034414" spans="54:54" ht="15.75" customHeight="1" x14ac:dyDescent="0.3">
      <c r="BB1034414" s="38"/>
    </row>
    <row r="1034415" spans="54:54" ht="15.75" customHeight="1" x14ac:dyDescent="0.3">
      <c r="BB1034415" s="38"/>
    </row>
    <row r="1034416" spans="54:54" ht="15.75" customHeight="1" x14ac:dyDescent="0.3">
      <c r="BB1034416" s="38"/>
    </row>
    <row r="1034417" spans="54:54" ht="15.75" customHeight="1" x14ac:dyDescent="0.3">
      <c r="BB1034417" s="38"/>
    </row>
    <row r="1034418" spans="54:54" ht="15.75" customHeight="1" x14ac:dyDescent="0.3">
      <c r="BB1034418" s="38"/>
    </row>
    <row r="1034419" spans="54:54" ht="15.75" customHeight="1" x14ac:dyDescent="0.3">
      <c r="BB1034419" s="38"/>
    </row>
    <row r="1034420" spans="54:54" ht="15.75" customHeight="1" x14ac:dyDescent="0.3">
      <c r="BB1034420" s="38"/>
    </row>
    <row r="1034421" spans="54:54" ht="15.75" customHeight="1" x14ac:dyDescent="0.3">
      <c r="BB1034421" s="38"/>
    </row>
    <row r="1034422" spans="54:54" ht="15.75" customHeight="1" x14ac:dyDescent="0.3">
      <c r="BB1034422" s="38"/>
    </row>
    <row r="1034423" spans="54:54" ht="15.75" customHeight="1" x14ac:dyDescent="0.3">
      <c r="BB1034423" s="38"/>
    </row>
    <row r="1034424" spans="54:54" ht="15.75" customHeight="1" x14ac:dyDescent="0.3">
      <c r="BB1034424" s="38"/>
    </row>
    <row r="1034425" spans="54:54" ht="15.75" customHeight="1" x14ac:dyDescent="0.3">
      <c r="BB1034425" s="38"/>
    </row>
    <row r="1034426" spans="54:54" ht="15.75" customHeight="1" x14ac:dyDescent="0.3">
      <c r="BB1034426" s="38"/>
    </row>
    <row r="1034427" spans="54:54" ht="15.75" customHeight="1" x14ac:dyDescent="0.3">
      <c r="BB1034427" s="38"/>
    </row>
    <row r="1034428" spans="54:54" ht="15.75" customHeight="1" x14ac:dyDescent="0.3">
      <c r="BB1034428" s="38"/>
    </row>
    <row r="1034429" spans="54:54" ht="15.75" customHeight="1" x14ac:dyDescent="0.3">
      <c r="BB1034429" s="38"/>
    </row>
    <row r="1034430" spans="54:54" ht="15.75" customHeight="1" x14ac:dyDescent="0.3">
      <c r="BB1034430" s="38"/>
    </row>
    <row r="1034431" spans="54:54" ht="15.75" customHeight="1" x14ac:dyDescent="0.3">
      <c r="BB1034431" s="38"/>
    </row>
    <row r="1034432" spans="54:54" ht="15.75" customHeight="1" x14ac:dyDescent="0.3">
      <c r="BB1034432" s="38"/>
    </row>
    <row r="1034433" spans="54:54" ht="15.75" customHeight="1" x14ac:dyDescent="0.3">
      <c r="BB1034433" s="38"/>
    </row>
    <row r="1034434" spans="54:54" ht="15.75" customHeight="1" x14ac:dyDescent="0.3">
      <c r="BB1034434" s="38"/>
    </row>
    <row r="1034435" spans="54:54" ht="15.75" customHeight="1" x14ac:dyDescent="0.3">
      <c r="BB1034435" s="38"/>
    </row>
    <row r="1034436" spans="54:54" ht="15.75" customHeight="1" x14ac:dyDescent="0.3">
      <c r="BB1034436" s="38"/>
    </row>
    <row r="1034437" spans="54:54" ht="15.75" customHeight="1" x14ac:dyDescent="0.3">
      <c r="BB1034437" s="38"/>
    </row>
    <row r="1034438" spans="54:54" ht="15.75" customHeight="1" x14ac:dyDescent="0.3">
      <c r="BB1034438" s="38"/>
    </row>
    <row r="1034439" spans="54:54" ht="15.75" customHeight="1" x14ac:dyDescent="0.3">
      <c r="BB1034439" s="38"/>
    </row>
    <row r="1034440" spans="54:54" ht="15.75" customHeight="1" x14ac:dyDescent="0.3">
      <c r="BB1034440" s="38"/>
    </row>
    <row r="1034441" spans="54:54" ht="15.75" customHeight="1" x14ac:dyDescent="0.3">
      <c r="BB1034441" s="38"/>
    </row>
    <row r="1034442" spans="54:54" ht="15.75" customHeight="1" x14ac:dyDescent="0.3">
      <c r="BB1034442" s="38"/>
    </row>
    <row r="1034443" spans="54:54" ht="15.75" customHeight="1" x14ac:dyDescent="0.3">
      <c r="BB1034443" s="38"/>
    </row>
    <row r="1034444" spans="54:54" ht="15.75" customHeight="1" x14ac:dyDescent="0.3">
      <c r="BB1034444" s="38"/>
    </row>
    <row r="1034445" spans="54:54" ht="15.75" customHeight="1" x14ac:dyDescent="0.3">
      <c r="BB1034445" s="38"/>
    </row>
    <row r="1034446" spans="54:54" ht="15.75" customHeight="1" x14ac:dyDescent="0.3">
      <c r="BB1034446" s="38"/>
    </row>
    <row r="1034447" spans="54:54" ht="15.75" customHeight="1" x14ac:dyDescent="0.3">
      <c r="BB1034447" s="38"/>
    </row>
    <row r="1034448" spans="54:54" ht="15.75" customHeight="1" x14ac:dyDescent="0.3">
      <c r="BB1034448" s="38"/>
    </row>
    <row r="1034449" spans="54:54" ht="15.75" customHeight="1" x14ac:dyDescent="0.3">
      <c r="BB1034449" s="38"/>
    </row>
    <row r="1034450" spans="54:54" ht="15.75" customHeight="1" x14ac:dyDescent="0.3">
      <c r="BB1034450" s="38"/>
    </row>
    <row r="1034451" spans="54:54" ht="15.75" customHeight="1" x14ac:dyDescent="0.3">
      <c r="BB1034451" s="38"/>
    </row>
    <row r="1034452" spans="54:54" ht="15.75" customHeight="1" x14ac:dyDescent="0.3">
      <c r="BB1034452" s="38"/>
    </row>
    <row r="1034453" spans="54:54" ht="15.75" customHeight="1" x14ac:dyDescent="0.3">
      <c r="BB1034453" s="38"/>
    </row>
    <row r="1034454" spans="54:54" ht="15.75" customHeight="1" x14ac:dyDescent="0.3">
      <c r="BB1034454" s="38"/>
    </row>
    <row r="1034455" spans="54:54" ht="15.75" customHeight="1" x14ac:dyDescent="0.3">
      <c r="BB1034455" s="38"/>
    </row>
    <row r="1034456" spans="54:54" ht="15.75" customHeight="1" x14ac:dyDescent="0.3">
      <c r="BB1034456" s="38"/>
    </row>
    <row r="1034457" spans="54:54" ht="15.75" customHeight="1" x14ac:dyDescent="0.3">
      <c r="BB1034457" s="38"/>
    </row>
    <row r="1034458" spans="54:54" ht="15.75" customHeight="1" x14ac:dyDescent="0.3">
      <c r="BB1034458" s="38"/>
    </row>
    <row r="1034459" spans="54:54" ht="15.75" customHeight="1" x14ac:dyDescent="0.3">
      <c r="BB1034459" s="38"/>
    </row>
    <row r="1034460" spans="54:54" ht="15.75" customHeight="1" x14ac:dyDescent="0.3">
      <c r="BB1034460" s="38"/>
    </row>
    <row r="1034461" spans="54:54" ht="15.75" customHeight="1" x14ac:dyDescent="0.3">
      <c r="BB1034461" s="38"/>
    </row>
    <row r="1034462" spans="54:54" ht="15.75" customHeight="1" x14ac:dyDescent="0.3">
      <c r="BB1034462" s="38"/>
    </row>
    <row r="1034463" spans="54:54" ht="15.75" customHeight="1" x14ac:dyDescent="0.3">
      <c r="BB1034463" s="38"/>
    </row>
    <row r="1034464" spans="54:54" ht="15.75" customHeight="1" x14ac:dyDescent="0.3">
      <c r="BB1034464" s="38"/>
    </row>
    <row r="1034465" spans="54:54" ht="15.75" customHeight="1" x14ac:dyDescent="0.3">
      <c r="BB1034465" s="38"/>
    </row>
    <row r="1034466" spans="54:54" ht="15.75" customHeight="1" x14ac:dyDescent="0.3">
      <c r="BB1034466" s="38"/>
    </row>
    <row r="1034467" spans="54:54" ht="15.75" customHeight="1" x14ac:dyDescent="0.3">
      <c r="BB1034467" s="38"/>
    </row>
    <row r="1034468" spans="54:54" ht="15.75" customHeight="1" x14ac:dyDescent="0.3">
      <c r="BB1034468" s="38"/>
    </row>
    <row r="1034469" spans="54:54" ht="15.75" customHeight="1" x14ac:dyDescent="0.3">
      <c r="BB1034469" s="38"/>
    </row>
    <row r="1034470" spans="54:54" ht="15.75" customHeight="1" x14ac:dyDescent="0.3">
      <c r="BB1034470" s="38"/>
    </row>
    <row r="1034471" spans="54:54" ht="15.75" customHeight="1" x14ac:dyDescent="0.3">
      <c r="BB1034471" s="38"/>
    </row>
    <row r="1034472" spans="54:54" ht="15.75" customHeight="1" x14ac:dyDescent="0.3">
      <c r="BB1034472" s="38"/>
    </row>
    <row r="1034473" spans="54:54" ht="15.75" customHeight="1" x14ac:dyDescent="0.3">
      <c r="BB1034473" s="38"/>
    </row>
    <row r="1034474" spans="54:54" ht="15.75" customHeight="1" x14ac:dyDescent="0.3">
      <c r="BB1034474" s="38"/>
    </row>
    <row r="1034475" spans="54:54" ht="15.75" customHeight="1" x14ac:dyDescent="0.3">
      <c r="BB1034475" s="38"/>
    </row>
    <row r="1034476" spans="54:54" ht="15.75" customHeight="1" x14ac:dyDescent="0.3">
      <c r="BB1034476" s="38"/>
    </row>
    <row r="1034477" spans="54:54" ht="15.75" customHeight="1" x14ac:dyDescent="0.3">
      <c r="BB1034477" s="38"/>
    </row>
    <row r="1034478" spans="54:54" ht="15.75" customHeight="1" x14ac:dyDescent="0.3">
      <c r="BB1034478" s="38"/>
    </row>
    <row r="1034479" spans="54:54" ht="15.75" customHeight="1" x14ac:dyDescent="0.3">
      <c r="BB1034479" s="38"/>
    </row>
    <row r="1034480" spans="54:54" ht="15.75" customHeight="1" x14ac:dyDescent="0.3">
      <c r="BB1034480" s="38"/>
    </row>
    <row r="1034481" spans="54:54" ht="15.75" customHeight="1" x14ac:dyDescent="0.3">
      <c r="BB1034481" s="38"/>
    </row>
    <row r="1034482" spans="54:54" ht="15.75" customHeight="1" x14ac:dyDescent="0.3">
      <c r="BB1034482" s="38"/>
    </row>
    <row r="1034483" spans="54:54" ht="15.75" customHeight="1" x14ac:dyDescent="0.3">
      <c r="BB1034483" s="38"/>
    </row>
    <row r="1034484" spans="54:54" ht="15.75" customHeight="1" x14ac:dyDescent="0.3">
      <c r="BB1034484" s="38"/>
    </row>
    <row r="1034485" spans="54:54" ht="15.75" customHeight="1" x14ac:dyDescent="0.3">
      <c r="BB1034485" s="38"/>
    </row>
    <row r="1034486" spans="54:54" ht="15.75" customHeight="1" x14ac:dyDescent="0.3">
      <c r="BB1034486" s="38"/>
    </row>
    <row r="1034487" spans="54:54" ht="15.75" customHeight="1" x14ac:dyDescent="0.3">
      <c r="BB1034487" s="38"/>
    </row>
    <row r="1034488" spans="54:54" ht="15.75" customHeight="1" x14ac:dyDescent="0.3">
      <c r="BB1034488" s="38"/>
    </row>
    <row r="1034489" spans="54:54" ht="15.75" customHeight="1" x14ac:dyDescent="0.3">
      <c r="BB1034489" s="38"/>
    </row>
    <row r="1034490" spans="54:54" ht="15.75" customHeight="1" x14ac:dyDescent="0.3">
      <c r="BB1034490" s="38"/>
    </row>
    <row r="1034491" spans="54:54" ht="15.75" customHeight="1" x14ac:dyDescent="0.3">
      <c r="BB1034491" s="38"/>
    </row>
    <row r="1034492" spans="54:54" ht="15.75" customHeight="1" x14ac:dyDescent="0.3">
      <c r="BB1034492" s="38"/>
    </row>
    <row r="1034493" spans="54:54" ht="15.75" customHeight="1" x14ac:dyDescent="0.3">
      <c r="BB1034493" s="38"/>
    </row>
    <row r="1034494" spans="54:54" ht="15.75" customHeight="1" x14ac:dyDescent="0.3">
      <c r="BB1034494" s="38"/>
    </row>
    <row r="1034495" spans="54:54" ht="15.75" customHeight="1" x14ac:dyDescent="0.3">
      <c r="BB1034495" s="38"/>
    </row>
    <row r="1034496" spans="54:54" ht="15.75" customHeight="1" x14ac:dyDescent="0.3">
      <c r="BB1034496" s="38"/>
    </row>
    <row r="1034497" spans="54:54" ht="15.75" customHeight="1" x14ac:dyDescent="0.3">
      <c r="BB1034497" s="38"/>
    </row>
    <row r="1034498" spans="54:54" ht="15.75" customHeight="1" x14ac:dyDescent="0.3">
      <c r="BB1034498" s="38"/>
    </row>
    <row r="1034499" spans="54:54" ht="15.75" customHeight="1" x14ac:dyDescent="0.3">
      <c r="BB1034499" s="38"/>
    </row>
    <row r="1034500" spans="54:54" ht="15.75" customHeight="1" x14ac:dyDescent="0.3">
      <c r="BB1034500" s="38"/>
    </row>
    <row r="1034501" spans="54:54" ht="15.75" customHeight="1" x14ac:dyDescent="0.3">
      <c r="BB1034501" s="38"/>
    </row>
    <row r="1034502" spans="54:54" ht="15.75" customHeight="1" x14ac:dyDescent="0.3">
      <c r="BB1034502" s="38"/>
    </row>
    <row r="1034503" spans="54:54" ht="15.75" customHeight="1" x14ac:dyDescent="0.3">
      <c r="BB1034503" s="38"/>
    </row>
    <row r="1034504" spans="54:54" ht="15.75" customHeight="1" x14ac:dyDescent="0.3">
      <c r="BB1034504" s="38"/>
    </row>
    <row r="1034505" spans="54:54" ht="15.75" customHeight="1" x14ac:dyDescent="0.3">
      <c r="BB1034505" s="38"/>
    </row>
    <row r="1034506" spans="54:54" ht="15.75" customHeight="1" x14ac:dyDescent="0.3">
      <c r="BB1034506" s="38"/>
    </row>
    <row r="1034507" spans="54:54" ht="15.75" customHeight="1" x14ac:dyDescent="0.3">
      <c r="BB1034507" s="38"/>
    </row>
    <row r="1034508" spans="54:54" ht="15.75" customHeight="1" x14ac:dyDescent="0.3">
      <c r="BB1034508" s="38"/>
    </row>
    <row r="1034509" spans="54:54" ht="15.75" customHeight="1" x14ac:dyDescent="0.3">
      <c r="BB1034509" s="38"/>
    </row>
    <row r="1034510" spans="54:54" ht="15.75" customHeight="1" x14ac:dyDescent="0.3">
      <c r="BB1034510" s="38"/>
    </row>
    <row r="1034511" spans="54:54" ht="15.75" customHeight="1" x14ac:dyDescent="0.3">
      <c r="BB1034511" s="38"/>
    </row>
    <row r="1034512" spans="54:54" ht="15.75" customHeight="1" x14ac:dyDescent="0.3">
      <c r="BB1034512" s="38"/>
    </row>
    <row r="1034513" spans="54:54" ht="15.75" customHeight="1" x14ac:dyDescent="0.3">
      <c r="BB1034513" s="38"/>
    </row>
    <row r="1034514" spans="54:54" ht="15.75" customHeight="1" x14ac:dyDescent="0.3">
      <c r="BB1034514" s="38"/>
    </row>
    <row r="1034515" spans="54:54" ht="15.75" customHeight="1" x14ac:dyDescent="0.3">
      <c r="BB1034515" s="38"/>
    </row>
    <row r="1034516" spans="54:54" ht="15.75" customHeight="1" x14ac:dyDescent="0.3">
      <c r="BB1034516" s="38"/>
    </row>
    <row r="1034517" spans="54:54" ht="15.75" customHeight="1" x14ac:dyDescent="0.3">
      <c r="BB1034517" s="38"/>
    </row>
    <row r="1034518" spans="54:54" ht="15.75" customHeight="1" x14ac:dyDescent="0.3">
      <c r="BB1034518" s="38"/>
    </row>
    <row r="1034519" spans="54:54" ht="15.75" customHeight="1" x14ac:dyDescent="0.3">
      <c r="BB1034519" s="38"/>
    </row>
    <row r="1034520" spans="54:54" ht="15.75" customHeight="1" x14ac:dyDescent="0.3">
      <c r="BB1034520" s="38"/>
    </row>
    <row r="1034521" spans="54:54" ht="15.75" customHeight="1" x14ac:dyDescent="0.3">
      <c r="BB1034521" s="38"/>
    </row>
    <row r="1034522" spans="54:54" ht="15.75" customHeight="1" x14ac:dyDescent="0.3">
      <c r="BB1034522" s="38"/>
    </row>
    <row r="1034523" spans="54:54" ht="15.75" customHeight="1" x14ac:dyDescent="0.3">
      <c r="BB1034523" s="38"/>
    </row>
    <row r="1034524" spans="54:54" ht="15.75" customHeight="1" x14ac:dyDescent="0.3">
      <c r="BB1034524" s="38"/>
    </row>
    <row r="1034525" spans="54:54" ht="15.75" customHeight="1" x14ac:dyDescent="0.3">
      <c r="BB1034525" s="38"/>
    </row>
    <row r="1034526" spans="54:54" ht="15.75" customHeight="1" x14ac:dyDescent="0.3">
      <c r="BB1034526" s="38"/>
    </row>
    <row r="1034527" spans="54:54" ht="15.75" customHeight="1" x14ac:dyDescent="0.3">
      <c r="BB1034527" s="38"/>
    </row>
    <row r="1034528" spans="54:54" ht="15.75" customHeight="1" x14ac:dyDescent="0.3">
      <c r="BB1034528" s="38"/>
    </row>
    <row r="1034529" spans="54:54" ht="15.75" customHeight="1" x14ac:dyDescent="0.3">
      <c r="BB1034529" s="38"/>
    </row>
    <row r="1034530" spans="54:54" ht="15.75" customHeight="1" x14ac:dyDescent="0.3">
      <c r="BB1034530" s="38"/>
    </row>
    <row r="1034531" spans="54:54" ht="15.75" customHeight="1" x14ac:dyDescent="0.3">
      <c r="BB1034531" s="38"/>
    </row>
    <row r="1034532" spans="54:54" ht="15.75" customHeight="1" x14ac:dyDescent="0.3">
      <c r="BB1034532" s="38"/>
    </row>
    <row r="1034533" spans="54:54" ht="15.75" customHeight="1" x14ac:dyDescent="0.3">
      <c r="BB1034533" s="38"/>
    </row>
    <row r="1034534" spans="54:54" ht="15.75" customHeight="1" x14ac:dyDescent="0.3">
      <c r="BB1034534" s="38"/>
    </row>
    <row r="1034535" spans="54:54" ht="15.75" customHeight="1" x14ac:dyDescent="0.3">
      <c r="BB1034535" s="38"/>
    </row>
    <row r="1034536" spans="54:54" ht="15.75" customHeight="1" x14ac:dyDescent="0.3">
      <c r="BB1034536" s="38"/>
    </row>
    <row r="1034537" spans="54:54" ht="15.75" customHeight="1" x14ac:dyDescent="0.3">
      <c r="BB1034537" s="38"/>
    </row>
    <row r="1034538" spans="54:54" ht="15.75" customHeight="1" x14ac:dyDescent="0.3">
      <c r="BB1034538" s="38"/>
    </row>
    <row r="1034539" spans="54:54" ht="15.75" customHeight="1" x14ac:dyDescent="0.3">
      <c r="BB1034539" s="38"/>
    </row>
    <row r="1034540" spans="54:54" ht="15.75" customHeight="1" x14ac:dyDescent="0.3">
      <c r="BB1034540" s="38"/>
    </row>
    <row r="1034541" spans="54:54" ht="15.75" customHeight="1" x14ac:dyDescent="0.3">
      <c r="BB1034541" s="38"/>
    </row>
    <row r="1034542" spans="54:54" ht="15.75" customHeight="1" x14ac:dyDescent="0.3">
      <c r="BB1034542" s="38"/>
    </row>
    <row r="1034543" spans="54:54" ht="15.75" customHeight="1" x14ac:dyDescent="0.3">
      <c r="BB1034543" s="38"/>
    </row>
    <row r="1034544" spans="54:54" ht="15.75" customHeight="1" x14ac:dyDescent="0.3">
      <c r="BB1034544" s="38"/>
    </row>
    <row r="1034545" spans="54:54" ht="15.75" customHeight="1" x14ac:dyDescent="0.3">
      <c r="BB1034545" s="38"/>
    </row>
    <row r="1034546" spans="54:54" ht="15.75" customHeight="1" x14ac:dyDescent="0.3">
      <c r="BB1034546" s="38"/>
    </row>
    <row r="1034547" spans="54:54" ht="15.75" customHeight="1" x14ac:dyDescent="0.3">
      <c r="BB1034547" s="38"/>
    </row>
    <row r="1034548" spans="54:54" ht="15.75" customHeight="1" x14ac:dyDescent="0.3">
      <c r="BB1034548" s="38"/>
    </row>
    <row r="1034549" spans="54:54" ht="15.75" customHeight="1" x14ac:dyDescent="0.3">
      <c r="BB1034549" s="38"/>
    </row>
    <row r="1034550" spans="54:54" ht="15.75" customHeight="1" x14ac:dyDescent="0.3">
      <c r="BB1034550" s="38"/>
    </row>
    <row r="1034551" spans="54:54" ht="15.75" customHeight="1" x14ac:dyDescent="0.3">
      <c r="BB1034551" s="38"/>
    </row>
    <row r="1034552" spans="54:54" ht="15.75" customHeight="1" x14ac:dyDescent="0.3">
      <c r="BB1034552" s="38"/>
    </row>
    <row r="1034553" spans="54:54" ht="15.75" customHeight="1" x14ac:dyDescent="0.3">
      <c r="BB1034553" s="38"/>
    </row>
    <row r="1034554" spans="54:54" ht="15.75" customHeight="1" x14ac:dyDescent="0.3">
      <c r="BB1034554" s="38"/>
    </row>
    <row r="1034555" spans="54:54" ht="15.75" customHeight="1" x14ac:dyDescent="0.3">
      <c r="BB1034555" s="38"/>
    </row>
    <row r="1034556" spans="54:54" ht="15.75" customHeight="1" x14ac:dyDescent="0.3">
      <c r="BB1034556" s="38"/>
    </row>
    <row r="1034557" spans="54:54" ht="15.75" customHeight="1" x14ac:dyDescent="0.3">
      <c r="BB1034557" s="38"/>
    </row>
    <row r="1034558" spans="54:54" ht="15.75" customHeight="1" x14ac:dyDescent="0.3">
      <c r="BB1034558" s="38"/>
    </row>
    <row r="1034559" spans="54:54" ht="15.75" customHeight="1" x14ac:dyDescent="0.3">
      <c r="BB1034559" s="38"/>
    </row>
    <row r="1034560" spans="54:54" ht="15.75" customHeight="1" x14ac:dyDescent="0.3">
      <c r="BB1034560" s="38"/>
    </row>
    <row r="1034561" spans="54:54" ht="15.75" customHeight="1" x14ac:dyDescent="0.3">
      <c r="BB1034561" s="38"/>
    </row>
    <row r="1034562" spans="54:54" ht="15.75" customHeight="1" x14ac:dyDescent="0.3">
      <c r="BB1034562" s="38"/>
    </row>
    <row r="1034563" spans="54:54" ht="15.75" customHeight="1" x14ac:dyDescent="0.3">
      <c r="BB1034563" s="38"/>
    </row>
    <row r="1034564" spans="54:54" ht="15.75" customHeight="1" x14ac:dyDescent="0.3">
      <c r="BB1034564" s="38"/>
    </row>
    <row r="1034565" spans="54:54" ht="15.75" customHeight="1" x14ac:dyDescent="0.3">
      <c r="BB1034565" s="38"/>
    </row>
    <row r="1034566" spans="54:54" ht="15.75" customHeight="1" x14ac:dyDescent="0.3">
      <c r="BB1034566" s="38"/>
    </row>
    <row r="1034567" spans="54:54" ht="15.75" customHeight="1" x14ac:dyDescent="0.3">
      <c r="BB1034567" s="38"/>
    </row>
    <row r="1034568" spans="54:54" ht="15.75" customHeight="1" x14ac:dyDescent="0.3">
      <c r="BB1034568" s="38"/>
    </row>
    <row r="1034569" spans="54:54" ht="15.75" customHeight="1" x14ac:dyDescent="0.3">
      <c r="BB1034569" s="38"/>
    </row>
    <row r="1034570" spans="54:54" ht="15.75" customHeight="1" x14ac:dyDescent="0.3">
      <c r="BB1034570" s="38"/>
    </row>
    <row r="1034571" spans="54:54" ht="15.75" customHeight="1" x14ac:dyDescent="0.3">
      <c r="BB1034571" s="38"/>
    </row>
    <row r="1034572" spans="54:54" ht="15.75" customHeight="1" x14ac:dyDescent="0.3">
      <c r="BB1034572" s="38"/>
    </row>
    <row r="1034573" spans="54:54" ht="15.75" customHeight="1" x14ac:dyDescent="0.3">
      <c r="BB1034573" s="38"/>
    </row>
    <row r="1034574" spans="54:54" ht="15.75" customHeight="1" x14ac:dyDescent="0.3">
      <c r="BB1034574" s="38"/>
    </row>
    <row r="1034575" spans="54:54" ht="15.75" customHeight="1" x14ac:dyDescent="0.3">
      <c r="BB1034575" s="38"/>
    </row>
    <row r="1034576" spans="54:54" ht="15.75" customHeight="1" x14ac:dyDescent="0.3">
      <c r="BB1034576" s="38"/>
    </row>
    <row r="1034577" spans="54:54" ht="15.75" customHeight="1" x14ac:dyDescent="0.3">
      <c r="BB1034577" s="38"/>
    </row>
    <row r="1034578" spans="54:54" ht="15.75" customHeight="1" x14ac:dyDescent="0.3">
      <c r="BB1034578" s="38"/>
    </row>
    <row r="1034579" spans="54:54" ht="15.75" customHeight="1" x14ac:dyDescent="0.3">
      <c r="BB1034579" s="38"/>
    </row>
    <row r="1034580" spans="54:54" ht="15.75" customHeight="1" x14ac:dyDescent="0.3">
      <c r="BB1034580" s="38"/>
    </row>
    <row r="1034581" spans="54:54" ht="15.75" customHeight="1" x14ac:dyDescent="0.3">
      <c r="BB1034581" s="38"/>
    </row>
    <row r="1034582" spans="54:54" ht="15.75" customHeight="1" x14ac:dyDescent="0.3">
      <c r="BB1034582" s="38"/>
    </row>
    <row r="1034583" spans="54:54" ht="15.75" customHeight="1" x14ac:dyDescent="0.3">
      <c r="BB1034583" s="38"/>
    </row>
    <row r="1034584" spans="54:54" ht="15.75" customHeight="1" x14ac:dyDescent="0.3">
      <c r="BB1034584" s="38"/>
    </row>
    <row r="1034585" spans="54:54" ht="15.75" customHeight="1" x14ac:dyDescent="0.3">
      <c r="BB1034585" s="38"/>
    </row>
    <row r="1034586" spans="54:54" ht="15.75" customHeight="1" x14ac:dyDescent="0.3">
      <c r="BB1034586" s="38"/>
    </row>
    <row r="1034587" spans="54:54" ht="15.75" customHeight="1" x14ac:dyDescent="0.3">
      <c r="BB1034587" s="38"/>
    </row>
    <row r="1034588" spans="54:54" ht="15.75" customHeight="1" x14ac:dyDescent="0.3">
      <c r="BB1034588" s="38"/>
    </row>
    <row r="1034589" spans="54:54" ht="15.75" customHeight="1" x14ac:dyDescent="0.3">
      <c r="BB1034589" s="38"/>
    </row>
    <row r="1034590" spans="54:54" ht="15.75" customHeight="1" x14ac:dyDescent="0.3">
      <c r="BB1034590" s="38"/>
    </row>
    <row r="1034591" spans="54:54" ht="15.75" customHeight="1" x14ac:dyDescent="0.3">
      <c r="BB1034591" s="38"/>
    </row>
    <row r="1034592" spans="54:54" ht="15.75" customHeight="1" x14ac:dyDescent="0.3">
      <c r="BB1034592" s="38"/>
    </row>
    <row r="1034593" spans="54:54" ht="15.75" customHeight="1" x14ac:dyDescent="0.3">
      <c r="BB1034593" s="38"/>
    </row>
    <row r="1034594" spans="54:54" ht="15.75" customHeight="1" x14ac:dyDescent="0.3">
      <c r="BB1034594" s="38"/>
    </row>
    <row r="1034595" spans="54:54" ht="15.75" customHeight="1" x14ac:dyDescent="0.3">
      <c r="BB1034595" s="38"/>
    </row>
    <row r="1034596" spans="54:54" ht="15.75" customHeight="1" x14ac:dyDescent="0.3">
      <c r="BB1034596" s="38"/>
    </row>
    <row r="1034597" spans="54:54" ht="15.75" customHeight="1" x14ac:dyDescent="0.3">
      <c r="BB1034597" s="38"/>
    </row>
    <row r="1034598" spans="54:54" ht="15.75" customHeight="1" x14ac:dyDescent="0.3">
      <c r="BB1034598" s="38"/>
    </row>
    <row r="1034599" spans="54:54" ht="15.75" customHeight="1" x14ac:dyDescent="0.3">
      <c r="BB1034599" s="38"/>
    </row>
    <row r="1034600" spans="54:54" ht="15.75" customHeight="1" x14ac:dyDescent="0.3">
      <c r="BB1034600" s="38"/>
    </row>
    <row r="1034601" spans="54:54" ht="15.75" customHeight="1" x14ac:dyDescent="0.3">
      <c r="BB1034601" s="38"/>
    </row>
    <row r="1034602" spans="54:54" ht="15.75" customHeight="1" x14ac:dyDescent="0.3">
      <c r="BB1034602" s="38"/>
    </row>
    <row r="1034603" spans="54:54" ht="15.75" customHeight="1" x14ac:dyDescent="0.3">
      <c r="BB1034603" s="38"/>
    </row>
    <row r="1034604" spans="54:54" ht="15.75" customHeight="1" x14ac:dyDescent="0.3">
      <c r="BB1034604" s="38"/>
    </row>
    <row r="1034605" spans="54:54" ht="15.75" customHeight="1" x14ac:dyDescent="0.3">
      <c r="BB1034605" s="38"/>
    </row>
    <row r="1034606" spans="54:54" ht="15.75" customHeight="1" x14ac:dyDescent="0.3">
      <c r="BB1034606" s="38"/>
    </row>
    <row r="1034607" spans="54:54" ht="15.75" customHeight="1" x14ac:dyDescent="0.3">
      <c r="BB1034607" s="38"/>
    </row>
    <row r="1034608" spans="54:54" ht="15.75" customHeight="1" x14ac:dyDescent="0.3">
      <c r="BB1034608" s="38"/>
    </row>
    <row r="1034609" spans="54:54" ht="15.75" customHeight="1" x14ac:dyDescent="0.3">
      <c r="BB1034609" s="38"/>
    </row>
    <row r="1034610" spans="54:54" ht="15.75" customHeight="1" x14ac:dyDescent="0.3">
      <c r="BB1034610" s="38"/>
    </row>
    <row r="1034611" spans="54:54" ht="15.75" customHeight="1" x14ac:dyDescent="0.3">
      <c r="BB1034611" s="38"/>
    </row>
    <row r="1034612" spans="54:54" ht="15.75" customHeight="1" x14ac:dyDescent="0.3">
      <c r="BB1034612" s="38"/>
    </row>
    <row r="1034613" spans="54:54" ht="15.75" customHeight="1" x14ac:dyDescent="0.3">
      <c r="BB1034613" s="38"/>
    </row>
    <row r="1034614" spans="54:54" ht="15.75" customHeight="1" x14ac:dyDescent="0.3">
      <c r="BB1034614" s="38"/>
    </row>
    <row r="1034615" spans="54:54" ht="15.75" customHeight="1" x14ac:dyDescent="0.3">
      <c r="BB1034615" s="38"/>
    </row>
    <row r="1034616" spans="54:54" ht="15.75" customHeight="1" x14ac:dyDescent="0.3">
      <c r="BB1034616" s="38"/>
    </row>
    <row r="1034617" spans="54:54" ht="15.75" customHeight="1" x14ac:dyDescent="0.3">
      <c r="BB1034617" s="38"/>
    </row>
    <row r="1034618" spans="54:54" ht="15.75" customHeight="1" x14ac:dyDescent="0.3">
      <c r="BB1034618" s="38"/>
    </row>
    <row r="1034619" spans="54:54" ht="15.75" customHeight="1" x14ac:dyDescent="0.3">
      <c r="BB1034619" s="38"/>
    </row>
    <row r="1034620" spans="54:54" ht="15.75" customHeight="1" x14ac:dyDescent="0.3">
      <c r="BB1034620" s="38"/>
    </row>
    <row r="1034621" spans="54:54" ht="15.75" customHeight="1" x14ac:dyDescent="0.3">
      <c r="BB1034621" s="38"/>
    </row>
    <row r="1034622" spans="54:54" ht="15.75" customHeight="1" x14ac:dyDescent="0.3">
      <c r="BB1034622" s="38"/>
    </row>
    <row r="1034623" spans="54:54" ht="15.75" customHeight="1" x14ac:dyDescent="0.3">
      <c r="BB1034623" s="38"/>
    </row>
    <row r="1034624" spans="54:54" ht="15.75" customHeight="1" x14ac:dyDescent="0.3">
      <c r="BB1034624" s="38"/>
    </row>
    <row r="1034625" spans="54:54" ht="15.75" customHeight="1" x14ac:dyDescent="0.3">
      <c r="BB1034625" s="38"/>
    </row>
    <row r="1034626" spans="54:54" ht="15.75" customHeight="1" x14ac:dyDescent="0.3">
      <c r="BB1034626" s="38"/>
    </row>
    <row r="1034627" spans="54:54" ht="15.75" customHeight="1" x14ac:dyDescent="0.3">
      <c r="BB1034627" s="38"/>
    </row>
    <row r="1034628" spans="54:54" ht="15.75" customHeight="1" x14ac:dyDescent="0.3">
      <c r="BB1034628" s="38"/>
    </row>
    <row r="1034629" spans="54:54" ht="15.75" customHeight="1" x14ac:dyDescent="0.3">
      <c r="BB1034629" s="38"/>
    </row>
    <row r="1034630" spans="54:54" ht="15.75" customHeight="1" x14ac:dyDescent="0.3">
      <c r="BB1034630" s="38"/>
    </row>
    <row r="1034631" spans="54:54" ht="15.75" customHeight="1" x14ac:dyDescent="0.3">
      <c r="BB1034631" s="38"/>
    </row>
    <row r="1034632" spans="54:54" ht="15.75" customHeight="1" x14ac:dyDescent="0.3">
      <c r="BB1034632" s="38"/>
    </row>
    <row r="1034633" spans="54:54" ht="15.75" customHeight="1" x14ac:dyDescent="0.3">
      <c r="BB1034633" s="38"/>
    </row>
    <row r="1034634" spans="54:54" ht="15.75" customHeight="1" x14ac:dyDescent="0.3">
      <c r="BB1034634" s="38"/>
    </row>
    <row r="1034635" spans="54:54" ht="15.75" customHeight="1" x14ac:dyDescent="0.3">
      <c r="BB1034635" s="38"/>
    </row>
    <row r="1034636" spans="54:54" ht="15.75" customHeight="1" x14ac:dyDescent="0.3">
      <c r="BB1034636" s="38"/>
    </row>
    <row r="1034637" spans="54:54" ht="15.75" customHeight="1" x14ac:dyDescent="0.3">
      <c r="BB1034637" s="38"/>
    </row>
    <row r="1034638" spans="54:54" ht="15.75" customHeight="1" x14ac:dyDescent="0.3">
      <c r="BB1034638" s="38"/>
    </row>
    <row r="1034639" spans="54:54" ht="15.75" customHeight="1" x14ac:dyDescent="0.3">
      <c r="BB1034639" s="38"/>
    </row>
    <row r="1034640" spans="54:54" ht="15.75" customHeight="1" x14ac:dyDescent="0.3">
      <c r="BB1034640" s="38"/>
    </row>
    <row r="1034641" spans="54:54" ht="15.75" customHeight="1" x14ac:dyDescent="0.3">
      <c r="BB1034641" s="38"/>
    </row>
    <row r="1034642" spans="54:54" ht="15.75" customHeight="1" x14ac:dyDescent="0.3">
      <c r="BB1034642" s="38"/>
    </row>
    <row r="1034643" spans="54:54" ht="15.75" customHeight="1" x14ac:dyDescent="0.3">
      <c r="BB1034643" s="38"/>
    </row>
    <row r="1034644" spans="54:54" ht="15.75" customHeight="1" x14ac:dyDescent="0.3">
      <c r="BB1034644" s="38"/>
    </row>
    <row r="1034645" spans="54:54" ht="15.75" customHeight="1" x14ac:dyDescent="0.3">
      <c r="BB1034645" s="38"/>
    </row>
    <row r="1034646" spans="54:54" ht="15.75" customHeight="1" x14ac:dyDescent="0.3">
      <c r="BB1034646" s="38"/>
    </row>
    <row r="1034647" spans="54:54" ht="15.75" customHeight="1" x14ac:dyDescent="0.3">
      <c r="BB1034647" s="38"/>
    </row>
    <row r="1034648" spans="54:54" ht="15.75" customHeight="1" x14ac:dyDescent="0.3">
      <c r="BB1034648" s="38"/>
    </row>
    <row r="1034649" spans="54:54" ht="15.75" customHeight="1" x14ac:dyDescent="0.3">
      <c r="BB1034649" s="38"/>
    </row>
    <row r="1034650" spans="54:54" ht="15.75" customHeight="1" x14ac:dyDescent="0.3">
      <c r="BB1034650" s="38"/>
    </row>
    <row r="1034651" spans="54:54" ht="15.75" customHeight="1" x14ac:dyDescent="0.3">
      <c r="BB1034651" s="38"/>
    </row>
    <row r="1034652" spans="54:54" ht="15.75" customHeight="1" x14ac:dyDescent="0.3">
      <c r="BB1034652" s="38"/>
    </row>
    <row r="1034653" spans="54:54" ht="15.75" customHeight="1" x14ac:dyDescent="0.3">
      <c r="BB1034653" s="38"/>
    </row>
    <row r="1034654" spans="54:54" ht="15.75" customHeight="1" x14ac:dyDescent="0.3">
      <c r="BB1034654" s="38"/>
    </row>
    <row r="1034655" spans="54:54" ht="15.75" customHeight="1" x14ac:dyDescent="0.3">
      <c r="BB1034655" s="38"/>
    </row>
    <row r="1034656" spans="54:54" ht="15.75" customHeight="1" x14ac:dyDescent="0.3">
      <c r="BB1034656" s="38"/>
    </row>
    <row r="1034657" spans="54:54" ht="15.75" customHeight="1" x14ac:dyDescent="0.3">
      <c r="BB1034657" s="38"/>
    </row>
    <row r="1034658" spans="54:54" ht="15.75" customHeight="1" x14ac:dyDescent="0.3">
      <c r="BB1034658" s="38"/>
    </row>
    <row r="1034659" spans="54:54" ht="15.75" customHeight="1" x14ac:dyDescent="0.3">
      <c r="BB1034659" s="38"/>
    </row>
    <row r="1034660" spans="54:54" ht="15.75" customHeight="1" x14ac:dyDescent="0.3">
      <c r="BB1034660" s="38"/>
    </row>
    <row r="1034661" spans="54:54" ht="15.75" customHeight="1" x14ac:dyDescent="0.3">
      <c r="BB1034661" s="38"/>
    </row>
    <row r="1034662" spans="54:54" ht="15.75" customHeight="1" x14ac:dyDescent="0.3">
      <c r="BB1034662" s="38"/>
    </row>
    <row r="1034663" spans="54:54" ht="15.75" customHeight="1" x14ac:dyDescent="0.3">
      <c r="BB1034663" s="38"/>
    </row>
    <row r="1034664" spans="54:54" ht="15.75" customHeight="1" x14ac:dyDescent="0.3">
      <c r="BB1034664" s="38"/>
    </row>
    <row r="1034665" spans="54:54" ht="15.75" customHeight="1" x14ac:dyDescent="0.3">
      <c r="BB1034665" s="38"/>
    </row>
    <row r="1034666" spans="54:54" ht="15.75" customHeight="1" x14ac:dyDescent="0.3">
      <c r="BB1034666" s="38"/>
    </row>
    <row r="1034667" spans="54:54" ht="15.75" customHeight="1" x14ac:dyDescent="0.3">
      <c r="BB1034667" s="38"/>
    </row>
    <row r="1034668" spans="54:54" ht="15.75" customHeight="1" x14ac:dyDescent="0.3">
      <c r="BB1034668" s="38"/>
    </row>
    <row r="1034669" spans="54:54" ht="15.75" customHeight="1" x14ac:dyDescent="0.3">
      <c r="BB1034669" s="38"/>
    </row>
    <row r="1034670" spans="54:54" ht="15.75" customHeight="1" x14ac:dyDescent="0.3">
      <c r="BB1034670" s="38"/>
    </row>
    <row r="1034671" spans="54:54" ht="15.75" customHeight="1" x14ac:dyDescent="0.3">
      <c r="BB1034671" s="38"/>
    </row>
    <row r="1034672" spans="54:54" ht="15.75" customHeight="1" x14ac:dyDescent="0.3">
      <c r="BB1034672" s="38"/>
    </row>
    <row r="1034673" spans="54:54" ht="15.75" customHeight="1" x14ac:dyDescent="0.3">
      <c r="BB1034673" s="38"/>
    </row>
    <row r="1034674" spans="54:54" ht="15.75" customHeight="1" x14ac:dyDescent="0.3">
      <c r="BB1034674" s="38"/>
    </row>
    <row r="1034675" spans="54:54" ht="15.75" customHeight="1" x14ac:dyDescent="0.3">
      <c r="BB1034675" s="38"/>
    </row>
    <row r="1034676" spans="54:54" ht="15.75" customHeight="1" x14ac:dyDescent="0.3">
      <c r="BB1034676" s="38"/>
    </row>
    <row r="1034677" spans="54:54" ht="15.75" customHeight="1" x14ac:dyDescent="0.3">
      <c r="BB1034677" s="38"/>
    </row>
    <row r="1034678" spans="54:54" ht="15.75" customHeight="1" x14ac:dyDescent="0.3">
      <c r="BB1034678" s="38"/>
    </row>
    <row r="1034679" spans="54:54" ht="15.75" customHeight="1" x14ac:dyDescent="0.3">
      <c r="BB1034679" s="38"/>
    </row>
    <row r="1034680" spans="54:54" ht="15.75" customHeight="1" x14ac:dyDescent="0.3">
      <c r="BB1034680" s="38"/>
    </row>
    <row r="1034681" spans="54:54" ht="15.75" customHeight="1" x14ac:dyDescent="0.3">
      <c r="BB1034681" s="38"/>
    </row>
    <row r="1034682" spans="54:54" ht="15.75" customHeight="1" x14ac:dyDescent="0.3">
      <c r="BB1034682" s="38"/>
    </row>
    <row r="1034683" spans="54:54" ht="15.75" customHeight="1" x14ac:dyDescent="0.3">
      <c r="BB1034683" s="38"/>
    </row>
    <row r="1034684" spans="54:54" ht="15.75" customHeight="1" x14ac:dyDescent="0.3">
      <c r="BB1034684" s="38"/>
    </row>
    <row r="1034685" spans="54:54" ht="15.75" customHeight="1" x14ac:dyDescent="0.3">
      <c r="BB1034685" s="38"/>
    </row>
    <row r="1034686" spans="54:54" ht="15.75" customHeight="1" x14ac:dyDescent="0.3">
      <c r="BB1034686" s="38"/>
    </row>
    <row r="1034687" spans="54:54" ht="15.75" customHeight="1" x14ac:dyDescent="0.3">
      <c r="BB1034687" s="38"/>
    </row>
    <row r="1034688" spans="54:54" ht="15.75" customHeight="1" x14ac:dyDescent="0.3">
      <c r="BB1034688" s="38"/>
    </row>
    <row r="1034689" spans="54:54" ht="15.75" customHeight="1" x14ac:dyDescent="0.3">
      <c r="BB1034689" s="38"/>
    </row>
    <row r="1034690" spans="54:54" ht="15.75" customHeight="1" x14ac:dyDescent="0.3">
      <c r="BB1034690" s="38"/>
    </row>
    <row r="1034691" spans="54:54" ht="15.75" customHeight="1" x14ac:dyDescent="0.3">
      <c r="BB1034691" s="38"/>
    </row>
    <row r="1034692" spans="54:54" ht="15.75" customHeight="1" x14ac:dyDescent="0.3">
      <c r="BB1034692" s="38"/>
    </row>
    <row r="1034693" spans="54:54" ht="15.75" customHeight="1" x14ac:dyDescent="0.3">
      <c r="BB1034693" s="38"/>
    </row>
    <row r="1034694" spans="54:54" ht="15.75" customHeight="1" x14ac:dyDescent="0.3">
      <c r="BB1034694" s="38"/>
    </row>
    <row r="1034695" spans="54:54" ht="15.75" customHeight="1" x14ac:dyDescent="0.3">
      <c r="BB1034695" s="38"/>
    </row>
    <row r="1034696" spans="54:54" ht="15.75" customHeight="1" x14ac:dyDescent="0.3">
      <c r="BB1034696" s="38"/>
    </row>
    <row r="1034697" spans="54:54" ht="15.75" customHeight="1" x14ac:dyDescent="0.3">
      <c r="BB1034697" s="38"/>
    </row>
    <row r="1034698" spans="54:54" ht="15.75" customHeight="1" x14ac:dyDescent="0.3">
      <c r="BB1034698" s="38"/>
    </row>
    <row r="1034699" spans="54:54" ht="15.75" customHeight="1" x14ac:dyDescent="0.3">
      <c r="BB1034699" s="38"/>
    </row>
    <row r="1034700" spans="54:54" ht="15.75" customHeight="1" x14ac:dyDescent="0.3">
      <c r="BB1034700" s="38"/>
    </row>
    <row r="1034701" spans="54:54" ht="15.75" customHeight="1" x14ac:dyDescent="0.3">
      <c r="BB1034701" s="38"/>
    </row>
    <row r="1034702" spans="54:54" ht="15.75" customHeight="1" x14ac:dyDescent="0.3">
      <c r="BB1034702" s="38"/>
    </row>
    <row r="1034703" spans="54:54" ht="15.75" customHeight="1" x14ac:dyDescent="0.3">
      <c r="BB1034703" s="38"/>
    </row>
    <row r="1034704" spans="54:54" ht="15.75" customHeight="1" x14ac:dyDescent="0.3">
      <c r="BB1034704" s="38"/>
    </row>
    <row r="1034705" spans="54:54" ht="15.75" customHeight="1" x14ac:dyDescent="0.3">
      <c r="BB1034705" s="38"/>
    </row>
    <row r="1034706" spans="54:54" ht="15.75" customHeight="1" x14ac:dyDescent="0.3">
      <c r="BB1034706" s="38"/>
    </row>
    <row r="1034707" spans="54:54" ht="15.75" customHeight="1" x14ac:dyDescent="0.3">
      <c r="BB1034707" s="38"/>
    </row>
    <row r="1034708" spans="54:54" ht="15.75" customHeight="1" x14ac:dyDescent="0.3">
      <c r="BB1034708" s="38"/>
    </row>
    <row r="1034709" spans="54:54" ht="15.75" customHeight="1" x14ac:dyDescent="0.3">
      <c r="BB1034709" s="38"/>
    </row>
    <row r="1034710" spans="54:54" ht="15.75" customHeight="1" x14ac:dyDescent="0.3">
      <c r="BB1034710" s="38"/>
    </row>
    <row r="1034711" spans="54:54" ht="15.75" customHeight="1" x14ac:dyDescent="0.3">
      <c r="BB1034711" s="38"/>
    </row>
    <row r="1034712" spans="54:54" ht="15.75" customHeight="1" x14ac:dyDescent="0.3">
      <c r="BB1034712" s="38"/>
    </row>
    <row r="1034713" spans="54:54" ht="15.75" customHeight="1" x14ac:dyDescent="0.3">
      <c r="BB1034713" s="38"/>
    </row>
    <row r="1034714" spans="54:54" ht="15.75" customHeight="1" x14ac:dyDescent="0.3">
      <c r="BB1034714" s="38"/>
    </row>
    <row r="1034715" spans="54:54" ht="15.75" customHeight="1" x14ac:dyDescent="0.3">
      <c r="BB1034715" s="38"/>
    </row>
    <row r="1034716" spans="54:54" ht="15.75" customHeight="1" x14ac:dyDescent="0.3">
      <c r="BB1034716" s="38"/>
    </row>
    <row r="1034717" spans="54:54" ht="15.75" customHeight="1" x14ac:dyDescent="0.3">
      <c r="BB1034717" s="38"/>
    </row>
    <row r="1034718" spans="54:54" ht="15.75" customHeight="1" x14ac:dyDescent="0.3">
      <c r="BB1034718" s="38"/>
    </row>
    <row r="1034719" spans="54:54" ht="15.75" customHeight="1" x14ac:dyDescent="0.3">
      <c r="BB1034719" s="38"/>
    </row>
    <row r="1034720" spans="54:54" ht="15.75" customHeight="1" x14ac:dyDescent="0.3">
      <c r="BB1034720" s="38"/>
    </row>
    <row r="1034721" spans="54:54" ht="15.75" customHeight="1" x14ac:dyDescent="0.3">
      <c r="BB1034721" s="38"/>
    </row>
    <row r="1034722" spans="54:54" ht="15.75" customHeight="1" x14ac:dyDescent="0.3">
      <c r="BB1034722" s="38"/>
    </row>
    <row r="1034723" spans="54:54" ht="15.75" customHeight="1" x14ac:dyDescent="0.3">
      <c r="BB1034723" s="38"/>
    </row>
    <row r="1034724" spans="54:54" ht="15.75" customHeight="1" x14ac:dyDescent="0.3">
      <c r="BB1034724" s="38"/>
    </row>
    <row r="1034725" spans="54:54" ht="15.75" customHeight="1" x14ac:dyDescent="0.3">
      <c r="BB1034725" s="38"/>
    </row>
    <row r="1034726" spans="54:54" ht="15.75" customHeight="1" x14ac:dyDescent="0.3">
      <c r="BB1034726" s="38"/>
    </row>
    <row r="1034727" spans="54:54" ht="15.75" customHeight="1" x14ac:dyDescent="0.3">
      <c r="BB1034727" s="38"/>
    </row>
    <row r="1034728" spans="54:54" ht="15.75" customHeight="1" x14ac:dyDescent="0.3">
      <c r="BB1034728" s="38"/>
    </row>
    <row r="1034729" spans="54:54" ht="15.75" customHeight="1" x14ac:dyDescent="0.3">
      <c r="BB1034729" s="38"/>
    </row>
    <row r="1034730" spans="54:54" ht="15.75" customHeight="1" x14ac:dyDescent="0.3">
      <c r="BB1034730" s="38"/>
    </row>
    <row r="1034731" spans="54:54" ht="15.75" customHeight="1" x14ac:dyDescent="0.3">
      <c r="BB1034731" s="38"/>
    </row>
    <row r="1034732" spans="54:54" ht="15.75" customHeight="1" x14ac:dyDescent="0.3">
      <c r="BB1034732" s="38"/>
    </row>
    <row r="1034733" spans="54:54" ht="15.75" customHeight="1" x14ac:dyDescent="0.3">
      <c r="BB1034733" s="38"/>
    </row>
    <row r="1034734" spans="54:54" ht="15.75" customHeight="1" x14ac:dyDescent="0.3">
      <c r="BB1034734" s="38"/>
    </row>
    <row r="1034735" spans="54:54" ht="15.75" customHeight="1" x14ac:dyDescent="0.3">
      <c r="BB1034735" s="38"/>
    </row>
    <row r="1034736" spans="54:54" ht="15.75" customHeight="1" x14ac:dyDescent="0.3">
      <c r="BB1034736" s="38"/>
    </row>
    <row r="1034737" spans="54:54" ht="15.75" customHeight="1" x14ac:dyDescent="0.3">
      <c r="BB1034737" s="38"/>
    </row>
    <row r="1034738" spans="54:54" ht="15.75" customHeight="1" x14ac:dyDescent="0.3">
      <c r="BB1034738" s="38"/>
    </row>
    <row r="1034739" spans="54:54" ht="15.75" customHeight="1" x14ac:dyDescent="0.3">
      <c r="BB1034739" s="38"/>
    </row>
    <row r="1034740" spans="54:54" ht="15.75" customHeight="1" x14ac:dyDescent="0.3">
      <c r="BB1034740" s="38"/>
    </row>
    <row r="1034741" spans="54:54" ht="15.75" customHeight="1" x14ac:dyDescent="0.3">
      <c r="BB1034741" s="38"/>
    </row>
    <row r="1034742" spans="54:54" ht="15.75" customHeight="1" x14ac:dyDescent="0.3">
      <c r="BB1034742" s="38"/>
    </row>
    <row r="1034743" spans="54:54" ht="15.75" customHeight="1" x14ac:dyDescent="0.3">
      <c r="BB1034743" s="38"/>
    </row>
    <row r="1034744" spans="54:54" ht="15.75" customHeight="1" x14ac:dyDescent="0.3">
      <c r="BB1034744" s="38"/>
    </row>
    <row r="1034745" spans="54:54" ht="15.75" customHeight="1" x14ac:dyDescent="0.3">
      <c r="BB1034745" s="38"/>
    </row>
    <row r="1034746" spans="54:54" ht="15.75" customHeight="1" x14ac:dyDescent="0.3">
      <c r="BB1034746" s="38"/>
    </row>
    <row r="1034747" spans="54:54" ht="15.75" customHeight="1" x14ac:dyDescent="0.3">
      <c r="BB1034747" s="38"/>
    </row>
    <row r="1034748" spans="54:54" ht="15.75" customHeight="1" x14ac:dyDescent="0.3">
      <c r="BB1034748" s="38"/>
    </row>
    <row r="1034749" spans="54:54" ht="15.75" customHeight="1" x14ac:dyDescent="0.3">
      <c r="BB1034749" s="38"/>
    </row>
    <row r="1034750" spans="54:54" ht="15.75" customHeight="1" x14ac:dyDescent="0.3">
      <c r="BB1034750" s="38"/>
    </row>
    <row r="1034751" spans="54:54" ht="15.75" customHeight="1" x14ac:dyDescent="0.3">
      <c r="BB1034751" s="38"/>
    </row>
    <row r="1034752" spans="54:54" ht="15.75" customHeight="1" x14ac:dyDescent="0.3">
      <c r="BB1034752" s="38"/>
    </row>
    <row r="1034753" spans="54:54" ht="15.75" customHeight="1" x14ac:dyDescent="0.3">
      <c r="BB1034753" s="38"/>
    </row>
    <row r="1034754" spans="54:54" ht="15.75" customHeight="1" x14ac:dyDescent="0.3">
      <c r="BB1034754" s="38"/>
    </row>
    <row r="1034755" spans="54:54" ht="15.75" customHeight="1" x14ac:dyDescent="0.3">
      <c r="BB1034755" s="38"/>
    </row>
    <row r="1034756" spans="54:54" ht="15.75" customHeight="1" x14ac:dyDescent="0.3">
      <c r="BB1034756" s="38"/>
    </row>
    <row r="1034757" spans="54:54" ht="15.75" customHeight="1" x14ac:dyDescent="0.3">
      <c r="BB1034757" s="38"/>
    </row>
    <row r="1034758" spans="54:54" ht="15.75" customHeight="1" x14ac:dyDescent="0.3">
      <c r="BB1034758" s="38"/>
    </row>
    <row r="1034759" spans="54:54" ht="15.75" customHeight="1" x14ac:dyDescent="0.3">
      <c r="BB1034759" s="38"/>
    </row>
    <row r="1034760" spans="54:54" ht="15.75" customHeight="1" x14ac:dyDescent="0.3">
      <c r="BB1034760" s="38"/>
    </row>
    <row r="1034761" spans="54:54" ht="15.75" customHeight="1" x14ac:dyDescent="0.3">
      <c r="BB1034761" s="38"/>
    </row>
    <row r="1034762" spans="54:54" ht="15.75" customHeight="1" x14ac:dyDescent="0.3">
      <c r="BB1034762" s="38"/>
    </row>
    <row r="1034763" spans="54:54" ht="15.75" customHeight="1" x14ac:dyDescent="0.3">
      <c r="BB1034763" s="38"/>
    </row>
    <row r="1034764" spans="54:54" ht="15.75" customHeight="1" x14ac:dyDescent="0.3">
      <c r="BB1034764" s="38"/>
    </row>
    <row r="1034765" spans="54:54" ht="15.75" customHeight="1" x14ac:dyDescent="0.3">
      <c r="BB1034765" s="38"/>
    </row>
    <row r="1034766" spans="54:54" ht="15.75" customHeight="1" x14ac:dyDescent="0.3">
      <c r="BB1034766" s="38"/>
    </row>
    <row r="1034767" spans="54:54" ht="15.75" customHeight="1" x14ac:dyDescent="0.3">
      <c r="BB1034767" s="38"/>
    </row>
    <row r="1034768" spans="54:54" ht="15.75" customHeight="1" x14ac:dyDescent="0.3">
      <c r="BB1034768" s="38"/>
    </row>
    <row r="1034769" spans="54:54" ht="15.75" customHeight="1" x14ac:dyDescent="0.3">
      <c r="BB1034769" s="38"/>
    </row>
    <row r="1034770" spans="54:54" ht="15.75" customHeight="1" x14ac:dyDescent="0.3">
      <c r="BB1034770" s="38"/>
    </row>
    <row r="1034771" spans="54:54" ht="15.75" customHeight="1" x14ac:dyDescent="0.3">
      <c r="BB1034771" s="38"/>
    </row>
    <row r="1034772" spans="54:54" ht="15.75" customHeight="1" x14ac:dyDescent="0.3">
      <c r="BB1034772" s="38"/>
    </row>
    <row r="1034773" spans="54:54" ht="15.75" customHeight="1" x14ac:dyDescent="0.3">
      <c r="BB1034773" s="38"/>
    </row>
    <row r="1034774" spans="54:54" ht="15.75" customHeight="1" x14ac:dyDescent="0.3">
      <c r="BB1034774" s="38"/>
    </row>
    <row r="1034775" spans="54:54" ht="15.75" customHeight="1" x14ac:dyDescent="0.3">
      <c r="BB1034775" s="38"/>
    </row>
    <row r="1034776" spans="54:54" ht="15.75" customHeight="1" x14ac:dyDescent="0.3">
      <c r="BB1034776" s="38"/>
    </row>
    <row r="1034777" spans="54:54" ht="15.75" customHeight="1" x14ac:dyDescent="0.3">
      <c r="BB1034777" s="38"/>
    </row>
    <row r="1034778" spans="54:54" ht="15.75" customHeight="1" x14ac:dyDescent="0.3">
      <c r="BB1034778" s="38"/>
    </row>
    <row r="1034779" spans="54:54" ht="15.75" customHeight="1" x14ac:dyDescent="0.3">
      <c r="BB1034779" s="38"/>
    </row>
    <row r="1034780" spans="54:54" ht="15.75" customHeight="1" x14ac:dyDescent="0.3">
      <c r="BB1034780" s="38"/>
    </row>
    <row r="1034781" spans="54:54" ht="15.75" customHeight="1" x14ac:dyDescent="0.3">
      <c r="BB1034781" s="38"/>
    </row>
    <row r="1034782" spans="54:54" ht="15.75" customHeight="1" x14ac:dyDescent="0.3">
      <c r="BB1034782" s="38"/>
    </row>
    <row r="1034783" spans="54:54" ht="15.75" customHeight="1" x14ac:dyDescent="0.3">
      <c r="BB1034783" s="38"/>
    </row>
    <row r="1034784" spans="54:54" ht="15.75" customHeight="1" x14ac:dyDescent="0.3">
      <c r="BB1034784" s="38"/>
    </row>
    <row r="1034785" spans="54:54" ht="15.75" customHeight="1" x14ac:dyDescent="0.3">
      <c r="BB1034785" s="38"/>
    </row>
    <row r="1034786" spans="54:54" ht="15.75" customHeight="1" x14ac:dyDescent="0.3">
      <c r="BB1034786" s="38"/>
    </row>
    <row r="1034787" spans="54:54" ht="15.75" customHeight="1" x14ac:dyDescent="0.3">
      <c r="BB1034787" s="38"/>
    </row>
    <row r="1034788" spans="54:54" ht="15.75" customHeight="1" x14ac:dyDescent="0.3">
      <c r="BB1034788" s="38"/>
    </row>
    <row r="1034789" spans="54:54" ht="15.75" customHeight="1" x14ac:dyDescent="0.3">
      <c r="BB1034789" s="38"/>
    </row>
    <row r="1034790" spans="54:54" ht="15.75" customHeight="1" x14ac:dyDescent="0.3">
      <c r="BB1034790" s="38"/>
    </row>
    <row r="1034791" spans="54:54" ht="15.75" customHeight="1" x14ac:dyDescent="0.3">
      <c r="BB1034791" s="38"/>
    </row>
    <row r="1034792" spans="54:54" ht="15.75" customHeight="1" x14ac:dyDescent="0.3">
      <c r="BB1034792" s="38"/>
    </row>
    <row r="1034793" spans="54:54" ht="15.75" customHeight="1" x14ac:dyDescent="0.3">
      <c r="BB1034793" s="38"/>
    </row>
    <row r="1034794" spans="54:54" ht="15.75" customHeight="1" x14ac:dyDescent="0.3">
      <c r="BB1034794" s="38"/>
    </row>
    <row r="1034795" spans="54:54" ht="15.75" customHeight="1" x14ac:dyDescent="0.3">
      <c r="BB1034795" s="38"/>
    </row>
    <row r="1034796" spans="54:54" ht="15.75" customHeight="1" x14ac:dyDescent="0.3">
      <c r="BB1034796" s="38"/>
    </row>
    <row r="1034797" spans="54:54" ht="15.75" customHeight="1" x14ac:dyDescent="0.3">
      <c r="BB1034797" s="38"/>
    </row>
    <row r="1034798" spans="54:54" ht="15.75" customHeight="1" x14ac:dyDescent="0.3">
      <c r="BB1034798" s="38"/>
    </row>
    <row r="1034799" spans="54:54" ht="15.75" customHeight="1" x14ac:dyDescent="0.3">
      <c r="BB1034799" s="38"/>
    </row>
    <row r="1034800" spans="54:54" ht="15.75" customHeight="1" x14ac:dyDescent="0.3">
      <c r="BB1034800" s="38"/>
    </row>
    <row r="1034801" spans="54:54" ht="15.75" customHeight="1" x14ac:dyDescent="0.3">
      <c r="BB1034801" s="38"/>
    </row>
    <row r="1034802" spans="54:54" ht="15.75" customHeight="1" x14ac:dyDescent="0.3">
      <c r="BB1034802" s="38"/>
    </row>
    <row r="1034803" spans="54:54" ht="15.75" customHeight="1" x14ac:dyDescent="0.3">
      <c r="BB1034803" s="38"/>
    </row>
    <row r="1034804" spans="54:54" ht="15.75" customHeight="1" x14ac:dyDescent="0.3">
      <c r="BB1034804" s="38"/>
    </row>
    <row r="1034805" spans="54:54" ht="15.75" customHeight="1" x14ac:dyDescent="0.3">
      <c r="BB1034805" s="38"/>
    </row>
    <row r="1034806" spans="54:54" ht="15.75" customHeight="1" x14ac:dyDescent="0.3">
      <c r="BB1034806" s="38"/>
    </row>
    <row r="1034807" spans="54:54" ht="15.75" customHeight="1" x14ac:dyDescent="0.3">
      <c r="BB1034807" s="38"/>
    </row>
    <row r="1034808" spans="54:54" ht="15.75" customHeight="1" x14ac:dyDescent="0.3">
      <c r="BB1034808" s="38"/>
    </row>
    <row r="1034809" spans="54:54" ht="15.75" customHeight="1" x14ac:dyDescent="0.3">
      <c r="BB1034809" s="38"/>
    </row>
    <row r="1034810" spans="54:54" ht="15.75" customHeight="1" x14ac:dyDescent="0.3">
      <c r="BB1034810" s="38"/>
    </row>
    <row r="1034811" spans="54:54" ht="15.75" customHeight="1" x14ac:dyDescent="0.3">
      <c r="BB1034811" s="38"/>
    </row>
    <row r="1034812" spans="54:54" ht="15.75" customHeight="1" x14ac:dyDescent="0.3">
      <c r="BB1034812" s="38"/>
    </row>
    <row r="1034813" spans="54:54" ht="15.75" customHeight="1" x14ac:dyDescent="0.3">
      <c r="BB1034813" s="38"/>
    </row>
    <row r="1034814" spans="54:54" ht="15.75" customHeight="1" x14ac:dyDescent="0.3">
      <c r="BB1034814" s="38"/>
    </row>
    <row r="1034815" spans="54:54" ht="15.75" customHeight="1" x14ac:dyDescent="0.3">
      <c r="BB1034815" s="38"/>
    </row>
    <row r="1034816" spans="54:54" ht="15.75" customHeight="1" x14ac:dyDescent="0.3">
      <c r="BB1034816" s="38"/>
    </row>
    <row r="1034817" spans="54:54" ht="15.75" customHeight="1" x14ac:dyDescent="0.3">
      <c r="BB1034817" s="38"/>
    </row>
    <row r="1034818" spans="54:54" ht="15.75" customHeight="1" x14ac:dyDescent="0.3">
      <c r="BB1034818" s="38"/>
    </row>
    <row r="1034819" spans="54:54" ht="15.75" customHeight="1" x14ac:dyDescent="0.3">
      <c r="BB1034819" s="38"/>
    </row>
    <row r="1034820" spans="54:54" ht="15.75" customHeight="1" x14ac:dyDescent="0.3">
      <c r="BB1034820" s="38"/>
    </row>
    <row r="1034821" spans="54:54" ht="15.75" customHeight="1" x14ac:dyDescent="0.3">
      <c r="BB1034821" s="38"/>
    </row>
    <row r="1034822" spans="54:54" ht="15.75" customHeight="1" x14ac:dyDescent="0.3">
      <c r="BB1034822" s="38"/>
    </row>
    <row r="1034823" spans="54:54" ht="15.75" customHeight="1" x14ac:dyDescent="0.3">
      <c r="BB1034823" s="38"/>
    </row>
    <row r="1034824" spans="54:54" ht="15.75" customHeight="1" x14ac:dyDescent="0.3">
      <c r="BB1034824" s="38"/>
    </row>
    <row r="1034825" spans="54:54" ht="15.75" customHeight="1" x14ac:dyDescent="0.3">
      <c r="BB1034825" s="38"/>
    </row>
    <row r="1034826" spans="54:54" ht="15.75" customHeight="1" x14ac:dyDescent="0.3">
      <c r="BB1034826" s="38"/>
    </row>
    <row r="1034827" spans="54:54" ht="15.75" customHeight="1" x14ac:dyDescent="0.3">
      <c r="BB1034827" s="38"/>
    </row>
    <row r="1034828" spans="54:54" ht="15.75" customHeight="1" x14ac:dyDescent="0.3">
      <c r="BB1034828" s="38"/>
    </row>
    <row r="1034829" spans="54:54" ht="15.75" customHeight="1" x14ac:dyDescent="0.3">
      <c r="BB1034829" s="38"/>
    </row>
    <row r="1034830" spans="54:54" ht="15.75" customHeight="1" x14ac:dyDescent="0.3">
      <c r="BB1034830" s="38"/>
    </row>
    <row r="1034831" spans="54:54" ht="15.75" customHeight="1" x14ac:dyDescent="0.3">
      <c r="BB1034831" s="38"/>
    </row>
    <row r="1034832" spans="54:54" ht="15.75" customHeight="1" x14ac:dyDescent="0.3">
      <c r="BB1034832" s="38"/>
    </row>
    <row r="1034833" spans="54:54" ht="15.75" customHeight="1" x14ac:dyDescent="0.3">
      <c r="BB1034833" s="38"/>
    </row>
    <row r="1034834" spans="54:54" ht="15.75" customHeight="1" x14ac:dyDescent="0.3">
      <c r="BB1034834" s="38"/>
    </row>
    <row r="1034835" spans="54:54" ht="15.75" customHeight="1" x14ac:dyDescent="0.3">
      <c r="BB1034835" s="38"/>
    </row>
    <row r="1034836" spans="54:54" ht="15.75" customHeight="1" x14ac:dyDescent="0.3">
      <c r="BB1034836" s="38"/>
    </row>
    <row r="1034837" spans="54:54" ht="15.75" customHeight="1" x14ac:dyDescent="0.3">
      <c r="BB1034837" s="38"/>
    </row>
    <row r="1034838" spans="54:54" ht="15.75" customHeight="1" x14ac:dyDescent="0.3">
      <c r="BB1034838" s="38"/>
    </row>
    <row r="1034839" spans="54:54" ht="15.75" customHeight="1" x14ac:dyDescent="0.3">
      <c r="BB1034839" s="38"/>
    </row>
    <row r="1034840" spans="54:54" ht="15.75" customHeight="1" x14ac:dyDescent="0.3">
      <c r="BB1034840" s="38"/>
    </row>
    <row r="1034841" spans="54:54" ht="15.75" customHeight="1" x14ac:dyDescent="0.3">
      <c r="BB1034841" s="38"/>
    </row>
    <row r="1034842" spans="54:54" ht="15.75" customHeight="1" x14ac:dyDescent="0.3">
      <c r="BB1034842" s="38"/>
    </row>
    <row r="1034843" spans="54:54" ht="15.75" customHeight="1" x14ac:dyDescent="0.3">
      <c r="BB1034843" s="38"/>
    </row>
    <row r="1034844" spans="54:54" ht="15.75" customHeight="1" x14ac:dyDescent="0.3">
      <c r="BB1034844" s="38"/>
    </row>
    <row r="1034845" spans="54:54" ht="15.75" customHeight="1" x14ac:dyDescent="0.3">
      <c r="BB1034845" s="38"/>
    </row>
    <row r="1034846" spans="54:54" ht="15.75" customHeight="1" x14ac:dyDescent="0.3">
      <c r="BB1034846" s="38"/>
    </row>
    <row r="1034847" spans="54:54" ht="15.75" customHeight="1" x14ac:dyDescent="0.3">
      <c r="BB1034847" s="38"/>
    </row>
    <row r="1034848" spans="54:54" ht="15.75" customHeight="1" x14ac:dyDescent="0.3">
      <c r="BB1034848" s="38"/>
    </row>
    <row r="1034849" spans="54:54" ht="15.75" customHeight="1" x14ac:dyDescent="0.3">
      <c r="BB1034849" s="38"/>
    </row>
    <row r="1034850" spans="54:54" ht="15.75" customHeight="1" x14ac:dyDescent="0.3">
      <c r="BB1034850" s="38"/>
    </row>
    <row r="1034851" spans="54:54" ht="15.75" customHeight="1" x14ac:dyDescent="0.3">
      <c r="BB1034851" s="38"/>
    </row>
    <row r="1034852" spans="54:54" ht="15.75" customHeight="1" x14ac:dyDescent="0.3">
      <c r="BB1034852" s="38"/>
    </row>
    <row r="1034853" spans="54:54" ht="15.75" customHeight="1" x14ac:dyDescent="0.3">
      <c r="BB1034853" s="38"/>
    </row>
    <row r="1034854" spans="54:54" ht="15.75" customHeight="1" x14ac:dyDescent="0.3">
      <c r="BB1034854" s="38"/>
    </row>
    <row r="1034855" spans="54:54" ht="15.75" customHeight="1" x14ac:dyDescent="0.3">
      <c r="BB1034855" s="38"/>
    </row>
    <row r="1034856" spans="54:54" ht="15.75" customHeight="1" x14ac:dyDescent="0.3">
      <c r="BB1034856" s="38"/>
    </row>
    <row r="1034857" spans="54:54" ht="15.75" customHeight="1" x14ac:dyDescent="0.3">
      <c r="BB1034857" s="38"/>
    </row>
    <row r="1034858" spans="54:54" ht="15.75" customHeight="1" x14ac:dyDescent="0.3">
      <c r="BB1034858" s="38"/>
    </row>
    <row r="1034859" spans="54:54" ht="15.75" customHeight="1" x14ac:dyDescent="0.3">
      <c r="BB1034859" s="38"/>
    </row>
    <row r="1034860" spans="54:54" ht="15.75" customHeight="1" x14ac:dyDescent="0.3">
      <c r="BB1034860" s="38"/>
    </row>
    <row r="1034861" spans="54:54" ht="15.75" customHeight="1" x14ac:dyDescent="0.3">
      <c r="BB1034861" s="38"/>
    </row>
    <row r="1034862" spans="54:54" ht="15.75" customHeight="1" x14ac:dyDescent="0.3">
      <c r="BB1034862" s="38"/>
    </row>
    <row r="1034863" spans="54:54" ht="15.75" customHeight="1" x14ac:dyDescent="0.3">
      <c r="BB1034863" s="38"/>
    </row>
    <row r="1034864" spans="54:54" ht="15.75" customHeight="1" x14ac:dyDescent="0.3">
      <c r="BB1034864" s="38"/>
    </row>
    <row r="1034865" spans="54:54" ht="15.75" customHeight="1" x14ac:dyDescent="0.3">
      <c r="BB1034865" s="38"/>
    </row>
    <row r="1034866" spans="54:54" ht="15.75" customHeight="1" x14ac:dyDescent="0.3">
      <c r="BB1034866" s="38"/>
    </row>
    <row r="1034867" spans="54:54" ht="15.75" customHeight="1" x14ac:dyDescent="0.3">
      <c r="BB1034867" s="38"/>
    </row>
    <row r="1034868" spans="54:54" ht="15.75" customHeight="1" x14ac:dyDescent="0.3">
      <c r="BB1034868" s="38"/>
    </row>
    <row r="1034869" spans="54:54" ht="15.75" customHeight="1" x14ac:dyDescent="0.3">
      <c r="BB1034869" s="38"/>
    </row>
    <row r="1034870" spans="54:54" ht="15.75" customHeight="1" x14ac:dyDescent="0.3">
      <c r="BB1034870" s="38"/>
    </row>
    <row r="1034871" spans="54:54" ht="15.75" customHeight="1" x14ac:dyDescent="0.3">
      <c r="BB1034871" s="38"/>
    </row>
    <row r="1034872" spans="54:54" ht="15.75" customHeight="1" x14ac:dyDescent="0.3">
      <c r="BB1034872" s="38"/>
    </row>
    <row r="1034873" spans="54:54" ht="15.75" customHeight="1" x14ac:dyDescent="0.3">
      <c r="BB1034873" s="38"/>
    </row>
    <row r="1034874" spans="54:54" ht="15.75" customHeight="1" x14ac:dyDescent="0.3">
      <c r="BB1034874" s="38"/>
    </row>
    <row r="1034875" spans="54:54" ht="15.75" customHeight="1" x14ac:dyDescent="0.3">
      <c r="BB1034875" s="38"/>
    </row>
    <row r="1034876" spans="54:54" ht="15.75" customHeight="1" x14ac:dyDescent="0.3">
      <c r="BB1034876" s="38"/>
    </row>
    <row r="1034877" spans="54:54" ht="15.75" customHeight="1" x14ac:dyDescent="0.3">
      <c r="BB1034877" s="38"/>
    </row>
    <row r="1034878" spans="54:54" ht="15.75" customHeight="1" x14ac:dyDescent="0.3">
      <c r="BB1034878" s="38"/>
    </row>
    <row r="1034879" spans="54:54" ht="15.75" customHeight="1" x14ac:dyDescent="0.3">
      <c r="BB1034879" s="38"/>
    </row>
    <row r="1034880" spans="54:54" ht="15.75" customHeight="1" x14ac:dyDescent="0.3">
      <c r="BB1034880" s="38"/>
    </row>
    <row r="1034881" spans="54:54" ht="15.75" customHeight="1" x14ac:dyDescent="0.3">
      <c r="BB1034881" s="38"/>
    </row>
    <row r="1034882" spans="54:54" ht="15.75" customHeight="1" x14ac:dyDescent="0.3">
      <c r="BB1034882" s="38"/>
    </row>
    <row r="1034883" spans="54:54" ht="15.75" customHeight="1" x14ac:dyDescent="0.3">
      <c r="BB1034883" s="38"/>
    </row>
    <row r="1034884" spans="54:54" ht="15.75" customHeight="1" x14ac:dyDescent="0.3">
      <c r="BB1034884" s="38"/>
    </row>
    <row r="1034885" spans="54:54" ht="15.75" customHeight="1" x14ac:dyDescent="0.3">
      <c r="BB1034885" s="38"/>
    </row>
    <row r="1034886" spans="54:54" ht="15.75" customHeight="1" x14ac:dyDescent="0.3">
      <c r="BB1034886" s="38"/>
    </row>
    <row r="1034887" spans="54:54" ht="15.75" customHeight="1" x14ac:dyDescent="0.3">
      <c r="BB1034887" s="38"/>
    </row>
    <row r="1034888" spans="54:54" ht="15.75" customHeight="1" x14ac:dyDescent="0.3">
      <c r="BB1034888" s="38"/>
    </row>
    <row r="1034889" spans="54:54" ht="15.75" customHeight="1" x14ac:dyDescent="0.3">
      <c r="BB1034889" s="38"/>
    </row>
    <row r="1034890" spans="54:54" ht="15.75" customHeight="1" x14ac:dyDescent="0.3">
      <c r="BB1034890" s="38"/>
    </row>
    <row r="1034891" spans="54:54" ht="15.75" customHeight="1" x14ac:dyDescent="0.3">
      <c r="BB1034891" s="38"/>
    </row>
    <row r="1034892" spans="54:54" ht="15.75" customHeight="1" x14ac:dyDescent="0.3">
      <c r="BB1034892" s="38"/>
    </row>
    <row r="1034893" spans="54:54" ht="15.75" customHeight="1" x14ac:dyDescent="0.3">
      <c r="BB1034893" s="38"/>
    </row>
    <row r="1034894" spans="54:54" ht="15.75" customHeight="1" x14ac:dyDescent="0.3">
      <c r="BB1034894" s="38"/>
    </row>
    <row r="1034895" spans="54:54" ht="15.75" customHeight="1" x14ac:dyDescent="0.3">
      <c r="BB1034895" s="38"/>
    </row>
    <row r="1034896" spans="54:54" ht="15.75" customHeight="1" x14ac:dyDescent="0.3">
      <c r="BB1034896" s="38"/>
    </row>
    <row r="1034897" spans="54:54" ht="15.75" customHeight="1" x14ac:dyDescent="0.3">
      <c r="BB1034897" s="38"/>
    </row>
    <row r="1034898" spans="54:54" ht="15.75" customHeight="1" x14ac:dyDescent="0.3">
      <c r="BB1034898" s="38"/>
    </row>
    <row r="1034899" spans="54:54" ht="15.75" customHeight="1" x14ac:dyDescent="0.3">
      <c r="BB1034899" s="38"/>
    </row>
    <row r="1034900" spans="54:54" ht="15.75" customHeight="1" x14ac:dyDescent="0.3">
      <c r="BB1034900" s="38"/>
    </row>
    <row r="1034901" spans="54:54" ht="15.75" customHeight="1" x14ac:dyDescent="0.3">
      <c r="BB1034901" s="38"/>
    </row>
    <row r="1034902" spans="54:54" ht="15.75" customHeight="1" x14ac:dyDescent="0.3">
      <c r="BB1034902" s="38"/>
    </row>
    <row r="1034903" spans="54:54" ht="15.75" customHeight="1" x14ac:dyDescent="0.3">
      <c r="BB1034903" s="38"/>
    </row>
    <row r="1034904" spans="54:54" ht="15.75" customHeight="1" x14ac:dyDescent="0.3">
      <c r="BB1034904" s="38"/>
    </row>
    <row r="1034905" spans="54:54" ht="15.75" customHeight="1" x14ac:dyDescent="0.3">
      <c r="BB1034905" s="38"/>
    </row>
    <row r="1034906" spans="54:54" ht="15.75" customHeight="1" x14ac:dyDescent="0.3">
      <c r="BB1034906" s="38"/>
    </row>
    <row r="1034907" spans="54:54" ht="15.75" customHeight="1" x14ac:dyDescent="0.3">
      <c r="BB1034907" s="38"/>
    </row>
    <row r="1034908" spans="54:54" ht="15.75" customHeight="1" x14ac:dyDescent="0.3">
      <c r="BB1034908" s="38"/>
    </row>
    <row r="1034909" spans="54:54" ht="15.75" customHeight="1" x14ac:dyDescent="0.3">
      <c r="BB1034909" s="38"/>
    </row>
    <row r="1034910" spans="54:54" ht="15.75" customHeight="1" x14ac:dyDescent="0.3">
      <c r="BB1034910" s="38"/>
    </row>
    <row r="1034911" spans="54:54" ht="15.75" customHeight="1" x14ac:dyDescent="0.3">
      <c r="BB1034911" s="38"/>
    </row>
    <row r="1034912" spans="54:54" ht="15.75" customHeight="1" x14ac:dyDescent="0.3">
      <c r="BB1034912" s="38"/>
    </row>
    <row r="1034913" spans="54:54" ht="15.75" customHeight="1" x14ac:dyDescent="0.3">
      <c r="BB1034913" s="38"/>
    </row>
    <row r="1034914" spans="54:54" ht="15.75" customHeight="1" x14ac:dyDescent="0.3">
      <c r="BB1034914" s="38"/>
    </row>
    <row r="1034915" spans="54:54" ht="15.75" customHeight="1" x14ac:dyDescent="0.3">
      <c r="BB1034915" s="38"/>
    </row>
    <row r="1034916" spans="54:54" ht="15.75" customHeight="1" x14ac:dyDescent="0.3">
      <c r="BB1034916" s="38"/>
    </row>
    <row r="1034917" spans="54:54" ht="15.75" customHeight="1" x14ac:dyDescent="0.3">
      <c r="BB1034917" s="38"/>
    </row>
    <row r="1034918" spans="54:54" ht="15.75" customHeight="1" x14ac:dyDescent="0.3">
      <c r="BB1034918" s="38"/>
    </row>
    <row r="1034919" spans="54:54" ht="15.75" customHeight="1" x14ac:dyDescent="0.3">
      <c r="BB1034919" s="38"/>
    </row>
    <row r="1034920" spans="54:54" ht="15.75" customHeight="1" x14ac:dyDescent="0.3">
      <c r="BB1034920" s="38"/>
    </row>
    <row r="1034921" spans="54:54" ht="15.75" customHeight="1" x14ac:dyDescent="0.3">
      <c r="BB1034921" s="38"/>
    </row>
    <row r="1034922" spans="54:54" ht="15.75" customHeight="1" x14ac:dyDescent="0.3">
      <c r="BB1034922" s="38"/>
    </row>
    <row r="1034923" spans="54:54" ht="15.75" customHeight="1" x14ac:dyDescent="0.3">
      <c r="BB1034923" s="38"/>
    </row>
    <row r="1034924" spans="54:54" ht="15.75" customHeight="1" x14ac:dyDescent="0.3">
      <c r="BB1034924" s="38"/>
    </row>
    <row r="1034925" spans="54:54" ht="15.75" customHeight="1" x14ac:dyDescent="0.3">
      <c r="BB1034925" s="38"/>
    </row>
    <row r="1034926" spans="54:54" ht="15.75" customHeight="1" x14ac:dyDescent="0.3">
      <c r="BB1034926" s="38"/>
    </row>
    <row r="1034927" spans="54:54" ht="15.75" customHeight="1" x14ac:dyDescent="0.3">
      <c r="BB1034927" s="38"/>
    </row>
    <row r="1034928" spans="54:54" ht="15.75" customHeight="1" x14ac:dyDescent="0.3">
      <c r="BB1034928" s="38"/>
    </row>
    <row r="1034929" spans="54:54" ht="15.75" customHeight="1" x14ac:dyDescent="0.3">
      <c r="BB1034929" s="38"/>
    </row>
    <row r="1034930" spans="54:54" ht="15.75" customHeight="1" x14ac:dyDescent="0.3">
      <c r="BB1034930" s="38"/>
    </row>
    <row r="1034931" spans="54:54" ht="15.75" customHeight="1" x14ac:dyDescent="0.3">
      <c r="BB1034931" s="38"/>
    </row>
    <row r="1034932" spans="54:54" ht="15.75" customHeight="1" x14ac:dyDescent="0.3">
      <c r="BB1034932" s="38"/>
    </row>
    <row r="1034933" spans="54:54" ht="15.75" customHeight="1" x14ac:dyDescent="0.3">
      <c r="BB1034933" s="38"/>
    </row>
    <row r="1034934" spans="54:54" ht="15.75" customHeight="1" x14ac:dyDescent="0.3">
      <c r="BB1034934" s="38"/>
    </row>
    <row r="1034935" spans="54:54" ht="15.75" customHeight="1" x14ac:dyDescent="0.3">
      <c r="BB1034935" s="38"/>
    </row>
    <row r="1034936" spans="54:54" ht="15.75" customHeight="1" x14ac:dyDescent="0.3">
      <c r="BB1034936" s="38"/>
    </row>
    <row r="1034937" spans="54:54" ht="15.75" customHeight="1" x14ac:dyDescent="0.3">
      <c r="BB1034937" s="38"/>
    </row>
    <row r="1034938" spans="54:54" ht="15.75" customHeight="1" x14ac:dyDescent="0.3">
      <c r="BB1034938" s="38"/>
    </row>
    <row r="1034939" spans="54:54" ht="15.75" customHeight="1" x14ac:dyDescent="0.3">
      <c r="BB1034939" s="38"/>
    </row>
    <row r="1034940" spans="54:54" ht="15.75" customHeight="1" x14ac:dyDescent="0.3">
      <c r="BB1034940" s="38"/>
    </row>
    <row r="1034941" spans="54:54" ht="15.75" customHeight="1" x14ac:dyDescent="0.3">
      <c r="BB1034941" s="38"/>
    </row>
    <row r="1034942" spans="54:54" ht="15.75" customHeight="1" x14ac:dyDescent="0.3">
      <c r="BB1034942" s="38"/>
    </row>
    <row r="1034943" spans="54:54" ht="15.75" customHeight="1" x14ac:dyDescent="0.3">
      <c r="BB1034943" s="38"/>
    </row>
    <row r="1034944" spans="54:54" ht="15.75" customHeight="1" x14ac:dyDescent="0.3">
      <c r="BB1034944" s="38"/>
    </row>
    <row r="1034945" spans="54:54" ht="15.75" customHeight="1" x14ac:dyDescent="0.3">
      <c r="BB1034945" s="38"/>
    </row>
    <row r="1034946" spans="54:54" ht="15.75" customHeight="1" x14ac:dyDescent="0.3">
      <c r="BB1034946" s="38"/>
    </row>
    <row r="1034947" spans="54:54" ht="15.75" customHeight="1" x14ac:dyDescent="0.3">
      <c r="BB1034947" s="38"/>
    </row>
    <row r="1034948" spans="54:54" ht="15.75" customHeight="1" x14ac:dyDescent="0.3">
      <c r="BB1034948" s="38"/>
    </row>
    <row r="1034949" spans="54:54" ht="15.75" customHeight="1" x14ac:dyDescent="0.3">
      <c r="BB1034949" s="38"/>
    </row>
    <row r="1034950" spans="54:54" ht="15.75" customHeight="1" x14ac:dyDescent="0.3">
      <c r="BB1034950" s="38"/>
    </row>
    <row r="1034951" spans="54:54" ht="15.75" customHeight="1" x14ac:dyDescent="0.3">
      <c r="BB1034951" s="38"/>
    </row>
    <row r="1034952" spans="54:54" ht="15.75" customHeight="1" x14ac:dyDescent="0.3">
      <c r="BB1034952" s="38"/>
    </row>
    <row r="1034953" spans="54:54" ht="15.75" customHeight="1" x14ac:dyDescent="0.3">
      <c r="BB1034953" s="38"/>
    </row>
    <row r="1034954" spans="54:54" ht="15.75" customHeight="1" x14ac:dyDescent="0.3">
      <c r="BB1034954" s="38"/>
    </row>
    <row r="1034955" spans="54:54" ht="15.75" customHeight="1" x14ac:dyDescent="0.3">
      <c r="BB1034955" s="38"/>
    </row>
    <row r="1034956" spans="54:54" ht="15.75" customHeight="1" x14ac:dyDescent="0.3">
      <c r="BB1034956" s="38"/>
    </row>
    <row r="1034957" spans="54:54" ht="15.75" customHeight="1" x14ac:dyDescent="0.3">
      <c r="BB1034957" s="38"/>
    </row>
    <row r="1034958" spans="54:54" ht="15.75" customHeight="1" x14ac:dyDescent="0.3">
      <c r="BB1034958" s="38"/>
    </row>
    <row r="1034959" spans="54:54" ht="15.75" customHeight="1" x14ac:dyDescent="0.3">
      <c r="BB1034959" s="38"/>
    </row>
    <row r="1034960" spans="54:54" ht="15.75" customHeight="1" x14ac:dyDescent="0.3">
      <c r="BB1034960" s="38"/>
    </row>
    <row r="1034961" spans="54:54" ht="15.75" customHeight="1" x14ac:dyDescent="0.3">
      <c r="BB1034961" s="38"/>
    </row>
    <row r="1034962" spans="54:54" ht="15.75" customHeight="1" x14ac:dyDescent="0.3">
      <c r="BB1034962" s="38"/>
    </row>
    <row r="1034963" spans="54:54" ht="15.75" customHeight="1" x14ac:dyDescent="0.3">
      <c r="BB1034963" s="38"/>
    </row>
    <row r="1034964" spans="54:54" ht="15.75" customHeight="1" x14ac:dyDescent="0.3">
      <c r="BB1034964" s="38"/>
    </row>
    <row r="1034965" spans="54:54" ht="15.75" customHeight="1" x14ac:dyDescent="0.3">
      <c r="BB1034965" s="38"/>
    </row>
    <row r="1034966" spans="54:54" ht="15.75" customHeight="1" x14ac:dyDescent="0.3">
      <c r="BB1034966" s="38"/>
    </row>
    <row r="1034967" spans="54:54" ht="15.75" customHeight="1" x14ac:dyDescent="0.3">
      <c r="BB1034967" s="38"/>
    </row>
    <row r="1034968" spans="54:54" ht="15.75" customHeight="1" x14ac:dyDescent="0.3">
      <c r="BB1034968" s="38"/>
    </row>
    <row r="1034969" spans="54:54" ht="15.75" customHeight="1" x14ac:dyDescent="0.3">
      <c r="BB1034969" s="38"/>
    </row>
    <row r="1034970" spans="54:54" ht="15.75" customHeight="1" x14ac:dyDescent="0.3">
      <c r="BB1034970" s="38"/>
    </row>
    <row r="1034971" spans="54:54" ht="15.75" customHeight="1" x14ac:dyDescent="0.3">
      <c r="BB1034971" s="38"/>
    </row>
    <row r="1034972" spans="54:54" ht="15.75" customHeight="1" x14ac:dyDescent="0.3">
      <c r="BB1034972" s="38"/>
    </row>
    <row r="1034973" spans="54:54" ht="15.75" customHeight="1" x14ac:dyDescent="0.3">
      <c r="BB1034973" s="38"/>
    </row>
    <row r="1034974" spans="54:54" ht="15.75" customHeight="1" x14ac:dyDescent="0.3">
      <c r="BB1034974" s="38"/>
    </row>
    <row r="1034975" spans="54:54" ht="15.75" customHeight="1" x14ac:dyDescent="0.3">
      <c r="BB1034975" s="38"/>
    </row>
    <row r="1034976" spans="54:54" ht="15.75" customHeight="1" x14ac:dyDescent="0.3">
      <c r="BB1034976" s="38"/>
    </row>
    <row r="1034977" spans="54:54" ht="15.75" customHeight="1" x14ac:dyDescent="0.3">
      <c r="BB1034977" s="38"/>
    </row>
    <row r="1034978" spans="54:54" ht="15.75" customHeight="1" x14ac:dyDescent="0.3">
      <c r="BB1034978" s="38"/>
    </row>
    <row r="1034979" spans="54:54" ht="15.75" customHeight="1" x14ac:dyDescent="0.3">
      <c r="BB1034979" s="38"/>
    </row>
    <row r="1034980" spans="54:54" ht="15.75" customHeight="1" x14ac:dyDescent="0.3">
      <c r="BB1034980" s="38"/>
    </row>
    <row r="1034981" spans="54:54" ht="15.75" customHeight="1" x14ac:dyDescent="0.3">
      <c r="BB1034981" s="38"/>
    </row>
    <row r="1034982" spans="54:54" ht="15.75" customHeight="1" x14ac:dyDescent="0.3">
      <c r="BB1034982" s="38"/>
    </row>
    <row r="1034983" spans="54:54" ht="15.75" customHeight="1" x14ac:dyDescent="0.3">
      <c r="BB1034983" s="38"/>
    </row>
    <row r="1034984" spans="54:54" ht="15.75" customHeight="1" x14ac:dyDescent="0.3">
      <c r="BB1034984" s="38"/>
    </row>
    <row r="1034985" spans="54:54" ht="15.75" customHeight="1" x14ac:dyDescent="0.3">
      <c r="BB1034985" s="38"/>
    </row>
    <row r="1034986" spans="54:54" ht="15.75" customHeight="1" x14ac:dyDescent="0.3">
      <c r="BB1034986" s="38"/>
    </row>
    <row r="1034987" spans="54:54" ht="15.75" customHeight="1" x14ac:dyDescent="0.3">
      <c r="BB1034987" s="38"/>
    </row>
    <row r="1034988" spans="54:54" ht="15.75" customHeight="1" x14ac:dyDescent="0.3">
      <c r="BB1034988" s="38"/>
    </row>
    <row r="1034989" spans="54:54" ht="15.75" customHeight="1" x14ac:dyDescent="0.3">
      <c r="BB1034989" s="38"/>
    </row>
    <row r="1034990" spans="54:54" ht="15.75" customHeight="1" x14ac:dyDescent="0.3">
      <c r="BB1034990" s="38"/>
    </row>
    <row r="1034991" spans="54:54" ht="15.75" customHeight="1" x14ac:dyDescent="0.3">
      <c r="BB1034991" s="38"/>
    </row>
    <row r="1034992" spans="54:54" ht="15.75" customHeight="1" x14ac:dyDescent="0.3">
      <c r="BB1034992" s="38"/>
    </row>
    <row r="1034993" spans="54:54" ht="15.75" customHeight="1" x14ac:dyDescent="0.3">
      <c r="BB1034993" s="38"/>
    </row>
    <row r="1034994" spans="54:54" ht="15.75" customHeight="1" x14ac:dyDescent="0.3">
      <c r="BB1034994" s="38"/>
    </row>
    <row r="1034995" spans="54:54" ht="15.75" customHeight="1" x14ac:dyDescent="0.3">
      <c r="BB1034995" s="38"/>
    </row>
    <row r="1034996" spans="54:54" ht="15.75" customHeight="1" x14ac:dyDescent="0.3">
      <c r="BB1034996" s="38"/>
    </row>
    <row r="1034997" spans="54:54" ht="15.75" customHeight="1" x14ac:dyDescent="0.3">
      <c r="BB1034997" s="38"/>
    </row>
    <row r="1034998" spans="54:54" ht="15.75" customHeight="1" x14ac:dyDescent="0.3">
      <c r="BB1034998" s="38"/>
    </row>
    <row r="1034999" spans="54:54" ht="15.75" customHeight="1" x14ac:dyDescent="0.3">
      <c r="BB1034999" s="38"/>
    </row>
    <row r="1035000" spans="54:54" ht="15.75" customHeight="1" x14ac:dyDescent="0.3">
      <c r="BB1035000" s="38"/>
    </row>
    <row r="1035001" spans="54:54" ht="15.75" customHeight="1" x14ac:dyDescent="0.3">
      <c r="BB1035001" s="38"/>
    </row>
    <row r="1035002" spans="54:54" ht="15.75" customHeight="1" x14ac:dyDescent="0.3">
      <c r="BB1035002" s="38"/>
    </row>
    <row r="1035003" spans="54:54" ht="15.75" customHeight="1" x14ac:dyDescent="0.3">
      <c r="BB1035003" s="38"/>
    </row>
    <row r="1035004" spans="54:54" ht="15.75" customHeight="1" x14ac:dyDescent="0.3">
      <c r="BB1035004" s="38"/>
    </row>
    <row r="1035005" spans="54:54" ht="15.75" customHeight="1" x14ac:dyDescent="0.3">
      <c r="BB1035005" s="38"/>
    </row>
    <row r="1035006" spans="54:54" ht="15.75" customHeight="1" x14ac:dyDescent="0.3">
      <c r="BB1035006" s="38"/>
    </row>
    <row r="1035007" spans="54:54" ht="15.75" customHeight="1" x14ac:dyDescent="0.3">
      <c r="BB1035007" s="38"/>
    </row>
    <row r="1035008" spans="54:54" ht="15.75" customHeight="1" x14ac:dyDescent="0.3">
      <c r="BB1035008" s="38"/>
    </row>
    <row r="1035009" spans="54:54" ht="15.75" customHeight="1" x14ac:dyDescent="0.3">
      <c r="BB1035009" s="38"/>
    </row>
    <row r="1035010" spans="54:54" ht="15.75" customHeight="1" x14ac:dyDescent="0.3">
      <c r="BB1035010" s="38"/>
    </row>
    <row r="1035011" spans="54:54" ht="15.75" customHeight="1" x14ac:dyDescent="0.3">
      <c r="BB1035011" s="38"/>
    </row>
    <row r="1035012" spans="54:54" ht="15.75" customHeight="1" x14ac:dyDescent="0.3">
      <c r="BB1035012" s="38"/>
    </row>
    <row r="1035013" spans="54:54" ht="15.75" customHeight="1" x14ac:dyDescent="0.3">
      <c r="BB1035013" s="38"/>
    </row>
    <row r="1035014" spans="54:54" ht="15.75" customHeight="1" x14ac:dyDescent="0.3">
      <c r="BB1035014" s="38"/>
    </row>
    <row r="1035015" spans="54:54" ht="15.75" customHeight="1" x14ac:dyDescent="0.3">
      <c r="BB1035015" s="38"/>
    </row>
    <row r="1035016" spans="54:54" ht="15.75" customHeight="1" x14ac:dyDescent="0.3">
      <c r="BB1035016" s="38"/>
    </row>
    <row r="1035017" spans="54:54" ht="15.75" customHeight="1" x14ac:dyDescent="0.3">
      <c r="BB1035017" s="38"/>
    </row>
    <row r="1035018" spans="54:54" ht="15.75" customHeight="1" x14ac:dyDescent="0.3">
      <c r="BB1035018" s="38"/>
    </row>
    <row r="1035019" spans="54:54" ht="15.75" customHeight="1" x14ac:dyDescent="0.3">
      <c r="BB1035019" s="38"/>
    </row>
    <row r="1035020" spans="54:54" ht="15.75" customHeight="1" x14ac:dyDescent="0.3">
      <c r="BB1035020" s="38"/>
    </row>
    <row r="1035021" spans="54:54" ht="15.75" customHeight="1" x14ac:dyDescent="0.3">
      <c r="BB1035021" s="38"/>
    </row>
    <row r="1035022" spans="54:54" ht="15.75" customHeight="1" x14ac:dyDescent="0.3">
      <c r="BB1035022" s="38"/>
    </row>
    <row r="1035023" spans="54:54" ht="15.75" customHeight="1" x14ac:dyDescent="0.3">
      <c r="BB1035023" s="38"/>
    </row>
    <row r="1035024" spans="54:54" ht="15.75" customHeight="1" x14ac:dyDescent="0.3">
      <c r="BB1035024" s="38"/>
    </row>
    <row r="1035025" spans="54:54" ht="15.75" customHeight="1" x14ac:dyDescent="0.3">
      <c r="BB1035025" s="38"/>
    </row>
    <row r="1035026" spans="54:54" ht="15.75" customHeight="1" x14ac:dyDescent="0.3">
      <c r="BB1035026" s="38"/>
    </row>
    <row r="1035027" spans="54:54" ht="15.75" customHeight="1" x14ac:dyDescent="0.3">
      <c r="BB1035027" s="38"/>
    </row>
    <row r="1035028" spans="54:54" ht="15.75" customHeight="1" x14ac:dyDescent="0.3">
      <c r="BB1035028" s="38"/>
    </row>
    <row r="1035029" spans="54:54" ht="15.75" customHeight="1" x14ac:dyDescent="0.3">
      <c r="BB1035029" s="38"/>
    </row>
    <row r="1035030" spans="54:54" ht="15.75" customHeight="1" x14ac:dyDescent="0.3">
      <c r="BB1035030" s="38"/>
    </row>
    <row r="1035031" spans="54:54" ht="15.75" customHeight="1" x14ac:dyDescent="0.3">
      <c r="BB1035031" s="38"/>
    </row>
    <row r="1035032" spans="54:54" ht="15.75" customHeight="1" x14ac:dyDescent="0.3">
      <c r="BB1035032" s="38"/>
    </row>
    <row r="1035033" spans="54:54" ht="15.75" customHeight="1" x14ac:dyDescent="0.3">
      <c r="BB1035033" s="38"/>
    </row>
    <row r="1035034" spans="54:54" ht="15.75" customHeight="1" x14ac:dyDescent="0.3">
      <c r="BB1035034" s="38"/>
    </row>
    <row r="1035035" spans="54:54" ht="15.75" customHeight="1" x14ac:dyDescent="0.3">
      <c r="BB1035035" s="38"/>
    </row>
    <row r="1035036" spans="54:54" ht="15.75" customHeight="1" x14ac:dyDescent="0.3">
      <c r="BB1035036" s="38"/>
    </row>
    <row r="1035037" spans="54:54" ht="15.75" customHeight="1" x14ac:dyDescent="0.3">
      <c r="BB1035037" s="38"/>
    </row>
    <row r="1035038" spans="54:54" ht="15.75" customHeight="1" x14ac:dyDescent="0.3">
      <c r="BB1035038" s="38"/>
    </row>
    <row r="1035039" spans="54:54" ht="15.75" customHeight="1" x14ac:dyDescent="0.3">
      <c r="BB1035039" s="38"/>
    </row>
    <row r="1035040" spans="54:54" ht="15.75" customHeight="1" x14ac:dyDescent="0.3">
      <c r="BB1035040" s="38"/>
    </row>
    <row r="1035041" spans="54:54" ht="15.75" customHeight="1" x14ac:dyDescent="0.3">
      <c r="BB1035041" s="38"/>
    </row>
    <row r="1035042" spans="54:54" ht="15.75" customHeight="1" x14ac:dyDescent="0.3">
      <c r="BB1035042" s="38"/>
    </row>
    <row r="1035043" spans="54:54" ht="15.75" customHeight="1" x14ac:dyDescent="0.3">
      <c r="BB1035043" s="38"/>
    </row>
    <row r="1035044" spans="54:54" ht="15.75" customHeight="1" x14ac:dyDescent="0.3">
      <c r="BB1035044" s="38"/>
    </row>
    <row r="1035045" spans="54:54" ht="15.75" customHeight="1" x14ac:dyDescent="0.3">
      <c r="BB1035045" s="38"/>
    </row>
    <row r="1035046" spans="54:54" ht="15.75" customHeight="1" x14ac:dyDescent="0.3">
      <c r="BB1035046" s="38"/>
    </row>
    <row r="1035047" spans="54:54" ht="15.75" customHeight="1" x14ac:dyDescent="0.3">
      <c r="BB1035047" s="38"/>
    </row>
    <row r="1035048" spans="54:54" ht="15.75" customHeight="1" x14ac:dyDescent="0.3">
      <c r="BB1035048" s="38"/>
    </row>
    <row r="1035049" spans="54:54" ht="15.75" customHeight="1" x14ac:dyDescent="0.3">
      <c r="BB1035049" s="38"/>
    </row>
    <row r="1035050" spans="54:54" ht="15.75" customHeight="1" x14ac:dyDescent="0.3">
      <c r="BB1035050" s="38"/>
    </row>
    <row r="1035051" spans="54:54" ht="15.75" customHeight="1" x14ac:dyDescent="0.3">
      <c r="BB1035051" s="38"/>
    </row>
    <row r="1035052" spans="54:54" ht="15.75" customHeight="1" x14ac:dyDescent="0.3">
      <c r="BB1035052" s="38"/>
    </row>
    <row r="1035053" spans="54:54" ht="15.75" customHeight="1" x14ac:dyDescent="0.3">
      <c r="BB1035053" s="38"/>
    </row>
    <row r="1035054" spans="54:54" ht="15.75" customHeight="1" x14ac:dyDescent="0.3">
      <c r="BB1035054" s="38"/>
    </row>
    <row r="1035055" spans="54:54" ht="15.75" customHeight="1" x14ac:dyDescent="0.3">
      <c r="BB1035055" s="38"/>
    </row>
    <row r="1035056" spans="54:54" ht="15.75" customHeight="1" x14ac:dyDescent="0.3">
      <c r="BB1035056" s="38"/>
    </row>
    <row r="1035057" spans="54:54" ht="15.75" customHeight="1" x14ac:dyDescent="0.3">
      <c r="BB1035057" s="38"/>
    </row>
    <row r="1035058" spans="54:54" ht="15.75" customHeight="1" x14ac:dyDescent="0.3">
      <c r="BB1035058" s="38"/>
    </row>
    <row r="1035059" spans="54:54" ht="15.75" customHeight="1" x14ac:dyDescent="0.3">
      <c r="BB1035059" s="38"/>
    </row>
    <row r="1035060" spans="54:54" ht="15.75" customHeight="1" x14ac:dyDescent="0.3">
      <c r="BB1035060" s="38"/>
    </row>
    <row r="1035061" spans="54:54" ht="15.75" customHeight="1" x14ac:dyDescent="0.3">
      <c r="BB1035061" s="38"/>
    </row>
    <row r="1035062" spans="54:54" ht="15.75" customHeight="1" x14ac:dyDescent="0.3">
      <c r="BB1035062" s="38"/>
    </row>
    <row r="1035063" spans="54:54" ht="15.75" customHeight="1" x14ac:dyDescent="0.3">
      <c r="BB1035063" s="38"/>
    </row>
    <row r="1035064" spans="54:54" ht="15.75" customHeight="1" x14ac:dyDescent="0.3">
      <c r="BB1035064" s="38"/>
    </row>
    <row r="1035065" spans="54:54" ht="15.75" customHeight="1" x14ac:dyDescent="0.3">
      <c r="BB1035065" s="38"/>
    </row>
    <row r="1035066" spans="54:54" ht="15.75" customHeight="1" x14ac:dyDescent="0.3">
      <c r="BB1035066" s="38"/>
    </row>
    <row r="1035067" spans="54:54" ht="15.75" customHeight="1" x14ac:dyDescent="0.3">
      <c r="BB1035067" s="38"/>
    </row>
    <row r="1035068" spans="54:54" ht="15.75" customHeight="1" x14ac:dyDescent="0.3">
      <c r="BB1035068" s="38"/>
    </row>
    <row r="1035069" spans="54:54" ht="15.75" customHeight="1" x14ac:dyDescent="0.3">
      <c r="BB1035069" s="38"/>
    </row>
    <row r="1035070" spans="54:54" ht="15.75" customHeight="1" x14ac:dyDescent="0.3">
      <c r="BB1035070" s="38"/>
    </row>
    <row r="1035071" spans="54:54" ht="15.75" customHeight="1" x14ac:dyDescent="0.3">
      <c r="BB1035071" s="38"/>
    </row>
    <row r="1035072" spans="54:54" ht="15.75" customHeight="1" x14ac:dyDescent="0.3">
      <c r="BB1035072" s="38"/>
    </row>
    <row r="1035073" spans="54:54" ht="15.75" customHeight="1" x14ac:dyDescent="0.3">
      <c r="BB1035073" s="38"/>
    </row>
    <row r="1035074" spans="54:54" ht="15.75" customHeight="1" x14ac:dyDescent="0.3">
      <c r="BB1035074" s="38"/>
    </row>
    <row r="1035075" spans="54:54" ht="15.75" customHeight="1" x14ac:dyDescent="0.3">
      <c r="BB1035075" s="38"/>
    </row>
    <row r="1035076" spans="54:54" ht="15.75" customHeight="1" x14ac:dyDescent="0.3">
      <c r="BB1035076" s="38"/>
    </row>
    <row r="1035077" spans="54:54" ht="15.75" customHeight="1" x14ac:dyDescent="0.3">
      <c r="BB1035077" s="38"/>
    </row>
    <row r="1035078" spans="54:54" ht="15.75" customHeight="1" x14ac:dyDescent="0.3">
      <c r="BB1035078" s="38"/>
    </row>
    <row r="1035079" spans="54:54" ht="15.75" customHeight="1" x14ac:dyDescent="0.3">
      <c r="BB1035079" s="38"/>
    </row>
    <row r="1035080" spans="54:54" ht="15.75" customHeight="1" x14ac:dyDescent="0.3">
      <c r="BB1035080" s="38"/>
    </row>
    <row r="1035081" spans="54:54" ht="15.75" customHeight="1" x14ac:dyDescent="0.3">
      <c r="BB1035081" s="38"/>
    </row>
    <row r="1035082" spans="54:54" ht="15.75" customHeight="1" x14ac:dyDescent="0.3">
      <c r="BB1035082" s="38"/>
    </row>
    <row r="1035083" spans="54:54" ht="15.75" customHeight="1" x14ac:dyDescent="0.3">
      <c r="BB1035083" s="38"/>
    </row>
    <row r="1035084" spans="54:54" ht="15.75" customHeight="1" x14ac:dyDescent="0.3">
      <c r="BB1035084" s="38"/>
    </row>
    <row r="1035085" spans="54:54" ht="15.75" customHeight="1" x14ac:dyDescent="0.3">
      <c r="BB1035085" s="38"/>
    </row>
    <row r="1035086" spans="54:54" ht="15.75" customHeight="1" x14ac:dyDescent="0.3">
      <c r="BB1035086" s="38"/>
    </row>
    <row r="1035087" spans="54:54" ht="15.75" customHeight="1" x14ac:dyDescent="0.3">
      <c r="BB1035087" s="38"/>
    </row>
    <row r="1035088" spans="54:54" ht="15.75" customHeight="1" x14ac:dyDescent="0.3">
      <c r="BB1035088" s="38"/>
    </row>
    <row r="1035089" spans="54:54" ht="15.75" customHeight="1" x14ac:dyDescent="0.3">
      <c r="BB1035089" s="38"/>
    </row>
    <row r="1035090" spans="54:54" ht="15.75" customHeight="1" x14ac:dyDescent="0.3">
      <c r="BB1035090" s="38"/>
    </row>
    <row r="1035091" spans="54:54" ht="15.75" customHeight="1" x14ac:dyDescent="0.3">
      <c r="BB1035091" s="38"/>
    </row>
    <row r="1035092" spans="54:54" ht="15.75" customHeight="1" x14ac:dyDescent="0.3">
      <c r="BB1035092" s="38"/>
    </row>
    <row r="1035093" spans="54:54" ht="15.75" customHeight="1" x14ac:dyDescent="0.3">
      <c r="BB1035093" s="38"/>
    </row>
    <row r="1035094" spans="54:54" ht="15.75" customHeight="1" x14ac:dyDescent="0.3">
      <c r="BB1035094" s="38"/>
    </row>
    <row r="1035095" spans="54:54" ht="15.75" customHeight="1" x14ac:dyDescent="0.3">
      <c r="BB1035095" s="38"/>
    </row>
    <row r="1035096" spans="54:54" ht="15.75" customHeight="1" x14ac:dyDescent="0.3">
      <c r="BB1035096" s="38"/>
    </row>
    <row r="1035097" spans="54:54" ht="15.75" customHeight="1" x14ac:dyDescent="0.3">
      <c r="BB1035097" s="38"/>
    </row>
    <row r="1035098" spans="54:54" ht="15.75" customHeight="1" x14ac:dyDescent="0.3">
      <c r="BB1035098" s="38"/>
    </row>
    <row r="1035099" spans="54:54" ht="15.75" customHeight="1" x14ac:dyDescent="0.3">
      <c r="BB1035099" s="38"/>
    </row>
    <row r="1035100" spans="54:54" ht="15.75" customHeight="1" x14ac:dyDescent="0.3">
      <c r="BB1035100" s="38"/>
    </row>
    <row r="1035101" spans="54:54" ht="15.75" customHeight="1" x14ac:dyDescent="0.3">
      <c r="BB1035101" s="38"/>
    </row>
    <row r="1035102" spans="54:54" ht="15.75" customHeight="1" x14ac:dyDescent="0.3">
      <c r="BB1035102" s="38"/>
    </row>
    <row r="1035103" spans="54:54" ht="15.75" customHeight="1" x14ac:dyDescent="0.3">
      <c r="BB1035103" s="38"/>
    </row>
    <row r="1035104" spans="54:54" ht="15.75" customHeight="1" x14ac:dyDescent="0.3">
      <c r="BB1035104" s="38"/>
    </row>
    <row r="1035105" spans="54:54" ht="15.75" customHeight="1" x14ac:dyDescent="0.3">
      <c r="BB1035105" s="38"/>
    </row>
    <row r="1035106" spans="54:54" ht="15.75" customHeight="1" x14ac:dyDescent="0.3">
      <c r="BB1035106" s="38"/>
    </row>
    <row r="1035107" spans="54:54" ht="15.75" customHeight="1" x14ac:dyDescent="0.3">
      <c r="BB1035107" s="38"/>
    </row>
    <row r="1035108" spans="54:54" ht="15.75" customHeight="1" x14ac:dyDescent="0.3">
      <c r="BB1035108" s="38"/>
    </row>
    <row r="1035109" spans="54:54" ht="15.75" customHeight="1" x14ac:dyDescent="0.3">
      <c r="BB1035109" s="38"/>
    </row>
    <row r="1035110" spans="54:54" ht="15.75" customHeight="1" x14ac:dyDescent="0.3">
      <c r="BB1035110" s="38"/>
    </row>
    <row r="1035111" spans="54:54" ht="15.75" customHeight="1" x14ac:dyDescent="0.3">
      <c r="BB1035111" s="38"/>
    </row>
    <row r="1035112" spans="54:54" ht="15.75" customHeight="1" x14ac:dyDescent="0.3">
      <c r="BB1035112" s="38"/>
    </row>
    <row r="1035113" spans="54:54" ht="15.75" customHeight="1" x14ac:dyDescent="0.3">
      <c r="BB1035113" s="38"/>
    </row>
    <row r="1035114" spans="54:54" ht="15.75" customHeight="1" x14ac:dyDescent="0.3">
      <c r="BB1035114" s="38"/>
    </row>
    <row r="1035115" spans="54:54" ht="15.75" customHeight="1" x14ac:dyDescent="0.3">
      <c r="BB1035115" s="38"/>
    </row>
    <row r="1035116" spans="54:54" ht="15.75" customHeight="1" x14ac:dyDescent="0.3">
      <c r="BB1035116" s="38"/>
    </row>
    <row r="1035117" spans="54:54" ht="15.75" customHeight="1" x14ac:dyDescent="0.3">
      <c r="BB1035117" s="38"/>
    </row>
    <row r="1035118" spans="54:54" ht="15.75" customHeight="1" x14ac:dyDescent="0.3">
      <c r="BB1035118" s="38"/>
    </row>
    <row r="1035119" spans="54:54" ht="15.75" customHeight="1" x14ac:dyDescent="0.3">
      <c r="BB1035119" s="38"/>
    </row>
    <row r="1035120" spans="54:54" ht="15.75" customHeight="1" x14ac:dyDescent="0.3">
      <c r="BB1035120" s="38"/>
    </row>
    <row r="1035121" spans="54:54" ht="15.75" customHeight="1" x14ac:dyDescent="0.3">
      <c r="BB1035121" s="38"/>
    </row>
    <row r="1035122" spans="54:54" ht="15.75" customHeight="1" x14ac:dyDescent="0.3">
      <c r="BB1035122" s="38"/>
    </row>
    <row r="1035123" spans="54:54" ht="15.75" customHeight="1" x14ac:dyDescent="0.3">
      <c r="BB1035123" s="38"/>
    </row>
    <row r="1035124" spans="54:54" ht="15.75" customHeight="1" x14ac:dyDescent="0.3">
      <c r="BB1035124" s="38"/>
    </row>
    <row r="1035125" spans="54:54" ht="15.75" customHeight="1" x14ac:dyDescent="0.3">
      <c r="BB1035125" s="38"/>
    </row>
    <row r="1035126" spans="54:54" ht="15.75" customHeight="1" x14ac:dyDescent="0.3">
      <c r="BB1035126" s="38"/>
    </row>
    <row r="1035127" spans="54:54" ht="15.75" customHeight="1" x14ac:dyDescent="0.3">
      <c r="BB1035127" s="38"/>
    </row>
    <row r="1035128" spans="54:54" ht="15.75" customHeight="1" x14ac:dyDescent="0.3">
      <c r="BB1035128" s="38"/>
    </row>
    <row r="1035129" spans="54:54" ht="15.75" customHeight="1" x14ac:dyDescent="0.3">
      <c r="BB1035129" s="38"/>
    </row>
    <row r="1035130" spans="54:54" ht="15.75" customHeight="1" x14ac:dyDescent="0.3">
      <c r="BB1035130" s="38"/>
    </row>
    <row r="1035131" spans="54:54" ht="15.75" customHeight="1" x14ac:dyDescent="0.3">
      <c r="BB1035131" s="38"/>
    </row>
    <row r="1035132" spans="54:54" ht="15.75" customHeight="1" x14ac:dyDescent="0.3">
      <c r="BB1035132" s="38"/>
    </row>
    <row r="1035133" spans="54:54" ht="15.75" customHeight="1" x14ac:dyDescent="0.3">
      <c r="BB1035133" s="38"/>
    </row>
    <row r="1035134" spans="54:54" ht="15.75" customHeight="1" x14ac:dyDescent="0.3">
      <c r="BB1035134" s="38"/>
    </row>
    <row r="1035135" spans="54:54" ht="15.75" customHeight="1" x14ac:dyDescent="0.3">
      <c r="BB1035135" s="38"/>
    </row>
    <row r="1035136" spans="54:54" ht="15.75" customHeight="1" x14ac:dyDescent="0.3">
      <c r="BB1035136" s="38"/>
    </row>
    <row r="1035137" spans="54:54" ht="15.75" customHeight="1" x14ac:dyDescent="0.3">
      <c r="BB1035137" s="38"/>
    </row>
    <row r="1035138" spans="54:54" ht="15.75" customHeight="1" x14ac:dyDescent="0.3">
      <c r="BB1035138" s="38"/>
    </row>
    <row r="1035139" spans="54:54" ht="15.75" customHeight="1" x14ac:dyDescent="0.3">
      <c r="BB1035139" s="38"/>
    </row>
    <row r="1035140" spans="54:54" ht="15.75" customHeight="1" x14ac:dyDescent="0.3">
      <c r="BB1035140" s="38"/>
    </row>
    <row r="1035141" spans="54:54" ht="15.75" customHeight="1" x14ac:dyDescent="0.3">
      <c r="BB1035141" s="38"/>
    </row>
    <row r="1035142" spans="54:54" ht="15.75" customHeight="1" x14ac:dyDescent="0.3">
      <c r="BB1035142" s="38"/>
    </row>
    <row r="1035143" spans="54:54" ht="15.75" customHeight="1" x14ac:dyDescent="0.3">
      <c r="BB1035143" s="38"/>
    </row>
    <row r="1035144" spans="54:54" ht="15.75" customHeight="1" x14ac:dyDescent="0.3">
      <c r="BB1035144" s="38"/>
    </row>
    <row r="1035145" spans="54:54" ht="15.75" customHeight="1" x14ac:dyDescent="0.3">
      <c r="BB1035145" s="38"/>
    </row>
    <row r="1035146" spans="54:54" ht="15.75" customHeight="1" x14ac:dyDescent="0.3">
      <c r="BB1035146" s="38"/>
    </row>
    <row r="1035147" spans="54:54" ht="15.75" customHeight="1" x14ac:dyDescent="0.3">
      <c r="BB1035147" s="38"/>
    </row>
    <row r="1035148" spans="54:54" ht="15.75" customHeight="1" x14ac:dyDescent="0.3">
      <c r="BB1035148" s="38"/>
    </row>
    <row r="1035149" spans="54:54" ht="15.75" customHeight="1" x14ac:dyDescent="0.3">
      <c r="BB1035149" s="38"/>
    </row>
    <row r="1035150" spans="54:54" ht="15.75" customHeight="1" x14ac:dyDescent="0.3">
      <c r="BB1035150" s="38"/>
    </row>
    <row r="1035151" spans="54:54" ht="15.75" customHeight="1" x14ac:dyDescent="0.3">
      <c r="BB1035151" s="38"/>
    </row>
    <row r="1035152" spans="54:54" ht="15.75" customHeight="1" x14ac:dyDescent="0.3">
      <c r="BB1035152" s="38"/>
    </row>
    <row r="1035153" spans="54:54" ht="15.75" customHeight="1" x14ac:dyDescent="0.3">
      <c r="BB1035153" s="38"/>
    </row>
    <row r="1035154" spans="54:54" ht="15.75" customHeight="1" x14ac:dyDescent="0.3">
      <c r="BB1035154" s="38"/>
    </row>
    <row r="1035155" spans="54:54" ht="15.75" customHeight="1" x14ac:dyDescent="0.3">
      <c r="BB1035155" s="38"/>
    </row>
    <row r="1035156" spans="54:54" ht="15.75" customHeight="1" x14ac:dyDescent="0.3">
      <c r="BB1035156" s="38"/>
    </row>
    <row r="1035157" spans="54:54" ht="15.75" customHeight="1" x14ac:dyDescent="0.3">
      <c r="BB1035157" s="38"/>
    </row>
    <row r="1035158" spans="54:54" ht="15.75" customHeight="1" x14ac:dyDescent="0.3">
      <c r="BB1035158" s="38"/>
    </row>
    <row r="1035159" spans="54:54" ht="15.75" customHeight="1" x14ac:dyDescent="0.3">
      <c r="BB1035159" s="38"/>
    </row>
    <row r="1035160" spans="54:54" ht="15.75" customHeight="1" x14ac:dyDescent="0.3">
      <c r="BB1035160" s="38"/>
    </row>
    <row r="1035161" spans="54:54" ht="15.75" customHeight="1" x14ac:dyDescent="0.3">
      <c r="BB1035161" s="38"/>
    </row>
    <row r="1035162" spans="54:54" ht="15.75" customHeight="1" x14ac:dyDescent="0.3">
      <c r="BB1035162" s="38"/>
    </row>
    <row r="1035163" spans="54:54" ht="15.75" customHeight="1" x14ac:dyDescent="0.3">
      <c r="BB1035163" s="38"/>
    </row>
    <row r="1035164" spans="54:54" ht="15.75" customHeight="1" x14ac:dyDescent="0.3">
      <c r="BB1035164" s="38"/>
    </row>
    <row r="1035165" spans="54:54" ht="15.75" customHeight="1" x14ac:dyDescent="0.3">
      <c r="BB1035165" s="38"/>
    </row>
    <row r="1035166" spans="54:54" ht="15.75" customHeight="1" x14ac:dyDescent="0.3">
      <c r="BB1035166" s="38"/>
    </row>
    <row r="1035167" spans="54:54" ht="15.75" customHeight="1" x14ac:dyDescent="0.3">
      <c r="BB1035167" s="38"/>
    </row>
    <row r="1035168" spans="54:54" ht="15.75" customHeight="1" x14ac:dyDescent="0.3">
      <c r="BB1035168" s="38"/>
    </row>
    <row r="1035169" spans="54:54" ht="15.75" customHeight="1" x14ac:dyDescent="0.3">
      <c r="BB1035169" s="38"/>
    </row>
    <row r="1035170" spans="54:54" ht="15.75" customHeight="1" x14ac:dyDescent="0.3">
      <c r="BB1035170" s="38"/>
    </row>
    <row r="1035171" spans="54:54" ht="15.75" customHeight="1" x14ac:dyDescent="0.3">
      <c r="BB1035171" s="38"/>
    </row>
    <row r="1035172" spans="54:54" ht="15.75" customHeight="1" x14ac:dyDescent="0.3">
      <c r="BB1035172" s="38"/>
    </row>
    <row r="1035173" spans="54:54" ht="15.75" customHeight="1" x14ac:dyDescent="0.3">
      <c r="BB1035173" s="38"/>
    </row>
    <row r="1035174" spans="54:54" ht="15.75" customHeight="1" x14ac:dyDescent="0.3">
      <c r="BB1035174" s="38"/>
    </row>
    <row r="1035175" spans="54:54" ht="15.75" customHeight="1" x14ac:dyDescent="0.3">
      <c r="BB1035175" s="38"/>
    </row>
    <row r="1035176" spans="54:54" ht="15.75" customHeight="1" x14ac:dyDescent="0.3">
      <c r="BB1035176" s="38"/>
    </row>
    <row r="1035177" spans="54:54" ht="15.75" customHeight="1" x14ac:dyDescent="0.3">
      <c r="BB1035177" s="38"/>
    </row>
    <row r="1035178" spans="54:54" ht="15.75" customHeight="1" x14ac:dyDescent="0.3">
      <c r="BB1035178" s="38"/>
    </row>
    <row r="1035179" spans="54:54" ht="15.75" customHeight="1" x14ac:dyDescent="0.3">
      <c r="BB1035179" s="38"/>
    </row>
    <row r="1035180" spans="54:54" ht="15.75" customHeight="1" x14ac:dyDescent="0.3">
      <c r="BB1035180" s="38"/>
    </row>
    <row r="1035181" spans="54:54" ht="15.75" customHeight="1" x14ac:dyDescent="0.3">
      <c r="BB1035181" s="38"/>
    </row>
    <row r="1035182" spans="54:54" ht="15.75" customHeight="1" x14ac:dyDescent="0.3">
      <c r="BB1035182" s="38"/>
    </row>
    <row r="1035183" spans="54:54" ht="15.75" customHeight="1" x14ac:dyDescent="0.3">
      <c r="BB1035183" s="38"/>
    </row>
    <row r="1035184" spans="54:54" ht="15.75" customHeight="1" x14ac:dyDescent="0.3">
      <c r="BB1035184" s="38"/>
    </row>
    <row r="1035185" spans="54:54" ht="15.75" customHeight="1" x14ac:dyDescent="0.3">
      <c r="BB1035185" s="38"/>
    </row>
    <row r="1035186" spans="54:54" ht="15.75" customHeight="1" x14ac:dyDescent="0.3">
      <c r="BB1035186" s="38"/>
    </row>
    <row r="1035187" spans="54:54" ht="15.75" customHeight="1" x14ac:dyDescent="0.3">
      <c r="BB1035187" s="38"/>
    </row>
    <row r="1035188" spans="54:54" ht="15.75" customHeight="1" x14ac:dyDescent="0.3">
      <c r="BB1035188" s="38"/>
    </row>
    <row r="1035189" spans="54:54" ht="15.75" customHeight="1" x14ac:dyDescent="0.3">
      <c r="BB1035189" s="38"/>
    </row>
    <row r="1035190" spans="54:54" ht="15.75" customHeight="1" x14ac:dyDescent="0.3">
      <c r="BB1035190" s="38"/>
    </row>
    <row r="1035191" spans="54:54" ht="15.75" customHeight="1" x14ac:dyDescent="0.3">
      <c r="BB1035191" s="38"/>
    </row>
    <row r="1035192" spans="54:54" ht="15.75" customHeight="1" x14ac:dyDescent="0.3">
      <c r="BB1035192" s="38"/>
    </row>
    <row r="1035193" spans="54:54" ht="15.75" customHeight="1" x14ac:dyDescent="0.3">
      <c r="BB1035193" s="38"/>
    </row>
    <row r="1035194" spans="54:54" ht="15.75" customHeight="1" x14ac:dyDescent="0.3">
      <c r="BB1035194" s="38"/>
    </row>
    <row r="1035195" spans="54:54" ht="15.75" customHeight="1" x14ac:dyDescent="0.3">
      <c r="BB1035195" s="38"/>
    </row>
    <row r="1035196" spans="54:54" ht="15.75" customHeight="1" x14ac:dyDescent="0.3">
      <c r="BB1035196" s="38"/>
    </row>
    <row r="1035197" spans="54:54" ht="15.75" customHeight="1" x14ac:dyDescent="0.3">
      <c r="BB1035197" s="38"/>
    </row>
    <row r="1035198" spans="54:54" ht="15.75" customHeight="1" x14ac:dyDescent="0.3">
      <c r="BB1035198" s="38"/>
    </row>
    <row r="1035199" spans="54:54" ht="15.75" customHeight="1" x14ac:dyDescent="0.3">
      <c r="BB1035199" s="38"/>
    </row>
    <row r="1035200" spans="54:54" ht="15.75" customHeight="1" x14ac:dyDescent="0.3">
      <c r="BB1035200" s="38"/>
    </row>
    <row r="1035201" spans="54:54" ht="15.75" customHeight="1" x14ac:dyDescent="0.3">
      <c r="BB1035201" s="38"/>
    </row>
    <row r="1035202" spans="54:54" ht="15.75" customHeight="1" x14ac:dyDescent="0.3">
      <c r="BB1035202" s="38"/>
    </row>
    <row r="1035203" spans="54:54" ht="15.75" customHeight="1" x14ac:dyDescent="0.3">
      <c r="BB1035203" s="38"/>
    </row>
    <row r="1035204" spans="54:54" ht="15.75" customHeight="1" x14ac:dyDescent="0.3">
      <c r="BB1035204" s="38"/>
    </row>
    <row r="1035205" spans="54:54" ht="15.75" customHeight="1" x14ac:dyDescent="0.3">
      <c r="BB1035205" s="38"/>
    </row>
    <row r="1035206" spans="54:54" ht="15.75" customHeight="1" x14ac:dyDescent="0.3">
      <c r="BB1035206" s="38"/>
    </row>
    <row r="1035207" spans="54:54" ht="15.75" customHeight="1" x14ac:dyDescent="0.3">
      <c r="BB1035207" s="38"/>
    </row>
    <row r="1035208" spans="54:54" ht="15.75" customHeight="1" x14ac:dyDescent="0.3">
      <c r="BB1035208" s="38"/>
    </row>
    <row r="1035209" spans="54:54" ht="15.75" customHeight="1" x14ac:dyDescent="0.3">
      <c r="BB1035209" s="38"/>
    </row>
    <row r="1035210" spans="54:54" ht="15.75" customHeight="1" x14ac:dyDescent="0.3">
      <c r="BB1035210" s="38"/>
    </row>
    <row r="1035211" spans="54:54" ht="15.75" customHeight="1" x14ac:dyDescent="0.3">
      <c r="BB1035211" s="38"/>
    </row>
    <row r="1035212" spans="54:54" ht="15.75" customHeight="1" x14ac:dyDescent="0.3">
      <c r="BB1035212" s="38"/>
    </row>
    <row r="1035213" spans="54:54" ht="15.75" customHeight="1" x14ac:dyDescent="0.3">
      <c r="BB1035213" s="38"/>
    </row>
    <row r="1035214" spans="54:54" ht="15.75" customHeight="1" x14ac:dyDescent="0.3">
      <c r="BB1035214" s="38"/>
    </row>
    <row r="1035215" spans="54:54" ht="15.75" customHeight="1" x14ac:dyDescent="0.3">
      <c r="BB1035215" s="38"/>
    </row>
    <row r="1035216" spans="54:54" ht="15.75" customHeight="1" x14ac:dyDescent="0.3">
      <c r="BB1035216" s="38"/>
    </row>
    <row r="1035217" spans="54:54" ht="15.75" customHeight="1" x14ac:dyDescent="0.3">
      <c r="BB1035217" s="38"/>
    </row>
    <row r="1035218" spans="54:54" ht="15.75" customHeight="1" x14ac:dyDescent="0.3">
      <c r="BB1035218" s="38"/>
    </row>
    <row r="1035219" spans="54:54" ht="15.75" customHeight="1" x14ac:dyDescent="0.3">
      <c r="BB1035219" s="38"/>
    </row>
    <row r="1035220" spans="54:54" ht="15.75" customHeight="1" x14ac:dyDescent="0.3">
      <c r="BB1035220" s="38"/>
    </row>
    <row r="1035221" spans="54:54" ht="15.75" customHeight="1" x14ac:dyDescent="0.3">
      <c r="BB1035221" s="38"/>
    </row>
    <row r="1035222" spans="54:54" ht="15.75" customHeight="1" x14ac:dyDescent="0.3">
      <c r="BB1035222" s="38"/>
    </row>
    <row r="1035223" spans="54:54" ht="15.75" customHeight="1" x14ac:dyDescent="0.3">
      <c r="BB1035223" s="38"/>
    </row>
    <row r="1035224" spans="54:54" ht="15.75" customHeight="1" x14ac:dyDescent="0.3">
      <c r="BB1035224" s="38"/>
    </row>
    <row r="1035225" spans="54:54" ht="15.75" customHeight="1" x14ac:dyDescent="0.3">
      <c r="BB1035225" s="38"/>
    </row>
    <row r="1035226" spans="54:54" ht="15.75" customHeight="1" x14ac:dyDescent="0.3">
      <c r="BB1035226" s="38"/>
    </row>
    <row r="1035227" spans="54:54" ht="15.75" customHeight="1" x14ac:dyDescent="0.3">
      <c r="BB1035227" s="38"/>
    </row>
    <row r="1035228" spans="54:54" ht="15.75" customHeight="1" x14ac:dyDescent="0.3">
      <c r="BB1035228" s="38"/>
    </row>
    <row r="1035229" spans="54:54" ht="15.75" customHeight="1" x14ac:dyDescent="0.3">
      <c r="BB1035229" s="38"/>
    </row>
    <row r="1035230" spans="54:54" ht="15.75" customHeight="1" x14ac:dyDescent="0.3">
      <c r="BB1035230" s="38"/>
    </row>
    <row r="1035231" spans="54:54" ht="15.75" customHeight="1" x14ac:dyDescent="0.3">
      <c r="BB1035231" s="38"/>
    </row>
    <row r="1035232" spans="54:54" ht="15.75" customHeight="1" x14ac:dyDescent="0.3">
      <c r="BB1035232" s="38"/>
    </row>
    <row r="1035233" spans="54:54" ht="15.75" customHeight="1" x14ac:dyDescent="0.3">
      <c r="BB1035233" s="38"/>
    </row>
    <row r="1035234" spans="54:54" ht="15.75" customHeight="1" x14ac:dyDescent="0.3">
      <c r="BB1035234" s="38"/>
    </row>
    <row r="1035235" spans="54:54" ht="15.75" customHeight="1" x14ac:dyDescent="0.3">
      <c r="BB1035235" s="38"/>
    </row>
    <row r="1035236" spans="54:54" ht="15.75" customHeight="1" x14ac:dyDescent="0.3">
      <c r="BB1035236" s="38"/>
    </row>
    <row r="1035237" spans="54:54" ht="15.75" customHeight="1" x14ac:dyDescent="0.3">
      <c r="BB1035237" s="38"/>
    </row>
    <row r="1035238" spans="54:54" ht="15.75" customHeight="1" x14ac:dyDescent="0.3">
      <c r="BB1035238" s="38"/>
    </row>
    <row r="1035239" spans="54:54" ht="15.75" customHeight="1" x14ac:dyDescent="0.3">
      <c r="BB1035239" s="38"/>
    </row>
    <row r="1035240" spans="54:54" ht="15.75" customHeight="1" x14ac:dyDescent="0.3">
      <c r="BB1035240" s="38"/>
    </row>
    <row r="1035241" spans="54:54" ht="15.75" customHeight="1" x14ac:dyDescent="0.3">
      <c r="BB1035241" s="38"/>
    </row>
    <row r="1035242" spans="54:54" ht="15.75" customHeight="1" x14ac:dyDescent="0.3">
      <c r="BB1035242" s="38"/>
    </row>
    <row r="1035243" spans="54:54" ht="15.75" customHeight="1" x14ac:dyDescent="0.3">
      <c r="BB1035243" s="38"/>
    </row>
    <row r="1035244" spans="54:54" ht="15.75" customHeight="1" x14ac:dyDescent="0.3">
      <c r="BB1035244" s="38"/>
    </row>
    <row r="1035245" spans="54:54" ht="15.75" customHeight="1" x14ac:dyDescent="0.3">
      <c r="BB1035245" s="38"/>
    </row>
    <row r="1035246" spans="54:54" ht="15.75" customHeight="1" x14ac:dyDescent="0.3">
      <c r="BB1035246" s="38"/>
    </row>
    <row r="1035247" spans="54:54" ht="15.75" customHeight="1" x14ac:dyDescent="0.3">
      <c r="BB1035247" s="38"/>
    </row>
    <row r="1035248" spans="54:54" ht="15.75" customHeight="1" x14ac:dyDescent="0.3">
      <c r="BB1035248" s="38"/>
    </row>
    <row r="1035249" spans="54:54" ht="15.75" customHeight="1" x14ac:dyDescent="0.3">
      <c r="BB1035249" s="38"/>
    </row>
    <row r="1035250" spans="54:54" ht="15.75" customHeight="1" x14ac:dyDescent="0.3">
      <c r="BB1035250" s="38"/>
    </row>
    <row r="1035251" spans="54:54" ht="15.75" customHeight="1" x14ac:dyDescent="0.3">
      <c r="BB1035251" s="38"/>
    </row>
    <row r="1035252" spans="54:54" ht="15.75" customHeight="1" x14ac:dyDescent="0.3">
      <c r="BB1035252" s="38"/>
    </row>
    <row r="1035253" spans="54:54" ht="15.75" customHeight="1" x14ac:dyDescent="0.3">
      <c r="BB1035253" s="38"/>
    </row>
    <row r="1035254" spans="54:54" ht="15.75" customHeight="1" x14ac:dyDescent="0.3">
      <c r="BB1035254" s="38"/>
    </row>
    <row r="1035255" spans="54:54" ht="15.75" customHeight="1" x14ac:dyDescent="0.3">
      <c r="BB1035255" s="38"/>
    </row>
    <row r="1035256" spans="54:54" ht="15.75" customHeight="1" x14ac:dyDescent="0.3">
      <c r="BB1035256" s="38"/>
    </row>
    <row r="1035257" spans="54:54" ht="15.75" customHeight="1" x14ac:dyDescent="0.3">
      <c r="BB1035257" s="38"/>
    </row>
    <row r="1035258" spans="54:54" ht="15.75" customHeight="1" x14ac:dyDescent="0.3">
      <c r="BB1035258" s="38"/>
    </row>
    <row r="1035259" spans="54:54" ht="15.75" customHeight="1" x14ac:dyDescent="0.3">
      <c r="BB1035259" s="38"/>
    </row>
    <row r="1035260" spans="54:54" ht="15.75" customHeight="1" x14ac:dyDescent="0.3">
      <c r="BB1035260" s="38"/>
    </row>
    <row r="1035261" spans="54:54" ht="15.75" customHeight="1" x14ac:dyDescent="0.3">
      <c r="BB1035261" s="38"/>
    </row>
    <row r="1035262" spans="54:54" ht="15.75" customHeight="1" x14ac:dyDescent="0.3">
      <c r="BB1035262" s="38"/>
    </row>
    <row r="1035263" spans="54:54" ht="15.75" customHeight="1" x14ac:dyDescent="0.3">
      <c r="BB1035263" s="38"/>
    </row>
    <row r="1035264" spans="54:54" ht="15.75" customHeight="1" x14ac:dyDescent="0.3">
      <c r="BB1035264" s="38"/>
    </row>
    <row r="1035265" spans="54:54" ht="15.75" customHeight="1" x14ac:dyDescent="0.3">
      <c r="BB1035265" s="38"/>
    </row>
    <row r="1035266" spans="54:54" ht="15.75" customHeight="1" x14ac:dyDescent="0.3">
      <c r="BB1035266" s="38"/>
    </row>
    <row r="1035267" spans="54:54" ht="15.75" customHeight="1" x14ac:dyDescent="0.3">
      <c r="BB1035267" s="38"/>
    </row>
    <row r="1035268" spans="54:54" ht="15.75" customHeight="1" x14ac:dyDescent="0.3">
      <c r="BB1035268" s="38"/>
    </row>
    <row r="1035269" spans="54:54" ht="15.75" customHeight="1" x14ac:dyDescent="0.3">
      <c r="BB1035269" s="38"/>
    </row>
    <row r="1035270" spans="54:54" ht="15.75" customHeight="1" x14ac:dyDescent="0.3">
      <c r="BB1035270" s="38"/>
    </row>
    <row r="1035271" spans="54:54" ht="15.75" customHeight="1" x14ac:dyDescent="0.3">
      <c r="BB1035271" s="38"/>
    </row>
    <row r="1035272" spans="54:54" ht="15.75" customHeight="1" x14ac:dyDescent="0.3">
      <c r="BB1035272" s="38"/>
    </row>
    <row r="1035273" spans="54:54" ht="15.75" customHeight="1" x14ac:dyDescent="0.3">
      <c r="BB1035273" s="38"/>
    </row>
    <row r="1035274" spans="54:54" ht="15.75" customHeight="1" x14ac:dyDescent="0.3">
      <c r="BB1035274" s="38"/>
    </row>
    <row r="1035275" spans="54:54" ht="15.75" customHeight="1" x14ac:dyDescent="0.3">
      <c r="BB1035275" s="38"/>
    </row>
    <row r="1035276" spans="54:54" ht="15.75" customHeight="1" x14ac:dyDescent="0.3">
      <c r="BB1035276" s="38"/>
    </row>
    <row r="1035277" spans="54:54" ht="15.75" customHeight="1" x14ac:dyDescent="0.3">
      <c r="BB1035277" s="38"/>
    </row>
    <row r="1035278" spans="54:54" ht="15.75" customHeight="1" x14ac:dyDescent="0.3">
      <c r="BB1035278" s="38"/>
    </row>
    <row r="1035279" spans="54:54" ht="15.75" customHeight="1" x14ac:dyDescent="0.3">
      <c r="BB1035279" s="38"/>
    </row>
    <row r="1035280" spans="54:54" ht="15.75" customHeight="1" x14ac:dyDescent="0.3">
      <c r="BB1035280" s="38"/>
    </row>
    <row r="1035281" spans="54:54" ht="15.75" customHeight="1" x14ac:dyDescent="0.3">
      <c r="BB1035281" s="38"/>
    </row>
    <row r="1035282" spans="54:54" ht="15.75" customHeight="1" x14ac:dyDescent="0.3">
      <c r="BB1035282" s="38"/>
    </row>
    <row r="1035283" spans="54:54" ht="15.75" customHeight="1" x14ac:dyDescent="0.3">
      <c r="BB1035283" s="38"/>
    </row>
    <row r="1035284" spans="54:54" ht="15.75" customHeight="1" x14ac:dyDescent="0.3">
      <c r="BB1035284" s="38"/>
    </row>
    <row r="1035285" spans="54:54" ht="15.75" customHeight="1" x14ac:dyDescent="0.3">
      <c r="BB1035285" s="38"/>
    </row>
    <row r="1035286" spans="54:54" ht="15.75" customHeight="1" x14ac:dyDescent="0.3">
      <c r="BB1035286" s="38"/>
    </row>
    <row r="1035287" spans="54:54" ht="15.75" customHeight="1" x14ac:dyDescent="0.3">
      <c r="BB1035287" s="38"/>
    </row>
    <row r="1035288" spans="54:54" ht="15.75" customHeight="1" x14ac:dyDescent="0.3">
      <c r="BB1035288" s="38"/>
    </row>
    <row r="1035289" spans="54:54" ht="15.75" customHeight="1" x14ac:dyDescent="0.3">
      <c r="BB1035289" s="38"/>
    </row>
    <row r="1035290" spans="54:54" ht="15.75" customHeight="1" x14ac:dyDescent="0.3">
      <c r="BB1035290" s="38"/>
    </row>
    <row r="1035291" spans="54:54" ht="15.75" customHeight="1" x14ac:dyDescent="0.3">
      <c r="BB1035291" s="38"/>
    </row>
    <row r="1035292" spans="54:54" ht="15.75" customHeight="1" x14ac:dyDescent="0.3">
      <c r="BB1035292" s="38"/>
    </row>
    <row r="1035293" spans="54:54" ht="15.75" customHeight="1" x14ac:dyDescent="0.3">
      <c r="BB1035293" s="38"/>
    </row>
    <row r="1035294" spans="54:54" ht="15.75" customHeight="1" x14ac:dyDescent="0.3">
      <c r="BB1035294" s="38"/>
    </row>
    <row r="1035295" spans="54:54" ht="15.75" customHeight="1" x14ac:dyDescent="0.3">
      <c r="BB1035295" s="38"/>
    </row>
    <row r="1035296" spans="54:54" ht="15.75" customHeight="1" x14ac:dyDescent="0.3">
      <c r="BB1035296" s="38"/>
    </row>
    <row r="1035297" spans="54:54" ht="15.75" customHeight="1" x14ac:dyDescent="0.3">
      <c r="BB1035297" s="38"/>
    </row>
    <row r="1035298" spans="54:54" ht="15.75" customHeight="1" x14ac:dyDescent="0.3">
      <c r="BB1035298" s="38"/>
    </row>
    <row r="1035299" spans="54:54" ht="15.75" customHeight="1" x14ac:dyDescent="0.3">
      <c r="BB1035299" s="38"/>
    </row>
    <row r="1035300" spans="54:54" ht="15.75" customHeight="1" x14ac:dyDescent="0.3">
      <c r="BB1035300" s="38"/>
    </row>
    <row r="1035301" spans="54:54" ht="15.75" customHeight="1" x14ac:dyDescent="0.3">
      <c r="BB1035301" s="38"/>
    </row>
    <row r="1035302" spans="54:54" ht="15.75" customHeight="1" x14ac:dyDescent="0.3">
      <c r="BB1035302" s="38"/>
    </row>
    <row r="1035303" spans="54:54" ht="15.75" customHeight="1" x14ac:dyDescent="0.3">
      <c r="BB1035303" s="38"/>
    </row>
    <row r="1035304" spans="54:54" ht="15.75" customHeight="1" x14ac:dyDescent="0.3">
      <c r="BB1035304" s="38"/>
    </row>
    <row r="1035305" spans="54:54" ht="15.75" customHeight="1" x14ac:dyDescent="0.3">
      <c r="BB1035305" s="38"/>
    </row>
    <row r="1035306" spans="54:54" ht="15.75" customHeight="1" x14ac:dyDescent="0.3">
      <c r="BB1035306" s="38"/>
    </row>
    <row r="1035307" spans="54:54" ht="15.75" customHeight="1" x14ac:dyDescent="0.3">
      <c r="BB1035307" s="38"/>
    </row>
    <row r="1035308" spans="54:54" ht="15.75" customHeight="1" x14ac:dyDescent="0.3">
      <c r="BB1035308" s="38"/>
    </row>
    <row r="1035309" spans="54:54" ht="15.75" customHeight="1" x14ac:dyDescent="0.3">
      <c r="BB1035309" s="38"/>
    </row>
    <row r="1035310" spans="54:54" ht="15.75" customHeight="1" x14ac:dyDescent="0.3">
      <c r="BB1035310" s="38"/>
    </row>
    <row r="1035311" spans="54:54" ht="15.75" customHeight="1" x14ac:dyDescent="0.3">
      <c r="BB1035311" s="38"/>
    </row>
    <row r="1035312" spans="54:54" ht="15.75" customHeight="1" x14ac:dyDescent="0.3">
      <c r="BB1035312" s="38"/>
    </row>
    <row r="1035313" spans="54:54" ht="15.75" customHeight="1" x14ac:dyDescent="0.3">
      <c r="BB1035313" s="38"/>
    </row>
    <row r="1035314" spans="54:54" ht="15.75" customHeight="1" x14ac:dyDescent="0.3">
      <c r="BB1035314" s="38"/>
    </row>
    <row r="1035315" spans="54:54" ht="15.75" customHeight="1" x14ac:dyDescent="0.3">
      <c r="BB1035315" s="38"/>
    </row>
    <row r="1035316" spans="54:54" ht="15.75" customHeight="1" x14ac:dyDescent="0.3">
      <c r="BB1035316" s="38"/>
    </row>
    <row r="1035317" spans="54:54" ht="15.75" customHeight="1" x14ac:dyDescent="0.3">
      <c r="BB1035317" s="38"/>
    </row>
    <row r="1035318" spans="54:54" ht="15.75" customHeight="1" x14ac:dyDescent="0.3">
      <c r="BB1035318" s="38"/>
    </row>
    <row r="1035319" spans="54:54" ht="15.75" customHeight="1" x14ac:dyDescent="0.3">
      <c r="BB1035319" s="38"/>
    </row>
    <row r="1035320" spans="54:54" ht="15.75" customHeight="1" x14ac:dyDescent="0.3">
      <c r="BB1035320" s="38"/>
    </row>
    <row r="1035321" spans="54:54" ht="15.75" customHeight="1" x14ac:dyDescent="0.3">
      <c r="BB1035321" s="38"/>
    </row>
    <row r="1035322" spans="54:54" ht="15.75" customHeight="1" x14ac:dyDescent="0.3">
      <c r="BB1035322" s="38"/>
    </row>
    <row r="1035323" spans="54:54" ht="15.75" customHeight="1" x14ac:dyDescent="0.3">
      <c r="BB1035323" s="38"/>
    </row>
    <row r="1035324" spans="54:54" ht="15.75" customHeight="1" x14ac:dyDescent="0.3">
      <c r="BB1035324" s="38"/>
    </row>
    <row r="1035325" spans="54:54" ht="15.75" customHeight="1" x14ac:dyDescent="0.3">
      <c r="BB1035325" s="38"/>
    </row>
    <row r="1035326" spans="54:54" ht="15.75" customHeight="1" x14ac:dyDescent="0.3">
      <c r="BB1035326" s="38"/>
    </row>
    <row r="1035327" spans="54:54" ht="15.75" customHeight="1" x14ac:dyDescent="0.3">
      <c r="BB1035327" s="38"/>
    </row>
    <row r="1035328" spans="54:54" ht="15.75" customHeight="1" x14ac:dyDescent="0.3">
      <c r="BB1035328" s="38"/>
    </row>
    <row r="1035329" spans="54:54" ht="15.75" customHeight="1" x14ac:dyDescent="0.3">
      <c r="BB1035329" s="38"/>
    </row>
    <row r="1035330" spans="54:54" ht="15.75" customHeight="1" x14ac:dyDescent="0.3">
      <c r="BB1035330" s="38"/>
    </row>
    <row r="1035331" spans="54:54" ht="15.75" customHeight="1" x14ac:dyDescent="0.3">
      <c r="BB1035331" s="38"/>
    </row>
    <row r="1035332" spans="54:54" ht="15.75" customHeight="1" x14ac:dyDescent="0.3">
      <c r="BB1035332" s="38"/>
    </row>
    <row r="1035333" spans="54:54" ht="15.75" customHeight="1" x14ac:dyDescent="0.3">
      <c r="BB1035333" s="38"/>
    </row>
    <row r="1035334" spans="54:54" ht="15.75" customHeight="1" x14ac:dyDescent="0.3">
      <c r="BB1035334" s="38"/>
    </row>
    <row r="1035335" spans="54:54" ht="15.75" customHeight="1" x14ac:dyDescent="0.3">
      <c r="BB1035335" s="38"/>
    </row>
    <row r="1035336" spans="54:54" ht="15.75" customHeight="1" x14ac:dyDescent="0.3">
      <c r="BB1035336" s="38"/>
    </row>
    <row r="1035337" spans="54:54" ht="15.75" customHeight="1" x14ac:dyDescent="0.3">
      <c r="BB1035337" s="38"/>
    </row>
    <row r="1035338" spans="54:54" ht="15.75" customHeight="1" x14ac:dyDescent="0.3">
      <c r="BB1035338" s="38"/>
    </row>
    <row r="1035339" spans="54:54" ht="15.75" customHeight="1" x14ac:dyDescent="0.3">
      <c r="BB1035339" s="38"/>
    </row>
    <row r="1035340" spans="54:54" ht="15.75" customHeight="1" x14ac:dyDescent="0.3">
      <c r="BB1035340" s="38"/>
    </row>
    <row r="1035341" spans="54:54" ht="15.75" customHeight="1" x14ac:dyDescent="0.3">
      <c r="BB1035341" s="38"/>
    </row>
    <row r="1035342" spans="54:54" ht="15.75" customHeight="1" x14ac:dyDescent="0.3">
      <c r="BB1035342" s="38"/>
    </row>
    <row r="1035343" spans="54:54" ht="15.75" customHeight="1" x14ac:dyDescent="0.3">
      <c r="BB1035343" s="38"/>
    </row>
    <row r="1035344" spans="54:54" ht="15.75" customHeight="1" x14ac:dyDescent="0.3">
      <c r="BB1035344" s="38"/>
    </row>
    <row r="1035345" spans="54:54" ht="15.75" customHeight="1" x14ac:dyDescent="0.3">
      <c r="BB1035345" s="38"/>
    </row>
    <row r="1035346" spans="54:54" ht="15.75" customHeight="1" x14ac:dyDescent="0.3">
      <c r="BB1035346" s="38"/>
    </row>
    <row r="1035347" spans="54:54" ht="15.75" customHeight="1" x14ac:dyDescent="0.3">
      <c r="BB1035347" s="38"/>
    </row>
    <row r="1035348" spans="54:54" ht="15.75" customHeight="1" x14ac:dyDescent="0.3">
      <c r="BB1035348" s="38"/>
    </row>
    <row r="1035349" spans="54:54" ht="15.75" customHeight="1" x14ac:dyDescent="0.3">
      <c r="BB1035349" s="38"/>
    </row>
    <row r="1035350" spans="54:54" ht="15.75" customHeight="1" x14ac:dyDescent="0.3">
      <c r="BB1035350" s="38"/>
    </row>
    <row r="1035351" spans="54:54" ht="15.75" customHeight="1" x14ac:dyDescent="0.3">
      <c r="BB1035351" s="38"/>
    </row>
    <row r="1035352" spans="54:54" ht="15.75" customHeight="1" x14ac:dyDescent="0.3">
      <c r="BB1035352" s="38"/>
    </row>
    <row r="1035353" spans="54:54" ht="15.75" customHeight="1" x14ac:dyDescent="0.3">
      <c r="BB1035353" s="38"/>
    </row>
    <row r="1035354" spans="54:54" ht="15.75" customHeight="1" x14ac:dyDescent="0.3">
      <c r="BB1035354" s="38"/>
    </row>
    <row r="1035355" spans="54:54" ht="15.75" customHeight="1" x14ac:dyDescent="0.3">
      <c r="BB1035355" s="38"/>
    </row>
    <row r="1035356" spans="54:54" ht="15.75" customHeight="1" x14ac:dyDescent="0.3">
      <c r="BB1035356" s="38"/>
    </row>
    <row r="1035357" spans="54:54" ht="15.75" customHeight="1" x14ac:dyDescent="0.3">
      <c r="BB1035357" s="38"/>
    </row>
    <row r="1035358" spans="54:54" ht="15.75" customHeight="1" x14ac:dyDescent="0.3">
      <c r="BB1035358" s="38"/>
    </row>
    <row r="1035359" spans="54:54" ht="15.75" customHeight="1" x14ac:dyDescent="0.3">
      <c r="BB1035359" s="38"/>
    </row>
    <row r="1035360" spans="54:54" ht="15.75" customHeight="1" x14ac:dyDescent="0.3">
      <c r="BB1035360" s="38"/>
    </row>
    <row r="1035361" spans="54:54" ht="15.75" customHeight="1" x14ac:dyDescent="0.3">
      <c r="BB1035361" s="38"/>
    </row>
    <row r="1035362" spans="54:54" ht="15.75" customHeight="1" x14ac:dyDescent="0.3">
      <c r="BB1035362" s="38"/>
    </row>
    <row r="1035363" spans="54:54" ht="15.75" customHeight="1" x14ac:dyDescent="0.3">
      <c r="BB1035363" s="38"/>
    </row>
    <row r="1035364" spans="54:54" ht="15.75" customHeight="1" x14ac:dyDescent="0.3">
      <c r="BB1035364" s="38"/>
    </row>
    <row r="1035365" spans="54:54" ht="15.75" customHeight="1" x14ac:dyDescent="0.3">
      <c r="BB1035365" s="38"/>
    </row>
    <row r="1035366" spans="54:54" ht="15.75" customHeight="1" x14ac:dyDescent="0.3">
      <c r="BB1035366" s="38"/>
    </row>
    <row r="1035367" spans="54:54" ht="15.75" customHeight="1" x14ac:dyDescent="0.3">
      <c r="BB1035367" s="38"/>
    </row>
    <row r="1035368" spans="54:54" ht="15.75" customHeight="1" x14ac:dyDescent="0.3">
      <c r="BB1035368" s="38"/>
    </row>
    <row r="1035369" spans="54:54" ht="15.75" customHeight="1" x14ac:dyDescent="0.3">
      <c r="BB1035369" s="38"/>
    </row>
    <row r="1035370" spans="54:54" ht="15.75" customHeight="1" x14ac:dyDescent="0.3">
      <c r="BB1035370" s="38"/>
    </row>
    <row r="1035371" spans="54:54" ht="15.75" customHeight="1" x14ac:dyDescent="0.3">
      <c r="BB1035371" s="38"/>
    </row>
    <row r="1035372" spans="54:54" ht="15.75" customHeight="1" x14ac:dyDescent="0.3">
      <c r="BB1035372" s="38"/>
    </row>
    <row r="1035373" spans="54:54" ht="15.75" customHeight="1" x14ac:dyDescent="0.3">
      <c r="BB1035373" s="38"/>
    </row>
    <row r="1035374" spans="54:54" ht="15.75" customHeight="1" x14ac:dyDescent="0.3">
      <c r="BB1035374" s="38"/>
    </row>
    <row r="1035375" spans="54:54" ht="15.75" customHeight="1" x14ac:dyDescent="0.3">
      <c r="BB1035375" s="38"/>
    </row>
    <row r="1035376" spans="54:54" ht="15.75" customHeight="1" x14ac:dyDescent="0.3">
      <c r="BB1035376" s="38"/>
    </row>
    <row r="1035377" spans="54:54" ht="15.75" customHeight="1" x14ac:dyDescent="0.3">
      <c r="BB1035377" s="38"/>
    </row>
    <row r="1035378" spans="54:54" ht="15.75" customHeight="1" x14ac:dyDescent="0.3">
      <c r="BB1035378" s="38"/>
    </row>
    <row r="1035379" spans="54:54" ht="15.75" customHeight="1" x14ac:dyDescent="0.3">
      <c r="BB1035379" s="38"/>
    </row>
    <row r="1035380" spans="54:54" ht="15.75" customHeight="1" x14ac:dyDescent="0.3">
      <c r="BB1035380" s="38"/>
    </row>
    <row r="1035381" spans="54:54" ht="15.75" customHeight="1" x14ac:dyDescent="0.3">
      <c r="BB1035381" s="38"/>
    </row>
    <row r="1035382" spans="54:54" ht="15.75" customHeight="1" x14ac:dyDescent="0.3">
      <c r="BB1035382" s="38"/>
    </row>
    <row r="1035383" spans="54:54" ht="15.75" customHeight="1" x14ac:dyDescent="0.3">
      <c r="BB1035383" s="38"/>
    </row>
    <row r="1035384" spans="54:54" ht="15.75" customHeight="1" x14ac:dyDescent="0.3">
      <c r="BB1035384" s="38"/>
    </row>
    <row r="1035385" spans="54:54" ht="15.75" customHeight="1" x14ac:dyDescent="0.3">
      <c r="BB1035385" s="38"/>
    </row>
    <row r="1035386" spans="54:54" ht="15.75" customHeight="1" x14ac:dyDescent="0.3">
      <c r="BB1035386" s="38"/>
    </row>
    <row r="1035387" spans="54:54" ht="15.75" customHeight="1" x14ac:dyDescent="0.3">
      <c r="BB1035387" s="38"/>
    </row>
    <row r="1035388" spans="54:54" ht="15.75" customHeight="1" x14ac:dyDescent="0.3">
      <c r="BB1035388" s="38"/>
    </row>
    <row r="1035389" spans="54:54" ht="15.75" customHeight="1" x14ac:dyDescent="0.3">
      <c r="BB1035389" s="38"/>
    </row>
    <row r="1035390" spans="54:54" ht="15.75" customHeight="1" x14ac:dyDescent="0.3">
      <c r="BB1035390" s="38"/>
    </row>
    <row r="1035391" spans="54:54" ht="15.75" customHeight="1" x14ac:dyDescent="0.3">
      <c r="BB1035391" s="38"/>
    </row>
    <row r="1035392" spans="54:54" ht="15.75" customHeight="1" x14ac:dyDescent="0.3">
      <c r="BB1035392" s="38"/>
    </row>
    <row r="1035393" spans="54:54" ht="15.75" customHeight="1" x14ac:dyDescent="0.3">
      <c r="BB1035393" s="38"/>
    </row>
    <row r="1035394" spans="54:54" ht="15.75" customHeight="1" x14ac:dyDescent="0.3">
      <c r="BB1035394" s="38"/>
    </row>
    <row r="1035395" spans="54:54" ht="15.75" customHeight="1" x14ac:dyDescent="0.3">
      <c r="BB1035395" s="38"/>
    </row>
    <row r="1035396" spans="54:54" ht="15.75" customHeight="1" x14ac:dyDescent="0.3">
      <c r="BB1035396" s="38"/>
    </row>
    <row r="1035397" spans="54:54" ht="15.75" customHeight="1" x14ac:dyDescent="0.3">
      <c r="BB1035397" s="38"/>
    </row>
    <row r="1035398" spans="54:54" ht="15.75" customHeight="1" x14ac:dyDescent="0.3">
      <c r="BB1035398" s="38"/>
    </row>
    <row r="1035399" spans="54:54" ht="15.75" customHeight="1" x14ac:dyDescent="0.3">
      <c r="BB1035399" s="38"/>
    </row>
    <row r="1035400" spans="54:54" ht="15.75" customHeight="1" x14ac:dyDescent="0.3">
      <c r="BB1035400" s="38"/>
    </row>
    <row r="1035401" spans="54:54" ht="15.75" customHeight="1" x14ac:dyDescent="0.3">
      <c r="BB1035401" s="38"/>
    </row>
    <row r="1035402" spans="54:54" ht="15.75" customHeight="1" x14ac:dyDescent="0.3">
      <c r="BB1035402" s="38"/>
    </row>
    <row r="1035403" spans="54:54" ht="15.75" customHeight="1" x14ac:dyDescent="0.3">
      <c r="BB1035403" s="38"/>
    </row>
    <row r="1035404" spans="54:54" ht="15.75" customHeight="1" x14ac:dyDescent="0.3">
      <c r="BB1035404" s="38"/>
    </row>
    <row r="1035405" spans="54:54" ht="15.75" customHeight="1" x14ac:dyDescent="0.3">
      <c r="BB1035405" s="38"/>
    </row>
    <row r="1035406" spans="54:54" ht="15.75" customHeight="1" x14ac:dyDescent="0.3">
      <c r="BB1035406" s="38"/>
    </row>
    <row r="1035407" spans="54:54" ht="15.75" customHeight="1" x14ac:dyDescent="0.3">
      <c r="BB1035407" s="38"/>
    </row>
    <row r="1035408" spans="54:54" ht="15.75" customHeight="1" x14ac:dyDescent="0.3">
      <c r="BB1035408" s="38"/>
    </row>
    <row r="1035409" spans="54:54" ht="15.75" customHeight="1" x14ac:dyDescent="0.3">
      <c r="BB1035409" s="38"/>
    </row>
    <row r="1035410" spans="54:54" ht="15.75" customHeight="1" x14ac:dyDescent="0.3">
      <c r="BB1035410" s="38"/>
    </row>
    <row r="1035411" spans="54:54" ht="15.75" customHeight="1" x14ac:dyDescent="0.3">
      <c r="BB1035411" s="38"/>
    </row>
    <row r="1035412" spans="54:54" ht="15.75" customHeight="1" x14ac:dyDescent="0.3">
      <c r="BB1035412" s="38"/>
    </row>
    <row r="1035413" spans="54:54" ht="15.75" customHeight="1" x14ac:dyDescent="0.3">
      <c r="BB1035413" s="38"/>
    </row>
    <row r="1035414" spans="54:54" ht="15.75" customHeight="1" x14ac:dyDescent="0.3">
      <c r="BB1035414" s="38"/>
    </row>
    <row r="1035415" spans="54:54" ht="15.75" customHeight="1" x14ac:dyDescent="0.3">
      <c r="BB1035415" s="38"/>
    </row>
    <row r="1035416" spans="54:54" ht="15.75" customHeight="1" x14ac:dyDescent="0.3">
      <c r="BB1035416" s="38"/>
    </row>
    <row r="1035417" spans="54:54" ht="15.75" customHeight="1" x14ac:dyDescent="0.3">
      <c r="BB1035417" s="38"/>
    </row>
    <row r="1035418" spans="54:54" ht="15.75" customHeight="1" x14ac:dyDescent="0.3">
      <c r="BB1035418" s="38"/>
    </row>
    <row r="1035419" spans="54:54" ht="15.75" customHeight="1" x14ac:dyDescent="0.3">
      <c r="BB1035419" s="38"/>
    </row>
    <row r="1035420" spans="54:54" ht="15.75" customHeight="1" x14ac:dyDescent="0.3">
      <c r="BB1035420" s="38"/>
    </row>
    <row r="1035421" spans="54:54" ht="15.75" customHeight="1" x14ac:dyDescent="0.3">
      <c r="BB1035421" s="38"/>
    </row>
    <row r="1035422" spans="54:54" ht="15.75" customHeight="1" x14ac:dyDescent="0.3">
      <c r="BB1035422" s="38"/>
    </row>
    <row r="1035423" spans="54:54" ht="15.75" customHeight="1" x14ac:dyDescent="0.3">
      <c r="BB1035423" s="38"/>
    </row>
    <row r="1035424" spans="54:54" ht="15.75" customHeight="1" x14ac:dyDescent="0.3">
      <c r="BB1035424" s="38"/>
    </row>
    <row r="1035425" spans="54:54" ht="15.75" customHeight="1" x14ac:dyDescent="0.3">
      <c r="BB1035425" s="38"/>
    </row>
    <row r="1035426" spans="54:54" ht="15.75" customHeight="1" x14ac:dyDescent="0.3">
      <c r="BB1035426" s="38"/>
    </row>
    <row r="1035427" spans="54:54" ht="15.75" customHeight="1" x14ac:dyDescent="0.3">
      <c r="BB1035427" s="38"/>
    </row>
    <row r="1035428" spans="54:54" ht="15.75" customHeight="1" x14ac:dyDescent="0.3">
      <c r="BB1035428" s="38"/>
    </row>
    <row r="1035429" spans="54:54" ht="15.75" customHeight="1" x14ac:dyDescent="0.3">
      <c r="BB1035429" s="38"/>
    </row>
    <row r="1035430" spans="54:54" ht="15.75" customHeight="1" x14ac:dyDescent="0.3">
      <c r="BB1035430" s="38"/>
    </row>
    <row r="1035431" spans="54:54" ht="15.75" customHeight="1" x14ac:dyDescent="0.3">
      <c r="BB1035431" s="38"/>
    </row>
    <row r="1035432" spans="54:54" ht="15.75" customHeight="1" x14ac:dyDescent="0.3">
      <c r="BB1035432" s="38"/>
    </row>
    <row r="1035433" spans="54:54" ht="15.75" customHeight="1" x14ac:dyDescent="0.3">
      <c r="BB1035433" s="38"/>
    </row>
    <row r="1035434" spans="54:54" ht="15.75" customHeight="1" x14ac:dyDescent="0.3">
      <c r="BB1035434" s="38"/>
    </row>
    <row r="1035435" spans="54:54" ht="15.75" customHeight="1" x14ac:dyDescent="0.3">
      <c r="BB1035435" s="38"/>
    </row>
    <row r="1035436" spans="54:54" ht="15.75" customHeight="1" x14ac:dyDescent="0.3">
      <c r="BB1035436" s="38"/>
    </row>
    <row r="1035437" spans="54:54" ht="15.75" customHeight="1" x14ac:dyDescent="0.3">
      <c r="BB1035437" s="38"/>
    </row>
    <row r="1035438" spans="54:54" ht="15.75" customHeight="1" x14ac:dyDescent="0.3">
      <c r="BB1035438" s="38"/>
    </row>
    <row r="1035439" spans="54:54" ht="15.75" customHeight="1" x14ac:dyDescent="0.3">
      <c r="BB1035439" s="38"/>
    </row>
    <row r="1035440" spans="54:54" ht="15.75" customHeight="1" x14ac:dyDescent="0.3">
      <c r="BB1035440" s="38"/>
    </row>
    <row r="1035441" spans="54:54" ht="15.75" customHeight="1" x14ac:dyDescent="0.3">
      <c r="BB1035441" s="38"/>
    </row>
    <row r="1035442" spans="54:54" ht="15.75" customHeight="1" x14ac:dyDescent="0.3">
      <c r="BB1035442" s="38"/>
    </row>
    <row r="1035443" spans="54:54" ht="15.75" customHeight="1" x14ac:dyDescent="0.3">
      <c r="BB1035443" s="38"/>
    </row>
    <row r="1035444" spans="54:54" ht="15.75" customHeight="1" x14ac:dyDescent="0.3">
      <c r="BB1035444" s="38"/>
    </row>
    <row r="1035445" spans="54:54" ht="15.75" customHeight="1" x14ac:dyDescent="0.3">
      <c r="BB1035445" s="38"/>
    </row>
    <row r="1035446" spans="54:54" ht="15.75" customHeight="1" x14ac:dyDescent="0.3">
      <c r="BB1035446" s="38"/>
    </row>
    <row r="1035447" spans="54:54" ht="15.75" customHeight="1" x14ac:dyDescent="0.3">
      <c r="BB1035447" s="38"/>
    </row>
    <row r="1035448" spans="54:54" ht="15.75" customHeight="1" x14ac:dyDescent="0.3">
      <c r="BB1035448" s="38"/>
    </row>
    <row r="1035449" spans="54:54" ht="15.75" customHeight="1" x14ac:dyDescent="0.3">
      <c r="BB1035449" s="38"/>
    </row>
    <row r="1035450" spans="54:54" ht="15.75" customHeight="1" x14ac:dyDescent="0.3">
      <c r="BB1035450" s="38"/>
    </row>
    <row r="1035451" spans="54:54" ht="15.75" customHeight="1" x14ac:dyDescent="0.3">
      <c r="BB1035451" s="38"/>
    </row>
    <row r="1035452" spans="54:54" ht="15.75" customHeight="1" x14ac:dyDescent="0.3">
      <c r="BB1035452" s="38"/>
    </row>
    <row r="1035453" spans="54:54" ht="15.75" customHeight="1" x14ac:dyDescent="0.3">
      <c r="BB1035453" s="38"/>
    </row>
    <row r="1035454" spans="54:54" ht="15.75" customHeight="1" x14ac:dyDescent="0.3">
      <c r="BB1035454" s="38"/>
    </row>
    <row r="1035455" spans="54:54" ht="15.75" customHeight="1" x14ac:dyDescent="0.3">
      <c r="BB1035455" s="38"/>
    </row>
    <row r="1035456" spans="54:54" ht="15.75" customHeight="1" x14ac:dyDescent="0.3">
      <c r="BB1035456" s="38"/>
    </row>
    <row r="1035457" spans="54:54" ht="15.75" customHeight="1" x14ac:dyDescent="0.3">
      <c r="BB1035457" s="38"/>
    </row>
    <row r="1035458" spans="54:54" ht="15.75" customHeight="1" x14ac:dyDescent="0.3">
      <c r="BB1035458" s="38"/>
    </row>
    <row r="1035459" spans="54:54" ht="15.75" customHeight="1" x14ac:dyDescent="0.3">
      <c r="BB1035459" s="38"/>
    </row>
    <row r="1035460" spans="54:54" ht="15.75" customHeight="1" x14ac:dyDescent="0.3">
      <c r="BB1035460" s="38"/>
    </row>
    <row r="1035461" spans="54:54" ht="15.75" customHeight="1" x14ac:dyDescent="0.3">
      <c r="BB1035461" s="38"/>
    </row>
    <row r="1035462" spans="54:54" ht="15.75" customHeight="1" x14ac:dyDescent="0.3">
      <c r="BB1035462" s="38"/>
    </row>
    <row r="1035463" spans="54:54" ht="15.75" customHeight="1" x14ac:dyDescent="0.3">
      <c r="BB1035463" s="38"/>
    </row>
    <row r="1035464" spans="54:54" ht="15.75" customHeight="1" x14ac:dyDescent="0.3">
      <c r="BB1035464" s="38"/>
    </row>
    <row r="1035465" spans="54:54" ht="15.75" customHeight="1" x14ac:dyDescent="0.3">
      <c r="BB1035465" s="38"/>
    </row>
    <row r="1035466" spans="54:54" ht="15.75" customHeight="1" x14ac:dyDescent="0.3">
      <c r="BB1035466" s="38"/>
    </row>
    <row r="1035467" spans="54:54" ht="15.75" customHeight="1" x14ac:dyDescent="0.3">
      <c r="BB1035467" s="38"/>
    </row>
    <row r="1035468" spans="54:54" ht="15.75" customHeight="1" x14ac:dyDescent="0.3">
      <c r="BB1035468" s="38"/>
    </row>
    <row r="1035469" spans="54:54" ht="15.75" customHeight="1" x14ac:dyDescent="0.3">
      <c r="BB1035469" s="38"/>
    </row>
    <row r="1035470" spans="54:54" ht="15.75" customHeight="1" x14ac:dyDescent="0.3">
      <c r="BB1035470" s="38"/>
    </row>
    <row r="1035471" spans="54:54" ht="15.75" customHeight="1" x14ac:dyDescent="0.3">
      <c r="BB1035471" s="38"/>
    </row>
    <row r="1035472" spans="54:54" ht="15.75" customHeight="1" x14ac:dyDescent="0.3">
      <c r="BB1035472" s="38"/>
    </row>
    <row r="1035473" spans="54:54" ht="15.75" customHeight="1" x14ac:dyDescent="0.3">
      <c r="BB1035473" s="38"/>
    </row>
    <row r="1035474" spans="54:54" ht="15.75" customHeight="1" x14ac:dyDescent="0.3">
      <c r="BB1035474" s="38"/>
    </row>
    <row r="1035475" spans="54:54" ht="15.75" customHeight="1" x14ac:dyDescent="0.3">
      <c r="BB1035475" s="38"/>
    </row>
    <row r="1035476" spans="54:54" ht="15.75" customHeight="1" x14ac:dyDescent="0.3">
      <c r="BB1035476" s="38"/>
    </row>
    <row r="1035477" spans="54:54" ht="15.75" customHeight="1" x14ac:dyDescent="0.3">
      <c r="BB1035477" s="38"/>
    </row>
    <row r="1035478" spans="54:54" ht="15.75" customHeight="1" x14ac:dyDescent="0.3">
      <c r="BB1035478" s="38"/>
    </row>
    <row r="1035479" spans="54:54" ht="15.75" customHeight="1" x14ac:dyDescent="0.3">
      <c r="BB1035479" s="38"/>
    </row>
    <row r="1035480" spans="54:54" ht="15.75" customHeight="1" x14ac:dyDescent="0.3">
      <c r="BB1035480" s="38"/>
    </row>
    <row r="1035481" spans="54:54" ht="15.75" customHeight="1" x14ac:dyDescent="0.3">
      <c r="BB1035481" s="38"/>
    </row>
    <row r="1035482" spans="54:54" ht="15.75" customHeight="1" x14ac:dyDescent="0.3">
      <c r="BB1035482" s="38"/>
    </row>
    <row r="1035483" spans="54:54" ht="15.75" customHeight="1" x14ac:dyDescent="0.3">
      <c r="BB1035483" s="38"/>
    </row>
    <row r="1035484" spans="54:54" ht="15.75" customHeight="1" x14ac:dyDescent="0.3">
      <c r="BB1035484" s="38"/>
    </row>
    <row r="1035485" spans="54:54" ht="15.75" customHeight="1" x14ac:dyDescent="0.3">
      <c r="BB1035485" s="38"/>
    </row>
    <row r="1035486" spans="54:54" ht="15.75" customHeight="1" x14ac:dyDescent="0.3">
      <c r="BB1035486" s="38"/>
    </row>
    <row r="1035487" spans="54:54" ht="15.75" customHeight="1" x14ac:dyDescent="0.3">
      <c r="BB1035487" s="38"/>
    </row>
    <row r="1035488" spans="54:54" ht="15.75" customHeight="1" x14ac:dyDescent="0.3">
      <c r="BB1035488" s="38"/>
    </row>
    <row r="1035489" spans="54:54" ht="15.75" customHeight="1" x14ac:dyDescent="0.3">
      <c r="BB1035489" s="38"/>
    </row>
    <row r="1035490" spans="54:54" ht="15.75" customHeight="1" x14ac:dyDescent="0.3">
      <c r="BB1035490" s="38"/>
    </row>
    <row r="1035491" spans="54:54" ht="15.75" customHeight="1" x14ac:dyDescent="0.3">
      <c r="BB1035491" s="38"/>
    </row>
    <row r="1035492" spans="54:54" ht="15.75" customHeight="1" x14ac:dyDescent="0.3">
      <c r="BB1035492" s="38"/>
    </row>
    <row r="1035493" spans="54:54" ht="15.75" customHeight="1" x14ac:dyDescent="0.3">
      <c r="BB1035493" s="38"/>
    </row>
    <row r="1035494" spans="54:54" ht="15.75" customHeight="1" x14ac:dyDescent="0.3">
      <c r="BB1035494" s="38"/>
    </row>
    <row r="1035495" spans="54:54" ht="15.75" customHeight="1" x14ac:dyDescent="0.3">
      <c r="BB1035495" s="38"/>
    </row>
    <row r="1035496" spans="54:54" ht="15.75" customHeight="1" x14ac:dyDescent="0.3">
      <c r="BB1035496" s="38"/>
    </row>
    <row r="1035497" spans="54:54" ht="15.75" customHeight="1" x14ac:dyDescent="0.3">
      <c r="BB1035497" s="38"/>
    </row>
    <row r="1035498" spans="54:54" ht="15.75" customHeight="1" x14ac:dyDescent="0.3">
      <c r="BB1035498" s="38"/>
    </row>
    <row r="1035499" spans="54:54" ht="15.75" customHeight="1" x14ac:dyDescent="0.3">
      <c r="BB1035499" s="38"/>
    </row>
    <row r="1035500" spans="54:54" ht="15.75" customHeight="1" x14ac:dyDescent="0.3">
      <c r="BB1035500" s="38"/>
    </row>
    <row r="1035501" spans="54:54" ht="15.75" customHeight="1" x14ac:dyDescent="0.3">
      <c r="BB1035501" s="38"/>
    </row>
    <row r="1035502" spans="54:54" ht="15.75" customHeight="1" x14ac:dyDescent="0.3">
      <c r="BB1035502" s="38"/>
    </row>
    <row r="1035503" spans="54:54" ht="15.75" customHeight="1" x14ac:dyDescent="0.3">
      <c r="BB1035503" s="38"/>
    </row>
    <row r="1035504" spans="54:54" ht="15.75" customHeight="1" x14ac:dyDescent="0.3">
      <c r="BB1035504" s="38"/>
    </row>
    <row r="1035505" spans="54:54" ht="15.75" customHeight="1" x14ac:dyDescent="0.3">
      <c r="BB1035505" s="38"/>
    </row>
    <row r="1035506" spans="54:54" ht="15.75" customHeight="1" x14ac:dyDescent="0.3">
      <c r="BB1035506" s="38"/>
    </row>
    <row r="1035507" spans="54:54" ht="15.75" customHeight="1" x14ac:dyDescent="0.3">
      <c r="BB1035507" s="38"/>
    </row>
    <row r="1035508" spans="54:54" ht="15.75" customHeight="1" x14ac:dyDescent="0.3">
      <c r="BB1035508" s="38"/>
    </row>
    <row r="1035509" spans="54:54" ht="15.75" customHeight="1" x14ac:dyDescent="0.3">
      <c r="BB1035509" s="38"/>
    </row>
    <row r="1035510" spans="54:54" ht="15.75" customHeight="1" x14ac:dyDescent="0.3">
      <c r="BB1035510" s="38"/>
    </row>
    <row r="1035511" spans="54:54" ht="15.75" customHeight="1" x14ac:dyDescent="0.3">
      <c r="BB1035511" s="38"/>
    </row>
    <row r="1035512" spans="54:54" ht="15.75" customHeight="1" x14ac:dyDescent="0.3">
      <c r="BB1035512" s="38"/>
    </row>
    <row r="1035513" spans="54:54" ht="15.75" customHeight="1" x14ac:dyDescent="0.3">
      <c r="BB1035513" s="38"/>
    </row>
    <row r="1035514" spans="54:54" ht="15.75" customHeight="1" x14ac:dyDescent="0.3">
      <c r="BB1035514" s="38"/>
    </row>
    <row r="1035515" spans="54:54" ht="15.75" customHeight="1" x14ac:dyDescent="0.3">
      <c r="BB1035515" s="38"/>
    </row>
    <row r="1035516" spans="54:54" ht="15.75" customHeight="1" x14ac:dyDescent="0.3">
      <c r="BB1035516" s="38"/>
    </row>
    <row r="1035517" spans="54:54" ht="15.75" customHeight="1" x14ac:dyDescent="0.3">
      <c r="BB1035517" s="38"/>
    </row>
    <row r="1035518" spans="54:54" ht="15.75" customHeight="1" x14ac:dyDescent="0.3">
      <c r="BB1035518" s="38"/>
    </row>
    <row r="1035519" spans="54:54" ht="15.75" customHeight="1" x14ac:dyDescent="0.3">
      <c r="BB1035519" s="38"/>
    </row>
    <row r="1035520" spans="54:54" ht="15.75" customHeight="1" x14ac:dyDescent="0.3">
      <c r="BB1035520" s="38"/>
    </row>
    <row r="1035521" spans="54:54" ht="15.75" customHeight="1" x14ac:dyDescent="0.3">
      <c r="BB1035521" s="38"/>
    </row>
    <row r="1035522" spans="54:54" ht="15.75" customHeight="1" x14ac:dyDescent="0.3">
      <c r="BB1035522" s="38"/>
    </row>
    <row r="1035523" spans="54:54" ht="15.75" customHeight="1" x14ac:dyDescent="0.3">
      <c r="BB1035523" s="38"/>
    </row>
    <row r="1035524" spans="54:54" ht="15.75" customHeight="1" x14ac:dyDescent="0.3">
      <c r="BB1035524" s="38"/>
    </row>
    <row r="1035525" spans="54:54" ht="15.75" customHeight="1" x14ac:dyDescent="0.3">
      <c r="BB1035525" s="38"/>
    </row>
    <row r="1035526" spans="54:54" ht="15.75" customHeight="1" x14ac:dyDescent="0.3">
      <c r="BB1035526" s="38"/>
    </row>
    <row r="1035527" spans="54:54" ht="15.75" customHeight="1" x14ac:dyDescent="0.3">
      <c r="BB1035527" s="38"/>
    </row>
    <row r="1035528" spans="54:54" ht="15.75" customHeight="1" x14ac:dyDescent="0.3">
      <c r="BB1035528" s="38"/>
    </row>
    <row r="1035529" spans="54:54" ht="15.75" customHeight="1" x14ac:dyDescent="0.3">
      <c r="BB1035529" s="38"/>
    </row>
    <row r="1035530" spans="54:54" ht="15.75" customHeight="1" x14ac:dyDescent="0.3">
      <c r="BB1035530" s="38"/>
    </row>
    <row r="1035531" spans="54:54" ht="15.75" customHeight="1" x14ac:dyDescent="0.3">
      <c r="BB1035531" s="38"/>
    </row>
    <row r="1035532" spans="54:54" ht="15.75" customHeight="1" x14ac:dyDescent="0.3">
      <c r="BB1035532" s="38"/>
    </row>
    <row r="1035533" spans="54:54" ht="15.75" customHeight="1" x14ac:dyDescent="0.3">
      <c r="BB1035533" s="38"/>
    </row>
    <row r="1035534" spans="54:54" ht="15.75" customHeight="1" x14ac:dyDescent="0.3">
      <c r="BB1035534" s="38"/>
    </row>
    <row r="1035535" spans="54:54" ht="15.75" customHeight="1" x14ac:dyDescent="0.3">
      <c r="BB1035535" s="38"/>
    </row>
    <row r="1035536" spans="54:54" ht="15.75" customHeight="1" x14ac:dyDescent="0.3">
      <c r="BB1035536" s="38"/>
    </row>
    <row r="1035537" spans="54:54" ht="15.75" customHeight="1" x14ac:dyDescent="0.3">
      <c r="BB1035537" s="38"/>
    </row>
    <row r="1035538" spans="54:54" ht="15.75" customHeight="1" x14ac:dyDescent="0.3">
      <c r="BB1035538" s="38"/>
    </row>
    <row r="1035539" spans="54:54" ht="15.75" customHeight="1" x14ac:dyDescent="0.3">
      <c r="BB1035539" s="38"/>
    </row>
    <row r="1035540" spans="54:54" ht="15.75" customHeight="1" x14ac:dyDescent="0.3">
      <c r="BB1035540" s="38"/>
    </row>
    <row r="1035541" spans="54:54" ht="15.75" customHeight="1" x14ac:dyDescent="0.3">
      <c r="BB1035541" s="38"/>
    </row>
    <row r="1035542" spans="54:54" ht="15.75" customHeight="1" x14ac:dyDescent="0.3">
      <c r="BB1035542" s="38"/>
    </row>
    <row r="1035543" spans="54:54" ht="15.75" customHeight="1" x14ac:dyDescent="0.3">
      <c r="BB1035543" s="38"/>
    </row>
    <row r="1035544" spans="54:54" ht="15.75" customHeight="1" x14ac:dyDescent="0.3">
      <c r="BB1035544" s="38"/>
    </row>
    <row r="1035545" spans="54:54" ht="15.75" customHeight="1" x14ac:dyDescent="0.3">
      <c r="BB1035545" s="38"/>
    </row>
    <row r="1035546" spans="54:54" ht="15.75" customHeight="1" x14ac:dyDescent="0.3">
      <c r="BB1035546" s="38"/>
    </row>
    <row r="1035547" spans="54:54" ht="15.75" customHeight="1" x14ac:dyDescent="0.3">
      <c r="BB1035547" s="38"/>
    </row>
    <row r="1035548" spans="54:54" ht="15.75" customHeight="1" x14ac:dyDescent="0.3">
      <c r="BB1035548" s="38"/>
    </row>
    <row r="1035549" spans="54:54" ht="15.75" customHeight="1" x14ac:dyDescent="0.3">
      <c r="BB1035549" s="38"/>
    </row>
    <row r="1035550" spans="54:54" ht="15.75" customHeight="1" x14ac:dyDescent="0.3">
      <c r="BB1035550" s="38"/>
    </row>
    <row r="1035551" spans="54:54" ht="15.75" customHeight="1" x14ac:dyDescent="0.3">
      <c r="BB1035551" s="38"/>
    </row>
    <row r="1035552" spans="54:54" ht="15.75" customHeight="1" x14ac:dyDescent="0.3">
      <c r="BB1035552" s="38"/>
    </row>
    <row r="1035553" spans="54:54" ht="15.75" customHeight="1" x14ac:dyDescent="0.3">
      <c r="BB1035553" s="38"/>
    </row>
    <row r="1035554" spans="54:54" ht="15.75" customHeight="1" x14ac:dyDescent="0.3">
      <c r="BB1035554" s="38"/>
    </row>
    <row r="1035555" spans="54:54" ht="15.75" customHeight="1" x14ac:dyDescent="0.3">
      <c r="BB1035555" s="38"/>
    </row>
    <row r="1035556" spans="54:54" ht="15.75" customHeight="1" x14ac:dyDescent="0.3">
      <c r="BB1035556" s="38"/>
    </row>
    <row r="1035557" spans="54:54" ht="15.75" customHeight="1" x14ac:dyDescent="0.3">
      <c r="BB1035557" s="38"/>
    </row>
    <row r="1035558" spans="54:54" ht="15.75" customHeight="1" x14ac:dyDescent="0.3">
      <c r="BB1035558" s="38"/>
    </row>
    <row r="1035559" spans="54:54" ht="15.75" customHeight="1" x14ac:dyDescent="0.3">
      <c r="BB1035559" s="38"/>
    </row>
    <row r="1035560" spans="54:54" ht="15.75" customHeight="1" x14ac:dyDescent="0.3">
      <c r="BB1035560" s="38"/>
    </row>
    <row r="1035561" spans="54:54" ht="15.75" customHeight="1" x14ac:dyDescent="0.3">
      <c r="BB1035561" s="38"/>
    </row>
    <row r="1035562" spans="54:54" ht="15.75" customHeight="1" x14ac:dyDescent="0.3">
      <c r="BB1035562" s="38"/>
    </row>
    <row r="1035563" spans="54:54" ht="15.75" customHeight="1" x14ac:dyDescent="0.3">
      <c r="BB1035563" s="38"/>
    </row>
    <row r="1035564" spans="54:54" ht="15.75" customHeight="1" x14ac:dyDescent="0.3">
      <c r="BB1035564" s="38"/>
    </row>
    <row r="1035565" spans="54:54" ht="15.75" customHeight="1" x14ac:dyDescent="0.3">
      <c r="BB1035565" s="38"/>
    </row>
    <row r="1035566" spans="54:54" ht="15.75" customHeight="1" x14ac:dyDescent="0.3">
      <c r="BB1035566" s="38"/>
    </row>
    <row r="1035567" spans="54:54" ht="15.75" customHeight="1" x14ac:dyDescent="0.3">
      <c r="BB1035567" s="38"/>
    </row>
    <row r="1035568" spans="54:54" ht="15.75" customHeight="1" x14ac:dyDescent="0.3">
      <c r="BB1035568" s="38"/>
    </row>
    <row r="1035569" spans="54:54" ht="15.75" customHeight="1" x14ac:dyDescent="0.3">
      <c r="BB1035569" s="38"/>
    </row>
    <row r="1035570" spans="54:54" ht="15.75" customHeight="1" x14ac:dyDescent="0.3">
      <c r="BB1035570" s="38"/>
    </row>
    <row r="1035571" spans="54:54" ht="15.75" customHeight="1" x14ac:dyDescent="0.3">
      <c r="BB1035571" s="38"/>
    </row>
    <row r="1035572" spans="54:54" ht="15.75" customHeight="1" x14ac:dyDescent="0.3">
      <c r="BB1035572" s="38"/>
    </row>
    <row r="1035573" spans="54:54" ht="15.75" customHeight="1" x14ac:dyDescent="0.3">
      <c r="BB1035573" s="38"/>
    </row>
    <row r="1035574" spans="54:54" ht="15.75" customHeight="1" x14ac:dyDescent="0.3">
      <c r="BB1035574" s="38"/>
    </row>
    <row r="1035575" spans="54:54" ht="15.75" customHeight="1" x14ac:dyDescent="0.3">
      <c r="BB1035575" s="38"/>
    </row>
    <row r="1035576" spans="54:54" ht="15.75" customHeight="1" x14ac:dyDescent="0.3">
      <c r="BB1035576" s="38"/>
    </row>
    <row r="1035577" spans="54:54" ht="15.75" customHeight="1" x14ac:dyDescent="0.3">
      <c r="BB1035577" s="38"/>
    </row>
    <row r="1035578" spans="54:54" ht="15.75" customHeight="1" x14ac:dyDescent="0.3">
      <c r="BB1035578" s="38"/>
    </row>
    <row r="1035579" spans="54:54" ht="15.75" customHeight="1" x14ac:dyDescent="0.3">
      <c r="BB1035579" s="38"/>
    </row>
    <row r="1035580" spans="54:54" ht="15.75" customHeight="1" x14ac:dyDescent="0.3">
      <c r="BB1035580" s="38"/>
    </row>
    <row r="1035581" spans="54:54" ht="15.75" customHeight="1" x14ac:dyDescent="0.3">
      <c r="BB1035581" s="38"/>
    </row>
    <row r="1035582" spans="54:54" ht="15.75" customHeight="1" x14ac:dyDescent="0.3">
      <c r="BB1035582" s="38"/>
    </row>
    <row r="1035583" spans="54:54" ht="15.75" customHeight="1" x14ac:dyDescent="0.3">
      <c r="BB1035583" s="38"/>
    </row>
    <row r="1035584" spans="54:54" ht="15.75" customHeight="1" x14ac:dyDescent="0.3">
      <c r="BB1035584" s="38"/>
    </row>
    <row r="1035585" spans="54:54" ht="15.75" customHeight="1" x14ac:dyDescent="0.3">
      <c r="BB1035585" s="38"/>
    </row>
    <row r="1035586" spans="54:54" ht="15.75" customHeight="1" x14ac:dyDescent="0.3">
      <c r="BB1035586" s="38"/>
    </row>
    <row r="1035587" spans="54:54" ht="15.75" customHeight="1" x14ac:dyDescent="0.3">
      <c r="BB1035587" s="38"/>
    </row>
    <row r="1035588" spans="54:54" ht="15.75" customHeight="1" x14ac:dyDescent="0.3">
      <c r="BB1035588" s="38"/>
    </row>
    <row r="1035589" spans="54:54" ht="15.75" customHeight="1" x14ac:dyDescent="0.3">
      <c r="BB1035589" s="38"/>
    </row>
    <row r="1035590" spans="54:54" ht="15.75" customHeight="1" x14ac:dyDescent="0.3">
      <c r="BB1035590" s="38"/>
    </row>
    <row r="1035591" spans="54:54" ht="15.75" customHeight="1" x14ac:dyDescent="0.3">
      <c r="BB1035591" s="38"/>
    </row>
    <row r="1035592" spans="54:54" ht="15.75" customHeight="1" x14ac:dyDescent="0.3">
      <c r="BB1035592" s="38"/>
    </row>
    <row r="1035593" spans="54:54" ht="15.75" customHeight="1" x14ac:dyDescent="0.3">
      <c r="BB1035593" s="38"/>
    </row>
    <row r="1035594" spans="54:54" ht="15.75" customHeight="1" x14ac:dyDescent="0.3">
      <c r="BB1035594" s="38"/>
    </row>
    <row r="1035595" spans="54:54" ht="15.75" customHeight="1" x14ac:dyDescent="0.3">
      <c r="BB1035595" s="38"/>
    </row>
    <row r="1035596" spans="54:54" ht="15.75" customHeight="1" x14ac:dyDescent="0.3">
      <c r="BB1035596" s="38"/>
    </row>
    <row r="1035597" spans="54:54" ht="15.75" customHeight="1" x14ac:dyDescent="0.3">
      <c r="BB1035597" s="38"/>
    </row>
    <row r="1035598" spans="54:54" ht="15.75" customHeight="1" x14ac:dyDescent="0.3">
      <c r="BB1035598" s="38"/>
    </row>
    <row r="1035599" spans="54:54" ht="15.75" customHeight="1" x14ac:dyDescent="0.3">
      <c r="BB1035599" s="38"/>
    </row>
    <row r="1035600" spans="54:54" ht="15.75" customHeight="1" x14ac:dyDescent="0.3">
      <c r="BB1035600" s="38"/>
    </row>
    <row r="1035601" spans="54:54" ht="15.75" customHeight="1" x14ac:dyDescent="0.3">
      <c r="BB1035601" s="38"/>
    </row>
    <row r="1035602" spans="54:54" ht="15.75" customHeight="1" x14ac:dyDescent="0.3">
      <c r="BB1035602" s="38"/>
    </row>
    <row r="1035603" spans="54:54" ht="15.75" customHeight="1" x14ac:dyDescent="0.3">
      <c r="BB1035603" s="38"/>
    </row>
    <row r="1035604" spans="54:54" ht="15.75" customHeight="1" x14ac:dyDescent="0.3">
      <c r="BB1035604" s="38"/>
    </row>
    <row r="1035605" spans="54:54" ht="15.75" customHeight="1" x14ac:dyDescent="0.3">
      <c r="BB1035605" s="38"/>
    </row>
    <row r="1035606" spans="54:54" ht="15.75" customHeight="1" x14ac:dyDescent="0.3">
      <c r="BB1035606" s="38"/>
    </row>
    <row r="1035607" spans="54:54" ht="15.75" customHeight="1" x14ac:dyDescent="0.3">
      <c r="BB1035607" s="38"/>
    </row>
    <row r="1035608" spans="54:54" ht="15.75" customHeight="1" x14ac:dyDescent="0.3">
      <c r="BB1035608" s="38"/>
    </row>
    <row r="1035609" spans="54:54" ht="15.75" customHeight="1" x14ac:dyDescent="0.3">
      <c r="BB1035609" s="38"/>
    </row>
    <row r="1035610" spans="54:54" ht="15.75" customHeight="1" x14ac:dyDescent="0.3">
      <c r="BB1035610" s="38"/>
    </row>
    <row r="1035611" spans="54:54" ht="15.75" customHeight="1" x14ac:dyDescent="0.3">
      <c r="BB1035611" s="38"/>
    </row>
    <row r="1035612" spans="54:54" ht="15.75" customHeight="1" x14ac:dyDescent="0.3">
      <c r="BB1035612" s="38"/>
    </row>
    <row r="1035613" spans="54:54" ht="15.75" customHeight="1" x14ac:dyDescent="0.3">
      <c r="BB1035613" s="38"/>
    </row>
    <row r="1035614" spans="54:54" ht="15.75" customHeight="1" x14ac:dyDescent="0.3">
      <c r="BB1035614" s="38"/>
    </row>
    <row r="1035615" spans="54:54" ht="15.75" customHeight="1" x14ac:dyDescent="0.3">
      <c r="BB1035615" s="38"/>
    </row>
    <row r="1035616" spans="54:54" ht="15.75" customHeight="1" x14ac:dyDescent="0.3">
      <c r="BB1035616" s="38"/>
    </row>
    <row r="1035617" spans="54:54" ht="15.75" customHeight="1" x14ac:dyDescent="0.3">
      <c r="BB1035617" s="38"/>
    </row>
    <row r="1035618" spans="54:54" ht="15.75" customHeight="1" x14ac:dyDescent="0.3">
      <c r="BB1035618" s="38"/>
    </row>
    <row r="1035619" spans="54:54" ht="15.75" customHeight="1" x14ac:dyDescent="0.3">
      <c r="BB1035619" s="38"/>
    </row>
    <row r="1035620" spans="54:54" ht="15.75" customHeight="1" x14ac:dyDescent="0.3">
      <c r="BB1035620" s="38"/>
    </row>
    <row r="1035621" spans="54:54" ht="15.75" customHeight="1" x14ac:dyDescent="0.3">
      <c r="BB1035621" s="38"/>
    </row>
    <row r="1035622" spans="54:54" ht="15.75" customHeight="1" x14ac:dyDescent="0.3">
      <c r="BB1035622" s="38"/>
    </row>
    <row r="1035623" spans="54:54" ht="15.75" customHeight="1" x14ac:dyDescent="0.3">
      <c r="BB1035623" s="38"/>
    </row>
    <row r="1035624" spans="54:54" ht="15.75" customHeight="1" x14ac:dyDescent="0.3">
      <c r="BB1035624" s="38"/>
    </row>
    <row r="1035625" spans="54:54" ht="15.75" customHeight="1" x14ac:dyDescent="0.3">
      <c r="BB1035625" s="38"/>
    </row>
    <row r="1035626" spans="54:54" ht="15.75" customHeight="1" x14ac:dyDescent="0.3">
      <c r="BB1035626" s="38"/>
    </row>
    <row r="1035627" spans="54:54" ht="15.75" customHeight="1" x14ac:dyDescent="0.3">
      <c r="BB1035627" s="38"/>
    </row>
    <row r="1035628" spans="54:54" ht="15.75" customHeight="1" x14ac:dyDescent="0.3">
      <c r="BB1035628" s="38"/>
    </row>
    <row r="1035629" spans="54:54" ht="15.75" customHeight="1" x14ac:dyDescent="0.3">
      <c r="BB1035629" s="38"/>
    </row>
    <row r="1035630" spans="54:54" ht="15.75" customHeight="1" x14ac:dyDescent="0.3">
      <c r="BB1035630" s="38"/>
    </row>
    <row r="1035631" spans="54:54" ht="15.75" customHeight="1" x14ac:dyDescent="0.3">
      <c r="BB1035631" s="38"/>
    </row>
    <row r="1035632" spans="54:54" ht="15.75" customHeight="1" x14ac:dyDescent="0.3">
      <c r="BB1035632" s="38"/>
    </row>
    <row r="1035633" spans="54:54" ht="15.75" customHeight="1" x14ac:dyDescent="0.3">
      <c r="BB1035633" s="38"/>
    </row>
    <row r="1035634" spans="54:54" ht="15.75" customHeight="1" x14ac:dyDescent="0.3">
      <c r="BB1035634" s="38"/>
    </row>
    <row r="1035635" spans="54:54" ht="15.75" customHeight="1" x14ac:dyDescent="0.3">
      <c r="BB1035635" s="38"/>
    </row>
    <row r="1035636" spans="54:54" ht="15.75" customHeight="1" x14ac:dyDescent="0.3">
      <c r="BB1035636" s="38"/>
    </row>
    <row r="1035637" spans="54:54" ht="15.75" customHeight="1" x14ac:dyDescent="0.3">
      <c r="BB1035637" s="38"/>
    </row>
    <row r="1035638" spans="54:54" ht="15.75" customHeight="1" x14ac:dyDescent="0.3">
      <c r="BB1035638" s="38"/>
    </row>
    <row r="1035639" spans="54:54" ht="15.75" customHeight="1" x14ac:dyDescent="0.3">
      <c r="BB1035639" s="38"/>
    </row>
    <row r="1035640" spans="54:54" ht="15.75" customHeight="1" x14ac:dyDescent="0.3">
      <c r="BB1035640" s="38"/>
    </row>
    <row r="1035641" spans="54:54" ht="15.75" customHeight="1" x14ac:dyDescent="0.3">
      <c r="BB1035641" s="38"/>
    </row>
    <row r="1035642" spans="54:54" ht="15.75" customHeight="1" x14ac:dyDescent="0.3">
      <c r="BB1035642" s="38"/>
    </row>
    <row r="1035643" spans="54:54" ht="15.75" customHeight="1" x14ac:dyDescent="0.3">
      <c r="BB1035643" s="38"/>
    </row>
    <row r="1035644" spans="54:54" ht="15.75" customHeight="1" x14ac:dyDescent="0.3">
      <c r="BB1035644" s="38"/>
    </row>
    <row r="1035645" spans="54:54" ht="15.75" customHeight="1" x14ac:dyDescent="0.3">
      <c r="BB1035645" s="38"/>
    </row>
    <row r="1035646" spans="54:54" ht="15.75" customHeight="1" x14ac:dyDescent="0.3">
      <c r="BB1035646" s="38"/>
    </row>
    <row r="1035647" spans="54:54" ht="15.75" customHeight="1" x14ac:dyDescent="0.3">
      <c r="BB1035647" s="38"/>
    </row>
    <row r="1035648" spans="54:54" ht="15.75" customHeight="1" x14ac:dyDescent="0.3">
      <c r="BB1035648" s="38"/>
    </row>
    <row r="1035649" spans="54:54" ht="15.75" customHeight="1" x14ac:dyDescent="0.3">
      <c r="BB1035649" s="38"/>
    </row>
    <row r="1035650" spans="54:54" ht="15.75" customHeight="1" x14ac:dyDescent="0.3">
      <c r="BB1035650" s="38"/>
    </row>
    <row r="1035651" spans="54:54" ht="15.75" customHeight="1" x14ac:dyDescent="0.3">
      <c r="BB1035651" s="38"/>
    </row>
    <row r="1035652" spans="54:54" ht="15.75" customHeight="1" x14ac:dyDescent="0.3">
      <c r="BB1035652" s="38"/>
    </row>
    <row r="1035653" spans="54:54" ht="15.75" customHeight="1" x14ac:dyDescent="0.3">
      <c r="BB1035653" s="38"/>
    </row>
    <row r="1035654" spans="54:54" ht="15.75" customHeight="1" x14ac:dyDescent="0.3">
      <c r="BB1035654" s="38"/>
    </row>
    <row r="1035655" spans="54:54" ht="15.75" customHeight="1" x14ac:dyDescent="0.3">
      <c r="BB1035655" s="38"/>
    </row>
    <row r="1035656" spans="54:54" ht="15.75" customHeight="1" x14ac:dyDescent="0.3">
      <c r="BB1035656" s="38"/>
    </row>
    <row r="1035657" spans="54:54" ht="15.75" customHeight="1" x14ac:dyDescent="0.3">
      <c r="BB1035657" s="38"/>
    </row>
    <row r="1035658" spans="54:54" ht="15.75" customHeight="1" x14ac:dyDescent="0.3">
      <c r="BB1035658" s="38"/>
    </row>
    <row r="1035659" spans="54:54" ht="15.75" customHeight="1" x14ac:dyDescent="0.3">
      <c r="BB1035659" s="38"/>
    </row>
    <row r="1035660" spans="54:54" ht="15.75" customHeight="1" x14ac:dyDescent="0.3">
      <c r="BB1035660" s="38"/>
    </row>
    <row r="1035661" spans="54:54" ht="15.75" customHeight="1" x14ac:dyDescent="0.3">
      <c r="BB1035661" s="38"/>
    </row>
    <row r="1035662" spans="54:54" ht="15.75" customHeight="1" x14ac:dyDescent="0.3">
      <c r="BB1035662" s="38"/>
    </row>
    <row r="1035663" spans="54:54" ht="15.75" customHeight="1" x14ac:dyDescent="0.3">
      <c r="BB1035663" s="38"/>
    </row>
    <row r="1035664" spans="54:54" ht="15.75" customHeight="1" x14ac:dyDescent="0.3">
      <c r="BB1035664" s="38"/>
    </row>
    <row r="1035665" spans="54:54" ht="15.75" customHeight="1" x14ac:dyDescent="0.3">
      <c r="BB1035665" s="38"/>
    </row>
    <row r="1035666" spans="54:54" ht="15.75" customHeight="1" x14ac:dyDescent="0.3">
      <c r="BB1035666" s="38"/>
    </row>
    <row r="1035667" spans="54:54" ht="15.75" customHeight="1" x14ac:dyDescent="0.3">
      <c r="BB1035667" s="38"/>
    </row>
    <row r="1035668" spans="54:54" ht="15.75" customHeight="1" x14ac:dyDescent="0.3">
      <c r="BB1035668" s="38"/>
    </row>
    <row r="1035669" spans="54:54" ht="15.75" customHeight="1" x14ac:dyDescent="0.3">
      <c r="BB1035669" s="38"/>
    </row>
    <row r="1035670" spans="54:54" ht="15.75" customHeight="1" x14ac:dyDescent="0.3">
      <c r="BB1035670" s="38"/>
    </row>
    <row r="1035671" spans="54:54" ht="15.75" customHeight="1" x14ac:dyDescent="0.3">
      <c r="BB1035671" s="38"/>
    </row>
    <row r="1035672" spans="54:54" ht="15.75" customHeight="1" x14ac:dyDescent="0.3">
      <c r="BB1035672" s="38"/>
    </row>
    <row r="1035673" spans="54:54" ht="15.75" customHeight="1" x14ac:dyDescent="0.3">
      <c r="BB1035673" s="38"/>
    </row>
    <row r="1035674" spans="54:54" ht="15.75" customHeight="1" x14ac:dyDescent="0.3">
      <c r="BB1035674" s="38"/>
    </row>
    <row r="1035675" spans="54:54" ht="15.75" customHeight="1" x14ac:dyDescent="0.3">
      <c r="BB1035675" s="38"/>
    </row>
    <row r="1035676" spans="54:54" ht="15.75" customHeight="1" x14ac:dyDescent="0.3">
      <c r="BB1035676" s="38"/>
    </row>
    <row r="1035677" spans="54:54" ht="15.75" customHeight="1" x14ac:dyDescent="0.3">
      <c r="BB1035677" s="38"/>
    </row>
    <row r="1035678" spans="54:54" ht="15.75" customHeight="1" x14ac:dyDescent="0.3">
      <c r="BB1035678" s="38"/>
    </row>
    <row r="1035679" spans="54:54" ht="15.75" customHeight="1" x14ac:dyDescent="0.3">
      <c r="BB1035679" s="38"/>
    </row>
    <row r="1035680" spans="54:54" ht="15.75" customHeight="1" x14ac:dyDescent="0.3">
      <c r="BB1035680" s="38"/>
    </row>
    <row r="1035681" spans="54:54" ht="15.75" customHeight="1" x14ac:dyDescent="0.3">
      <c r="BB1035681" s="38"/>
    </row>
    <row r="1035682" spans="54:54" ht="15.75" customHeight="1" x14ac:dyDescent="0.3">
      <c r="BB1035682" s="38"/>
    </row>
    <row r="1035683" spans="54:54" ht="15.75" customHeight="1" x14ac:dyDescent="0.3">
      <c r="BB1035683" s="38"/>
    </row>
    <row r="1035684" spans="54:54" ht="15.75" customHeight="1" x14ac:dyDescent="0.3">
      <c r="BB1035684" s="38"/>
    </row>
    <row r="1035685" spans="54:54" ht="15.75" customHeight="1" x14ac:dyDescent="0.3">
      <c r="BB1035685" s="38"/>
    </row>
    <row r="1035686" spans="54:54" ht="15.75" customHeight="1" x14ac:dyDescent="0.3">
      <c r="BB1035686" s="38"/>
    </row>
    <row r="1035687" spans="54:54" ht="15.75" customHeight="1" x14ac:dyDescent="0.3">
      <c r="BB1035687" s="38"/>
    </row>
    <row r="1035688" spans="54:54" ht="15.75" customHeight="1" x14ac:dyDescent="0.3">
      <c r="BB1035688" s="38"/>
    </row>
    <row r="1035689" spans="54:54" ht="15.75" customHeight="1" x14ac:dyDescent="0.3">
      <c r="BB1035689" s="38"/>
    </row>
    <row r="1035690" spans="54:54" ht="15.75" customHeight="1" x14ac:dyDescent="0.3">
      <c r="BB1035690" s="38"/>
    </row>
    <row r="1035691" spans="54:54" ht="15.75" customHeight="1" x14ac:dyDescent="0.3">
      <c r="BB1035691" s="38"/>
    </row>
    <row r="1035692" spans="54:54" ht="15.75" customHeight="1" x14ac:dyDescent="0.3">
      <c r="BB1035692" s="38"/>
    </row>
    <row r="1035693" spans="54:54" ht="15.75" customHeight="1" x14ac:dyDescent="0.3">
      <c r="BB1035693" s="38"/>
    </row>
    <row r="1035694" spans="54:54" ht="15.75" customHeight="1" x14ac:dyDescent="0.3">
      <c r="BB1035694" s="38"/>
    </row>
    <row r="1035695" spans="54:54" ht="15.75" customHeight="1" x14ac:dyDescent="0.3">
      <c r="BB1035695" s="38"/>
    </row>
    <row r="1035696" spans="54:54" ht="15.75" customHeight="1" x14ac:dyDescent="0.3">
      <c r="BB1035696" s="38"/>
    </row>
    <row r="1035697" spans="54:54" ht="15.75" customHeight="1" x14ac:dyDescent="0.3">
      <c r="BB1035697" s="38"/>
    </row>
    <row r="1035698" spans="54:54" ht="15.75" customHeight="1" x14ac:dyDescent="0.3">
      <c r="BB1035698" s="38"/>
    </row>
    <row r="1035699" spans="54:54" ht="15.75" customHeight="1" x14ac:dyDescent="0.3">
      <c r="BB1035699" s="38"/>
    </row>
    <row r="1035700" spans="54:54" ht="15.75" customHeight="1" x14ac:dyDescent="0.3">
      <c r="BB1035700" s="38"/>
    </row>
    <row r="1035701" spans="54:54" ht="15.75" customHeight="1" x14ac:dyDescent="0.3">
      <c r="BB1035701" s="38"/>
    </row>
    <row r="1035702" spans="54:54" ht="15.75" customHeight="1" x14ac:dyDescent="0.3">
      <c r="BB1035702" s="38"/>
    </row>
    <row r="1035703" spans="54:54" ht="15.75" customHeight="1" x14ac:dyDescent="0.3">
      <c r="BB1035703" s="38"/>
    </row>
    <row r="1035704" spans="54:54" ht="15.75" customHeight="1" x14ac:dyDescent="0.3">
      <c r="BB1035704" s="38"/>
    </row>
    <row r="1035705" spans="54:54" ht="15.75" customHeight="1" x14ac:dyDescent="0.3">
      <c r="BB1035705" s="38"/>
    </row>
    <row r="1035706" spans="54:54" ht="15.75" customHeight="1" x14ac:dyDescent="0.3">
      <c r="BB1035706" s="38"/>
    </row>
    <row r="1035707" spans="54:54" ht="15.75" customHeight="1" x14ac:dyDescent="0.3">
      <c r="BB1035707" s="38"/>
    </row>
    <row r="1035708" spans="54:54" ht="15.75" customHeight="1" x14ac:dyDescent="0.3">
      <c r="BB1035708" s="38"/>
    </row>
    <row r="1035709" spans="54:54" ht="15.75" customHeight="1" x14ac:dyDescent="0.3">
      <c r="BB1035709" s="38"/>
    </row>
    <row r="1035710" spans="54:54" ht="15.75" customHeight="1" x14ac:dyDescent="0.3">
      <c r="BB1035710" s="38"/>
    </row>
    <row r="1035711" spans="54:54" ht="15.75" customHeight="1" x14ac:dyDescent="0.3">
      <c r="BB1035711" s="38"/>
    </row>
    <row r="1035712" spans="54:54" ht="15.75" customHeight="1" x14ac:dyDescent="0.3">
      <c r="BB1035712" s="38"/>
    </row>
    <row r="1035713" spans="54:54" ht="15.75" customHeight="1" x14ac:dyDescent="0.3">
      <c r="BB1035713" s="38"/>
    </row>
    <row r="1035714" spans="54:54" ht="15.75" customHeight="1" x14ac:dyDescent="0.3">
      <c r="BB1035714" s="38"/>
    </row>
    <row r="1035715" spans="54:54" ht="15.75" customHeight="1" x14ac:dyDescent="0.3">
      <c r="BB1035715" s="38"/>
    </row>
    <row r="1035716" spans="54:54" ht="15.75" customHeight="1" x14ac:dyDescent="0.3">
      <c r="BB1035716" s="38"/>
    </row>
    <row r="1035717" spans="54:54" ht="15.75" customHeight="1" x14ac:dyDescent="0.3">
      <c r="BB1035717" s="38"/>
    </row>
    <row r="1035718" spans="54:54" ht="15.75" customHeight="1" x14ac:dyDescent="0.3">
      <c r="BB1035718" s="38"/>
    </row>
    <row r="1035719" spans="54:54" ht="15.75" customHeight="1" x14ac:dyDescent="0.3">
      <c r="BB1035719" s="38"/>
    </row>
    <row r="1035720" spans="54:54" ht="15.75" customHeight="1" x14ac:dyDescent="0.3">
      <c r="BB1035720" s="38"/>
    </row>
    <row r="1035721" spans="54:54" ht="15.75" customHeight="1" x14ac:dyDescent="0.3">
      <c r="BB1035721" s="38"/>
    </row>
    <row r="1035722" spans="54:54" ht="15.75" customHeight="1" x14ac:dyDescent="0.3">
      <c r="BB1035722" s="38"/>
    </row>
    <row r="1035723" spans="54:54" ht="15.75" customHeight="1" x14ac:dyDescent="0.3">
      <c r="BB1035723" s="38"/>
    </row>
    <row r="1035724" spans="54:54" ht="15.75" customHeight="1" x14ac:dyDescent="0.3">
      <c r="BB1035724" s="38"/>
    </row>
    <row r="1035725" spans="54:54" ht="15.75" customHeight="1" x14ac:dyDescent="0.3">
      <c r="BB1035725" s="38"/>
    </row>
    <row r="1035726" spans="54:54" ht="15.75" customHeight="1" x14ac:dyDescent="0.3">
      <c r="BB1035726" s="38"/>
    </row>
    <row r="1035727" spans="54:54" ht="15.75" customHeight="1" x14ac:dyDescent="0.3">
      <c r="BB1035727" s="38"/>
    </row>
    <row r="1035728" spans="54:54" ht="15.75" customHeight="1" x14ac:dyDescent="0.3">
      <c r="BB1035728" s="38"/>
    </row>
    <row r="1035729" spans="54:54" ht="15.75" customHeight="1" x14ac:dyDescent="0.3">
      <c r="BB1035729" s="38"/>
    </row>
    <row r="1035730" spans="54:54" ht="15.75" customHeight="1" x14ac:dyDescent="0.3">
      <c r="BB1035730" s="38"/>
    </row>
    <row r="1035731" spans="54:54" ht="15.75" customHeight="1" x14ac:dyDescent="0.3">
      <c r="BB1035731" s="38"/>
    </row>
    <row r="1035732" spans="54:54" ht="15.75" customHeight="1" x14ac:dyDescent="0.3">
      <c r="BB1035732" s="38"/>
    </row>
    <row r="1035733" spans="54:54" ht="15.75" customHeight="1" x14ac:dyDescent="0.3">
      <c r="BB1035733" s="38"/>
    </row>
    <row r="1035734" spans="54:54" ht="15.75" customHeight="1" x14ac:dyDescent="0.3">
      <c r="BB1035734" s="38"/>
    </row>
    <row r="1035735" spans="54:54" ht="15.75" customHeight="1" x14ac:dyDescent="0.3">
      <c r="BB1035735" s="38"/>
    </row>
    <row r="1035736" spans="54:54" ht="15.75" customHeight="1" x14ac:dyDescent="0.3">
      <c r="BB1035736" s="38"/>
    </row>
    <row r="1035737" spans="54:54" ht="15.75" customHeight="1" x14ac:dyDescent="0.3">
      <c r="BB1035737" s="38"/>
    </row>
    <row r="1035738" spans="54:54" ht="15.75" customHeight="1" x14ac:dyDescent="0.3">
      <c r="BB1035738" s="38"/>
    </row>
    <row r="1035739" spans="54:54" ht="15.75" customHeight="1" x14ac:dyDescent="0.3">
      <c r="BB1035739" s="38"/>
    </row>
    <row r="1035740" spans="54:54" ht="15.75" customHeight="1" x14ac:dyDescent="0.3">
      <c r="BB1035740" s="38"/>
    </row>
    <row r="1035741" spans="54:54" ht="15.75" customHeight="1" x14ac:dyDescent="0.3">
      <c r="BB1035741" s="38"/>
    </row>
    <row r="1035742" spans="54:54" ht="15.75" customHeight="1" x14ac:dyDescent="0.3">
      <c r="BB1035742" s="38"/>
    </row>
    <row r="1035743" spans="54:54" ht="15.75" customHeight="1" x14ac:dyDescent="0.3">
      <c r="BB1035743" s="38"/>
    </row>
    <row r="1035744" spans="54:54" ht="15.75" customHeight="1" x14ac:dyDescent="0.3">
      <c r="BB1035744" s="38"/>
    </row>
    <row r="1035745" spans="54:54" ht="15.75" customHeight="1" x14ac:dyDescent="0.3">
      <c r="BB1035745" s="38"/>
    </row>
    <row r="1035746" spans="54:54" ht="15.75" customHeight="1" x14ac:dyDescent="0.3">
      <c r="BB1035746" s="38"/>
    </row>
    <row r="1035747" spans="54:54" ht="15.75" customHeight="1" x14ac:dyDescent="0.3">
      <c r="BB1035747" s="38"/>
    </row>
    <row r="1035748" spans="54:54" ht="15.75" customHeight="1" x14ac:dyDescent="0.3">
      <c r="BB1035748" s="38"/>
    </row>
    <row r="1035749" spans="54:54" ht="15.75" customHeight="1" x14ac:dyDescent="0.3">
      <c r="BB1035749" s="38"/>
    </row>
    <row r="1035750" spans="54:54" ht="15.75" customHeight="1" x14ac:dyDescent="0.3">
      <c r="BB1035750" s="38"/>
    </row>
    <row r="1035751" spans="54:54" ht="15.75" customHeight="1" x14ac:dyDescent="0.3">
      <c r="BB1035751" s="38"/>
    </row>
    <row r="1035752" spans="54:54" ht="15.75" customHeight="1" x14ac:dyDescent="0.3">
      <c r="BB1035752" s="38"/>
    </row>
    <row r="1035753" spans="54:54" ht="15.75" customHeight="1" x14ac:dyDescent="0.3">
      <c r="BB1035753" s="38"/>
    </row>
    <row r="1035754" spans="54:54" ht="15.75" customHeight="1" x14ac:dyDescent="0.3">
      <c r="BB1035754" s="38"/>
    </row>
    <row r="1035755" spans="54:54" ht="15.75" customHeight="1" x14ac:dyDescent="0.3">
      <c r="BB1035755" s="38"/>
    </row>
    <row r="1035756" spans="54:54" ht="15.75" customHeight="1" x14ac:dyDescent="0.3">
      <c r="BB1035756" s="38"/>
    </row>
    <row r="1035757" spans="54:54" ht="15.75" customHeight="1" x14ac:dyDescent="0.3">
      <c r="BB1035757" s="38"/>
    </row>
    <row r="1035758" spans="54:54" ht="15.75" customHeight="1" x14ac:dyDescent="0.3">
      <c r="BB1035758" s="38"/>
    </row>
    <row r="1035759" spans="54:54" ht="15.75" customHeight="1" x14ac:dyDescent="0.3">
      <c r="BB1035759" s="38"/>
    </row>
    <row r="1035760" spans="54:54" ht="15.75" customHeight="1" x14ac:dyDescent="0.3">
      <c r="BB1035760" s="38"/>
    </row>
    <row r="1035761" spans="54:54" ht="15.75" customHeight="1" x14ac:dyDescent="0.3">
      <c r="BB1035761" s="38"/>
    </row>
    <row r="1035762" spans="54:54" ht="15.75" customHeight="1" x14ac:dyDescent="0.3">
      <c r="BB1035762" s="38"/>
    </row>
    <row r="1035763" spans="54:54" ht="15.75" customHeight="1" x14ac:dyDescent="0.3">
      <c r="BB1035763" s="38"/>
    </row>
    <row r="1035764" spans="54:54" ht="15.75" customHeight="1" x14ac:dyDescent="0.3">
      <c r="BB1035764" s="38"/>
    </row>
    <row r="1035765" spans="54:54" ht="15.75" customHeight="1" x14ac:dyDescent="0.3">
      <c r="BB1035765" s="38"/>
    </row>
    <row r="1035766" spans="54:54" ht="15.75" customHeight="1" x14ac:dyDescent="0.3">
      <c r="BB1035766" s="38"/>
    </row>
    <row r="1035767" spans="54:54" ht="15.75" customHeight="1" x14ac:dyDescent="0.3">
      <c r="BB1035767" s="38"/>
    </row>
    <row r="1035768" spans="54:54" ht="15.75" customHeight="1" x14ac:dyDescent="0.3">
      <c r="BB1035768" s="38"/>
    </row>
    <row r="1035769" spans="54:54" ht="15.75" customHeight="1" x14ac:dyDescent="0.3">
      <c r="BB1035769" s="38"/>
    </row>
    <row r="1035770" spans="54:54" ht="15.75" customHeight="1" x14ac:dyDescent="0.3">
      <c r="BB1035770" s="38"/>
    </row>
    <row r="1035771" spans="54:54" ht="15.75" customHeight="1" x14ac:dyDescent="0.3">
      <c r="BB1035771" s="38"/>
    </row>
    <row r="1035772" spans="54:54" ht="15.75" customHeight="1" x14ac:dyDescent="0.3">
      <c r="BB1035772" s="38"/>
    </row>
    <row r="1035773" spans="54:54" ht="15.75" customHeight="1" x14ac:dyDescent="0.3">
      <c r="BB1035773" s="38"/>
    </row>
    <row r="1035774" spans="54:54" ht="15.75" customHeight="1" x14ac:dyDescent="0.3">
      <c r="BB1035774" s="38"/>
    </row>
    <row r="1035775" spans="54:54" ht="15.75" customHeight="1" x14ac:dyDescent="0.3">
      <c r="BB1035775" s="38"/>
    </row>
    <row r="1035776" spans="54:54" ht="15.75" customHeight="1" x14ac:dyDescent="0.3">
      <c r="BB1035776" s="38"/>
    </row>
    <row r="1035777" spans="54:54" ht="15.75" customHeight="1" x14ac:dyDescent="0.3">
      <c r="BB1035777" s="38"/>
    </row>
    <row r="1035778" spans="54:54" ht="15.75" customHeight="1" x14ac:dyDescent="0.3">
      <c r="BB1035778" s="38"/>
    </row>
    <row r="1035779" spans="54:54" ht="15.75" customHeight="1" x14ac:dyDescent="0.3">
      <c r="BB1035779" s="38"/>
    </row>
    <row r="1035780" spans="54:54" ht="15.75" customHeight="1" x14ac:dyDescent="0.3">
      <c r="BB1035780" s="38"/>
    </row>
    <row r="1035781" spans="54:54" ht="15.75" customHeight="1" x14ac:dyDescent="0.3">
      <c r="BB1035781" s="38"/>
    </row>
    <row r="1035782" spans="54:54" ht="15.75" customHeight="1" x14ac:dyDescent="0.3">
      <c r="BB1035782" s="38"/>
    </row>
    <row r="1035783" spans="54:54" ht="15.75" customHeight="1" x14ac:dyDescent="0.3">
      <c r="BB1035783" s="38"/>
    </row>
    <row r="1035784" spans="54:54" ht="15.75" customHeight="1" x14ac:dyDescent="0.3">
      <c r="BB1035784" s="38"/>
    </row>
    <row r="1035785" spans="54:54" ht="15.75" customHeight="1" x14ac:dyDescent="0.3">
      <c r="BB1035785" s="38"/>
    </row>
    <row r="1035786" spans="54:54" ht="15.75" customHeight="1" x14ac:dyDescent="0.3">
      <c r="BB1035786" s="38"/>
    </row>
    <row r="1035787" spans="54:54" ht="15.75" customHeight="1" x14ac:dyDescent="0.3">
      <c r="BB1035787" s="38"/>
    </row>
    <row r="1035788" spans="54:54" ht="15.75" customHeight="1" x14ac:dyDescent="0.3">
      <c r="BB1035788" s="38"/>
    </row>
    <row r="1035789" spans="54:54" ht="15.75" customHeight="1" x14ac:dyDescent="0.3">
      <c r="BB1035789" s="38"/>
    </row>
    <row r="1035790" spans="54:54" ht="15.75" customHeight="1" x14ac:dyDescent="0.3">
      <c r="BB1035790" s="38"/>
    </row>
    <row r="1035791" spans="54:54" ht="15.75" customHeight="1" x14ac:dyDescent="0.3">
      <c r="BB1035791" s="38"/>
    </row>
    <row r="1035792" spans="54:54" ht="15.75" customHeight="1" x14ac:dyDescent="0.3">
      <c r="BB1035792" s="38"/>
    </row>
    <row r="1035793" spans="54:54" ht="15.75" customHeight="1" x14ac:dyDescent="0.3">
      <c r="BB1035793" s="38"/>
    </row>
    <row r="1035794" spans="54:54" ht="15.75" customHeight="1" x14ac:dyDescent="0.3">
      <c r="BB1035794" s="38"/>
    </row>
    <row r="1035795" spans="54:54" ht="15.75" customHeight="1" x14ac:dyDescent="0.3">
      <c r="BB1035795" s="38"/>
    </row>
    <row r="1035796" spans="54:54" ht="15.75" customHeight="1" x14ac:dyDescent="0.3">
      <c r="BB1035796" s="38"/>
    </row>
    <row r="1035797" spans="54:54" ht="15.75" customHeight="1" x14ac:dyDescent="0.3">
      <c r="BB1035797" s="38"/>
    </row>
    <row r="1035798" spans="54:54" ht="15.75" customHeight="1" x14ac:dyDescent="0.3">
      <c r="BB1035798" s="38"/>
    </row>
    <row r="1035799" spans="54:54" ht="15.75" customHeight="1" x14ac:dyDescent="0.3">
      <c r="BB1035799" s="38"/>
    </row>
    <row r="1035800" spans="54:54" ht="15.75" customHeight="1" x14ac:dyDescent="0.3">
      <c r="BB1035800" s="38"/>
    </row>
    <row r="1035801" spans="54:54" ht="15.75" customHeight="1" x14ac:dyDescent="0.3">
      <c r="BB1035801" s="38"/>
    </row>
    <row r="1035802" spans="54:54" ht="15.75" customHeight="1" x14ac:dyDescent="0.3">
      <c r="BB1035802" s="38"/>
    </row>
    <row r="1035803" spans="54:54" ht="15.75" customHeight="1" x14ac:dyDescent="0.3">
      <c r="BB1035803" s="38"/>
    </row>
    <row r="1035804" spans="54:54" ht="15.75" customHeight="1" x14ac:dyDescent="0.3">
      <c r="BB1035804" s="38"/>
    </row>
    <row r="1035805" spans="54:54" ht="15.75" customHeight="1" x14ac:dyDescent="0.3">
      <c r="BB1035805" s="38"/>
    </row>
    <row r="1035806" spans="54:54" ht="15.75" customHeight="1" x14ac:dyDescent="0.3">
      <c r="BB1035806" s="38"/>
    </row>
    <row r="1035807" spans="54:54" ht="15.75" customHeight="1" x14ac:dyDescent="0.3">
      <c r="BB1035807" s="38"/>
    </row>
    <row r="1035808" spans="54:54" ht="15.75" customHeight="1" x14ac:dyDescent="0.3">
      <c r="BB1035808" s="38"/>
    </row>
    <row r="1035809" spans="54:54" ht="15.75" customHeight="1" x14ac:dyDescent="0.3">
      <c r="BB1035809" s="38"/>
    </row>
    <row r="1035810" spans="54:54" ht="15.75" customHeight="1" x14ac:dyDescent="0.3">
      <c r="BB1035810" s="38"/>
    </row>
    <row r="1035811" spans="54:54" ht="15.75" customHeight="1" x14ac:dyDescent="0.3">
      <c r="BB1035811" s="38"/>
    </row>
    <row r="1035812" spans="54:54" ht="15.75" customHeight="1" x14ac:dyDescent="0.3">
      <c r="BB1035812" s="38"/>
    </row>
    <row r="1035813" spans="54:54" ht="15.75" customHeight="1" x14ac:dyDescent="0.3">
      <c r="BB1035813" s="38"/>
    </row>
    <row r="1035814" spans="54:54" ht="15.75" customHeight="1" x14ac:dyDescent="0.3">
      <c r="BB1035814" s="38"/>
    </row>
    <row r="1035815" spans="54:54" ht="15.75" customHeight="1" x14ac:dyDescent="0.3">
      <c r="BB1035815" s="38"/>
    </row>
    <row r="1035816" spans="54:54" ht="15.75" customHeight="1" x14ac:dyDescent="0.3">
      <c r="BB1035816" s="38"/>
    </row>
    <row r="1035817" spans="54:54" ht="15.75" customHeight="1" x14ac:dyDescent="0.3">
      <c r="BB1035817" s="38"/>
    </row>
    <row r="1035818" spans="54:54" ht="15.75" customHeight="1" x14ac:dyDescent="0.3">
      <c r="BB1035818" s="38"/>
    </row>
    <row r="1035819" spans="54:54" ht="15.75" customHeight="1" x14ac:dyDescent="0.3">
      <c r="BB1035819" s="38"/>
    </row>
    <row r="1035820" spans="54:54" ht="15.75" customHeight="1" x14ac:dyDescent="0.3">
      <c r="BB1035820" s="38"/>
    </row>
    <row r="1035821" spans="54:54" ht="15.75" customHeight="1" x14ac:dyDescent="0.3">
      <c r="BB1035821" s="38"/>
    </row>
    <row r="1035822" spans="54:54" ht="15.75" customHeight="1" x14ac:dyDescent="0.3">
      <c r="BB1035822" s="38"/>
    </row>
    <row r="1035823" spans="54:54" ht="15.75" customHeight="1" x14ac:dyDescent="0.3">
      <c r="BB1035823" s="38"/>
    </row>
    <row r="1035824" spans="54:54" ht="15.75" customHeight="1" x14ac:dyDescent="0.3">
      <c r="BB1035824" s="38"/>
    </row>
    <row r="1035825" spans="54:54" ht="15.75" customHeight="1" x14ac:dyDescent="0.3">
      <c r="BB1035825" s="38"/>
    </row>
    <row r="1035826" spans="54:54" ht="15.75" customHeight="1" x14ac:dyDescent="0.3">
      <c r="BB1035826" s="38"/>
    </row>
    <row r="1035827" spans="54:54" ht="15.75" customHeight="1" x14ac:dyDescent="0.3">
      <c r="BB1035827" s="38"/>
    </row>
    <row r="1035828" spans="54:54" ht="15.75" customHeight="1" x14ac:dyDescent="0.3">
      <c r="BB1035828" s="38"/>
    </row>
    <row r="1035829" spans="54:54" ht="15.75" customHeight="1" x14ac:dyDescent="0.3">
      <c r="BB1035829" s="38"/>
    </row>
    <row r="1035830" spans="54:54" ht="15.75" customHeight="1" x14ac:dyDescent="0.3">
      <c r="BB1035830" s="38"/>
    </row>
    <row r="1035831" spans="54:54" ht="15.75" customHeight="1" x14ac:dyDescent="0.3">
      <c r="BB1035831" s="38"/>
    </row>
    <row r="1035832" spans="54:54" ht="15.75" customHeight="1" x14ac:dyDescent="0.3">
      <c r="BB1035832" s="38"/>
    </row>
    <row r="1035833" spans="54:54" ht="15.75" customHeight="1" x14ac:dyDescent="0.3">
      <c r="BB1035833" s="38"/>
    </row>
    <row r="1035834" spans="54:54" ht="15.75" customHeight="1" x14ac:dyDescent="0.3">
      <c r="BB1035834" s="38"/>
    </row>
    <row r="1035835" spans="54:54" ht="15.75" customHeight="1" x14ac:dyDescent="0.3">
      <c r="BB1035835" s="38"/>
    </row>
    <row r="1035836" spans="54:54" ht="15.75" customHeight="1" x14ac:dyDescent="0.3">
      <c r="BB1035836" s="38"/>
    </row>
    <row r="1035837" spans="54:54" ht="15.75" customHeight="1" x14ac:dyDescent="0.3">
      <c r="BB1035837" s="38"/>
    </row>
    <row r="1035838" spans="54:54" ht="15.75" customHeight="1" x14ac:dyDescent="0.3">
      <c r="BB1035838" s="38"/>
    </row>
    <row r="1035839" spans="54:54" ht="15.75" customHeight="1" x14ac:dyDescent="0.3">
      <c r="BB1035839" s="38"/>
    </row>
    <row r="1035840" spans="54:54" ht="15.75" customHeight="1" x14ac:dyDescent="0.3">
      <c r="BB1035840" s="38"/>
    </row>
    <row r="1035841" spans="54:54" ht="15.75" customHeight="1" x14ac:dyDescent="0.3">
      <c r="BB1035841" s="38"/>
    </row>
    <row r="1035842" spans="54:54" ht="15.75" customHeight="1" x14ac:dyDescent="0.3">
      <c r="BB1035842" s="38"/>
    </row>
    <row r="1035843" spans="54:54" ht="15.75" customHeight="1" x14ac:dyDescent="0.3">
      <c r="BB1035843" s="38"/>
    </row>
    <row r="1035844" spans="54:54" ht="15.75" customHeight="1" x14ac:dyDescent="0.3">
      <c r="BB1035844" s="38"/>
    </row>
    <row r="1035845" spans="54:54" ht="15.75" customHeight="1" x14ac:dyDescent="0.3">
      <c r="BB1035845" s="38"/>
    </row>
    <row r="1035846" spans="54:54" ht="15.75" customHeight="1" x14ac:dyDescent="0.3">
      <c r="BB1035846" s="38"/>
    </row>
    <row r="1035847" spans="54:54" ht="15.75" customHeight="1" x14ac:dyDescent="0.3">
      <c r="BB1035847" s="38"/>
    </row>
    <row r="1035848" spans="54:54" ht="15.75" customHeight="1" x14ac:dyDescent="0.3">
      <c r="BB1035848" s="38"/>
    </row>
    <row r="1035849" spans="54:54" ht="15.75" customHeight="1" x14ac:dyDescent="0.3">
      <c r="BB1035849" s="38"/>
    </row>
    <row r="1035850" spans="54:54" ht="15.75" customHeight="1" x14ac:dyDescent="0.3">
      <c r="BB1035850" s="38"/>
    </row>
    <row r="1035851" spans="54:54" ht="15.75" customHeight="1" x14ac:dyDescent="0.3">
      <c r="BB1035851" s="38"/>
    </row>
    <row r="1035852" spans="54:54" ht="15.75" customHeight="1" x14ac:dyDescent="0.3">
      <c r="BB1035852" s="38"/>
    </row>
    <row r="1035853" spans="54:54" ht="15.75" customHeight="1" x14ac:dyDescent="0.3">
      <c r="BB1035853" s="38"/>
    </row>
    <row r="1035854" spans="54:54" ht="15.75" customHeight="1" x14ac:dyDescent="0.3">
      <c r="BB1035854" s="38"/>
    </row>
    <row r="1035855" spans="54:54" ht="15.75" customHeight="1" x14ac:dyDescent="0.3">
      <c r="BB1035855" s="38"/>
    </row>
    <row r="1035856" spans="54:54" ht="15.75" customHeight="1" x14ac:dyDescent="0.3">
      <c r="BB1035856" s="38"/>
    </row>
    <row r="1035857" spans="54:54" ht="15.75" customHeight="1" x14ac:dyDescent="0.3">
      <c r="BB1035857" s="38"/>
    </row>
    <row r="1035858" spans="54:54" ht="15.75" customHeight="1" x14ac:dyDescent="0.3">
      <c r="BB1035858" s="38"/>
    </row>
    <row r="1035859" spans="54:54" ht="15.75" customHeight="1" x14ac:dyDescent="0.3">
      <c r="BB1035859" s="38"/>
    </row>
    <row r="1035860" spans="54:54" ht="15.75" customHeight="1" x14ac:dyDescent="0.3">
      <c r="BB1035860" s="38"/>
    </row>
    <row r="1035861" spans="54:54" ht="15.75" customHeight="1" x14ac:dyDescent="0.3">
      <c r="BB1035861" s="38"/>
    </row>
    <row r="1035862" spans="54:54" ht="15.75" customHeight="1" x14ac:dyDescent="0.3">
      <c r="BB1035862" s="38"/>
    </row>
    <row r="1035863" spans="54:54" ht="15.75" customHeight="1" x14ac:dyDescent="0.3">
      <c r="BB1035863" s="38"/>
    </row>
    <row r="1035864" spans="54:54" ht="15.75" customHeight="1" x14ac:dyDescent="0.3">
      <c r="BB1035864" s="38"/>
    </row>
    <row r="1035865" spans="54:54" ht="15.75" customHeight="1" x14ac:dyDescent="0.3">
      <c r="BB1035865" s="38"/>
    </row>
    <row r="1035866" spans="54:54" ht="15.75" customHeight="1" x14ac:dyDescent="0.3">
      <c r="BB1035866" s="38"/>
    </row>
    <row r="1035867" spans="54:54" ht="15.75" customHeight="1" x14ac:dyDescent="0.3">
      <c r="BB1035867" s="38"/>
    </row>
    <row r="1035868" spans="54:54" ht="15.75" customHeight="1" x14ac:dyDescent="0.3">
      <c r="BB1035868" s="38"/>
    </row>
    <row r="1035869" spans="54:54" ht="15.75" customHeight="1" x14ac:dyDescent="0.3">
      <c r="BB1035869" s="38"/>
    </row>
    <row r="1035870" spans="54:54" ht="15.75" customHeight="1" x14ac:dyDescent="0.3">
      <c r="BB1035870" s="38"/>
    </row>
    <row r="1035871" spans="54:54" ht="15.75" customHeight="1" x14ac:dyDescent="0.3">
      <c r="BB1035871" s="38"/>
    </row>
    <row r="1035872" spans="54:54" ht="15.75" customHeight="1" x14ac:dyDescent="0.3">
      <c r="BB1035872" s="38"/>
    </row>
    <row r="1035873" spans="54:54" ht="15.75" customHeight="1" x14ac:dyDescent="0.3">
      <c r="BB1035873" s="38"/>
    </row>
    <row r="1035874" spans="54:54" ht="15.75" customHeight="1" x14ac:dyDescent="0.3">
      <c r="BB1035874" s="38"/>
    </row>
    <row r="1035875" spans="54:54" ht="15.75" customHeight="1" x14ac:dyDescent="0.3">
      <c r="BB1035875" s="38"/>
    </row>
    <row r="1035876" spans="54:54" ht="15.75" customHeight="1" x14ac:dyDescent="0.3">
      <c r="BB1035876" s="38"/>
    </row>
    <row r="1035877" spans="54:54" ht="15.75" customHeight="1" x14ac:dyDescent="0.3">
      <c r="BB1035877" s="38"/>
    </row>
    <row r="1035878" spans="54:54" ht="15.75" customHeight="1" x14ac:dyDescent="0.3">
      <c r="BB1035878" s="38"/>
    </row>
    <row r="1035879" spans="54:54" ht="15.75" customHeight="1" x14ac:dyDescent="0.3">
      <c r="BB1035879" s="38"/>
    </row>
    <row r="1035880" spans="54:54" ht="15.75" customHeight="1" x14ac:dyDescent="0.3">
      <c r="BB1035880" s="38"/>
    </row>
    <row r="1035881" spans="54:54" ht="15.75" customHeight="1" x14ac:dyDescent="0.3">
      <c r="BB1035881" s="38"/>
    </row>
    <row r="1035882" spans="54:54" ht="15.75" customHeight="1" x14ac:dyDescent="0.3">
      <c r="BB1035882" s="38"/>
    </row>
    <row r="1035883" spans="54:54" ht="15.75" customHeight="1" x14ac:dyDescent="0.3">
      <c r="BB1035883" s="38"/>
    </row>
    <row r="1035884" spans="54:54" ht="15.75" customHeight="1" x14ac:dyDescent="0.3">
      <c r="BB1035884" s="38"/>
    </row>
    <row r="1035885" spans="54:54" ht="15.75" customHeight="1" x14ac:dyDescent="0.3">
      <c r="BB1035885" s="38"/>
    </row>
    <row r="1035886" spans="54:54" ht="15.75" customHeight="1" x14ac:dyDescent="0.3">
      <c r="BB1035886" s="38"/>
    </row>
    <row r="1035887" spans="54:54" ht="15.75" customHeight="1" x14ac:dyDescent="0.3">
      <c r="BB1035887" s="38"/>
    </row>
    <row r="1035888" spans="54:54" ht="15.75" customHeight="1" x14ac:dyDescent="0.3">
      <c r="BB1035888" s="38"/>
    </row>
    <row r="1035889" spans="54:54" ht="15.75" customHeight="1" x14ac:dyDescent="0.3">
      <c r="BB1035889" s="38"/>
    </row>
    <row r="1035890" spans="54:54" ht="15.75" customHeight="1" x14ac:dyDescent="0.3">
      <c r="BB1035890" s="38"/>
    </row>
    <row r="1035891" spans="54:54" ht="15.75" customHeight="1" x14ac:dyDescent="0.3">
      <c r="BB1035891" s="38"/>
    </row>
    <row r="1035892" spans="54:54" ht="15.75" customHeight="1" x14ac:dyDescent="0.3">
      <c r="BB1035892" s="38"/>
    </row>
    <row r="1035893" spans="54:54" ht="15.75" customHeight="1" x14ac:dyDescent="0.3">
      <c r="BB1035893" s="38"/>
    </row>
    <row r="1035894" spans="54:54" ht="15.75" customHeight="1" x14ac:dyDescent="0.3">
      <c r="BB1035894" s="38"/>
    </row>
    <row r="1035895" spans="54:54" ht="15.75" customHeight="1" x14ac:dyDescent="0.3">
      <c r="BB1035895" s="38"/>
    </row>
    <row r="1035896" spans="54:54" ht="15.75" customHeight="1" x14ac:dyDescent="0.3">
      <c r="BB1035896" s="38"/>
    </row>
    <row r="1035897" spans="54:54" ht="15.75" customHeight="1" x14ac:dyDescent="0.3">
      <c r="BB1035897" s="38"/>
    </row>
    <row r="1035898" spans="54:54" ht="15.75" customHeight="1" x14ac:dyDescent="0.3">
      <c r="BB1035898" s="38"/>
    </row>
    <row r="1035899" spans="54:54" ht="15.75" customHeight="1" x14ac:dyDescent="0.3">
      <c r="BB1035899" s="38"/>
    </row>
    <row r="1035900" spans="54:54" ht="15.75" customHeight="1" x14ac:dyDescent="0.3">
      <c r="BB1035900" s="38"/>
    </row>
    <row r="1035901" spans="54:54" ht="15.75" customHeight="1" x14ac:dyDescent="0.3">
      <c r="BB1035901" s="38"/>
    </row>
    <row r="1035902" spans="54:54" ht="15.75" customHeight="1" x14ac:dyDescent="0.3">
      <c r="BB1035902" s="38"/>
    </row>
    <row r="1035903" spans="54:54" ht="15.75" customHeight="1" x14ac:dyDescent="0.3">
      <c r="BB1035903" s="38"/>
    </row>
    <row r="1035904" spans="54:54" ht="15.75" customHeight="1" x14ac:dyDescent="0.3">
      <c r="BB1035904" s="38"/>
    </row>
    <row r="1035905" spans="54:54" ht="15.75" customHeight="1" x14ac:dyDescent="0.3">
      <c r="BB1035905" s="38"/>
    </row>
    <row r="1035906" spans="54:54" ht="15.75" customHeight="1" x14ac:dyDescent="0.3">
      <c r="BB1035906" s="38"/>
    </row>
    <row r="1035907" spans="54:54" ht="15.75" customHeight="1" x14ac:dyDescent="0.3">
      <c r="BB1035907" s="38"/>
    </row>
    <row r="1035908" spans="54:54" ht="15.75" customHeight="1" x14ac:dyDescent="0.3">
      <c r="BB1035908" s="38"/>
    </row>
    <row r="1035909" spans="54:54" ht="15.75" customHeight="1" x14ac:dyDescent="0.3">
      <c r="BB1035909" s="38"/>
    </row>
    <row r="1035910" spans="54:54" ht="15.75" customHeight="1" x14ac:dyDescent="0.3">
      <c r="BB1035910" s="38"/>
    </row>
    <row r="1035911" spans="54:54" ht="15.75" customHeight="1" x14ac:dyDescent="0.3">
      <c r="BB1035911" s="38"/>
    </row>
    <row r="1035912" spans="54:54" ht="15.75" customHeight="1" x14ac:dyDescent="0.3">
      <c r="BB1035912" s="38"/>
    </row>
    <row r="1035913" spans="54:54" ht="15.75" customHeight="1" x14ac:dyDescent="0.3">
      <c r="BB1035913" s="38"/>
    </row>
    <row r="1035914" spans="54:54" ht="15.75" customHeight="1" x14ac:dyDescent="0.3">
      <c r="BB1035914" s="38"/>
    </row>
    <row r="1035915" spans="54:54" ht="15.75" customHeight="1" x14ac:dyDescent="0.3">
      <c r="BB1035915" s="38"/>
    </row>
    <row r="1035916" spans="54:54" ht="15.75" customHeight="1" x14ac:dyDescent="0.3">
      <c r="BB1035916" s="38"/>
    </row>
    <row r="1035917" spans="54:54" ht="15.75" customHeight="1" x14ac:dyDescent="0.3">
      <c r="BB1035917" s="38"/>
    </row>
    <row r="1035918" spans="54:54" ht="15.75" customHeight="1" x14ac:dyDescent="0.3">
      <c r="BB1035918" s="38"/>
    </row>
    <row r="1035919" spans="54:54" ht="15.75" customHeight="1" x14ac:dyDescent="0.3">
      <c r="BB1035919" s="38"/>
    </row>
    <row r="1035920" spans="54:54" ht="15.75" customHeight="1" x14ac:dyDescent="0.3">
      <c r="BB1035920" s="38"/>
    </row>
    <row r="1035921" spans="54:54" ht="15.75" customHeight="1" x14ac:dyDescent="0.3">
      <c r="BB1035921" s="38"/>
    </row>
    <row r="1035922" spans="54:54" ht="15.75" customHeight="1" x14ac:dyDescent="0.3">
      <c r="BB1035922" s="38"/>
    </row>
    <row r="1035923" spans="54:54" ht="15.75" customHeight="1" x14ac:dyDescent="0.3">
      <c r="BB1035923" s="38"/>
    </row>
    <row r="1035924" spans="54:54" ht="15.75" customHeight="1" x14ac:dyDescent="0.3">
      <c r="BB1035924" s="38"/>
    </row>
    <row r="1035925" spans="54:54" ht="15.75" customHeight="1" x14ac:dyDescent="0.3">
      <c r="BB1035925" s="38"/>
    </row>
    <row r="1035926" spans="54:54" ht="15.75" customHeight="1" x14ac:dyDescent="0.3">
      <c r="BB1035926" s="38"/>
    </row>
    <row r="1035927" spans="54:54" ht="15.75" customHeight="1" x14ac:dyDescent="0.3">
      <c r="BB1035927" s="38"/>
    </row>
    <row r="1035928" spans="54:54" ht="15.75" customHeight="1" x14ac:dyDescent="0.3">
      <c r="BB1035928" s="38"/>
    </row>
    <row r="1035929" spans="54:54" ht="15.75" customHeight="1" x14ac:dyDescent="0.3">
      <c r="BB1035929" s="38"/>
    </row>
    <row r="1035930" spans="54:54" ht="15.75" customHeight="1" x14ac:dyDescent="0.3">
      <c r="BB1035930" s="38"/>
    </row>
    <row r="1035931" spans="54:54" ht="15.75" customHeight="1" x14ac:dyDescent="0.3">
      <c r="BB1035931" s="38"/>
    </row>
    <row r="1035932" spans="54:54" ht="15.75" customHeight="1" x14ac:dyDescent="0.3">
      <c r="BB1035932" s="38"/>
    </row>
    <row r="1035933" spans="54:54" ht="15.75" customHeight="1" x14ac:dyDescent="0.3">
      <c r="BB1035933" s="38"/>
    </row>
    <row r="1035934" spans="54:54" ht="15.75" customHeight="1" x14ac:dyDescent="0.3">
      <c r="BB1035934" s="38"/>
    </row>
    <row r="1035935" spans="54:54" ht="15.75" customHeight="1" x14ac:dyDescent="0.3">
      <c r="BB1035935" s="38"/>
    </row>
    <row r="1035936" spans="54:54" ht="15.75" customHeight="1" x14ac:dyDescent="0.3">
      <c r="BB1035936" s="38"/>
    </row>
    <row r="1035937" spans="54:54" ht="15.75" customHeight="1" x14ac:dyDescent="0.3">
      <c r="BB1035937" s="38"/>
    </row>
    <row r="1035938" spans="54:54" ht="15.75" customHeight="1" x14ac:dyDescent="0.3">
      <c r="BB1035938" s="38"/>
    </row>
    <row r="1035939" spans="54:54" ht="15.75" customHeight="1" x14ac:dyDescent="0.3">
      <c r="BB1035939" s="38"/>
    </row>
    <row r="1035940" spans="54:54" ht="15.75" customHeight="1" x14ac:dyDescent="0.3">
      <c r="BB1035940" s="38"/>
    </row>
    <row r="1035941" spans="54:54" ht="15.75" customHeight="1" x14ac:dyDescent="0.3">
      <c r="BB1035941" s="38"/>
    </row>
    <row r="1035942" spans="54:54" ht="15.75" customHeight="1" x14ac:dyDescent="0.3">
      <c r="BB1035942" s="38"/>
    </row>
    <row r="1035943" spans="54:54" ht="15.75" customHeight="1" x14ac:dyDescent="0.3">
      <c r="BB1035943" s="38"/>
    </row>
    <row r="1035944" spans="54:54" ht="15.75" customHeight="1" x14ac:dyDescent="0.3">
      <c r="BB1035944" s="38"/>
    </row>
    <row r="1035945" spans="54:54" ht="15.75" customHeight="1" x14ac:dyDescent="0.3">
      <c r="BB1035945" s="38"/>
    </row>
    <row r="1035946" spans="54:54" ht="15.75" customHeight="1" x14ac:dyDescent="0.3">
      <c r="BB1035946" s="38"/>
    </row>
    <row r="1035947" spans="54:54" ht="15.75" customHeight="1" x14ac:dyDescent="0.3">
      <c r="BB1035947" s="38"/>
    </row>
    <row r="1035948" spans="54:54" ht="15.75" customHeight="1" x14ac:dyDescent="0.3">
      <c r="BB1035948" s="38"/>
    </row>
    <row r="1035949" spans="54:54" ht="15.75" customHeight="1" x14ac:dyDescent="0.3">
      <c r="BB1035949" s="38"/>
    </row>
    <row r="1035950" spans="54:54" ht="15.75" customHeight="1" x14ac:dyDescent="0.3">
      <c r="BB1035950" s="38"/>
    </row>
    <row r="1035951" spans="54:54" ht="15.75" customHeight="1" x14ac:dyDescent="0.3">
      <c r="BB1035951" s="38"/>
    </row>
    <row r="1035952" spans="54:54" ht="15.75" customHeight="1" x14ac:dyDescent="0.3">
      <c r="BB1035952" s="38"/>
    </row>
    <row r="1035953" spans="54:54" ht="15.75" customHeight="1" x14ac:dyDescent="0.3">
      <c r="BB1035953" s="38"/>
    </row>
    <row r="1035954" spans="54:54" ht="15.75" customHeight="1" x14ac:dyDescent="0.3">
      <c r="BB1035954" s="38"/>
    </row>
    <row r="1035955" spans="54:54" ht="15.75" customHeight="1" x14ac:dyDescent="0.3">
      <c r="BB1035955" s="38"/>
    </row>
    <row r="1035956" spans="54:54" ht="15.75" customHeight="1" x14ac:dyDescent="0.3">
      <c r="BB1035956" s="38"/>
    </row>
    <row r="1035957" spans="54:54" ht="15.75" customHeight="1" x14ac:dyDescent="0.3">
      <c r="BB1035957" s="38"/>
    </row>
    <row r="1035958" spans="54:54" ht="15.75" customHeight="1" x14ac:dyDescent="0.3">
      <c r="BB1035958" s="38"/>
    </row>
    <row r="1035959" spans="54:54" ht="15.75" customHeight="1" x14ac:dyDescent="0.3">
      <c r="BB1035959" s="38"/>
    </row>
    <row r="1035960" spans="54:54" ht="15.75" customHeight="1" x14ac:dyDescent="0.3">
      <c r="BB1035960" s="38"/>
    </row>
    <row r="1035961" spans="54:54" ht="15.75" customHeight="1" x14ac:dyDescent="0.3">
      <c r="BB1035961" s="38"/>
    </row>
    <row r="1035962" spans="54:54" ht="15.75" customHeight="1" x14ac:dyDescent="0.3">
      <c r="BB1035962" s="38"/>
    </row>
    <row r="1035963" spans="54:54" ht="15.75" customHeight="1" x14ac:dyDescent="0.3">
      <c r="BB1035963" s="38"/>
    </row>
    <row r="1035964" spans="54:54" ht="15.75" customHeight="1" x14ac:dyDescent="0.3">
      <c r="BB1035964" s="38"/>
    </row>
    <row r="1035965" spans="54:54" ht="15.75" customHeight="1" x14ac:dyDescent="0.3">
      <c r="BB1035965" s="38"/>
    </row>
    <row r="1035966" spans="54:54" ht="15.75" customHeight="1" x14ac:dyDescent="0.3">
      <c r="BB1035966" s="38"/>
    </row>
    <row r="1035967" spans="54:54" ht="15.75" customHeight="1" x14ac:dyDescent="0.3">
      <c r="BB1035967" s="38"/>
    </row>
    <row r="1035968" spans="54:54" ht="15.75" customHeight="1" x14ac:dyDescent="0.3">
      <c r="BB1035968" s="38"/>
    </row>
    <row r="1035969" spans="54:54" ht="15.75" customHeight="1" x14ac:dyDescent="0.3">
      <c r="BB1035969" s="38"/>
    </row>
    <row r="1035970" spans="54:54" ht="15.75" customHeight="1" x14ac:dyDescent="0.3">
      <c r="BB1035970" s="38"/>
    </row>
    <row r="1035971" spans="54:54" ht="15.75" customHeight="1" x14ac:dyDescent="0.3">
      <c r="BB1035971" s="38"/>
    </row>
    <row r="1035972" spans="54:54" ht="15.75" customHeight="1" x14ac:dyDescent="0.3">
      <c r="BB1035972" s="38"/>
    </row>
    <row r="1035973" spans="54:54" ht="15.75" customHeight="1" x14ac:dyDescent="0.3">
      <c r="BB1035973" s="38"/>
    </row>
    <row r="1035974" spans="54:54" ht="15.75" customHeight="1" x14ac:dyDescent="0.3">
      <c r="BB1035974" s="38"/>
    </row>
    <row r="1035975" spans="54:54" ht="15.75" customHeight="1" x14ac:dyDescent="0.3">
      <c r="BB1035975" s="38"/>
    </row>
    <row r="1035976" spans="54:54" ht="15.75" customHeight="1" x14ac:dyDescent="0.3">
      <c r="BB1035976" s="38"/>
    </row>
    <row r="1035977" spans="54:54" ht="15.75" customHeight="1" x14ac:dyDescent="0.3">
      <c r="BB1035977" s="38"/>
    </row>
    <row r="1035978" spans="54:54" ht="15.75" customHeight="1" x14ac:dyDescent="0.3">
      <c r="BB1035978" s="38"/>
    </row>
    <row r="1035979" spans="54:54" ht="15.75" customHeight="1" x14ac:dyDescent="0.3">
      <c r="BB1035979" s="38"/>
    </row>
    <row r="1035980" spans="54:54" ht="15.75" customHeight="1" x14ac:dyDescent="0.3">
      <c r="BB1035980" s="38"/>
    </row>
    <row r="1035981" spans="54:54" ht="15.75" customHeight="1" x14ac:dyDescent="0.3">
      <c r="BB1035981" s="38"/>
    </row>
    <row r="1035982" spans="54:54" ht="15.75" customHeight="1" x14ac:dyDescent="0.3">
      <c r="BB1035982" s="38"/>
    </row>
    <row r="1035983" spans="54:54" ht="15.75" customHeight="1" x14ac:dyDescent="0.3">
      <c r="BB1035983" s="38"/>
    </row>
    <row r="1035984" spans="54:54" ht="15.75" customHeight="1" x14ac:dyDescent="0.3">
      <c r="BB1035984" s="38"/>
    </row>
    <row r="1035985" spans="54:54" ht="15.75" customHeight="1" x14ac:dyDescent="0.3">
      <c r="BB1035985" s="38"/>
    </row>
    <row r="1035986" spans="54:54" ht="15.75" customHeight="1" x14ac:dyDescent="0.3">
      <c r="BB1035986" s="38"/>
    </row>
    <row r="1035987" spans="54:54" ht="15.75" customHeight="1" x14ac:dyDescent="0.3">
      <c r="BB1035987" s="38"/>
    </row>
    <row r="1035988" spans="54:54" ht="15.75" customHeight="1" x14ac:dyDescent="0.3">
      <c r="BB1035988" s="38"/>
    </row>
    <row r="1035989" spans="54:54" ht="15.75" customHeight="1" x14ac:dyDescent="0.3">
      <c r="BB1035989" s="38"/>
    </row>
    <row r="1035990" spans="54:54" ht="15.75" customHeight="1" x14ac:dyDescent="0.3">
      <c r="BB1035990" s="38"/>
    </row>
    <row r="1035991" spans="54:54" ht="15.75" customHeight="1" x14ac:dyDescent="0.3">
      <c r="BB1035991" s="38"/>
    </row>
    <row r="1035992" spans="54:54" ht="15.75" customHeight="1" x14ac:dyDescent="0.3">
      <c r="BB1035992" s="38"/>
    </row>
    <row r="1035993" spans="54:54" ht="15.75" customHeight="1" x14ac:dyDescent="0.3">
      <c r="BB1035993" s="38"/>
    </row>
    <row r="1035994" spans="54:54" ht="15.75" customHeight="1" x14ac:dyDescent="0.3">
      <c r="BB1035994" s="38"/>
    </row>
    <row r="1035995" spans="54:54" ht="15.75" customHeight="1" x14ac:dyDescent="0.3">
      <c r="BB1035995" s="38"/>
    </row>
    <row r="1035996" spans="54:54" ht="15.75" customHeight="1" x14ac:dyDescent="0.3">
      <c r="BB1035996" s="38"/>
    </row>
    <row r="1035997" spans="54:54" ht="15.75" customHeight="1" x14ac:dyDescent="0.3">
      <c r="BB1035997" s="38"/>
    </row>
    <row r="1035998" spans="54:54" ht="15.75" customHeight="1" x14ac:dyDescent="0.3">
      <c r="BB1035998" s="38"/>
    </row>
    <row r="1035999" spans="54:54" ht="15.75" customHeight="1" x14ac:dyDescent="0.3">
      <c r="BB1035999" s="38"/>
    </row>
    <row r="1036000" spans="54:54" ht="15.75" customHeight="1" x14ac:dyDescent="0.3">
      <c r="BB1036000" s="38"/>
    </row>
    <row r="1036001" spans="54:54" ht="15.75" customHeight="1" x14ac:dyDescent="0.3">
      <c r="BB1036001" s="38"/>
    </row>
    <row r="1036002" spans="54:54" ht="15.75" customHeight="1" x14ac:dyDescent="0.3">
      <c r="BB1036002" s="38"/>
    </row>
    <row r="1036003" spans="54:54" ht="15.75" customHeight="1" x14ac:dyDescent="0.3">
      <c r="BB1036003" s="38"/>
    </row>
    <row r="1036004" spans="54:54" ht="15.75" customHeight="1" x14ac:dyDescent="0.3">
      <c r="BB1036004" s="38"/>
    </row>
    <row r="1036005" spans="54:54" ht="15.75" customHeight="1" x14ac:dyDescent="0.3">
      <c r="BB1036005" s="38"/>
    </row>
    <row r="1036006" spans="54:54" ht="15.75" customHeight="1" x14ac:dyDescent="0.3">
      <c r="BB1036006" s="38"/>
    </row>
    <row r="1036007" spans="54:54" ht="15.75" customHeight="1" x14ac:dyDescent="0.3">
      <c r="BB1036007" s="38"/>
    </row>
    <row r="1036008" spans="54:54" ht="15.75" customHeight="1" x14ac:dyDescent="0.3">
      <c r="BB1036008" s="38"/>
    </row>
    <row r="1036009" spans="54:54" ht="15.75" customHeight="1" x14ac:dyDescent="0.3">
      <c r="BB1036009" s="38"/>
    </row>
    <row r="1036010" spans="54:54" ht="15.75" customHeight="1" x14ac:dyDescent="0.3">
      <c r="BB1036010" s="38"/>
    </row>
    <row r="1036011" spans="54:54" ht="15.75" customHeight="1" x14ac:dyDescent="0.3">
      <c r="BB1036011" s="38"/>
    </row>
    <row r="1036012" spans="54:54" ht="15.75" customHeight="1" x14ac:dyDescent="0.3">
      <c r="BB1036012" s="38"/>
    </row>
    <row r="1036013" spans="54:54" ht="15.75" customHeight="1" x14ac:dyDescent="0.3">
      <c r="BB1036013" s="38"/>
    </row>
    <row r="1036014" spans="54:54" ht="15.75" customHeight="1" x14ac:dyDescent="0.3">
      <c r="BB1036014" s="38"/>
    </row>
    <row r="1036015" spans="54:54" ht="15.75" customHeight="1" x14ac:dyDescent="0.3">
      <c r="BB1036015" s="38"/>
    </row>
    <row r="1036016" spans="54:54" ht="15.75" customHeight="1" x14ac:dyDescent="0.3">
      <c r="BB1036016" s="38"/>
    </row>
    <row r="1036017" spans="54:54" ht="15.75" customHeight="1" x14ac:dyDescent="0.3">
      <c r="BB1036017" s="38"/>
    </row>
    <row r="1036018" spans="54:54" ht="15.75" customHeight="1" x14ac:dyDescent="0.3">
      <c r="BB1036018" s="38"/>
    </row>
    <row r="1036019" spans="54:54" ht="15.75" customHeight="1" x14ac:dyDescent="0.3">
      <c r="BB1036019" s="38"/>
    </row>
    <row r="1036020" spans="54:54" ht="15.75" customHeight="1" x14ac:dyDescent="0.3">
      <c r="BB1036020" s="38"/>
    </row>
    <row r="1036021" spans="54:54" ht="15.75" customHeight="1" x14ac:dyDescent="0.3">
      <c r="BB1036021" s="38"/>
    </row>
    <row r="1036022" spans="54:54" ht="15.75" customHeight="1" x14ac:dyDescent="0.3">
      <c r="BB1036022" s="38"/>
    </row>
    <row r="1036023" spans="54:54" ht="15.75" customHeight="1" x14ac:dyDescent="0.3">
      <c r="BB1036023" s="38"/>
    </row>
    <row r="1036024" spans="54:54" ht="15.75" customHeight="1" x14ac:dyDescent="0.3">
      <c r="BB1036024" s="38"/>
    </row>
    <row r="1036025" spans="54:54" ht="15.75" customHeight="1" x14ac:dyDescent="0.3">
      <c r="BB1036025" s="38"/>
    </row>
    <row r="1036026" spans="54:54" ht="15.75" customHeight="1" x14ac:dyDescent="0.3">
      <c r="BB1036026" s="38"/>
    </row>
    <row r="1036027" spans="54:54" ht="15.75" customHeight="1" x14ac:dyDescent="0.3">
      <c r="BB1036027" s="38"/>
    </row>
    <row r="1036028" spans="54:54" ht="15.75" customHeight="1" x14ac:dyDescent="0.3">
      <c r="BB1036028" s="38"/>
    </row>
    <row r="1036029" spans="54:54" ht="15.75" customHeight="1" x14ac:dyDescent="0.3">
      <c r="BB1036029" s="38"/>
    </row>
    <row r="1036030" spans="54:54" ht="15.75" customHeight="1" x14ac:dyDescent="0.3">
      <c r="BB1036030" s="38"/>
    </row>
    <row r="1036031" spans="54:54" ht="15.75" customHeight="1" x14ac:dyDescent="0.3">
      <c r="BB1036031" s="38"/>
    </row>
    <row r="1036032" spans="54:54" ht="15.75" customHeight="1" x14ac:dyDescent="0.3">
      <c r="BB1036032" s="38"/>
    </row>
    <row r="1036033" spans="54:54" ht="15.75" customHeight="1" x14ac:dyDescent="0.3">
      <c r="BB1036033" s="38"/>
    </row>
    <row r="1036034" spans="54:54" ht="15.75" customHeight="1" x14ac:dyDescent="0.3">
      <c r="BB1036034" s="38"/>
    </row>
    <row r="1036035" spans="54:54" ht="15.75" customHeight="1" x14ac:dyDescent="0.3">
      <c r="BB1036035" s="38"/>
    </row>
    <row r="1036036" spans="54:54" ht="15.75" customHeight="1" x14ac:dyDescent="0.3">
      <c r="BB1036036" s="38"/>
    </row>
    <row r="1036037" spans="54:54" ht="15.75" customHeight="1" x14ac:dyDescent="0.3">
      <c r="BB1036037" s="38"/>
    </row>
    <row r="1036038" spans="54:54" ht="15.75" customHeight="1" x14ac:dyDescent="0.3">
      <c r="BB1036038" s="38"/>
    </row>
    <row r="1036039" spans="54:54" ht="15.75" customHeight="1" x14ac:dyDescent="0.3">
      <c r="BB1036039" s="38"/>
    </row>
    <row r="1036040" spans="54:54" ht="15.75" customHeight="1" x14ac:dyDescent="0.3">
      <c r="BB1036040" s="38"/>
    </row>
    <row r="1036041" spans="54:54" ht="15.75" customHeight="1" x14ac:dyDescent="0.3">
      <c r="BB1036041" s="38"/>
    </row>
    <row r="1036042" spans="54:54" ht="15.75" customHeight="1" x14ac:dyDescent="0.3">
      <c r="BB1036042" s="38"/>
    </row>
    <row r="1036043" spans="54:54" ht="15.75" customHeight="1" x14ac:dyDescent="0.3">
      <c r="BB1036043" s="38"/>
    </row>
    <row r="1036044" spans="54:54" ht="15.75" customHeight="1" x14ac:dyDescent="0.3">
      <c r="BB1036044" s="38"/>
    </row>
    <row r="1036045" spans="54:54" ht="15.75" customHeight="1" x14ac:dyDescent="0.3">
      <c r="BB1036045" s="38"/>
    </row>
    <row r="1036046" spans="54:54" ht="15.75" customHeight="1" x14ac:dyDescent="0.3">
      <c r="BB1036046" s="38"/>
    </row>
    <row r="1036047" spans="54:54" ht="15.75" customHeight="1" x14ac:dyDescent="0.3">
      <c r="BB1036047" s="38"/>
    </row>
    <row r="1036048" spans="54:54" ht="15.75" customHeight="1" x14ac:dyDescent="0.3">
      <c r="BB1036048" s="38"/>
    </row>
    <row r="1036049" spans="54:54" ht="15.75" customHeight="1" x14ac:dyDescent="0.3">
      <c r="BB1036049" s="38"/>
    </row>
    <row r="1036050" spans="54:54" ht="15.75" customHeight="1" x14ac:dyDescent="0.3">
      <c r="BB1036050" s="38"/>
    </row>
    <row r="1036051" spans="54:54" ht="15.75" customHeight="1" x14ac:dyDescent="0.3">
      <c r="BB1036051" s="38"/>
    </row>
    <row r="1036052" spans="54:54" ht="15.75" customHeight="1" x14ac:dyDescent="0.3">
      <c r="BB1036052" s="38"/>
    </row>
    <row r="1036053" spans="54:54" ht="15.75" customHeight="1" x14ac:dyDescent="0.3">
      <c r="BB1036053" s="38"/>
    </row>
    <row r="1036054" spans="54:54" ht="15.75" customHeight="1" x14ac:dyDescent="0.3">
      <c r="BB1036054" s="38"/>
    </row>
    <row r="1036055" spans="54:54" ht="15.75" customHeight="1" x14ac:dyDescent="0.3">
      <c r="BB1036055" s="38"/>
    </row>
    <row r="1036056" spans="54:54" ht="15.75" customHeight="1" x14ac:dyDescent="0.3">
      <c r="BB1036056" s="38"/>
    </row>
    <row r="1036057" spans="54:54" ht="15.75" customHeight="1" x14ac:dyDescent="0.3">
      <c r="BB1036057" s="38"/>
    </row>
    <row r="1036058" spans="54:54" ht="15.75" customHeight="1" x14ac:dyDescent="0.3">
      <c r="BB1036058" s="38"/>
    </row>
    <row r="1036059" spans="54:54" ht="15.75" customHeight="1" x14ac:dyDescent="0.3">
      <c r="BB1036059" s="38"/>
    </row>
    <row r="1036060" spans="54:54" ht="15.75" customHeight="1" x14ac:dyDescent="0.3">
      <c r="BB1036060" s="38"/>
    </row>
    <row r="1036061" spans="54:54" ht="15.75" customHeight="1" x14ac:dyDescent="0.3">
      <c r="BB1036061" s="38"/>
    </row>
    <row r="1036062" spans="54:54" ht="15.75" customHeight="1" x14ac:dyDescent="0.3">
      <c r="BB1036062" s="38"/>
    </row>
    <row r="1036063" spans="54:54" ht="15.75" customHeight="1" x14ac:dyDescent="0.3">
      <c r="BB1036063" s="38"/>
    </row>
    <row r="1036064" spans="54:54" ht="15.75" customHeight="1" x14ac:dyDescent="0.3">
      <c r="BB1036064" s="38"/>
    </row>
    <row r="1036065" spans="54:54" ht="15.75" customHeight="1" x14ac:dyDescent="0.3">
      <c r="BB1036065" s="38"/>
    </row>
    <row r="1036066" spans="54:54" ht="15.75" customHeight="1" x14ac:dyDescent="0.3">
      <c r="BB1036066" s="38"/>
    </row>
    <row r="1036067" spans="54:54" ht="15.75" customHeight="1" x14ac:dyDescent="0.3">
      <c r="BB1036067" s="38"/>
    </row>
    <row r="1036068" spans="54:54" ht="15.75" customHeight="1" x14ac:dyDescent="0.3">
      <c r="BB1036068" s="38"/>
    </row>
    <row r="1036069" spans="54:54" ht="15.75" customHeight="1" x14ac:dyDescent="0.3">
      <c r="BB1036069" s="38"/>
    </row>
    <row r="1036070" spans="54:54" ht="15.75" customHeight="1" x14ac:dyDescent="0.3">
      <c r="BB1036070" s="38"/>
    </row>
    <row r="1036071" spans="54:54" ht="15.75" customHeight="1" x14ac:dyDescent="0.3">
      <c r="BB1036071" s="38"/>
    </row>
    <row r="1036072" spans="54:54" ht="15.75" customHeight="1" x14ac:dyDescent="0.3">
      <c r="BB1036072" s="38"/>
    </row>
    <row r="1036073" spans="54:54" ht="15.75" customHeight="1" x14ac:dyDescent="0.3">
      <c r="BB1036073" s="38"/>
    </row>
    <row r="1036074" spans="54:54" ht="15.75" customHeight="1" x14ac:dyDescent="0.3">
      <c r="BB1036074" s="38"/>
    </row>
    <row r="1036075" spans="54:54" ht="15.75" customHeight="1" x14ac:dyDescent="0.3">
      <c r="BB1036075" s="38"/>
    </row>
    <row r="1036076" spans="54:54" ht="15.75" customHeight="1" x14ac:dyDescent="0.3">
      <c r="BB1036076" s="38"/>
    </row>
    <row r="1036077" spans="54:54" ht="15.75" customHeight="1" x14ac:dyDescent="0.3">
      <c r="BB1036077" s="38"/>
    </row>
    <row r="1036078" spans="54:54" ht="15.75" customHeight="1" x14ac:dyDescent="0.3">
      <c r="BB1036078" s="38"/>
    </row>
    <row r="1036079" spans="54:54" ht="15.75" customHeight="1" x14ac:dyDescent="0.3">
      <c r="BB1036079" s="38"/>
    </row>
    <row r="1036080" spans="54:54" ht="15.75" customHeight="1" x14ac:dyDescent="0.3">
      <c r="BB1036080" s="38"/>
    </row>
    <row r="1036081" spans="54:54" ht="15.75" customHeight="1" x14ac:dyDescent="0.3">
      <c r="BB1036081" s="38"/>
    </row>
    <row r="1036082" spans="54:54" ht="15.75" customHeight="1" x14ac:dyDescent="0.3">
      <c r="BB1036082" s="38"/>
    </row>
    <row r="1036083" spans="54:54" ht="15.75" customHeight="1" x14ac:dyDescent="0.3">
      <c r="BB1036083" s="38"/>
    </row>
    <row r="1036084" spans="54:54" ht="15.75" customHeight="1" x14ac:dyDescent="0.3">
      <c r="BB1036084" s="38"/>
    </row>
    <row r="1036085" spans="54:54" ht="15.75" customHeight="1" x14ac:dyDescent="0.3">
      <c r="BB1036085" s="38"/>
    </row>
    <row r="1036086" spans="54:54" ht="15.75" customHeight="1" x14ac:dyDescent="0.3">
      <c r="BB1036086" s="38"/>
    </row>
    <row r="1036087" spans="54:54" ht="15.75" customHeight="1" x14ac:dyDescent="0.3">
      <c r="BB1036087" s="38"/>
    </row>
    <row r="1036088" spans="54:54" ht="15.75" customHeight="1" x14ac:dyDescent="0.3">
      <c r="BB1036088" s="38"/>
    </row>
    <row r="1036089" spans="54:54" ht="15.75" customHeight="1" x14ac:dyDescent="0.3">
      <c r="BB1036089" s="38"/>
    </row>
    <row r="1036090" spans="54:54" ht="15.75" customHeight="1" x14ac:dyDescent="0.3">
      <c r="BB1036090" s="38"/>
    </row>
    <row r="1036091" spans="54:54" ht="15.75" customHeight="1" x14ac:dyDescent="0.3">
      <c r="BB1036091" s="38"/>
    </row>
    <row r="1036092" spans="54:54" ht="15.75" customHeight="1" x14ac:dyDescent="0.3">
      <c r="BB1036092" s="38"/>
    </row>
    <row r="1036093" spans="54:54" ht="15.75" customHeight="1" x14ac:dyDescent="0.3">
      <c r="BB1036093" s="38"/>
    </row>
    <row r="1036094" spans="54:54" ht="15.75" customHeight="1" x14ac:dyDescent="0.3">
      <c r="BB1036094" s="38"/>
    </row>
    <row r="1036095" spans="54:54" ht="15.75" customHeight="1" x14ac:dyDescent="0.3">
      <c r="BB1036095" s="38"/>
    </row>
    <row r="1036096" spans="54:54" ht="15.75" customHeight="1" x14ac:dyDescent="0.3">
      <c r="BB1036096" s="38"/>
    </row>
    <row r="1036097" spans="54:54" ht="15.75" customHeight="1" x14ac:dyDescent="0.3">
      <c r="BB1036097" s="38"/>
    </row>
    <row r="1036098" spans="54:54" ht="15.75" customHeight="1" x14ac:dyDescent="0.3">
      <c r="BB1036098" s="38"/>
    </row>
    <row r="1036099" spans="54:54" ht="15.75" customHeight="1" x14ac:dyDescent="0.3">
      <c r="BB1036099" s="38"/>
    </row>
    <row r="1036100" spans="54:54" ht="15.75" customHeight="1" x14ac:dyDescent="0.3">
      <c r="BB1036100" s="38"/>
    </row>
    <row r="1036101" spans="54:54" ht="15.75" customHeight="1" x14ac:dyDescent="0.3">
      <c r="BB1036101" s="38"/>
    </row>
    <row r="1036102" spans="54:54" ht="15.75" customHeight="1" x14ac:dyDescent="0.3">
      <c r="BB1036102" s="38"/>
    </row>
    <row r="1036103" spans="54:54" ht="15.75" customHeight="1" x14ac:dyDescent="0.3">
      <c r="BB1036103" s="38"/>
    </row>
    <row r="1036104" spans="54:54" ht="15.75" customHeight="1" x14ac:dyDescent="0.3">
      <c r="BB1036104" s="38"/>
    </row>
    <row r="1036105" spans="54:54" ht="15.75" customHeight="1" x14ac:dyDescent="0.3">
      <c r="BB1036105" s="38"/>
    </row>
    <row r="1036106" spans="54:54" ht="15.75" customHeight="1" x14ac:dyDescent="0.3">
      <c r="BB1036106" s="38"/>
    </row>
    <row r="1036107" spans="54:54" ht="15.75" customHeight="1" x14ac:dyDescent="0.3">
      <c r="BB1036107" s="38"/>
    </row>
    <row r="1036108" spans="54:54" ht="15.75" customHeight="1" x14ac:dyDescent="0.3">
      <c r="BB1036108" s="38"/>
    </row>
    <row r="1036109" spans="54:54" ht="15.75" customHeight="1" x14ac:dyDescent="0.3">
      <c r="BB1036109" s="38"/>
    </row>
    <row r="1036110" spans="54:54" ht="15.75" customHeight="1" x14ac:dyDescent="0.3">
      <c r="BB1036110" s="38"/>
    </row>
    <row r="1036111" spans="54:54" ht="15.75" customHeight="1" x14ac:dyDescent="0.3">
      <c r="BB1036111" s="38"/>
    </row>
    <row r="1036112" spans="54:54" ht="15.75" customHeight="1" x14ac:dyDescent="0.3">
      <c r="BB1036112" s="38"/>
    </row>
    <row r="1036113" spans="54:54" ht="15.75" customHeight="1" x14ac:dyDescent="0.3">
      <c r="BB1036113" s="38"/>
    </row>
    <row r="1036114" spans="54:54" ht="15.75" customHeight="1" x14ac:dyDescent="0.3">
      <c r="BB1036114" s="38"/>
    </row>
    <row r="1036115" spans="54:54" ht="15.75" customHeight="1" x14ac:dyDescent="0.3">
      <c r="BB1036115" s="38"/>
    </row>
    <row r="1036116" spans="54:54" ht="15.75" customHeight="1" x14ac:dyDescent="0.3">
      <c r="BB1036116" s="38"/>
    </row>
    <row r="1036117" spans="54:54" ht="15.75" customHeight="1" x14ac:dyDescent="0.3">
      <c r="BB1036117" s="38"/>
    </row>
    <row r="1036118" spans="54:54" ht="15.75" customHeight="1" x14ac:dyDescent="0.3">
      <c r="BB1036118" s="38"/>
    </row>
    <row r="1036119" spans="54:54" ht="15.75" customHeight="1" x14ac:dyDescent="0.3">
      <c r="BB1036119" s="38"/>
    </row>
    <row r="1036120" spans="54:54" ht="15.75" customHeight="1" x14ac:dyDescent="0.3">
      <c r="BB1036120" s="38"/>
    </row>
    <row r="1036121" spans="54:54" ht="15.75" customHeight="1" x14ac:dyDescent="0.3">
      <c r="BB1036121" s="38"/>
    </row>
    <row r="1036122" spans="54:54" ht="15.75" customHeight="1" x14ac:dyDescent="0.3">
      <c r="BB1036122" s="38"/>
    </row>
    <row r="1036123" spans="54:54" ht="15.75" customHeight="1" x14ac:dyDescent="0.3">
      <c r="BB1036123" s="38"/>
    </row>
    <row r="1036124" spans="54:54" ht="15.75" customHeight="1" x14ac:dyDescent="0.3">
      <c r="BB1036124" s="38"/>
    </row>
    <row r="1036125" spans="54:54" ht="15.75" customHeight="1" x14ac:dyDescent="0.3">
      <c r="BB1036125" s="38"/>
    </row>
    <row r="1036126" spans="54:54" ht="15.75" customHeight="1" x14ac:dyDescent="0.3">
      <c r="BB1036126" s="38"/>
    </row>
    <row r="1036127" spans="54:54" ht="15.75" customHeight="1" x14ac:dyDescent="0.3">
      <c r="BB1036127" s="38"/>
    </row>
    <row r="1036128" spans="54:54" ht="15.75" customHeight="1" x14ac:dyDescent="0.3">
      <c r="BB1036128" s="38"/>
    </row>
    <row r="1036129" spans="54:54" ht="15.75" customHeight="1" x14ac:dyDescent="0.3">
      <c r="BB1036129" s="38"/>
    </row>
    <row r="1036130" spans="54:54" ht="15.75" customHeight="1" x14ac:dyDescent="0.3">
      <c r="BB1036130" s="38"/>
    </row>
    <row r="1036131" spans="54:54" ht="15.75" customHeight="1" x14ac:dyDescent="0.3">
      <c r="BB1036131" s="38"/>
    </row>
    <row r="1036132" spans="54:54" ht="15.75" customHeight="1" x14ac:dyDescent="0.3">
      <c r="BB1036132" s="38"/>
    </row>
    <row r="1036133" spans="54:54" ht="15.75" customHeight="1" x14ac:dyDescent="0.3">
      <c r="BB1036133" s="38"/>
    </row>
    <row r="1036134" spans="54:54" ht="15.75" customHeight="1" x14ac:dyDescent="0.3">
      <c r="BB1036134" s="38"/>
    </row>
    <row r="1036135" spans="54:54" ht="15.75" customHeight="1" x14ac:dyDescent="0.3">
      <c r="BB1036135" s="38"/>
    </row>
    <row r="1036136" spans="54:54" ht="15.75" customHeight="1" x14ac:dyDescent="0.3">
      <c r="BB1036136" s="38"/>
    </row>
    <row r="1036137" spans="54:54" ht="15.75" customHeight="1" x14ac:dyDescent="0.3">
      <c r="BB1036137" s="38"/>
    </row>
    <row r="1036138" spans="54:54" ht="15.75" customHeight="1" x14ac:dyDescent="0.3">
      <c r="BB1036138" s="38"/>
    </row>
    <row r="1036139" spans="54:54" ht="15.75" customHeight="1" x14ac:dyDescent="0.3">
      <c r="BB1036139" s="38"/>
    </row>
    <row r="1036140" spans="54:54" ht="15.75" customHeight="1" x14ac:dyDescent="0.3">
      <c r="BB1036140" s="38"/>
    </row>
    <row r="1036141" spans="54:54" ht="15.75" customHeight="1" x14ac:dyDescent="0.3">
      <c r="BB1036141" s="38"/>
    </row>
    <row r="1036142" spans="54:54" ht="15.75" customHeight="1" x14ac:dyDescent="0.3">
      <c r="BB1036142" s="38"/>
    </row>
    <row r="1036143" spans="54:54" ht="15.75" customHeight="1" x14ac:dyDescent="0.3">
      <c r="BB1036143" s="38"/>
    </row>
    <row r="1036144" spans="54:54" ht="15.75" customHeight="1" x14ac:dyDescent="0.3">
      <c r="BB1036144" s="38"/>
    </row>
    <row r="1036145" spans="54:54" ht="15.75" customHeight="1" x14ac:dyDescent="0.3">
      <c r="BB1036145" s="38"/>
    </row>
    <row r="1036146" spans="54:54" ht="15.75" customHeight="1" x14ac:dyDescent="0.3">
      <c r="BB1036146" s="38"/>
    </row>
    <row r="1036147" spans="54:54" ht="15.75" customHeight="1" x14ac:dyDescent="0.3">
      <c r="BB1036147" s="38"/>
    </row>
    <row r="1036148" spans="54:54" ht="15.75" customHeight="1" x14ac:dyDescent="0.3">
      <c r="BB1036148" s="38"/>
    </row>
    <row r="1036149" spans="54:54" ht="15.75" customHeight="1" x14ac:dyDescent="0.3">
      <c r="BB1036149" s="38"/>
    </row>
    <row r="1036150" spans="54:54" ht="15.75" customHeight="1" x14ac:dyDescent="0.3">
      <c r="BB1036150" s="38"/>
    </row>
    <row r="1036151" spans="54:54" ht="15.75" customHeight="1" x14ac:dyDescent="0.3">
      <c r="BB1036151" s="38"/>
    </row>
    <row r="1036152" spans="54:54" ht="15.75" customHeight="1" x14ac:dyDescent="0.3">
      <c r="BB1036152" s="38"/>
    </row>
    <row r="1036153" spans="54:54" ht="15.75" customHeight="1" x14ac:dyDescent="0.3">
      <c r="BB1036153" s="38"/>
    </row>
    <row r="1036154" spans="54:54" ht="15.75" customHeight="1" x14ac:dyDescent="0.3">
      <c r="BB1036154" s="38"/>
    </row>
    <row r="1036155" spans="54:54" ht="15.75" customHeight="1" x14ac:dyDescent="0.3">
      <c r="BB1036155" s="38"/>
    </row>
    <row r="1036156" spans="54:54" ht="15.75" customHeight="1" x14ac:dyDescent="0.3">
      <c r="BB1036156" s="38"/>
    </row>
    <row r="1036157" spans="54:54" ht="15.75" customHeight="1" x14ac:dyDescent="0.3">
      <c r="BB1036157" s="38"/>
    </row>
    <row r="1036158" spans="54:54" ht="15.75" customHeight="1" x14ac:dyDescent="0.3">
      <c r="BB1036158" s="38"/>
    </row>
    <row r="1036159" spans="54:54" ht="15.75" customHeight="1" x14ac:dyDescent="0.3">
      <c r="BB1036159" s="38"/>
    </row>
    <row r="1036160" spans="54:54" ht="15.75" customHeight="1" x14ac:dyDescent="0.3">
      <c r="BB1036160" s="38"/>
    </row>
    <row r="1036161" spans="54:54" ht="15.75" customHeight="1" x14ac:dyDescent="0.3">
      <c r="BB1036161" s="38"/>
    </row>
    <row r="1036162" spans="54:54" ht="15.75" customHeight="1" x14ac:dyDescent="0.3">
      <c r="BB1036162" s="38"/>
    </row>
    <row r="1036163" spans="54:54" ht="15.75" customHeight="1" x14ac:dyDescent="0.3">
      <c r="BB1036163" s="38"/>
    </row>
    <row r="1036164" spans="54:54" ht="15.75" customHeight="1" x14ac:dyDescent="0.3">
      <c r="BB1036164" s="38"/>
    </row>
    <row r="1036165" spans="54:54" ht="15.75" customHeight="1" x14ac:dyDescent="0.3">
      <c r="BB1036165" s="38"/>
    </row>
    <row r="1036166" spans="54:54" ht="15.75" customHeight="1" x14ac:dyDescent="0.3">
      <c r="BB1036166" s="38"/>
    </row>
    <row r="1036167" spans="54:54" ht="15.75" customHeight="1" x14ac:dyDescent="0.3">
      <c r="BB1036167" s="38"/>
    </row>
    <row r="1036168" spans="54:54" ht="15.75" customHeight="1" x14ac:dyDescent="0.3">
      <c r="BB1036168" s="38"/>
    </row>
    <row r="1036169" spans="54:54" ht="15.75" customHeight="1" x14ac:dyDescent="0.3">
      <c r="BB1036169" s="38"/>
    </row>
    <row r="1036170" spans="54:54" ht="15.75" customHeight="1" x14ac:dyDescent="0.3">
      <c r="BB1036170" s="38"/>
    </row>
    <row r="1036171" spans="54:54" ht="15.75" customHeight="1" x14ac:dyDescent="0.3">
      <c r="BB1036171" s="38"/>
    </row>
    <row r="1036172" spans="54:54" ht="15.75" customHeight="1" x14ac:dyDescent="0.3">
      <c r="BB1036172" s="38"/>
    </row>
    <row r="1036173" spans="54:54" ht="15.75" customHeight="1" x14ac:dyDescent="0.3">
      <c r="BB1036173" s="38"/>
    </row>
    <row r="1036174" spans="54:54" ht="15.75" customHeight="1" x14ac:dyDescent="0.3">
      <c r="BB1036174" s="38"/>
    </row>
    <row r="1036175" spans="54:54" ht="15.75" customHeight="1" x14ac:dyDescent="0.3">
      <c r="BB1036175" s="38"/>
    </row>
    <row r="1036176" spans="54:54" ht="15.75" customHeight="1" x14ac:dyDescent="0.3">
      <c r="BB1036176" s="38"/>
    </row>
    <row r="1036177" spans="54:54" ht="15.75" customHeight="1" x14ac:dyDescent="0.3">
      <c r="BB1036177" s="38"/>
    </row>
    <row r="1036178" spans="54:54" ht="15.75" customHeight="1" x14ac:dyDescent="0.3">
      <c r="BB1036178" s="38"/>
    </row>
    <row r="1036179" spans="54:54" ht="15.75" customHeight="1" x14ac:dyDescent="0.3">
      <c r="BB1036179" s="38"/>
    </row>
    <row r="1036180" spans="54:54" ht="15.75" customHeight="1" x14ac:dyDescent="0.3">
      <c r="BB1036180" s="38"/>
    </row>
    <row r="1036181" spans="54:54" ht="15.75" customHeight="1" x14ac:dyDescent="0.3">
      <c r="BB1036181" s="38"/>
    </row>
    <row r="1036182" spans="54:54" ht="15.75" customHeight="1" x14ac:dyDescent="0.3">
      <c r="BB1036182" s="38"/>
    </row>
    <row r="1036183" spans="54:54" ht="15.75" customHeight="1" x14ac:dyDescent="0.3">
      <c r="BB1036183" s="38"/>
    </row>
    <row r="1036184" spans="54:54" ht="15.75" customHeight="1" x14ac:dyDescent="0.3">
      <c r="BB1036184" s="38"/>
    </row>
    <row r="1036185" spans="54:54" ht="15.75" customHeight="1" x14ac:dyDescent="0.3">
      <c r="BB1036185" s="38"/>
    </row>
    <row r="1036186" spans="54:54" ht="15.75" customHeight="1" x14ac:dyDescent="0.3">
      <c r="BB1036186" s="38"/>
    </row>
    <row r="1036187" spans="54:54" ht="15.75" customHeight="1" x14ac:dyDescent="0.3">
      <c r="BB1036187" s="38"/>
    </row>
    <row r="1036188" spans="54:54" ht="15.75" customHeight="1" x14ac:dyDescent="0.3">
      <c r="BB1036188" s="38"/>
    </row>
    <row r="1036189" spans="54:54" ht="15.75" customHeight="1" x14ac:dyDescent="0.3">
      <c r="BB1036189" s="38"/>
    </row>
    <row r="1036190" spans="54:54" ht="15.75" customHeight="1" x14ac:dyDescent="0.3">
      <c r="BB1036190" s="38"/>
    </row>
    <row r="1036191" spans="54:54" ht="15.75" customHeight="1" x14ac:dyDescent="0.3">
      <c r="BB1036191" s="38"/>
    </row>
    <row r="1036192" spans="54:54" ht="15.75" customHeight="1" x14ac:dyDescent="0.3">
      <c r="BB1036192" s="38"/>
    </row>
    <row r="1036193" spans="54:54" ht="15.75" customHeight="1" x14ac:dyDescent="0.3">
      <c r="BB1036193" s="38"/>
    </row>
    <row r="1036194" spans="54:54" ht="15.75" customHeight="1" x14ac:dyDescent="0.3">
      <c r="BB1036194" s="38"/>
    </row>
    <row r="1036195" spans="54:54" ht="15.75" customHeight="1" x14ac:dyDescent="0.3">
      <c r="BB1036195" s="38"/>
    </row>
    <row r="1036196" spans="54:54" ht="15.75" customHeight="1" x14ac:dyDescent="0.3">
      <c r="BB1036196" s="38"/>
    </row>
    <row r="1036197" spans="54:54" ht="15.75" customHeight="1" x14ac:dyDescent="0.3">
      <c r="BB1036197" s="38"/>
    </row>
    <row r="1036198" spans="54:54" ht="15.75" customHeight="1" x14ac:dyDescent="0.3">
      <c r="BB1036198" s="38"/>
    </row>
    <row r="1036199" spans="54:54" ht="15.75" customHeight="1" x14ac:dyDescent="0.3">
      <c r="BB1036199" s="38"/>
    </row>
    <row r="1036200" spans="54:54" ht="15.75" customHeight="1" x14ac:dyDescent="0.3">
      <c r="BB1036200" s="38"/>
    </row>
    <row r="1036201" spans="54:54" ht="15.75" customHeight="1" x14ac:dyDescent="0.3">
      <c r="BB1036201" s="38"/>
    </row>
    <row r="1036202" spans="54:54" ht="15.75" customHeight="1" x14ac:dyDescent="0.3">
      <c r="BB1036202" s="38"/>
    </row>
    <row r="1036203" spans="54:54" ht="15.75" customHeight="1" x14ac:dyDescent="0.3">
      <c r="BB1036203" s="38"/>
    </row>
    <row r="1036204" spans="54:54" ht="15.75" customHeight="1" x14ac:dyDescent="0.3">
      <c r="BB1036204" s="38"/>
    </row>
    <row r="1036205" spans="54:54" ht="15.75" customHeight="1" x14ac:dyDescent="0.3">
      <c r="BB1036205" s="38"/>
    </row>
    <row r="1036206" spans="54:54" ht="15.75" customHeight="1" x14ac:dyDescent="0.3">
      <c r="BB1036206" s="38"/>
    </row>
    <row r="1036207" spans="54:54" ht="15.75" customHeight="1" x14ac:dyDescent="0.3">
      <c r="BB1036207" s="38"/>
    </row>
    <row r="1036208" spans="54:54" ht="15.75" customHeight="1" x14ac:dyDescent="0.3">
      <c r="BB1036208" s="38"/>
    </row>
    <row r="1036209" spans="54:54" ht="15.75" customHeight="1" x14ac:dyDescent="0.3">
      <c r="BB1036209" s="38"/>
    </row>
    <row r="1036210" spans="54:54" ht="15.75" customHeight="1" x14ac:dyDescent="0.3">
      <c r="BB1036210" s="38"/>
    </row>
    <row r="1036211" spans="54:54" ht="15.75" customHeight="1" x14ac:dyDescent="0.3">
      <c r="BB1036211" s="38"/>
    </row>
    <row r="1036212" spans="54:54" ht="15.75" customHeight="1" x14ac:dyDescent="0.3">
      <c r="BB1036212" s="38"/>
    </row>
    <row r="1036213" spans="54:54" ht="15.75" customHeight="1" x14ac:dyDescent="0.3">
      <c r="BB1036213" s="38"/>
    </row>
    <row r="1036214" spans="54:54" ht="15.75" customHeight="1" x14ac:dyDescent="0.3">
      <c r="BB1036214" s="38"/>
    </row>
    <row r="1036215" spans="54:54" ht="15.75" customHeight="1" x14ac:dyDescent="0.3">
      <c r="BB1036215" s="38"/>
    </row>
    <row r="1036216" spans="54:54" ht="15.75" customHeight="1" x14ac:dyDescent="0.3">
      <c r="BB1036216" s="38"/>
    </row>
    <row r="1036217" spans="54:54" ht="15.75" customHeight="1" x14ac:dyDescent="0.3">
      <c r="BB1036217" s="38"/>
    </row>
    <row r="1036218" spans="54:54" ht="15.75" customHeight="1" x14ac:dyDescent="0.3">
      <c r="BB1036218" s="38"/>
    </row>
    <row r="1036219" spans="54:54" ht="15.75" customHeight="1" x14ac:dyDescent="0.3">
      <c r="BB1036219" s="38"/>
    </row>
    <row r="1036220" spans="54:54" ht="15.75" customHeight="1" x14ac:dyDescent="0.3">
      <c r="BB1036220" s="38"/>
    </row>
    <row r="1036221" spans="54:54" ht="15.75" customHeight="1" x14ac:dyDescent="0.3">
      <c r="BB1036221" s="38"/>
    </row>
    <row r="1036222" spans="54:54" ht="15.75" customHeight="1" x14ac:dyDescent="0.3">
      <c r="BB1036222" s="38"/>
    </row>
    <row r="1036223" spans="54:54" ht="15.75" customHeight="1" x14ac:dyDescent="0.3">
      <c r="BB1036223" s="38"/>
    </row>
    <row r="1036224" spans="54:54" ht="15.75" customHeight="1" x14ac:dyDescent="0.3">
      <c r="BB1036224" s="38"/>
    </row>
    <row r="1036225" spans="54:54" ht="15.75" customHeight="1" x14ac:dyDescent="0.3">
      <c r="BB1036225" s="38"/>
    </row>
    <row r="1036226" spans="54:54" ht="15.75" customHeight="1" x14ac:dyDescent="0.3">
      <c r="BB1036226" s="38"/>
    </row>
    <row r="1036227" spans="54:54" ht="15.75" customHeight="1" x14ac:dyDescent="0.3">
      <c r="BB1036227" s="38"/>
    </row>
    <row r="1036228" spans="54:54" ht="15.75" customHeight="1" x14ac:dyDescent="0.3">
      <c r="BB1036228" s="38"/>
    </row>
    <row r="1036229" spans="54:54" ht="15.75" customHeight="1" x14ac:dyDescent="0.3">
      <c r="BB1036229" s="38"/>
    </row>
    <row r="1036230" spans="54:54" ht="15.75" customHeight="1" x14ac:dyDescent="0.3">
      <c r="BB1036230" s="38"/>
    </row>
    <row r="1036231" spans="54:54" ht="15.75" customHeight="1" x14ac:dyDescent="0.3">
      <c r="BB1036231" s="38"/>
    </row>
    <row r="1036232" spans="54:54" ht="15.75" customHeight="1" x14ac:dyDescent="0.3">
      <c r="BB1036232" s="38"/>
    </row>
    <row r="1036233" spans="54:54" ht="15.75" customHeight="1" x14ac:dyDescent="0.3">
      <c r="BB1036233" s="38"/>
    </row>
    <row r="1036234" spans="54:54" ht="15.75" customHeight="1" x14ac:dyDescent="0.3">
      <c r="BB1036234" s="38"/>
    </row>
    <row r="1036235" spans="54:54" ht="15.75" customHeight="1" x14ac:dyDescent="0.3">
      <c r="BB1036235" s="38"/>
    </row>
    <row r="1036236" spans="54:54" ht="15.75" customHeight="1" x14ac:dyDescent="0.3">
      <c r="BB1036236" s="38"/>
    </row>
    <row r="1036237" spans="54:54" ht="15.75" customHeight="1" x14ac:dyDescent="0.3">
      <c r="BB1036237" s="38"/>
    </row>
    <row r="1036238" spans="54:54" ht="15.75" customHeight="1" x14ac:dyDescent="0.3">
      <c r="BB1036238" s="38"/>
    </row>
    <row r="1036239" spans="54:54" ht="15.75" customHeight="1" x14ac:dyDescent="0.3">
      <c r="BB1036239" s="38"/>
    </row>
    <row r="1036240" spans="54:54" ht="15.75" customHeight="1" x14ac:dyDescent="0.3">
      <c r="BB1036240" s="38"/>
    </row>
    <row r="1036241" spans="54:54" ht="15.75" customHeight="1" x14ac:dyDescent="0.3">
      <c r="BB1036241" s="38"/>
    </row>
    <row r="1036242" spans="54:54" ht="15.75" customHeight="1" x14ac:dyDescent="0.3">
      <c r="BB1036242" s="38"/>
    </row>
    <row r="1036243" spans="54:54" ht="15.75" customHeight="1" x14ac:dyDescent="0.3">
      <c r="BB1036243" s="38"/>
    </row>
    <row r="1036244" spans="54:54" ht="15.75" customHeight="1" x14ac:dyDescent="0.3">
      <c r="BB1036244" s="38"/>
    </row>
    <row r="1036245" spans="54:54" ht="15.75" customHeight="1" x14ac:dyDescent="0.3">
      <c r="BB1036245" s="38"/>
    </row>
    <row r="1036246" spans="54:54" ht="15.75" customHeight="1" x14ac:dyDescent="0.3">
      <c r="BB1036246" s="38"/>
    </row>
    <row r="1036247" spans="54:54" ht="15.75" customHeight="1" x14ac:dyDescent="0.3">
      <c r="BB1036247" s="38"/>
    </row>
    <row r="1036248" spans="54:54" ht="15.75" customHeight="1" x14ac:dyDescent="0.3">
      <c r="BB1036248" s="38"/>
    </row>
    <row r="1036249" spans="54:54" ht="15.75" customHeight="1" x14ac:dyDescent="0.3">
      <c r="BB1036249" s="38"/>
    </row>
    <row r="1036250" spans="54:54" ht="15.75" customHeight="1" x14ac:dyDescent="0.3">
      <c r="BB1036250" s="38"/>
    </row>
    <row r="1036251" spans="54:54" ht="15.75" customHeight="1" x14ac:dyDescent="0.3">
      <c r="BB1036251" s="38"/>
    </row>
    <row r="1036252" spans="54:54" ht="15.75" customHeight="1" x14ac:dyDescent="0.3">
      <c r="BB1036252" s="38"/>
    </row>
    <row r="1036253" spans="54:54" ht="15.75" customHeight="1" x14ac:dyDescent="0.3">
      <c r="BB1036253" s="38"/>
    </row>
    <row r="1036254" spans="54:54" ht="15.75" customHeight="1" x14ac:dyDescent="0.3">
      <c r="BB1036254" s="38"/>
    </row>
    <row r="1036255" spans="54:54" ht="15.75" customHeight="1" x14ac:dyDescent="0.3">
      <c r="BB1036255" s="38"/>
    </row>
    <row r="1036256" spans="54:54" ht="15.75" customHeight="1" x14ac:dyDescent="0.3">
      <c r="BB1036256" s="38"/>
    </row>
    <row r="1036257" spans="54:54" ht="15.75" customHeight="1" x14ac:dyDescent="0.3">
      <c r="BB1036257" s="38"/>
    </row>
    <row r="1036258" spans="54:54" ht="15.75" customHeight="1" x14ac:dyDescent="0.3">
      <c r="BB1036258" s="38"/>
    </row>
    <row r="1036259" spans="54:54" ht="15.75" customHeight="1" x14ac:dyDescent="0.3">
      <c r="BB1036259" s="38"/>
    </row>
    <row r="1036260" spans="54:54" ht="15.75" customHeight="1" x14ac:dyDescent="0.3">
      <c r="BB1036260" s="38"/>
    </row>
    <row r="1036261" spans="54:54" ht="15.75" customHeight="1" x14ac:dyDescent="0.3">
      <c r="BB1036261" s="38"/>
    </row>
    <row r="1036262" spans="54:54" ht="15.75" customHeight="1" x14ac:dyDescent="0.3">
      <c r="BB1036262" s="38"/>
    </row>
    <row r="1036263" spans="54:54" ht="15.75" customHeight="1" x14ac:dyDescent="0.3">
      <c r="BB1036263" s="38"/>
    </row>
    <row r="1036264" spans="54:54" ht="15.75" customHeight="1" x14ac:dyDescent="0.3">
      <c r="BB1036264" s="38"/>
    </row>
    <row r="1036265" spans="54:54" ht="15.75" customHeight="1" x14ac:dyDescent="0.3">
      <c r="BB1036265" s="38"/>
    </row>
    <row r="1036266" spans="54:54" ht="15.75" customHeight="1" x14ac:dyDescent="0.3">
      <c r="BB1036266" s="38"/>
    </row>
    <row r="1036267" spans="54:54" ht="15.75" customHeight="1" x14ac:dyDescent="0.3">
      <c r="BB1036267" s="38"/>
    </row>
    <row r="1036268" spans="54:54" ht="15.75" customHeight="1" x14ac:dyDescent="0.3">
      <c r="BB1036268" s="38"/>
    </row>
    <row r="1036269" spans="54:54" ht="15.75" customHeight="1" x14ac:dyDescent="0.3">
      <c r="BB1036269" s="38"/>
    </row>
    <row r="1036270" spans="54:54" ht="15.75" customHeight="1" x14ac:dyDescent="0.3">
      <c r="BB1036270" s="38"/>
    </row>
    <row r="1036271" spans="54:54" ht="15.75" customHeight="1" x14ac:dyDescent="0.3">
      <c r="BB1036271" s="38"/>
    </row>
    <row r="1036272" spans="54:54" ht="15.75" customHeight="1" x14ac:dyDescent="0.3">
      <c r="BB1036272" s="38"/>
    </row>
    <row r="1036273" spans="54:54" ht="15.75" customHeight="1" x14ac:dyDescent="0.3">
      <c r="BB1036273" s="38"/>
    </row>
    <row r="1036274" spans="54:54" ht="15.75" customHeight="1" x14ac:dyDescent="0.3">
      <c r="BB1036274" s="38"/>
    </row>
    <row r="1036275" spans="54:54" ht="15.75" customHeight="1" x14ac:dyDescent="0.3">
      <c r="BB1036275" s="38"/>
    </row>
    <row r="1036276" spans="54:54" ht="15.75" customHeight="1" x14ac:dyDescent="0.3">
      <c r="BB1036276" s="38"/>
    </row>
    <row r="1036277" spans="54:54" ht="15.75" customHeight="1" x14ac:dyDescent="0.3">
      <c r="BB1036277" s="38"/>
    </row>
    <row r="1036278" spans="54:54" ht="15.75" customHeight="1" x14ac:dyDescent="0.3">
      <c r="BB1036278" s="38"/>
    </row>
    <row r="1036279" spans="54:54" ht="15.75" customHeight="1" x14ac:dyDescent="0.3">
      <c r="BB1036279" s="38"/>
    </row>
    <row r="1036280" spans="54:54" ht="15.75" customHeight="1" x14ac:dyDescent="0.3">
      <c r="BB1036280" s="38"/>
    </row>
    <row r="1036281" spans="54:54" ht="15.75" customHeight="1" x14ac:dyDescent="0.3">
      <c r="BB1036281" s="38"/>
    </row>
    <row r="1036282" spans="54:54" ht="15.75" customHeight="1" x14ac:dyDescent="0.3">
      <c r="BB1036282" s="38"/>
    </row>
    <row r="1036283" spans="54:54" ht="15.75" customHeight="1" x14ac:dyDescent="0.3">
      <c r="BB1036283" s="38"/>
    </row>
    <row r="1036284" spans="54:54" ht="15.75" customHeight="1" x14ac:dyDescent="0.3">
      <c r="BB1036284" s="38"/>
    </row>
    <row r="1036285" spans="54:54" ht="15.75" customHeight="1" x14ac:dyDescent="0.3">
      <c r="BB1036285" s="38"/>
    </row>
    <row r="1036286" spans="54:54" ht="15.75" customHeight="1" x14ac:dyDescent="0.3">
      <c r="BB1036286" s="38"/>
    </row>
    <row r="1036287" spans="54:54" ht="15.75" customHeight="1" x14ac:dyDescent="0.3">
      <c r="BB1036287" s="38"/>
    </row>
    <row r="1036288" spans="54:54" ht="15.75" customHeight="1" x14ac:dyDescent="0.3">
      <c r="BB1036288" s="38"/>
    </row>
    <row r="1036289" spans="54:54" ht="15.75" customHeight="1" x14ac:dyDescent="0.3">
      <c r="BB1036289" s="38"/>
    </row>
    <row r="1036290" spans="54:54" ht="15.75" customHeight="1" x14ac:dyDescent="0.3">
      <c r="BB1036290" s="38"/>
    </row>
    <row r="1036291" spans="54:54" ht="15.75" customHeight="1" x14ac:dyDescent="0.3">
      <c r="BB1036291" s="38"/>
    </row>
    <row r="1036292" spans="54:54" ht="15.75" customHeight="1" x14ac:dyDescent="0.3">
      <c r="BB1036292" s="38"/>
    </row>
    <row r="1036293" spans="54:54" ht="15.75" customHeight="1" x14ac:dyDescent="0.3">
      <c r="BB1036293" s="38"/>
    </row>
    <row r="1036294" spans="54:54" ht="15.75" customHeight="1" x14ac:dyDescent="0.3">
      <c r="BB1036294" s="38"/>
    </row>
    <row r="1036295" spans="54:54" ht="15.75" customHeight="1" x14ac:dyDescent="0.3">
      <c r="BB1036295" s="38"/>
    </row>
    <row r="1036296" spans="54:54" ht="15.75" customHeight="1" x14ac:dyDescent="0.3">
      <c r="BB1036296" s="38"/>
    </row>
    <row r="1036297" spans="54:54" ht="15.75" customHeight="1" x14ac:dyDescent="0.3">
      <c r="BB1036297" s="38"/>
    </row>
    <row r="1036298" spans="54:54" ht="15.75" customHeight="1" x14ac:dyDescent="0.3">
      <c r="BB1036298" s="38"/>
    </row>
    <row r="1036299" spans="54:54" ht="15.75" customHeight="1" x14ac:dyDescent="0.3">
      <c r="BB1036299" s="38"/>
    </row>
    <row r="1036300" spans="54:54" ht="15.75" customHeight="1" x14ac:dyDescent="0.3">
      <c r="BB1036300" s="38"/>
    </row>
    <row r="1036301" spans="54:54" ht="15.75" customHeight="1" x14ac:dyDescent="0.3">
      <c r="BB1036301" s="38"/>
    </row>
    <row r="1036302" spans="54:54" ht="15.75" customHeight="1" x14ac:dyDescent="0.3">
      <c r="BB1036302" s="38"/>
    </row>
    <row r="1036303" spans="54:54" ht="15.75" customHeight="1" x14ac:dyDescent="0.3">
      <c r="BB1036303" s="38"/>
    </row>
    <row r="1036304" spans="54:54" ht="15.75" customHeight="1" x14ac:dyDescent="0.3">
      <c r="BB1036304" s="38"/>
    </row>
    <row r="1036305" spans="54:54" ht="15.75" customHeight="1" x14ac:dyDescent="0.3">
      <c r="BB1036305" s="38"/>
    </row>
    <row r="1036306" spans="54:54" ht="15.75" customHeight="1" x14ac:dyDescent="0.3">
      <c r="BB1036306" s="38"/>
    </row>
    <row r="1036307" spans="54:54" ht="15.75" customHeight="1" x14ac:dyDescent="0.3">
      <c r="BB1036307" s="38"/>
    </row>
    <row r="1036308" spans="54:54" ht="15.75" customHeight="1" x14ac:dyDescent="0.3">
      <c r="BB1036308" s="38"/>
    </row>
    <row r="1036309" spans="54:54" ht="15.75" customHeight="1" x14ac:dyDescent="0.3">
      <c r="BB1036309" s="38"/>
    </row>
    <row r="1036310" spans="54:54" ht="15.75" customHeight="1" x14ac:dyDescent="0.3">
      <c r="BB1036310" s="38"/>
    </row>
    <row r="1036311" spans="54:54" ht="15.75" customHeight="1" x14ac:dyDescent="0.3">
      <c r="BB1036311" s="38"/>
    </row>
    <row r="1036312" spans="54:54" ht="15.75" customHeight="1" x14ac:dyDescent="0.3">
      <c r="BB1036312" s="38"/>
    </row>
    <row r="1036313" spans="54:54" ht="15.75" customHeight="1" x14ac:dyDescent="0.3">
      <c r="BB1036313" s="38"/>
    </row>
    <row r="1036314" spans="54:54" ht="15.75" customHeight="1" x14ac:dyDescent="0.3">
      <c r="BB1036314" s="38"/>
    </row>
    <row r="1036315" spans="54:54" ht="15.75" customHeight="1" x14ac:dyDescent="0.3">
      <c r="BB1036315" s="38"/>
    </row>
    <row r="1036316" spans="54:54" ht="15.75" customHeight="1" x14ac:dyDescent="0.3">
      <c r="BB1036316" s="38"/>
    </row>
    <row r="1036317" spans="54:54" ht="15.75" customHeight="1" x14ac:dyDescent="0.3">
      <c r="BB1036317" s="38"/>
    </row>
    <row r="1036318" spans="54:54" ht="15.75" customHeight="1" x14ac:dyDescent="0.3">
      <c r="BB1036318" s="38"/>
    </row>
    <row r="1036319" spans="54:54" ht="15.75" customHeight="1" x14ac:dyDescent="0.3">
      <c r="BB1036319" s="38"/>
    </row>
    <row r="1036320" spans="54:54" ht="15.75" customHeight="1" x14ac:dyDescent="0.3">
      <c r="BB1036320" s="38"/>
    </row>
    <row r="1036321" spans="54:54" ht="15.75" customHeight="1" x14ac:dyDescent="0.3">
      <c r="BB1036321" s="38"/>
    </row>
    <row r="1036322" spans="54:54" ht="15.75" customHeight="1" x14ac:dyDescent="0.3">
      <c r="BB1036322" s="38"/>
    </row>
    <row r="1036323" spans="54:54" ht="15.75" customHeight="1" x14ac:dyDescent="0.3">
      <c r="BB1036323" s="38"/>
    </row>
    <row r="1036324" spans="54:54" ht="15.75" customHeight="1" x14ac:dyDescent="0.3">
      <c r="BB1036324" s="38"/>
    </row>
    <row r="1036325" spans="54:54" ht="15.75" customHeight="1" x14ac:dyDescent="0.3">
      <c r="BB1036325" s="38"/>
    </row>
    <row r="1036326" spans="54:54" ht="15.75" customHeight="1" x14ac:dyDescent="0.3">
      <c r="BB1036326" s="38"/>
    </row>
    <row r="1036327" spans="54:54" ht="15.75" customHeight="1" x14ac:dyDescent="0.3">
      <c r="BB1036327" s="38"/>
    </row>
    <row r="1036328" spans="54:54" ht="15.75" customHeight="1" x14ac:dyDescent="0.3">
      <c r="BB1036328" s="38"/>
    </row>
    <row r="1036329" spans="54:54" ht="15.75" customHeight="1" x14ac:dyDescent="0.3">
      <c r="BB1036329" s="38"/>
    </row>
    <row r="1036330" spans="54:54" ht="15.75" customHeight="1" x14ac:dyDescent="0.3">
      <c r="BB1036330" s="38"/>
    </row>
    <row r="1036331" spans="54:54" ht="15.75" customHeight="1" x14ac:dyDescent="0.3">
      <c r="BB1036331" s="38"/>
    </row>
    <row r="1036332" spans="54:54" ht="15.75" customHeight="1" x14ac:dyDescent="0.3">
      <c r="BB1036332" s="38"/>
    </row>
    <row r="1036333" spans="54:54" ht="15.75" customHeight="1" x14ac:dyDescent="0.3">
      <c r="BB1036333" s="38"/>
    </row>
    <row r="1036334" spans="54:54" ht="15.75" customHeight="1" x14ac:dyDescent="0.3">
      <c r="BB1036334" s="38"/>
    </row>
    <row r="1036335" spans="54:54" ht="15.75" customHeight="1" x14ac:dyDescent="0.3">
      <c r="BB1036335" s="38"/>
    </row>
    <row r="1036336" spans="54:54" ht="15.75" customHeight="1" x14ac:dyDescent="0.3">
      <c r="BB1036336" s="38"/>
    </row>
    <row r="1036337" spans="54:54" ht="15.75" customHeight="1" x14ac:dyDescent="0.3">
      <c r="BB1036337" s="38"/>
    </row>
    <row r="1036338" spans="54:54" ht="15.75" customHeight="1" x14ac:dyDescent="0.3">
      <c r="BB1036338" s="38"/>
    </row>
    <row r="1036339" spans="54:54" ht="15.75" customHeight="1" x14ac:dyDescent="0.3">
      <c r="BB1036339" s="38"/>
    </row>
    <row r="1036340" spans="54:54" ht="15.75" customHeight="1" x14ac:dyDescent="0.3">
      <c r="BB1036340" s="38"/>
    </row>
    <row r="1036341" spans="54:54" ht="15.75" customHeight="1" x14ac:dyDescent="0.3">
      <c r="BB1036341" s="38"/>
    </row>
    <row r="1036342" spans="54:54" ht="15.75" customHeight="1" x14ac:dyDescent="0.3">
      <c r="BB1036342" s="38"/>
    </row>
    <row r="1036343" spans="54:54" ht="15.75" customHeight="1" x14ac:dyDescent="0.3">
      <c r="BB1036343" s="38"/>
    </row>
    <row r="1036344" spans="54:54" ht="15.75" customHeight="1" x14ac:dyDescent="0.3">
      <c r="BB1036344" s="38"/>
    </row>
    <row r="1036345" spans="54:54" ht="15.75" customHeight="1" x14ac:dyDescent="0.3">
      <c r="BB1036345" s="38"/>
    </row>
    <row r="1036346" spans="54:54" ht="15.75" customHeight="1" x14ac:dyDescent="0.3">
      <c r="BB1036346" s="38"/>
    </row>
    <row r="1036347" spans="54:54" ht="15.75" customHeight="1" x14ac:dyDescent="0.3">
      <c r="BB1036347" s="38"/>
    </row>
    <row r="1036348" spans="54:54" ht="15.75" customHeight="1" x14ac:dyDescent="0.3">
      <c r="BB1036348" s="38"/>
    </row>
    <row r="1036349" spans="54:54" ht="15.75" customHeight="1" x14ac:dyDescent="0.3">
      <c r="BB1036349" s="38"/>
    </row>
    <row r="1036350" spans="54:54" ht="15.75" customHeight="1" x14ac:dyDescent="0.3">
      <c r="BB1036350" s="38"/>
    </row>
    <row r="1036351" spans="54:54" ht="15.75" customHeight="1" x14ac:dyDescent="0.3">
      <c r="BB1036351" s="38"/>
    </row>
    <row r="1036352" spans="54:54" ht="15.75" customHeight="1" x14ac:dyDescent="0.3">
      <c r="BB1036352" s="38"/>
    </row>
    <row r="1036353" spans="54:54" ht="15.75" customHeight="1" x14ac:dyDescent="0.3">
      <c r="BB1036353" s="38"/>
    </row>
    <row r="1036354" spans="54:54" ht="15.75" customHeight="1" x14ac:dyDescent="0.3">
      <c r="BB1036354" s="38"/>
    </row>
    <row r="1036355" spans="54:54" ht="15.75" customHeight="1" x14ac:dyDescent="0.3">
      <c r="BB1036355" s="38"/>
    </row>
    <row r="1036356" spans="54:54" ht="15.75" customHeight="1" x14ac:dyDescent="0.3">
      <c r="BB1036356" s="38"/>
    </row>
    <row r="1036357" spans="54:54" ht="15.75" customHeight="1" x14ac:dyDescent="0.3">
      <c r="BB1036357" s="38"/>
    </row>
    <row r="1036358" spans="54:54" ht="15.75" customHeight="1" x14ac:dyDescent="0.3">
      <c r="BB1036358" s="38"/>
    </row>
    <row r="1036359" spans="54:54" ht="15.75" customHeight="1" x14ac:dyDescent="0.3">
      <c r="BB1036359" s="38"/>
    </row>
    <row r="1036360" spans="54:54" ht="15.75" customHeight="1" x14ac:dyDescent="0.3">
      <c r="BB1036360" s="38"/>
    </row>
    <row r="1036361" spans="54:54" ht="15.75" customHeight="1" x14ac:dyDescent="0.3">
      <c r="BB1036361" s="38"/>
    </row>
    <row r="1036362" spans="54:54" ht="15.75" customHeight="1" x14ac:dyDescent="0.3">
      <c r="BB1036362" s="38"/>
    </row>
    <row r="1036363" spans="54:54" ht="15.75" customHeight="1" x14ac:dyDescent="0.3">
      <c r="BB1036363" s="38"/>
    </row>
    <row r="1036364" spans="54:54" ht="15.75" customHeight="1" x14ac:dyDescent="0.3">
      <c r="BB1036364" s="38"/>
    </row>
    <row r="1036365" spans="54:54" ht="15.75" customHeight="1" x14ac:dyDescent="0.3">
      <c r="BB1036365" s="38"/>
    </row>
    <row r="1036366" spans="54:54" ht="15.75" customHeight="1" x14ac:dyDescent="0.3">
      <c r="BB1036366" s="38"/>
    </row>
    <row r="1036367" spans="54:54" ht="15.75" customHeight="1" x14ac:dyDescent="0.3">
      <c r="BB1036367" s="38"/>
    </row>
    <row r="1036368" spans="54:54" ht="15.75" customHeight="1" x14ac:dyDescent="0.3">
      <c r="BB1036368" s="38"/>
    </row>
    <row r="1036369" spans="54:54" ht="15.75" customHeight="1" x14ac:dyDescent="0.3">
      <c r="BB1036369" s="38"/>
    </row>
    <row r="1036370" spans="54:54" ht="15.75" customHeight="1" x14ac:dyDescent="0.3">
      <c r="BB1036370" s="38"/>
    </row>
    <row r="1036371" spans="54:54" ht="15.75" customHeight="1" x14ac:dyDescent="0.3">
      <c r="BB1036371" s="38"/>
    </row>
    <row r="1036372" spans="54:54" ht="15.75" customHeight="1" x14ac:dyDescent="0.3">
      <c r="BB1036372" s="38"/>
    </row>
    <row r="1036373" spans="54:54" ht="15.75" customHeight="1" x14ac:dyDescent="0.3">
      <c r="BB1036373" s="38"/>
    </row>
    <row r="1036374" spans="54:54" ht="15.75" customHeight="1" x14ac:dyDescent="0.3">
      <c r="BB1036374" s="38"/>
    </row>
    <row r="1036375" spans="54:54" ht="15.75" customHeight="1" x14ac:dyDescent="0.3">
      <c r="BB1036375" s="38"/>
    </row>
    <row r="1036376" spans="54:54" ht="15.75" customHeight="1" x14ac:dyDescent="0.3">
      <c r="BB1036376" s="38"/>
    </row>
    <row r="1036377" spans="54:54" ht="15.75" customHeight="1" x14ac:dyDescent="0.3">
      <c r="BB1036377" s="38"/>
    </row>
    <row r="1036378" spans="54:54" ht="15.75" customHeight="1" x14ac:dyDescent="0.3">
      <c r="BB1036378" s="38"/>
    </row>
    <row r="1036379" spans="54:54" ht="15.75" customHeight="1" x14ac:dyDescent="0.3">
      <c r="BB1036379" s="38"/>
    </row>
    <row r="1036380" spans="54:54" ht="15.75" customHeight="1" x14ac:dyDescent="0.3">
      <c r="BB1036380" s="38"/>
    </row>
    <row r="1036381" spans="54:54" ht="15.75" customHeight="1" x14ac:dyDescent="0.3">
      <c r="BB1036381" s="38"/>
    </row>
    <row r="1036382" spans="54:54" ht="15.75" customHeight="1" x14ac:dyDescent="0.3">
      <c r="BB1036382" s="38"/>
    </row>
    <row r="1036383" spans="54:54" ht="15.75" customHeight="1" x14ac:dyDescent="0.3">
      <c r="BB1036383" s="38"/>
    </row>
    <row r="1036384" spans="54:54" ht="15.75" customHeight="1" x14ac:dyDescent="0.3">
      <c r="BB1036384" s="38"/>
    </row>
    <row r="1036385" spans="54:54" ht="15.75" customHeight="1" x14ac:dyDescent="0.3">
      <c r="BB1036385" s="38"/>
    </row>
    <row r="1036386" spans="54:54" ht="15.75" customHeight="1" x14ac:dyDescent="0.3">
      <c r="BB1036386" s="38"/>
    </row>
    <row r="1036387" spans="54:54" ht="15.75" customHeight="1" x14ac:dyDescent="0.3">
      <c r="BB1036387" s="38"/>
    </row>
    <row r="1036388" spans="54:54" ht="15.75" customHeight="1" x14ac:dyDescent="0.3">
      <c r="BB1036388" s="38"/>
    </row>
    <row r="1036389" spans="54:54" ht="15.75" customHeight="1" x14ac:dyDescent="0.3">
      <c r="BB1036389" s="38"/>
    </row>
    <row r="1036390" spans="54:54" ht="15.75" customHeight="1" x14ac:dyDescent="0.3">
      <c r="BB1036390" s="38"/>
    </row>
    <row r="1036391" spans="54:54" ht="15.75" customHeight="1" x14ac:dyDescent="0.3">
      <c r="BB1036391" s="38"/>
    </row>
    <row r="1036392" spans="54:54" ht="15.75" customHeight="1" x14ac:dyDescent="0.3">
      <c r="BB1036392" s="38"/>
    </row>
    <row r="1036393" spans="54:54" ht="15.75" customHeight="1" x14ac:dyDescent="0.3">
      <c r="BB1036393" s="38"/>
    </row>
    <row r="1036394" spans="54:54" ht="15.75" customHeight="1" x14ac:dyDescent="0.3">
      <c r="BB1036394" s="38"/>
    </row>
    <row r="1036395" spans="54:54" ht="15.75" customHeight="1" x14ac:dyDescent="0.3">
      <c r="BB1036395" s="38"/>
    </row>
    <row r="1036396" spans="54:54" ht="15.75" customHeight="1" x14ac:dyDescent="0.3">
      <c r="BB1036396" s="38"/>
    </row>
    <row r="1036397" spans="54:54" ht="15.75" customHeight="1" x14ac:dyDescent="0.3">
      <c r="BB1036397" s="38"/>
    </row>
    <row r="1036398" spans="54:54" ht="15.75" customHeight="1" x14ac:dyDescent="0.3">
      <c r="BB1036398" s="38"/>
    </row>
    <row r="1036399" spans="54:54" ht="15.75" customHeight="1" x14ac:dyDescent="0.3">
      <c r="BB1036399" s="38"/>
    </row>
    <row r="1036400" spans="54:54" ht="15.75" customHeight="1" x14ac:dyDescent="0.3">
      <c r="BB1036400" s="38"/>
    </row>
    <row r="1036401" spans="54:54" ht="15.75" customHeight="1" x14ac:dyDescent="0.3">
      <c r="BB1036401" s="38"/>
    </row>
    <row r="1036402" spans="54:54" ht="15.75" customHeight="1" x14ac:dyDescent="0.3">
      <c r="BB1036402" s="38"/>
    </row>
    <row r="1036403" spans="54:54" ht="15.75" customHeight="1" x14ac:dyDescent="0.3">
      <c r="BB1036403" s="38"/>
    </row>
    <row r="1036404" spans="54:54" ht="15.75" customHeight="1" x14ac:dyDescent="0.3">
      <c r="BB1036404" s="38"/>
    </row>
    <row r="1036405" spans="54:54" ht="15.75" customHeight="1" x14ac:dyDescent="0.3">
      <c r="BB1036405" s="38"/>
    </row>
    <row r="1036406" spans="54:54" ht="15.75" customHeight="1" x14ac:dyDescent="0.3">
      <c r="BB1036406" s="38"/>
    </row>
    <row r="1036407" spans="54:54" ht="15.75" customHeight="1" x14ac:dyDescent="0.3">
      <c r="BB1036407" s="38"/>
    </row>
    <row r="1036408" spans="54:54" ht="15.75" customHeight="1" x14ac:dyDescent="0.3">
      <c r="BB1036408" s="38"/>
    </row>
    <row r="1036409" spans="54:54" ht="15.75" customHeight="1" x14ac:dyDescent="0.3">
      <c r="BB1036409" s="38"/>
    </row>
    <row r="1036410" spans="54:54" ht="15.75" customHeight="1" x14ac:dyDescent="0.3">
      <c r="BB1036410" s="38"/>
    </row>
    <row r="1036411" spans="54:54" ht="15.75" customHeight="1" x14ac:dyDescent="0.3">
      <c r="BB1036411" s="38"/>
    </row>
    <row r="1036412" spans="54:54" ht="15.75" customHeight="1" x14ac:dyDescent="0.3">
      <c r="BB1036412" s="38"/>
    </row>
    <row r="1036413" spans="54:54" ht="15.75" customHeight="1" x14ac:dyDescent="0.3">
      <c r="BB1036413" s="38"/>
    </row>
    <row r="1036414" spans="54:54" ht="15.75" customHeight="1" x14ac:dyDescent="0.3">
      <c r="BB1036414" s="38"/>
    </row>
    <row r="1036415" spans="54:54" ht="15.75" customHeight="1" x14ac:dyDescent="0.3">
      <c r="BB1036415" s="38"/>
    </row>
    <row r="1036416" spans="54:54" ht="15.75" customHeight="1" x14ac:dyDescent="0.3">
      <c r="BB1036416" s="38"/>
    </row>
    <row r="1036417" spans="54:54" ht="15.75" customHeight="1" x14ac:dyDescent="0.3">
      <c r="BB1036417" s="38"/>
    </row>
    <row r="1036418" spans="54:54" ht="15.75" customHeight="1" x14ac:dyDescent="0.3">
      <c r="BB1036418" s="38"/>
    </row>
    <row r="1036419" spans="54:54" ht="15.75" customHeight="1" x14ac:dyDescent="0.3">
      <c r="BB1036419" s="38"/>
    </row>
    <row r="1036420" spans="54:54" ht="15.75" customHeight="1" x14ac:dyDescent="0.3">
      <c r="BB1036420" s="38"/>
    </row>
    <row r="1036421" spans="54:54" ht="15.75" customHeight="1" x14ac:dyDescent="0.3">
      <c r="BB1036421" s="38"/>
    </row>
    <row r="1036422" spans="54:54" ht="15.75" customHeight="1" x14ac:dyDescent="0.3">
      <c r="BB1036422" s="38"/>
    </row>
    <row r="1036423" spans="54:54" ht="15.75" customHeight="1" x14ac:dyDescent="0.3">
      <c r="BB1036423" s="38"/>
    </row>
    <row r="1036424" spans="54:54" ht="15.75" customHeight="1" x14ac:dyDescent="0.3">
      <c r="BB1036424" s="38"/>
    </row>
    <row r="1036425" spans="54:54" ht="15.75" customHeight="1" x14ac:dyDescent="0.3">
      <c r="BB1036425" s="38"/>
    </row>
    <row r="1036426" spans="54:54" ht="15.75" customHeight="1" x14ac:dyDescent="0.3">
      <c r="BB1036426" s="38"/>
    </row>
    <row r="1036427" spans="54:54" ht="15.75" customHeight="1" x14ac:dyDescent="0.3">
      <c r="BB1036427" s="38"/>
    </row>
    <row r="1036428" spans="54:54" ht="15.75" customHeight="1" x14ac:dyDescent="0.3">
      <c r="BB1036428" s="38"/>
    </row>
    <row r="1036429" spans="54:54" ht="15.75" customHeight="1" x14ac:dyDescent="0.3">
      <c r="BB1036429" s="38"/>
    </row>
    <row r="1036430" spans="54:54" ht="15.75" customHeight="1" x14ac:dyDescent="0.3">
      <c r="BB1036430" s="38"/>
    </row>
    <row r="1036431" spans="54:54" ht="15.75" customHeight="1" x14ac:dyDescent="0.3">
      <c r="BB1036431" s="38"/>
    </row>
    <row r="1036432" spans="54:54" ht="15.75" customHeight="1" x14ac:dyDescent="0.3">
      <c r="BB1036432" s="38"/>
    </row>
    <row r="1036433" spans="54:54" ht="15.75" customHeight="1" x14ac:dyDescent="0.3">
      <c r="BB1036433" s="38"/>
    </row>
    <row r="1036434" spans="54:54" ht="15.75" customHeight="1" x14ac:dyDescent="0.3">
      <c r="BB1036434" s="38"/>
    </row>
    <row r="1036435" spans="54:54" ht="15.75" customHeight="1" x14ac:dyDescent="0.3">
      <c r="BB1036435" s="38"/>
    </row>
    <row r="1036436" spans="54:54" ht="15.75" customHeight="1" x14ac:dyDescent="0.3">
      <c r="BB1036436" s="38"/>
    </row>
    <row r="1036437" spans="54:54" ht="15.75" customHeight="1" x14ac:dyDescent="0.3">
      <c r="BB1036437" s="38"/>
    </row>
    <row r="1036438" spans="54:54" ht="15.75" customHeight="1" x14ac:dyDescent="0.3">
      <c r="BB1036438" s="38"/>
    </row>
    <row r="1036439" spans="54:54" ht="15.75" customHeight="1" x14ac:dyDescent="0.3">
      <c r="BB1036439" s="38"/>
    </row>
    <row r="1036440" spans="54:54" ht="15.75" customHeight="1" x14ac:dyDescent="0.3">
      <c r="BB1036440" s="38"/>
    </row>
    <row r="1036441" spans="54:54" ht="15.75" customHeight="1" x14ac:dyDescent="0.3">
      <c r="BB1036441" s="38"/>
    </row>
    <row r="1036442" spans="54:54" ht="15.75" customHeight="1" x14ac:dyDescent="0.3">
      <c r="BB1036442" s="38"/>
    </row>
    <row r="1036443" spans="54:54" ht="15.75" customHeight="1" x14ac:dyDescent="0.3">
      <c r="BB1036443" s="38"/>
    </row>
    <row r="1036444" spans="54:54" ht="15.75" customHeight="1" x14ac:dyDescent="0.3">
      <c r="BB1036444" s="38"/>
    </row>
    <row r="1036445" spans="54:54" ht="15.75" customHeight="1" x14ac:dyDescent="0.3">
      <c r="BB1036445" s="38"/>
    </row>
    <row r="1036446" spans="54:54" ht="15.75" customHeight="1" x14ac:dyDescent="0.3">
      <c r="BB1036446" s="38"/>
    </row>
    <row r="1036447" spans="54:54" ht="15.75" customHeight="1" x14ac:dyDescent="0.3">
      <c r="BB1036447" s="38"/>
    </row>
    <row r="1036448" spans="54:54" ht="15.75" customHeight="1" x14ac:dyDescent="0.3">
      <c r="BB1036448" s="38"/>
    </row>
    <row r="1036449" spans="54:54" ht="15.75" customHeight="1" x14ac:dyDescent="0.3">
      <c r="BB1036449" s="38"/>
    </row>
    <row r="1036450" spans="54:54" ht="15.75" customHeight="1" x14ac:dyDescent="0.3">
      <c r="BB1036450" s="38"/>
    </row>
    <row r="1036451" spans="54:54" ht="15.75" customHeight="1" x14ac:dyDescent="0.3">
      <c r="BB1036451" s="38"/>
    </row>
    <row r="1036452" spans="54:54" ht="15.75" customHeight="1" x14ac:dyDescent="0.3">
      <c r="BB1036452" s="38"/>
    </row>
    <row r="1036453" spans="54:54" ht="15.75" customHeight="1" x14ac:dyDescent="0.3">
      <c r="BB1036453" s="38"/>
    </row>
    <row r="1036454" spans="54:54" ht="15.75" customHeight="1" x14ac:dyDescent="0.3">
      <c r="BB1036454" s="38"/>
    </row>
    <row r="1036455" spans="54:54" ht="15.75" customHeight="1" x14ac:dyDescent="0.3">
      <c r="BB1036455" s="38"/>
    </row>
    <row r="1036456" spans="54:54" ht="15.75" customHeight="1" x14ac:dyDescent="0.3">
      <c r="BB1036456" s="38"/>
    </row>
    <row r="1036457" spans="54:54" ht="15.75" customHeight="1" x14ac:dyDescent="0.3">
      <c r="BB1036457" s="38"/>
    </row>
    <row r="1036458" spans="54:54" ht="15.75" customHeight="1" x14ac:dyDescent="0.3">
      <c r="BB1036458" s="38"/>
    </row>
    <row r="1036459" spans="54:54" ht="15.75" customHeight="1" x14ac:dyDescent="0.3">
      <c r="BB1036459" s="38"/>
    </row>
    <row r="1036460" spans="54:54" ht="15.75" customHeight="1" x14ac:dyDescent="0.3">
      <c r="BB1036460" s="38"/>
    </row>
    <row r="1036461" spans="54:54" ht="15.75" customHeight="1" x14ac:dyDescent="0.3">
      <c r="BB1036461" s="38"/>
    </row>
    <row r="1036462" spans="54:54" ht="15.75" customHeight="1" x14ac:dyDescent="0.3">
      <c r="BB1036462" s="38"/>
    </row>
    <row r="1036463" spans="54:54" ht="15.75" customHeight="1" x14ac:dyDescent="0.3">
      <c r="BB1036463" s="38"/>
    </row>
    <row r="1036464" spans="54:54" ht="15.75" customHeight="1" x14ac:dyDescent="0.3">
      <c r="BB1036464" s="38"/>
    </row>
    <row r="1036465" spans="54:54" ht="15.75" customHeight="1" x14ac:dyDescent="0.3">
      <c r="BB1036465" s="38"/>
    </row>
    <row r="1036466" spans="54:54" ht="15.75" customHeight="1" x14ac:dyDescent="0.3">
      <c r="BB1036466" s="38"/>
    </row>
    <row r="1036467" spans="54:54" ht="15.75" customHeight="1" x14ac:dyDescent="0.3">
      <c r="BB1036467" s="38"/>
    </row>
    <row r="1036468" spans="54:54" ht="15.75" customHeight="1" x14ac:dyDescent="0.3">
      <c r="BB1036468" s="38"/>
    </row>
    <row r="1036469" spans="54:54" ht="15.75" customHeight="1" x14ac:dyDescent="0.3">
      <c r="BB1036469" s="38"/>
    </row>
    <row r="1036470" spans="54:54" ht="15.75" customHeight="1" x14ac:dyDescent="0.3">
      <c r="BB1036470" s="38"/>
    </row>
    <row r="1036471" spans="54:54" ht="15.75" customHeight="1" x14ac:dyDescent="0.3">
      <c r="BB1036471" s="38"/>
    </row>
    <row r="1036472" spans="54:54" ht="15.75" customHeight="1" x14ac:dyDescent="0.3">
      <c r="BB1036472" s="38"/>
    </row>
    <row r="1036473" spans="54:54" ht="15.75" customHeight="1" x14ac:dyDescent="0.3">
      <c r="BB1036473" s="38"/>
    </row>
    <row r="1036474" spans="54:54" ht="15.75" customHeight="1" x14ac:dyDescent="0.3">
      <c r="BB1036474" s="38"/>
    </row>
    <row r="1036475" spans="54:54" ht="15.75" customHeight="1" x14ac:dyDescent="0.3">
      <c r="BB1036475" s="38"/>
    </row>
    <row r="1036476" spans="54:54" ht="15.75" customHeight="1" x14ac:dyDescent="0.3">
      <c r="BB1036476" s="38"/>
    </row>
    <row r="1036477" spans="54:54" ht="15.75" customHeight="1" x14ac:dyDescent="0.3">
      <c r="BB1036477" s="38"/>
    </row>
    <row r="1036478" spans="54:54" ht="15.75" customHeight="1" x14ac:dyDescent="0.3">
      <c r="BB1036478" s="38"/>
    </row>
    <row r="1036479" spans="54:54" ht="15.75" customHeight="1" x14ac:dyDescent="0.3">
      <c r="BB1036479" s="38"/>
    </row>
    <row r="1036480" spans="54:54" ht="15.75" customHeight="1" x14ac:dyDescent="0.3">
      <c r="BB1036480" s="38"/>
    </row>
    <row r="1036481" spans="54:54" ht="15.75" customHeight="1" x14ac:dyDescent="0.3">
      <c r="BB1036481" s="38"/>
    </row>
    <row r="1036482" spans="54:54" ht="15.75" customHeight="1" x14ac:dyDescent="0.3">
      <c r="BB1036482" s="38"/>
    </row>
    <row r="1036483" spans="54:54" ht="15.75" customHeight="1" x14ac:dyDescent="0.3">
      <c r="BB1036483" s="38"/>
    </row>
    <row r="1036484" spans="54:54" ht="15.75" customHeight="1" x14ac:dyDescent="0.3">
      <c r="BB1036484" s="38"/>
    </row>
    <row r="1036485" spans="54:54" ht="15.75" customHeight="1" x14ac:dyDescent="0.3">
      <c r="BB1036485" s="38"/>
    </row>
    <row r="1036486" spans="54:54" ht="15.75" customHeight="1" x14ac:dyDescent="0.3">
      <c r="BB1036486" s="38"/>
    </row>
    <row r="1036487" spans="54:54" ht="15.75" customHeight="1" x14ac:dyDescent="0.3">
      <c r="BB1036487" s="38"/>
    </row>
    <row r="1036488" spans="54:54" ht="15.75" customHeight="1" x14ac:dyDescent="0.3">
      <c r="BB1036488" s="38"/>
    </row>
    <row r="1036489" spans="54:54" ht="15.75" customHeight="1" x14ac:dyDescent="0.3">
      <c r="BB1036489" s="38"/>
    </row>
    <row r="1036490" spans="54:54" ht="15.75" customHeight="1" x14ac:dyDescent="0.3">
      <c r="BB1036490" s="38"/>
    </row>
    <row r="1036491" spans="54:54" ht="15.75" customHeight="1" x14ac:dyDescent="0.3">
      <c r="BB1036491" s="38"/>
    </row>
    <row r="1036492" spans="54:54" ht="15.75" customHeight="1" x14ac:dyDescent="0.3">
      <c r="BB1036492" s="38"/>
    </row>
    <row r="1036493" spans="54:54" ht="15.75" customHeight="1" x14ac:dyDescent="0.3">
      <c r="BB1036493" s="38"/>
    </row>
    <row r="1036494" spans="54:54" ht="15.75" customHeight="1" x14ac:dyDescent="0.3">
      <c r="BB1036494" s="38"/>
    </row>
    <row r="1036495" spans="54:54" ht="15.75" customHeight="1" x14ac:dyDescent="0.3">
      <c r="BB1036495" s="38"/>
    </row>
    <row r="1036496" spans="54:54" ht="15.75" customHeight="1" x14ac:dyDescent="0.3">
      <c r="BB1036496" s="38"/>
    </row>
    <row r="1036497" spans="54:54" ht="15.75" customHeight="1" x14ac:dyDescent="0.3">
      <c r="BB1036497" s="38"/>
    </row>
    <row r="1036498" spans="54:54" ht="15.75" customHeight="1" x14ac:dyDescent="0.3">
      <c r="BB1036498" s="38"/>
    </row>
    <row r="1036499" spans="54:54" ht="15.75" customHeight="1" x14ac:dyDescent="0.3">
      <c r="BB1036499" s="38"/>
    </row>
    <row r="1036500" spans="54:54" ht="15.75" customHeight="1" x14ac:dyDescent="0.3">
      <c r="BB1036500" s="38"/>
    </row>
    <row r="1036501" spans="54:54" ht="15.75" customHeight="1" x14ac:dyDescent="0.3">
      <c r="BB1036501" s="38"/>
    </row>
    <row r="1036502" spans="54:54" ht="15.75" customHeight="1" x14ac:dyDescent="0.3">
      <c r="BB1036502" s="38"/>
    </row>
    <row r="1036503" spans="54:54" ht="15.75" customHeight="1" x14ac:dyDescent="0.3">
      <c r="BB1036503" s="38"/>
    </row>
    <row r="1036504" spans="54:54" ht="15.75" customHeight="1" x14ac:dyDescent="0.3">
      <c r="BB1036504" s="38"/>
    </row>
    <row r="1036505" spans="54:54" ht="15.75" customHeight="1" x14ac:dyDescent="0.3">
      <c r="BB1036505" s="38"/>
    </row>
    <row r="1036506" spans="54:54" ht="15.75" customHeight="1" x14ac:dyDescent="0.3">
      <c r="BB1036506" s="38"/>
    </row>
    <row r="1036507" spans="54:54" ht="15.75" customHeight="1" x14ac:dyDescent="0.3">
      <c r="BB1036507" s="38"/>
    </row>
    <row r="1036508" spans="54:54" ht="15.75" customHeight="1" x14ac:dyDescent="0.3">
      <c r="BB1036508" s="38"/>
    </row>
    <row r="1036509" spans="54:54" ht="15.75" customHeight="1" x14ac:dyDescent="0.3">
      <c r="BB1036509" s="38"/>
    </row>
    <row r="1036510" spans="54:54" ht="15.75" customHeight="1" x14ac:dyDescent="0.3">
      <c r="BB1036510" s="38"/>
    </row>
    <row r="1036511" spans="54:54" ht="15.75" customHeight="1" x14ac:dyDescent="0.3">
      <c r="BB1036511" s="38"/>
    </row>
    <row r="1036512" spans="54:54" ht="15.75" customHeight="1" x14ac:dyDescent="0.3">
      <c r="BB1036512" s="38"/>
    </row>
    <row r="1036513" spans="54:54" ht="15.75" customHeight="1" x14ac:dyDescent="0.3">
      <c r="BB1036513" s="38"/>
    </row>
    <row r="1036514" spans="54:54" ht="15.75" customHeight="1" x14ac:dyDescent="0.3">
      <c r="BB1036514" s="38"/>
    </row>
    <row r="1036515" spans="54:54" ht="15.75" customHeight="1" x14ac:dyDescent="0.3">
      <c r="BB1036515" s="38"/>
    </row>
    <row r="1036516" spans="54:54" ht="15.75" customHeight="1" x14ac:dyDescent="0.3">
      <c r="BB1036516" s="38"/>
    </row>
    <row r="1036517" spans="54:54" ht="15.75" customHeight="1" x14ac:dyDescent="0.3">
      <c r="BB1036517" s="38"/>
    </row>
    <row r="1036518" spans="54:54" ht="15.75" customHeight="1" x14ac:dyDescent="0.3">
      <c r="BB1036518" s="38"/>
    </row>
    <row r="1036519" spans="54:54" ht="15.75" customHeight="1" x14ac:dyDescent="0.3">
      <c r="BB1036519" s="38"/>
    </row>
    <row r="1036520" spans="54:54" ht="15.75" customHeight="1" x14ac:dyDescent="0.3">
      <c r="BB1036520" s="38"/>
    </row>
    <row r="1036521" spans="54:54" ht="15.75" customHeight="1" x14ac:dyDescent="0.3">
      <c r="BB1036521" s="38"/>
    </row>
    <row r="1036522" spans="54:54" ht="15.75" customHeight="1" x14ac:dyDescent="0.3">
      <c r="BB1036522" s="38"/>
    </row>
    <row r="1036523" spans="54:54" ht="15.75" customHeight="1" x14ac:dyDescent="0.3">
      <c r="BB1036523" s="38"/>
    </row>
    <row r="1036524" spans="54:54" ht="15.75" customHeight="1" x14ac:dyDescent="0.3">
      <c r="BB1036524" s="38"/>
    </row>
    <row r="1036525" spans="54:54" ht="15.75" customHeight="1" x14ac:dyDescent="0.3">
      <c r="BB1036525" s="38"/>
    </row>
    <row r="1036526" spans="54:54" ht="15.75" customHeight="1" x14ac:dyDescent="0.3">
      <c r="BB1036526" s="38"/>
    </row>
    <row r="1036527" spans="54:54" ht="15.75" customHeight="1" x14ac:dyDescent="0.3">
      <c r="BB1036527" s="38"/>
    </row>
    <row r="1036528" spans="54:54" ht="15.75" customHeight="1" x14ac:dyDescent="0.3">
      <c r="BB1036528" s="38"/>
    </row>
    <row r="1036529" spans="54:54" ht="15.75" customHeight="1" x14ac:dyDescent="0.3">
      <c r="BB1036529" s="38"/>
    </row>
    <row r="1036530" spans="54:54" ht="15.75" customHeight="1" x14ac:dyDescent="0.3">
      <c r="BB1036530" s="38"/>
    </row>
    <row r="1036531" spans="54:54" ht="15.75" customHeight="1" x14ac:dyDescent="0.3">
      <c r="BB1036531" s="38"/>
    </row>
    <row r="1036532" spans="54:54" ht="15.75" customHeight="1" x14ac:dyDescent="0.3">
      <c r="BB1036532" s="38"/>
    </row>
    <row r="1036533" spans="54:54" ht="15.75" customHeight="1" x14ac:dyDescent="0.3">
      <c r="BB1036533" s="38"/>
    </row>
    <row r="1036534" spans="54:54" ht="15.75" customHeight="1" x14ac:dyDescent="0.3">
      <c r="BB1036534" s="38"/>
    </row>
    <row r="1036535" spans="54:54" ht="15.75" customHeight="1" x14ac:dyDescent="0.3">
      <c r="BB1036535" s="38"/>
    </row>
    <row r="1036536" spans="54:54" ht="15.75" customHeight="1" x14ac:dyDescent="0.3">
      <c r="BB1036536" s="38"/>
    </row>
    <row r="1036537" spans="54:54" ht="15.75" customHeight="1" x14ac:dyDescent="0.3">
      <c r="BB1036537" s="38"/>
    </row>
    <row r="1036538" spans="54:54" ht="15.75" customHeight="1" x14ac:dyDescent="0.3">
      <c r="BB1036538" s="38"/>
    </row>
    <row r="1036539" spans="54:54" ht="15.75" customHeight="1" x14ac:dyDescent="0.3">
      <c r="BB1036539" s="38"/>
    </row>
    <row r="1036540" spans="54:54" ht="15.75" customHeight="1" x14ac:dyDescent="0.3">
      <c r="BB1036540" s="38"/>
    </row>
    <row r="1036541" spans="54:54" ht="15.75" customHeight="1" x14ac:dyDescent="0.3">
      <c r="BB1036541" s="38"/>
    </row>
    <row r="1036542" spans="54:54" ht="15.75" customHeight="1" x14ac:dyDescent="0.3">
      <c r="BB1036542" s="38"/>
    </row>
    <row r="1036543" spans="54:54" ht="15.75" customHeight="1" x14ac:dyDescent="0.3">
      <c r="BB1036543" s="38"/>
    </row>
    <row r="1036544" spans="54:54" ht="15.75" customHeight="1" x14ac:dyDescent="0.3">
      <c r="BB1036544" s="38"/>
    </row>
    <row r="1036545" spans="54:54" ht="15.75" customHeight="1" x14ac:dyDescent="0.3">
      <c r="BB1036545" s="38"/>
    </row>
    <row r="1036546" spans="54:54" ht="15.75" customHeight="1" x14ac:dyDescent="0.3">
      <c r="BB1036546" s="38"/>
    </row>
    <row r="1036547" spans="54:54" ht="15.75" customHeight="1" x14ac:dyDescent="0.3">
      <c r="BB1036547" s="38"/>
    </row>
    <row r="1036548" spans="54:54" ht="15.75" customHeight="1" x14ac:dyDescent="0.3">
      <c r="BB1036548" s="38"/>
    </row>
    <row r="1036549" spans="54:54" ht="15.75" customHeight="1" x14ac:dyDescent="0.3">
      <c r="BB1036549" s="38"/>
    </row>
    <row r="1036550" spans="54:54" ht="15.75" customHeight="1" x14ac:dyDescent="0.3">
      <c r="BB1036550" s="38"/>
    </row>
    <row r="1036551" spans="54:54" ht="15.75" customHeight="1" x14ac:dyDescent="0.3">
      <c r="BB1036551" s="38"/>
    </row>
    <row r="1036552" spans="54:54" ht="15.75" customHeight="1" x14ac:dyDescent="0.3">
      <c r="BB1036552" s="38"/>
    </row>
    <row r="1036553" spans="54:54" ht="15.75" customHeight="1" x14ac:dyDescent="0.3">
      <c r="BB1036553" s="38"/>
    </row>
    <row r="1036554" spans="54:54" ht="15.75" customHeight="1" x14ac:dyDescent="0.3">
      <c r="BB1036554" s="38"/>
    </row>
    <row r="1036555" spans="54:54" ht="15.75" customHeight="1" x14ac:dyDescent="0.3">
      <c r="BB1036555" s="38"/>
    </row>
    <row r="1036556" spans="54:54" ht="15.75" customHeight="1" x14ac:dyDescent="0.3">
      <c r="BB1036556" s="38"/>
    </row>
    <row r="1036557" spans="54:54" ht="15.75" customHeight="1" x14ac:dyDescent="0.3">
      <c r="BB1036557" s="38"/>
    </row>
    <row r="1036558" spans="54:54" ht="15.75" customHeight="1" x14ac:dyDescent="0.3">
      <c r="BB1036558" s="38"/>
    </row>
    <row r="1036559" spans="54:54" ht="15.75" customHeight="1" x14ac:dyDescent="0.3">
      <c r="BB1036559" s="38"/>
    </row>
    <row r="1036560" spans="54:54" ht="15.75" customHeight="1" x14ac:dyDescent="0.3">
      <c r="BB1036560" s="38"/>
    </row>
    <row r="1036561" spans="54:54" ht="15.75" customHeight="1" x14ac:dyDescent="0.3">
      <c r="BB1036561" s="38"/>
    </row>
    <row r="1036562" spans="54:54" ht="15.75" customHeight="1" x14ac:dyDescent="0.3">
      <c r="BB1036562" s="38"/>
    </row>
    <row r="1036563" spans="54:54" ht="15.75" customHeight="1" x14ac:dyDescent="0.3">
      <c r="BB1036563" s="38"/>
    </row>
    <row r="1036564" spans="54:54" ht="15.75" customHeight="1" x14ac:dyDescent="0.3">
      <c r="BB1036564" s="38"/>
    </row>
    <row r="1036565" spans="54:54" ht="15.75" customHeight="1" x14ac:dyDescent="0.3">
      <c r="BB1036565" s="38"/>
    </row>
    <row r="1036566" spans="54:54" ht="15.75" customHeight="1" x14ac:dyDescent="0.3">
      <c r="BB1036566" s="38"/>
    </row>
    <row r="1036567" spans="54:54" ht="15.75" customHeight="1" x14ac:dyDescent="0.3">
      <c r="BB1036567" s="38"/>
    </row>
    <row r="1036568" spans="54:54" ht="15.75" customHeight="1" x14ac:dyDescent="0.3">
      <c r="BB1036568" s="38"/>
    </row>
    <row r="1036569" spans="54:54" ht="15.75" customHeight="1" x14ac:dyDescent="0.3">
      <c r="BB1036569" s="38"/>
    </row>
    <row r="1036570" spans="54:54" ht="15.75" customHeight="1" x14ac:dyDescent="0.3">
      <c r="BB1036570" s="38"/>
    </row>
    <row r="1036571" spans="54:54" ht="15.75" customHeight="1" x14ac:dyDescent="0.3">
      <c r="BB1036571" s="38"/>
    </row>
    <row r="1036572" spans="54:54" ht="15.75" customHeight="1" x14ac:dyDescent="0.3">
      <c r="BB1036572" s="38"/>
    </row>
    <row r="1036573" spans="54:54" ht="15.75" customHeight="1" x14ac:dyDescent="0.3">
      <c r="BB1036573" s="38"/>
    </row>
    <row r="1036574" spans="54:54" ht="15.75" customHeight="1" x14ac:dyDescent="0.3">
      <c r="BB1036574" s="38"/>
    </row>
    <row r="1036575" spans="54:54" ht="15.75" customHeight="1" x14ac:dyDescent="0.3">
      <c r="BB1036575" s="38"/>
    </row>
    <row r="1036576" spans="54:54" ht="15.75" customHeight="1" x14ac:dyDescent="0.3">
      <c r="BB1036576" s="38"/>
    </row>
    <row r="1036577" spans="54:54" ht="15.75" customHeight="1" x14ac:dyDescent="0.3">
      <c r="BB1036577" s="38"/>
    </row>
    <row r="1036578" spans="54:54" ht="15.75" customHeight="1" x14ac:dyDescent="0.3">
      <c r="BB1036578" s="38"/>
    </row>
    <row r="1036579" spans="54:54" ht="15.75" customHeight="1" x14ac:dyDescent="0.3">
      <c r="BB1036579" s="38"/>
    </row>
    <row r="1036580" spans="54:54" ht="15.75" customHeight="1" x14ac:dyDescent="0.3">
      <c r="BB1036580" s="38"/>
    </row>
    <row r="1036581" spans="54:54" ht="15.75" customHeight="1" x14ac:dyDescent="0.3">
      <c r="BB1036581" s="38"/>
    </row>
    <row r="1036582" spans="54:54" ht="15.75" customHeight="1" x14ac:dyDescent="0.3">
      <c r="BB1036582" s="38"/>
    </row>
    <row r="1036583" spans="54:54" ht="15.75" customHeight="1" x14ac:dyDescent="0.3">
      <c r="BB1036583" s="38"/>
    </row>
    <row r="1036584" spans="54:54" ht="15.75" customHeight="1" x14ac:dyDescent="0.3">
      <c r="BB1036584" s="38"/>
    </row>
    <row r="1036585" spans="54:54" ht="15.75" customHeight="1" x14ac:dyDescent="0.3">
      <c r="BB1036585" s="38"/>
    </row>
    <row r="1036586" spans="54:54" ht="15.75" customHeight="1" x14ac:dyDescent="0.3">
      <c r="BB1036586" s="38"/>
    </row>
    <row r="1036587" spans="54:54" ht="15.75" customHeight="1" x14ac:dyDescent="0.3">
      <c r="BB1036587" s="38"/>
    </row>
    <row r="1036588" spans="54:54" ht="15.75" customHeight="1" x14ac:dyDescent="0.3">
      <c r="BB1036588" s="38"/>
    </row>
    <row r="1036589" spans="54:54" ht="15.75" customHeight="1" x14ac:dyDescent="0.3">
      <c r="BB1036589" s="38"/>
    </row>
    <row r="1036590" spans="54:54" ht="15.75" customHeight="1" x14ac:dyDescent="0.3">
      <c r="BB1036590" s="38"/>
    </row>
    <row r="1036591" spans="54:54" ht="15.75" customHeight="1" x14ac:dyDescent="0.3">
      <c r="BB1036591" s="38"/>
    </row>
    <row r="1036592" spans="54:54" ht="15.75" customHeight="1" x14ac:dyDescent="0.3">
      <c r="BB1036592" s="38"/>
    </row>
    <row r="1036593" spans="54:54" ht="15.75" customHeight="1" x14ac:dyDescent="0.3">
      <c r="BB1036593" s="38"/>
    </row>
    <row r="1036594" spans="54:54" ht="15.75" customHeight="1" x14ac:dyDescent="0.3">
      <c r="BB1036594" s="38"/>
    </row>
    <row r="1036595" spans="54:54" ht="15.75" customHeight="1" x14ac:dyDescent="0.3">
      <c r="BB1036595" s="38"/>
    </row>
    <row r="1036596" spans="54:54" ht="15.75" customHeight="1" x14ac:dyDescent="0.3">
      <c r="BB1036596" s="38"/>
    </row>
    <row r="1036597" spans="54:54" ht="15.75" customHeight="1" x14ac:dyDescent="0.3">
      <c r="BB1036597" s="38"/>
    </row>
    <row r="1036598" spans="54:54" ht="15.75" customHeight="1" x14ac:dyDescent="0.3">
      <c r="BB1036598" s="38"/>
    </row>
    <row r="1036599" spans="54:54" ht="15.75" customHeight="1" x14ac:dyDescent="0.3">
      <c r="BB1036599" s="38"/>
    </row>
    <row r="1036600" spans="54:54" ht="15.75" customHeight="1" x14ac:dyDescent="0.3">
      <c r="BB1036600" s="38"/>
    </row>
    <row r="1036601" spans="54:54" ht="15.75" customHeight="1" x14ac:dyDescent="0.3">
      <c r="BB1036601" s="38"/>
    </row>
    <row r="1036602" spans="54:54" ht="15.75" customHeight="1" x14ac:dyDescent="0.3">
      <c r="BB1036602" s="38"/>
    </row>
    <row r="1036603" spans="54:54" ht="15.75" customHeight="1" x14ac:dyDescent="0.3">
      <c r="BB1036603" s="38"/>
    </row>
    <row r="1036604" spans="54:54" ht="15.75" customHeight="1" x14ac:dyDescent="0.3">
      <c r="BB1036604" s="38"/>
    </row>
    <row r="1036605" spans="54:54" ht="15.75" customHeight="1" x14ac:dyDescent="0.3">
      <c r="BB1036605" s="38"/>
    </row>
    <row r="1036606" spans="54:54" ht="15.75" customHeight="1" x14ac:dyDescent="0.3">
      <c r="BB1036606" s="38"/>
    </row>
    <row r="1036607" spans="54:54" ht="15.75" customHeight="1" x14ac:dyDescent="0.3">
      <c r="BB1036607" s="38"/>
    </row>
    <row r="1036608" spans="54:54" ht="15.75" customHeight="1" x14ac:dyDescent="0.3">
      <c r="BB1036608" s="38"/>
    </row>
    <row r="1036609" spans="54:54" ht="15.75" customHeight="1" x14ac:dyDescent="0.3">
      <c r="BB1036609" s="38"/>
    </row>
    <row r="1036610" spans="54:54" ht="15.75" customHeight="1" x14ac:dyDescent="0.3">
      <c r="BB1036610" s="38"/>
    </row>
    <row r="1036611" spans="54:54" ht="15.75" customHeight="1" x14ac:dyDescent="0.3">
      <c r="BB1036611" s="38"/>
    </row>
    <row r="1036612" spans="54:54" ht="15.75" customHeight="1" x14ac:dyDescent="0.3">
      <c r="BB1036612" s="38"/>
    </row>
    <row r="1036613" spans="54:54" ht="15.75" customHeight="1" x14ac:dyDescent="0.3">
      <c r="BB1036613" s="38"/>
    </row>
    <row r="1036614" spans="54:54" ht="15.75" customHeight="1" x14ac:dyDescent="0.3">
      <c r="BB1036614" s="38"/>
    </row>
    <row r="1036615" spans="54:54" ht="15.75" customHeight="1" x14ac:dyDescent="0.3">
      <c r="BB1036615" s="38"/>
    </row>
    <row r="1036616" spans="54:54" ht="15.75" customHeight="1" x14ac:dyDescent="0.3">
      <c r="BB1036616" s="38"/>
    </row>
    <row r="1036617" spans="54:54" ht="15.75" customHeight="1" x14ac:dyDescent="0.3">
      <c r="BB1036617" s="38"/>
    </row>
    <row r="1036618" spans="54:54" ht="15.75" customHeight="1" x14ac:dyDescent="0.3">
      <c r="BB1036618" s="38"/>
    </row>
    <row r="1036619" spans="54:54" ht="15.75" customHeight="1" x14ac:dyDescent="0.3">
      <c r="BB1036619" s="38"/>
    </row>
    <row r="1036620" spans="54:54" ht="15.75" customHeight="1" x14ac:dyDescent="0.3">
      <c r="BB1036620" s="38"/>
    </row>
    <row r="1036621" spans="54:54" ht="15.75" customHeight="1" x14ac:dyDescent="0.3">
      <c r="BB1036621" s="38"/>
    </row>
    <row r="1036622" spans="54:54" ht="15.75" customHeight="1" x14ac:dyDescent="0.3">
      <c r="BB1036622" s="38"/>
    </row>
    <row r="1036623" spans="54:54" ht="15.75" customHeight="1" x14ac:dyDescent="0.3">
      <c r="BB1036623" s="38"/>
    </row>
    <row r="1036624" spans="54:54" ht="15.75" customHeight="1" x14ac:dyDescent="0.3">
      <c r="BB1036624" s="38"/>
    </row>
    <row r="1036625" spans="54:54" ht="15.75" customHeight="1" x14ac:dyDescent="0.3">
      <c r="BB1036625" s="38"/>
    </row>
    <row r="1036626" spans="54:54" ht="15.75" customHeight="1" x14ac:dyDescent="0.3">
      <c r="BB1036626" s="38"/>
    </row>
    <row r="1036627" spans="54:54" ht="15.75" customHeight="1" x14ac:dyDescent="0.3">
      <c r="BB1036627" s="38"/>
    </row>
    <row r="1036628" spans="54:54" ht="15.75" customHeight="1" x14ac:dyDescent="0.3">
      <c r="BB1036628" s="38"/>
    </row>
    <row r="1036629" spans="54:54" ht="15.75" customHeight="1" x14ac:dyDescent="0.3">
      <c r="BB1036629" s="38"/>
    </row>
    <row r="1036630" spans="54:54" ht="15.75" customHeight="1" x14ac:dyDescent="0.3">
      <c r="BB1036630" s="38"/>
    </row>
    <row r="1036631" spans="54:54" ht="15.75" customHeight="1" x14ac:dyDescent="0.3">
      <c r="BB1036631" s="38"/>
    </row>
    <row r="1036632" spans="54:54" ht="15.75" customHeight="1" x14ac:dyDescent="0.3">
      <c r="BB1036632" s="38"/>
    </row>
    <row r="1036633" spans="54:54" ht="15.75" customHeight="1" x14ac:dyDescent="0.3">
      <c r="BB1036633" s="38"/>
    </row>
    <row r="1036634" spans="54:54" ht="15.75" customHeight="1" x14ac:dyDescent="0.3">
      <c r="BB1036634" s="38"/>
    </row>
    <row r="1036635" spans="54:54" ht="15.75" customHeight="1" x14ac:dyDescent="0.3">
      <c r="BB1036635" s="38"/>
    </row>
    <row r="1036636" spans="54:54" ht="15.75" customHeight="1" x14ac:dyDescent="0.3">
      <c r="BB1036636" s="38"/>
    </row>
    <row r="1036637" spans="54:54" ht="15.75" customHeight="1" x14ac:dyDescent="0.3">
      <c r="BB1036637" s="38"/>
    </row>
    <row r="1036638" spans="54:54" ht="15.75" customHeight="1" x14ac:dyDescent="0.3">
      <c r="BB1036638" s="38"/>
    </row>
    <row r="1036639" spans="54:54" ht="15.75" customHeight="1" x14ac:dyDescent="0.3">
      <c r="BB1036639" s="38"/>
    </row>
    <row r="1036640" spans="54:54" ht="15.75" customHeight="1" x14ac:dyDescent="0.3">
      <c r="BB1036640" s="38"/>
    </row>
    <row r="1036641" spans="54:54" ht="15.75" customHeight="1" x14ac:dyDescent="0.3">
      <c r="BB1036641" s="38"/>
    </row>
    <row r="1036642" spans="54:54" ht="15.75" customHeight="1" x14ac:dyDescent="0.3">
      <c r="BB1036642" s="38"/>
    </row>
    <row r="1036643" spans="54:54" ht="15.75" customHeight="1" x14ac:dyDescent="0.3">
      <c r="BB1036643" s="38"/>
    </row>
    <row r="1036644" spans="54:54" ht="15.75" customHeight="1" x14ac:dyDescent="0.3">
      <c r="BB1036644" s="38"/>
    </row>
    <row r="1036645" spans="54:54" ht="15.75" customHeight="1" x14ac:dyDescent="0.3">
      <c r="BB1036645" s="38"/>
    </row>
    <row r="1036646" spans="54:54" ht="15.75" customHeight="1" x14ac:dyDescent="0.3">
      <c r="BB1036646" s="38"/>
    </row>
    <row r="1036647" spans="54:54" ht="15.75" customHeight="1" x14ac:dyDescent="0.3">
      <c r="BB1036647" s="38"/>
    </row>
    <row r="1036648" spans="54:54" ht="15.75" customHeight="1" x14ac:dyDescent="0.3">
      <c r="BB1036648" s="38"/>
    </row>
    <row r="1036649" spans="54:54" ht="15.75" customHeight="1" x14ac:dyDescent="0.3">
      <c r="BB1036649" s="38"/>
    </row>
    <row r="1036650" spans="54:54" ht="15.75" customHeight="1" x14ac:dyDescent="0.3">
      <c r="BB1036650" s="38"/>
    </row>
    <row r="1036651" spans="54:54" ht="15.75" customHeight="1" x14ac:dyDescent="0.3">
      <c r="BB1036651" s="38"/>
    </row>
    <row r="1036652" spans="54:54" ht="15.75" customHeight="1" x14ac:dyDescent="0.3">
      <c r="BB1036652" s="38"/>
    </row>
    <row r="1036653" spans="54:54" ht="15.75" customHeight="1" x14ac:dyDescent="0.3">
      <c r="BB1036653" s="38"/>
    </row>
    <row r="1036654" spans="54:54" ht="15.75" customHeight="1" x14ac:dyDescent="0.3">
      <c r="BB1036654" s="38"/>
    </row>
    <row r="1036655" spans="54:54" ht="15.75" customHeight="1" x14ac:dyDescent="0.3">
      <c r="BB1036655" s="38"/>
    </row>
    <row r="1036656" spans="54:54" ht="15.75" customHeight="1" x14ac:dyDescent="0.3">
      <c r="BB1036656" s="38"/>
    </row>
    <row r="1036657" spans="54:54" ht="15.75" customHeight="1" x14ac:dyDescent="0.3">
      <c r="BB1036657" s="38"/>
    </row>
    <row r="1036658" spans="54:54" ht="15.75" customHeight="1" x14ac:dyDescent="0.3">
      <c r="BB1036658" s="38"/>
    </row>
    <row r="1036659" spans="54:54" ht="15.75" customHeight="1" x14ac:dyDescent="0.3">
      <c r="BB1036659" s="38"/>
    </row>
    <row r="1036660" spans="54:54" ht="15.75" customHeight="1" x14ac:dyDescent="0.3">
      <c r="BB1036660" s="38"/>
    </row>
    <row r="1036661" spans="54:54" ht="15.75" customHeight="1" x14ac:dyDescent="0.3">
      <c r="BB1036661" s="38"/>
    </row>
    <row r="1036662" spans="54:54" ht="15.75" customHeight="1" x14ac:dyDescent="0.3">
      <c r="BB1036662" s="38"/>
    </row>
    <row r="1036663" spans="54:54" ht="15.75" customHeight="1" x14ac:dyDescent="0.3">
      <c r="BB1036663" s="38"/>
    </row>
    <row r="1036664" spans="54:54" ht="15.75" customHeight="1" x14ac:dyDescent="0.3">
      <c r="BB1036664" s="38"/>
    </row>
    <row r="1036665" spans="54:54" ht="15.75" customHeight="1" x14ac:dyDescent="0.3">
      <c r="BB1036665" s="38"/>
    </row>
    <row r="1036666" spans="54:54" ht="15.75" customHeight="1" x14ac:dyDescent="0.3">
      <c r="BB1036666" s="38"/>
    </row>
    <row r="1036667" spans="54:54" ht="15.75" customHeight="1" x14ac:dyDescent="0.3">
      <c r="BB1036667" s="38"/>
    </row>
    <row r="1036668" spans="54:54" ht="15.75" customHeight="1" x14ac:dyDescent="0.3">
      <c r="BB1036668" s="38"/>
    </row>
    <row r="1036669" spans="54:54" ht="15.75" customHeight="1" x14ac:dyDescent="0.3">
      <c r="BB1036669" s="38"/>
    </row>
    <row r="1036670" spans="54:54" ht="15.75" customHeight="1" x14ac:dyDescent="0.3">
      <c r="BB1036670" s="38"/>
    </row>
    <row r="1036671" spans="54:54" ht="15.75" customHeight="1" x14ac:dyDescent="0.3">
      <c r="BB1036671" s="38"/>
    </row>
    <row r="1036672" spans="54:54" ht="15.75" customHeight="1" x14ac:dyDescent="0.3">
      <c r="BB1036672" s="38"/>
    </row>
    <row r="1036673" spans="54:54" ht="15.75" customHeight="1" x14ac:dyDescent="0.3">
      <c r="BB1036673" s="38"/>
    </row>
    <row r="1036674" spans="54:54" ht="15.75" customHeight="1" x14ac:dyDescent="0.3">
      <c r="BB1036674" s="38"/>
    </row>
    <row r="1036675" spans="54:54" ht="15.75" customHeight="1" x14ac:dyDescent="0.3">
      <c r="BB1036675" s="38"/>
    </row>
    <row r="1036676" spans="54:54" ht="15.75" customHeight="1" x14ac:dyDescent="0.3">
      <c r="BB1036676" s="38"/>
    </row>
    <row r="1036677" spans="54:54" ht="15.75" customHeight="1" x14ac:dyDescent="0.3">
      <c r="BB1036677" s="38"/>
    </row>
    <row r="1036678" spans="54:54" ht="15.75" customHeight="1" x14ac:dyDescent="0.3">
      <c r="BB1036678" s="38"/>
    </row>
    <row r="1036679" spans="54:54" ht="15.75" customHeight="1" x14ac:dyDescent="0.3">
      <c r="BB1036679" s="38"/>
    </row>
    <row r="1036680" spans="54:54" ht="15.75" customHeight="1" x14ac:dyDescent="0.3">
      <c r="BB1036680" s="38"/>
    </row>
    <row r="1036681" spans="54:54" ht="15.75" customHeight="1" x14ac:dyDescent="0.3">
      <c r="BB1036681" s="38"/>
    </row>
    <row r="1036682" spans="54:54" ht="15.75" customHeight="1" x14ac:dyDescent="0.3">
      <c r="BB1036682" s="38"/>
    </row>
    <row r="1036683" spans="54:54" ht="15.75" customHeight="1" x14ac:dyDescent="0.3">
      <c r="BB1036683" s="38"/>
    </row>
    <row r="1036684" spans="54:54" ht="15.75" customHeight="1" x14ac:dyDescent="0.3">
      <c r="BB1036684" s="38"/>
    </row>
    <row r="1036685" spans="54:54" ht="15.75" customHeight="1" x14ac:dyDescent="0.3">
      <c r="BB1036685" s="38"/>
    </row>
    <row r="1036686" spans="54:54" ht="15.75" customHeight="1" x14ac:dyDescent="0.3">
      <c r="BB1036686" s="38"/>
    </row>
    <row r="1036687" spans="54:54" ht="15.75" customHeight="1" x14ac:dyDescent="0.3">
      <c r="BB1036687" s="38"/>
    </row>
    <row r="1036688" spans="54:54" ht="15.75" customHeight="1" x14ac:dyDescent="0.3">
      <c r="BB1036688" s="38"/>
    </row>
    <row r="1036689" spans="54:54" ht="15.75" customHeight="1" x14ac:dyDescent="0.3">
      <c r="BB1036689" s="38"/>
    </row>
    <row r="1036690" spans="54:54" ht="15.75" customHeight="1" x14ac:dyDescent="0.3">
      <c r="BB1036690" s="38"/>
    </row>
    <row r="1036691" spans="54:54" ht="15.75" customHeight="1" x14ac:dyDescent="0.3">
      <c r="BB1036691" s="38"/>
    </row>
    <row r="1036692" spans="54:54" ht="15.75" customHeight="1" x14ac:dyDescent="0.3">
      <c r="BB1036692" s="38"/>
    </row>
    <row r="1036693" spans="54:54" ht="15.75" customHeight="1" x14ac:dyDescent="0.3">
      <c r="BB1036693" s="38"/>
    </row>
    <row r="1036694" spans="54:54" ht="15.75" customHeight="1" x14ac:dyDescent="0.3">
      <c r="BB1036694" s="38"/>
    </row>
    <row r="1036695" spans="54:54" ht="15.75" customHeight="1" x14ac:dyDescent="0.3">
      <c r="BB1036695" s="38"/>
    </row>
    <row r="1036696" spans="54:54" ht="15.75" customHeight="1" x14ac:dyDescent="0.3">
      <c r="BB1036696" s="38"/>
    </row>
    <row r="1036697" spans="54:54" ht="15.75" customHeight="1" x14ac:dyDescent="0.3">
      <c r="BB1036697" s="38"/>
    </row>
    <row r="1036698" spans="54:54" ht="15.75" customHeight="1" x14ac:dyDescent="0.3">
      <c r="BB1036698" s="38"/>
    </row>
    <row r="1036699" spans="54:54" ht="15.75" customHeight="1" x14ac:dyDescent="0.3">
      <c r="BB1036699" s="38"/>
    </row>
    <row r="1036700" spans="54:54" ht="15.75" customHeight="1" x14ac:dyDescent="0.3">
      <c r="BB1036700" s="38"/>
    </row>
    <row r="1036701" spans="54:54" ht="15.75" customHeight="1" x14ac:dyDescent="0.3">
      <c r="BB1036701" s="38"/>
    </row>
    <row r="1036702" spans="54:54" ht="15.75" customHeight="1" x14ac:dyDescent="0.3">
      <c r="BB1036702" s="38"/>
    </row>
    <row r="1036703" spans="54:54" ht="15.75" customHeight="1" x14ac:dyDescent="0.3">
      <c r="BB1036703" s="38"/>
    </row>
    <row r="1036704" spans="54:54" ht="15.75" customHeight="1" x14ac:dyDescent="0.3">
      <c r="BB1036704" s="38"/>
    </row>
    <row r="1036705" spans="54:54" ht="15.75" customHeight="1" x14ac:dyDescent="0.3">
      <c r="BB1036705" s="38"/>
    </row>
    <row r="1036706" spans="54:54" ht="15.75" customHeight="1" x14ac:dyDescent="0.3">
      <c r="BB1036706" s="38"/>
    </row>
    <row r="1036707" spans="54:54" ht="15.75" customHeight="1" x14ac:dyDescent="0.3">
      <c r="BB1036707" s="38"/>
    </row>
    <row r="1036708" spans="54:54" ht="15.75" customHeight="1" x14ac:dyDescent="0.3">
      <c r="BB1036708" s="38"/>
    </row>
    <row r="1036709" spans="54:54" ht="15.75" customHeight="1" x14ac:dyDescent="0.3">
      <c r="BB1036709" s="38"/>
    </row>
    <row r="1036710" spans="54:54" ht="15.75" customHeight="1" x14ac:dyDescent="0.3">
      <c r="BB1036710" s="38"/>
    </row>
    <row r="1036711" spans="54:54" ht="15.75" customHeight="1" x14ac:dyDescent="0.3">
      <c r="BB1036711" s="38"/>
    </row>
    <row r="1036712" spans="54:54" ht="15.75" customHeight="1" x14ac:dyDescent="0.3">
      <c r="BB1036712" s="38"/>
    </row>
    <row r="1036713" spans="54:54" ht="15.75" customHeight="1" x14ac:dyDescent="0.3">
      <c r="BB1036713" s="38"/>
    </row>
    <row r="1036714" spans="54:54" ht="15.75" customHeight="1" x14ac:dyDescent="0.3">
      <c r="BB1036714" s="38"/>
    </row>
    <row r="1036715" spans="54:54" ht="15.75" customHeight="1" x14ac:dyDescent="0.3">
      <c r="BB1036715" s="38"/>
    </row>
    <row r="1036716" spans="54:54" ht="15.75" customHeight="1" x14ac:dyDescent="0.3">
      <c r="BB1036716" s="38"/>
    </row>
    <row r="1036717" spans="54:54" ht="15.75" customHeight="1" x14ac:dyDescent="0.3">
      <c r="BB1036717" s="38"/>
    </row>
    <row r="1036718" spans="54:54" ht="15.75" customHeight="1" x14ac:dyDescent="0.3">
      <c r="BB1036718" s="38"/>
    </row>
    <row r="1036719" spans="54:54" ht="15.75" customHeight="1" x14ac:dyDescent="0.3">
      <c r="BB1036719" s="38"/>
    </row>
    <row r="1036720" spans="54:54" ht="15.75" customHeight="1" x14ac:dyDescent="0.3">
      <c r="BB1036720" s="38"/>
    </row>
    <row r="1036721" spans="54:54" ht="15.75" customHeight="1" x14ac:dyDescent="0.3">
      <c r="BB1036721" s="38"/>
    </row>
    <row r="1036722" spans="54:54" ht="15.75" customHeight="1" x14ac:dyDescent="0.3">
      <c r="BB1036722" s="38"/>
    </row>
    <row r="1036723" spans="54:54" ht="15.75" customHeight="1" x14ac:dyDescent="0.3">
      <c r="BB1036723" s="38"/>
    </row>
    <row r="1036724" spans="54:54" ht="15.75" customHeight="1" x14ac:dyDescent="0.3">
      <c r="BB1036724" s="38"/>
    </row>
    <row r="1036725" spans="54:54" ht="15.75" customHeight="1" x14ac:dyDescent="0.3">
      <c r="BB1036725" s="38"/>
    </row>
    <row r="1036726" spans="54:54" ht="15.75" customHeight="1" x14ac:dyDescent="0.3">
      <c r="BB1036726" s="38"/>
    </row>
    <row r="1036727" spans="54:54" ht="15.75" customHeight="1" x14ac:dyDescent="0.3">
      <c r="BB1036727" s="38"/>
    </row>
    <row r="1036728" spans="54:54" ht="15.75" customHeight="1" x14ac:dyDescent="0.3">
      <c r="BB1036728" s="38"/>
    </row>
    <row r="1036729" spans="54:54" ht="15.75" customHeight="1" x14ac:dyDescent="0.3">
      <c r="BB1036729" s="38"/>
    </row>
    <row r="1036730" spans="54:54" ht="15.75" customHeight="1" x14ac:dyDescent="0.3">
      <c r="BB1036730" s="38"/>
    </row>
    <row r="1036731" spans="54:54" ht="15.75" customHeight="1" x14ac:dyDescent="0.3">
      <c r="BB1036731" s="38"/>
    </row>
    <row r="1036732" spans="54:54" ht="15.75" customHeight="1" x14ac:dyDescent="0.3">
      <c r="BB1036732" s="38"/>
    </row>
    <row r="1036733" spans="54:54" ht="15.75" customHeight="1" x14ac:dyDescent="0.3">
      <c r="BB1036733" s="38"/>
    </row>
    <row r="1036734" spans="54:54" ht="15.75" customHeight="1" x14ac:dyDescent="0.3">
      <c r="BB1036734" s="38"/>
    </row>
    <row r="1036735" spans="54:54" ht="15.75" customHeight="1" x14ac:dyDescent="0.3">
      <c r="BB1036735" s="38"/>
    </row>
    <row r="1036736" spans="54:54" ht="15.75" customHeight="1" x14ac:dyDescent="0.3">
      <c r="BB1036736" s="38"/>
    </row>
    <row r="1036737" spans="54:54" ht="15.75" customHeight="1" x14ac:dyDescent="0.3">
      <c r="BB1036737" s="38"/>
    </row>
    <row r="1036738" spans="54:54" ht="15.75" customHeight="1" x14ac:dyDescent="0.3">
      <c r="BB1036738" s="38"/>
    </row>
    <row r="1036739" spans="54:54" ht="15.75" customHeight="1" x14ac:dyDescent="0.3">
      <c r="BB1036739" s="38"/>
    </row>
    <row r="1036740" spans="54:54" ht="15.75" customHeight="1" x14ac:dyDescent="0.3">
      <c r="BB1036740" s="38"/>
    </row>
    <row r="1036741" spans="54:54" ht="15.75" customHeight="1" x14ac:dyDescent="0.3">
      <c r="BB1036741" s="38"/>
    </row>
    <row r="1036742" spans="54:54" ht="15.75" customHeight="1" x14ac:dyDescent="0.3">
      <c r="BB1036742" s="38"/>
    </row>
    <row r="1036743" spans="54:54" ht="15.75" customHeight="1" x14ac:dyDescent="0.3">
      <c r="BB1036743" s="38"/>
    </row>
    <row r="1036744" spans="54:54" ht="15.75" customHeight="1" x14ac:dyDescent="0.3">
      <c r="BB1036744" s="38"/>
    </row>
    <row r="1036745" spans="54:54" ht="15.75" customHeight="1" x14ac:dyDescent="0.3">
      <c r="BB1036745" s="38"/>
    </row>
    <row r="1036746" spans="54:54" ht="15.75" customHeight="1" x14ac:dyDescent="0.3">
      <c r="BB1036746" s="38"/>
    </row>
    <row r="1036747" spans="54:54" ht="15.75" customHeight="1" x14ac:dyDescent="0.3">
      <c r="BB1036747" s="38"/>
    </row>
    <row r="1036748" spans="54:54" ht="15.75" customHeight="1" x14ac:dyDescent="0.3">
      <c r="BB1036748" s="38"/>
    </row>
    <row r="1036749" spans="54:54" ht="15.75" customHeight="1" x14ac:dyDescent="0.3">
      <c r="BB1036749" s="38"/>
    </row>
    <row r="1036750" spans="54:54" ht="15.75" customHeight="1" x14ac:dyDescent="0.3">
      <c r="BB1036750" s="38"/>
    </row>
    <row r="1036751" spans="54:54" ht="15.75" customHeight="1" x14ac:dyDescent="0.3">
      <c r="BB1036751" s="38"/>
    </row>
    <row r="1036752" spans="54:54" ht="15.75" customHeight="1" x14ac:dyDescent="0.3">
      <c r="BB1036752" s="38"/>
    </row>
    <row r="1036753" spans="54:54" ht="15.75" customHeight="1" x14ac:dyDescent="0.3">
      <c r="BB1036753" s="38"/>
    </row>
    <row r="1036754" spans="54:54" ht="15.75" customHeight="1" x14ac:dyDescent="0.3">
      <c r="BB1036754" s="38"/>
    </row>
    <row r="1036755" spans="54:54" ht="15.75" customHeight="1" x14ac:dyDescent="0.3">
      <c r="BB1036755" s="38"/>
    </row>
    <row r="1036756" spans="54:54" ht="15.75" customHeight="1" x14ac:dyDescent="0.3">
      <c r="BB1036756" s="38"/>
    </row>
    <row r="1036757" spans="54:54" ht="15.75" customHeight="1" x14ac:dyDescent="0.3">
      <c r="BB1036757" s="38"/>
    </row>
    <row r="1036758" spans="54:54" ht="15.75" customHeight="1" x14ac:dyDescent="0.3">
      <c r="BB1036758" s="38"/>
    </row>
    <row r="1036759" spans="54:54" ht="15.75" customHeight="1" x14ac:dyDescent="0.3">
      <c r="BB1036759" s="38"/>
    </row>
    <row r="1036760" spans="54:54" ht="15.75" customHeight="1" x14ac:dyDescent="0.3">
      <c r="BB1036760" s="38"/>
    </row>
    <row r="1036761" spans="54:54" ht="15.75" customHeight="1" x14ac:dyDescent="0.3">
      <c r="BB1036761" s="38"/>
    </row>
    <row r="1036762" spans="54:54" ht="15.75" customHeight="1" x14ac:dyDescent="0.3">
      <c r="BB1036762" s="38"/>
    </row>
    <row r="1036763" spans="54:54" ht="15.75" customHeight="1" x14ac:dyDescent="0.3">
      <c r="BB1036763" s="38"/>
    </row>
    <row r="1036764" spans="54:54" ht="15.75" customHeight="1" x14ac:dyDescent="0.3">
      <c r="BB1036764" s="38"/>
    </row>
    <row r="1036765" spans="54:54" ht="15.75" customHeight="1" x14ac:dyDescent="0.3">
      <c r="BB1036765" s="38"/>
    </row>
    <row r="1036766" spans="54:54" ht="15.75" customHeight="1" x14ac:dyDescent="0.3">
      <c r="BB1036766" s="38"/>
    </row>
    <row r="1036767" spans="54:54" ht="15.75" customHeight="1" x14ac:dyDescent="0.3">
      <c r="BB1036767" s="38"/>
    </row>
    <row r="1036768" spans="54:54" ht="15.75" customHeight="1" x14ac:dyDescent="0.3">
      <c r="BB1036768" s="38"/>
    </row>
    <row r="1036769" spans="54:54" ht="15.75" customHeight="1" x14ac:dyDescent="0.3">
      <c r="BB1036769" s="38"/>
    </row>
    <row r="1036770" spans="54:54" ht="15.75" customHeight="1" x14ac:dyDescent="0.3">
      <c r="BB1036770" s="38"/>
    </row>
    <row r="1036771" spans="54:54" ht="15.75" customHeight="1" x14ac:dyDescent="0.3">
      <c r="BB1036771" s="38"/>
    </row>
    <row r="1036772" spans="54:54" ht="15.75" customHeight="1" x14ac:dyDescent="0.3">
      <c r="BB1036772" s="38"/>
    </row>
    <row r="1036773" spans="54:54" ht="15.75" customHeight="1" x14ac:dyDescent="0.3">
      <c r="BB1036773" s="38"/>
    </row>
    <row r="1036774" spans="54:54" ht="15.75" customHeight="1" x14ac:dyDescent="0.3">
      <c r="BB1036774" s="38"/>
    </row>
    <row r="1036775" spans="54:54" ht="15.75" customHeight="1" x14ac:dyDescent="0.3">
      <c r="BB1036775" s="38"/>
    </row>
    <row r="1036776" spans="54:54" ht="15.75" customHeight="1" x14ac:dyDescent="0.3">
      <c r="BB1036776" s="38"/>
    </row>
    <row r="1036777" spans="54:54" ht="15.75" customHeight="1" x14ac:dyDescent="0.3">
      <c r="BB1036777" s="38"/>
    </row>
    <row r="1036778" spans="54:54" ht="15.75" customHeight="1" x14ac:dyDescent="0.3">
      <c r="BB1036778" s="38"/>
    </row>
    <row r="1036779" spans="54:54" ht="15.75" customHeight="1" x14ac:dyDescent="0.3">
      <c r="BB1036779" s="38"/>
    </row>
    <row r="1036780" spans="54:54" ht="15.75" customHeight="1" x14ac:dyDescent="0.3">
      <c r="BB1036780" s="38"/>
    </row>
    <row r="1036781" spans="54:54" ht="15.75" customHeight="1" x14ac:dyDescent="0.3">
      <c r="BB1036781" s="38"/>
    </row>
    <row r="1036782" spans="54:54" ht="15.75" customHeight="1" x14ac:dyDescent="0.3">
      <c r="BB1036782" s="38"/>
    </row>
    <row r="1036783" spans="54:54" ht="15.75" customHeight="1" x14ac:dyDescent="0.3">
      <c r="BB1036783" s="38"/>
    </row>
    <row r="1036784" spans="54:54" ht="15.75" customHeight="1" x14ac:dyDescent="0.3">
      <c r="BB1036784" s="38"/>
    </row>
    <row r="1036785" spans="54:54" ht="15.75" customHeight="1" x14ac:dyDescent="0.3">
      <c r="BB1036785" s="38"/>
    </row>
    <row r="1036786" spans="54:54" ht="15.75" customHeight="1" x14ac:dyDescent="0.3">
      <c r="BB1036786" s="38"/>
    </row>
    <row r="1036787" spans="54:54" ht="15.75" customHeight="1" x14ac:dyDescent="0.3">
      <c r="BB1036787" s="38"/>
    </row>
    <row r="1036788" spans="54:54" ht="15.75" customHeight="1" x14ac:dyDescent="0.3">
      <c r="BB1036788" s="38"/>
    </row>
    <row r="1036789" spans="54:54" ht="15.75" customHeight="1" x14ac:dyDescent="0.3">
      <c r="BB1036789" s="38"/>
    </row>
    <row r="1036790" spans="54:54" ht="15.75" customHeight="1" x14ac:dyDescent="0.3">
      <c r="BB1036790" s="38"/>
    </row>
    <row r="1036791" spans="54:54" ht="15.75" customHeight="1" x14ac:dyDescent="0.3">
      <c r="BB1036791" s="38"/>
    </row>
    <row r="1036792" spans="54:54" ht="15.75" customHeight="1" x14ac:dyDescent="0.3">
      <c r="BB1036792" s="38"/>
    </row>
    <row r="1036793" spans="54:54" ht="15.75" customHeight="1" x14ac:dyDescent="0.3">
      <c r="BB1036793" s="38"/>
    </row>
    <row r="1036794" spans="54:54" ht="15.75" customHeight="1" x14ac:dyDescent="0.3">
      <c r="BB1036794" s="38"/>
    </row>
    <row r="1036795" spans="54:54" ht="15.75" customHeight="1" x14ac:dyDescent="0.3">
      <c r="BB1036795" s="38"/>
    </row>
    <row r="1036796" spans="54:54" ht="15.75" customHeight="1" x14ac:dyDescent="0.3">
      <c r="BB1036796" s="38"/>
    </row>
    <row r="1036797" spans="54:54" ht="15.75" customHeight="1" x14ac:dyDescent="0.3">
      <c r="BB1036797" s="38"/>
    </row>
    <row r="1036798" spans="54:54" ht="15.75" customHeight="1" x14ac:dyDescent="0.3">
      <c r="BB1036798" s="38"/>
    </row>
    <row r="1036799" spans="54:54" ht="15.75" customHeight="1" x14ac:dyDescent="0.3">
      <c r="BB1036799" s="38"/>
    </row>
    <row r="1036800" spans="54:54" ht="15.75" customHeight="1" x14ac:dyDescent="0.3">
      <c r="BB1036800" s="38"/>
    </row>
    <row r="1036801" spans="54:54" ht="15.75" customHeight="1" x14ac:dyDescent="0.3">
      <c r="BB1036801" s="38"/>
    </row>
    <row r="1036802" spans="54:54" ht="15.75" customHeight="1" x14ac:dyDescent="0.3">
      <c r="BB1036802" s="38"/>
    </row>
    <row r="1036803" spans="54:54" ht="15.75" customHeight="1" x14ac:dyDescent="0.3">
      <c r="BB1036803" s="38"/>
    </row>
    <row r="1036804" spans="54:54" ht="15.75" customHeight="1" x14ac:dyDescent="0.3">
      <c r="BB1036804" s="38"/>
    </row>
    <row r="1036805" spans="54:54" ht="15.75" customHeight="1" x14ac:dyDescent="0.3">
      <c r="BB1036805" s="38"/>
    </row>
    <row r="1036806" spans="54:54" ht="15.75" customHeight="1" x14ac:dyDescent="0.3">
      <c r="BB1036806" s="38"/>
    </row>
    <row r="1036807" spans="54:54" ht="15.75" customHeight="1" x14ac:dyDescent="0.3">
      <c r="BB1036807" s="38"/>
    </row>
    <row r="1036808" spans="54:54" ht="15.75" customHeight="1" x14ac:dyDescent="0.3">
      <c r="BB1036808" s="38"/>
    </row>
    <row r="1036809" spans="54:54" ht="15.75" customHeight="1" x14ac:dyDescent="0.3">
      <c r="BB1036809" s="38"/>
    </row>
    <row r="1036810" spans="54:54" ht="15.75" customHeight="1" x14ac:dyDescent="0.3">
      <c r="BB1036810" s="38"/>
    </row>
    <row r="1036811" spans="54:54" ht="15.75" customHeight="1" x14ac:dyDescent="0.3">
      <c r="BB1036811" s="38"/>
    </row>
    <row r="1036812" spans="54:54" ht="15.75" customHeight="1" x14ac:dyDescent="0.3">
      <c r="BB1036812" s="38"/>
    </row>
    <row r="1036813" spans="54:54" ht="15.75" customHeight="1" x14ac:dyDescent="0.3">
      <c r="BB1036813" s="38"/>
    </row>
    <row r="1036814" spans="54:54" ht="15.75" customHeight="1" x14ac:dyDescent="0.3">
      <c r="BB1036814" s="38"/>
    </row>
    <row r="1036815" spans="54:54" ht="15.75" customHeight="1" x14ac:dyDescent="0.3">
      <c r="BB1036815" s="38"/>
    </row>
    <row r="1036816" spans="54:54" ht="15.75" customHeight="1" x14ac:dyDescent="0.3">
      <c r="BB1036816" s="38"/>
    </row>
    <row r="1036817" spans="54:54" ht="15.75" customHeight="1" x14ac:dyDescent="0.3">
      <c r="BB1036817" s="38"/>
    </row>
    <row r="1036818" spans="54:54" ht="15.75" customHeight="1" x14ac:dyDescent="0.3">
      <c r="BB1036818" s="38"/>
    </row>
    <row r="1036819" spans="54:54" ht="15.75" customHeight="1" x14ac:dyDescent="0.3">
      <c r="BB1036819" s="38"/>
    </row>
    <row r="1036820" spans="54:54" ht="15.75" customHeight="1" x14ac:dyDescent="0.3">
      <c r="BB1036820" s="38"/>
    </row>
    <row r="1036821" spans="54:54" ht="15.75" customHeight="1" x14ac:dyDescent="0.3">
      <c r="BB1036821" s="38"/>
    </row>
    <row r="1036822" spans="54:54" ht="15.75" customHeight="1" x14ac:dyDescent="0.3">
      <c r="BB1036822" s="38"/>
    </row>
    <row r="1036823" spans="54:54" ht="15.75" customHeight="1" x14ac:dyDescent="0.3">
      <c r="BB1036823" s="38"/>
    </row>
    <row r="1036824" spans="54:54" ht="15.75" customHeight="1" x14ac:dyDescent="0.3">
      <c r="BB1036824" s="38"/>
    </row>
    <row r="1036825" spans="54:54" ht="15.75" customHeight="1" x14ac:dyDescent="0.3">
      <c r="BB1036825" s="38"/>
    </row>
    <row r="1036826" spans="54:54" ht="15.75" customHeight="1" x14ac:dyDescent="0.3">
      <c r="BB1036826" s="38"/>
    </row>
    <row r="1036827" spans="54:54" ht="15.75" customHeight="1" x14ac:dyDescent="0.3">
      <c r="BB1036827" s="38"/>
    </row>
    <row r="1036828" spans="54:54" ht="15.75" customHeight="1" x14ac:dyDescent="0.3">
      <c r="BB1036828" s="38"/>
    </row>
    <row r="1036829" spans="54:54" ht="15.75" customHeight="1" x14ac:dyDescent="0.3">
      <c r="BB1036829" s="38"/>
    </row>
    <row r="1036830" spans="54:54" ht="15.75" customHeight="1" x14ac:dyDescent="0.3">
      <c r="BB1036830" s="38"/>
    </row>
    <row r="1036831" spans="54:54" ht="15.75" customHeight="1" x14ac:dyDescent="0.3">
      <c r="BB1036831" s="38"/>
    </row>
    <row r="1036832" spans="54:54" ht="15.75" customHeight="1" x14ac:dyDescent="0.3">
      <c r="BB1036832" s="38"/>
    </row>
    <row r="1036833" spans="54:54" ht="15.75" customHeight="1" x14ac:dyDescent="0.3">
      <c r="BB1036833" s="38"/>
    </row>
    <row r="1036834" spans="54:54" ht="15.75" customHeight="1" x14ac:dyDescent="0.3">
      <c r="BB1036834" s="38"/>
    </row>
    <row r="1036835" spans="54:54" ht="15.75" customHeight="1" x14ac:dyDescent="0.3">
      <c r="BB1036835" s="38"/>
    </row>
    <row r="1036836" spans="54:54" ht="15.75" customHeight="1" x14ac:dyDescent="0.3">
      <c r="BB1036836" s="38"/>
    </row>
    <row r="1036837" spans="54:54" ht="15.75" customHeight="1" x14ac:dyDescent="0.3">
      <c r="BB1036837" s="38"/>
    </row>
    <row r="1036838" spans="54:54" ht="15.75" customHeight="1" x14ac:dyDescent="0.3">
      <c r="BB1036838" s="38"/>
    </row>
    <row r="1036839" spans="54:54" ht="15.75" customHeight="1" x14ac:dyDescent="0.3">
      <c r="BB1036839" s="38"/>
    </row>
    <row r="1036840" spans="54:54" ht="15.75" customHeight="1" x14ac:dyDescent="0.3">
      <c r="BB1036840" s="38"/>
    </row>
    <row r="1036841" spans="54:54" ht="15.75" customHeight="1" x14ac:dyDescent="0.3">
      <c r="BB1036841" s="38"/>
    </row>
    <row r="1036842" spans="54:54" ht="15.75" customHeight="1" x14ac:dyDescent="0.3">
      <c r="BB1036842" s="38"/>
    </row>
    <row r="1036843" spans="54:54" ht="15.75" customHeight="1" x14ac:dyDescent="0.3">
      <c r="BB1036843" s="38"/>
    </row>
    <row r="1036844" spans="54:54" ht="15.75" customHeight="1" x14ac:dyDescent="0.3">
      <c r="BB1036844" s="38"/>
    </row>
    <row r="1036845" spans="54:54" ht="15.75" customHeight="1" x14ac:dyDescent="0.3">
      <c r="BB1036845" s="38"/>
    </row>
    <row r="1036846" spans="54:54" ht="15.75" customHeight="1" x14ac:dyDescent="0.3">
      <c r="BB1036846" s="38"/>
    </row>
    <row r="1036847" spans="54:54" ht="15.75" customHeight="1" x14ac:dyDescent="0.3">
      <c r="BB1036847" s="38"/>
    </row>
    <row r="1036848" spans="54:54" ht="15.75" customHeight="1" x14ac:dyDescent="0.3">
      <c r="BB1036848" s="38"/>
    </row>
    <row r="1036849" spans="54:54" ht="15.75" customHeight="1" x14ac:dyDescent="0.3">
      <c r="BB1036849" s="38"/>
    </row>
    <row r="1036850" spans="54:54" ht="15.75" customHeight="1" x14ac:dyDescent="0.3">
      <c r="BB1036850" s="38"/>
    </row>
    <row r="1036851" spans="54:54" ht="15.75" customHeight="1" x14ac:dyDescent="0.3">
      <c r="BB1036851" s="38"/>
    </row>
    <row r="1036852" spans="54:54" ht="15.75" customHeight="1" x14ac:dyDescent="0.3">
      <c r="BB1036852" s="38"/>
    </row>
    <row r="1036853" spans="54:54" ht="15.75" customHeight="1" x14ac:dyDescent="0.3">
      <c r="BB1036853" s="38"/>
    </row>
    <row r="1036854" spans="54:54" ht="15.75" customHeight="1" x14ac:dyDescent="0.3">
      <c r="BB1036854" s="38"/>
    </row>
    <row r="1036855" spans="54:54" ht="15.75" customHeight="1" x14ac:dyDescent="0.3">
      <c r="BB1036855" s="38"/>
    </row>
    <row r="1036856" spans="54:54" ht="15.75" customHeight="1" x14ac:dyDescent="0.3">
      <c r="BB1036856" s="38"/>
    </row>
    <row r="1036857" spans="54:54" ht="15.75" customHeight="1" x14ac:dyDescent="0.3">
      <c r="BB1036857" s="38"/>
    </row>
    <row r="1036858" spans="54:54" ht="15.75" customHeight="1" x14ac:dyDescent="0.3">
      <c r="BB1036858" s="38"/>
    </row>
    <row r="1036859" spans="54:54" ht="15.75" customHeight="1" x14ac:dyDescent="0.3">
      <c r="BB1036859" s="38"/>
    </row>
    <row r="1036860" spans="54:54" ht="15.75" customHeight="1" x14ac:dyDescent="0.3">
      <c r="BB1036860" s="38"/>
    </row>
    <row r="1036861" spans="54:54" ht="15.75" customHeight="1" x14ac:dyDescent="0.3">
      <c r="BB1036861" s="38"/>
    </row>
    <row r="1036862" spans="54:54" ht="15.75" customHeight="1" x14ac:dyDescent="0.3">
      <c r="BB1036862" s="38"/>
    </row>
    <row r="1036863" spans="54:54" ht="15.75" customHeight="1" x14ac:dyDescent="0.3">
      <c r="BB1036863" s="38"/>
    </row>
    <row r="1036864" spans="54:54" ht="15.75" customHeight="1" x14ac:dyDescent="0.3">
      <c r="BB1036864" s="38"/>
    </row>
    <row r="1036865" spans="54:54" ht="15.75" customHeight="1" x14ac:dyDescent="0.3">
      <c r="BB1036865" s="38"/>
    </row>
    <row r="1036866" spans="54:54" ht="15.75" customHeight="1" x14ac:dyDescent="0.3">
      <c r="BB1036866" s="38"/>
    </row>
    <row r="1036867" spans="54:54" ht="15.75" customHeight="1" x14ac:dyDescent="0.3">
      <c r="BB1036867" s="38"/>
    </row>
    <row r="1036868" spans="54:54" ht="15.75" customHeight="1" x14ac:dyDescent="0.3">
      <c r="BB1036868" s="38"/>
    </row>
    <row r="1036869" spans="54:54" ht="15.75" customHeight="1" x14ac:dyDescent="0.3">
      <c r="BB1036869" s="38"/>
    </row>
    <row r="1036870" spans="54:54" ht="15.75" customHeight="1" x14ac:dyDescent="0.3">
      <c r="BB1036870" s="38"/>
    </row>
    <row r="1036871" spans="54:54" ht="15.75" customHeight="1" x14ac:dyDescent="0.3">
      <c r="BB1036871" s="38"/>
    </row>
    <row r="1036872" spans="54:54" ht="15.75" customHeight="1" x14ac:dyDescent="0.3">
      <c r="BB1036872" s="38"/>
    </row>
    <row r="1036873" spans="54:54" ht="15.75" customHeight="1" x14ac:dyDescent="0.3">
      <c r="BB1036873" s="38"/>
    </row>
    <row r="1036874" spans="54:54" ht="15.75" customHeight="1" x14ac:dyDescent="0.3">
      <c r="BB1036874" s="38"/>
    </row>
    <row r="1036875" spans="54:54" ht="15.75" customHeight="1" x14ac:dyDescent="0.3">
      <c r="BB1036875" s="38"/>
    </row>
    <row r="1036876" spans="54:54" ht="15.75" customHeight="1" x14ac:dyDescent="0.3">
      <c r="BB1036876" s="38"/>
    </row>
    <row r="1036877" spans="54:54" ht="15.75" customHeight="1" x14ac:dyDescent="0.3">
      <c r="BB1036877" s="38"/>
    </row>
    <row r="1036878" spans="54:54" ht="15.75" customHeight="1" x14ac:dyDescent="0.3">
      <c r="BB1036878" s="38"/>
    </row>
    <row r="1036879" spans="54:54" ht="15.75" customHeight="1" x14ac:dyDescent="0.3">
      <c r="BB1036879" s="38"/>
    </row>
    <row r="1036880" spans="54:54" ht="15.75" customHeight="1" x14ac:dyDescent="0.3">
      <c r="BB1036880" s="38"/>
    </row>
    <row r="1036881" spans="54:54" ht="15.75" customHeight="1" x14ac:dyDescent="0.3">
      <c r="BB1036881" s="38"/>
    </row>
    <row r="1036882" spans="54:54" ht="15.75" customHeight="1" x14ac:dyDescent="0.3">
      <c r="BB1036882" s="38"/>
    </row>
    <row r="1036883" spans="54:54" ht="15.75" customHeight="1" x14ac:dyDescent="0.3">
      <c r="BB1036883" s="38"/>
    </row>
    <row r="1036884" spans="54:54" ht="15.75" customHeight="1" x14ac:dyDescent="0.3">
      <c r="BB1036884" s="38"/>
    </row>
    <row r="1036885" spans="54:54" ht="15.75" customHeight="1" x14ac:dyDescent="0.3">
      <c r="BB1036885" s="38"/>
    </row>
    <row r="1036886" spans="54:54" ht="15.75" customHeight="1" x14ac:dyDescent="0.3">
      <c r="BB1036886" s="38"/>
    </row>
    <row r="1036887" spans="54:54" ht="15.75" customHeight="1" x14ac:dyDescent="0.3">
      <c r="BB1036887" s="38"/>
    </row>
    <row r="1036888" spans="54:54" ht="15.75" customHeight="1" x14ac:dyDescent="0.3">
      <c r="BB1036888" s="38"/>
    </row>
    <row r="1036889" spans="54:54" ht="15.75" customHeight="1" x14ac:dyDescent="0.3">
      <c r="BB1036889" s="38"/>
    </row>
    <row r="1036890" spans="54:54" ht="15.75" customHeight="1" x14ac:dyDescent="0.3">
      <c r="BB1036890" s="38"/>
    </row>
    <row r="1036891" spans="54:54" ht="15.75" customHeight="1" x14ac:dyDescent="0.3">
      <c r="BB1036891" s="38"/>
    </row>
    <row r="1036892" spans="54:54" ht="15.75" customHeight="1" x14ac:dyDescent="0.3">
      <c r="BB1036892" s="38"/>
    </row>
    <row r="1036893" spans="54:54" ht="15.75" customHeight="1" x14ac:dyDescent="0.3">
      <c r="BB1036893" s="38"/>
    </row>
    <row r="1036894" spans="54:54" ht="15.75" customHeight="1" x14ac:dyDescent="0.3">
      <c r="BB1036894" s="38"/>
    </row>
    <row r="1036895" spans="54:54" ht="15.75" customHeight="1" x14ac:dyDescent="0.3">
      <c r="BB1036895" s="38"/>
    </row>
    <row r="1036896" spans="54:54" ht="15.75" customHeight="1" x14ac:dyDescent="0.3">
      <c r="BB1036896" s="38"/>
    </row>
    <row r="1036897" spans="54:54" ht="15.75" customHeight="1" x14ac:dyDescent="0.3">
      <c r="BB1036897" s="38"/>
    </row>
    <row r="1036898" spans="54:54" ht="15.75" customHeight="1" x14ac:dyDescent="0.3">
      <c r="BB1036898" s="38"/>
    </row>
    <row r="1036899" spans="54:54" ht="15.75" customHeight="1" x14ac:dyDescent="0.3">
      <c r="BB1036899" s="38"/>
    </row>
    <row r="1036900" spans="54:54" ht="15.75" customHeight="1" x14ac:dyDescent="0.3">
      <c r="BB1036900" s="38"/>
    </row>
    <row r="1036901" spans="54:54" ht="15.75" customHeight="1" x14ac:dyDescent="0.3">
      <c r="BB1036901" s="38"/>
    </row>
    <row r="1036902" spans="54:54" ht="15.75" customHeight="1" x14ac:dyDescent="0.3">
      <c r="BB1036902" s="38"/>
    </row>
    <row r="1036903" spans="54:54" ht="15.75" customHeight="1" x14ac:dyDescent="0.3">
      <c r="BB1036903" s="38"/>
    </row>
    <row r="1036904" spans="54:54" ht="15.75" customHeight="1" x14ac:dyDescent="0.3">
      <c r="BB1036904" s="38"/>
    </row>
    <row r="1036905" spans="54:54" ht="15.75" customHeight="1" x14ac:dyDescent="0.3">
      <c r="BB1036905" s="38"/>
    </row>
    <row r="1036906" spans="54:54" ht="15.75" customHeight="1" x14ac:dyDescent="0.3">
      <c r="BB1036906" s="38"/>
    </row>
    <row r="1036907" spans="54:54" ht="15.75" customHeight="1" x14ac:dyDescent="0.3">
      <c r="BB1036907" s="38"/>
    </row>
    <row r="1036908" spans="54:54" ht="15.75" customHeight="1" x14ac:dyDescent="0.3">
      <c r="BB1036908" s="38"/>
    </row>
    <row r="1036909" spans="54:54" ht="15.75" customHeight="1" x14ac:dyDescent="0.3">
      <c r="BB1036909" s="38"/>
    </row>
    <row r="1036910" spans="54:54" ht="15.75" customHeight="1" x14ac:dyDescent="0.3">
      <c r="BB1036910" s="38"/>
    </row>
    <row r="1036911" spans="54:54" ht="15.75" customHeight="1" x14ac:dyDescent="0.3">
      <c r="BB1036911" s="38"/>
    </row>
    <row r="1036912" spans="54:54" ht="15.75" customHeight="1" x14ac:dyDescent="0.3">
      <c r="BB1036912" s="38"/>
    </row>
    <row r="1036913" spans="54:54" ht="15.75" customHeight="1" x14ac:dyDescent="0.3">
      <c r="BB1036913" s="38"/>
    </row>
    <row r="1036914" spans="54:54" ht="15.75" customHeight="1" x14ac:dyDescent="0.3">
      <c r="BB1036914" s="38"/>
    </row>
    <row r="1036915" spans="54:54" ht="15.75" customHeight="1" x14ac:dyDescent="0.3">
      <c r="BB1036915" s="38"/>
    </row>
    <row r="1036916" spans="54:54" ht="15.75" customHeight="1" x14ac:dyDescent="0.3">
      <c r="BB1036916" s="38"/>
    </row>
    <row r="1036917" spans="54:54" ht="15.75" customHeight="1" x14ac:dyDescent="0.3">
      <c r="BB1036917" s="38"/>
    </row>
    <row r="1036918" spans="54:54" ht="15.75" customHeight="1" x14ac:dyDescent="0.3">
      <c r="BB1036918" s="38"/>
    </row>
    <row r="1036919" spans="54:54" ht="15.75" customHeight="1" x14ac:dyDescent="0.3">
      <c r="BB1036919" s="38"/>
    </row>
    <row r="1036920" spans="54:54" ht="15.75" customHeight="1" x14ac:dyDescent="0.3">
      <c r="BB1036920" s="38"/>
    </row>
    <row r="1036921" spans="54:54" ht="15.75" customHeight="1" x14ac:dyDescent="0.3">
      <c r="BB1036921" s="38"/>
    </row>
    <row r="1036922" spans="54:54" ht="15.75" customHeight="1" x14ac:dyDescent="0.3">
      <c r="BB1036922" s="38"/>
    </row>
    <row r="1036923" spans="54:54" ht="15.75" customHeight="1" x14ac:dyDescent="0.3">
      <c r="BB1036923" s="38"/>
    </row>
    <row r="1036924" spans="54:54" ht="15.75" customHeight="1" x14ac:dyDescent="0.3">
      <c r="BB1036924" s="38"/>
    </row>
    <row r="1036925" spans="54:54" ht="15.75" customHeight="1" x14ac:dyDescent="0.3">
      <c r="BB1036925" s="38"/>
    </row>
    <row r="1036926" spans="54:54" ht="15.75" customHeight="1" x14ac:dyDescent="0.3">
      <c r="BB1036926" s="38"/>
    </row>
    <row r="1036927" spans="54:54" ht="15.75" customHeight="1" x14ac:dyDescent="0.3">
      <c r="BB1036927" s="38"/>
    </row>
    <row r="1036928" spans="54:54" ht="15.75" customHeight="1" x14ac:dyDescent="0.3">
      <c r="BB1036928" s="38"/>
    </row>
    <row r="1036929" spans="54:54" ht="15.75" customHeight="1" x14ac:dyDescent="0.3">
      <c r="BB1036929" s="38"/>
    </row>
    <row r="1036930" spans="54:54" ht="15.75" customHeight="1" x14ac:dyDescent="0.3">
      <c r="BB1036930" s="38"/>
    </row>
    <row r="1036931" spans="54:54" ht="15.75" customHeight="1" x14ac:dyDescent="0.3">
      <c r="BB1036931" s="38"/>
    </row>
    <row r="1036932" spans="54:54" ht="15.75" customHeight="1" x14ac:dyDescent="0.3">
      <c r="BB1036932" s="38"/>
    </row>
    <row r="1036933" spans="54:54" ht="15.75" customHeight="1" x14ac:dyDescent="0.3">
      <c r="BB1036933" s="38"/>
    </row>
    <row r="1036934" spans="54:54" ht="15.75" customHeight="1" x14ac:dyDescent="0.3">
      <c r="BB1036934" s="38"/>
    </row>
    <row r="1036935" spans="54:54" ht="15.75" customHeight="1" x14ac:dyDescent="0.3">
      <c r="BB1036935" s="38"/>
    </row>
    <row r="1036936" spans="54:54" ht="15.75" customHeight="1" x14ac:dyDescent="0.3">
      <c r="BB1036936" s="38"/>
    </row>
    <row r="1036937" spans="54:54" ht="15.75" customHeight="1" x14ac:dyDescent="0.3">
      <c r="BB1036937" s="38"/>
    </row>
    <row r="1036938" spans="54:54" ht="15.75" customHeight="1" x14ac:dyDescent="0.3">
      <c r="BB1036938" s="38"/>
    </row>
    <row r="1036939" spans="54:54" ht="15.75" customHeight="1" x14ac:dyDescent="0.3">
      <c r="BB1036939" s="38"/>
    </row>
    <row r="1036940" spans="54:54" ht="15.75" customHeight="1" x14ac:dyDescent="0.3">
      <c r="BB1036940" s="38"/>
    </row>
    <row r="1036941" spans="54:54" ht="15.75" customHeight="1" x14ac:dyDescent="0.3">
      <c r="BB1036941" s="38"/>
    </row>
    <row r="1036942" spans="54:54" ht="15.75" customHeight="1" x14ac:dyDescent="0.3">
      <c r="BB1036942" s="38"/>
    </row>
    <row r="1036943" spans="54:54" ht="15.75" customHeight="1" x14ac:dyDescent="0.3">
      <c r="BB1036943" s="38"/>
    </row>
    <row r="1036944" spans="54:54" ht="15.75" customHeight="1" x14ac:dyDescent="0.3">
      <c r="BB1036944" s="38"/>
    </row>
    <row r="1036945" spans="54:54" ht="15.75" customHeight="1" x14ac:dyDescent="0.3">
      <c r="BB1036945" s="38"/>
    </row>
    <row r="1036946" spans="54:54" ht="15.75" customHeight="1" x14ac:dyDescent="0.3">
      <c r="BB1036946" s="38"/>
    </row>
    <row r="1036947" spans="54:54" ht="15.75" customHeight="1" x14ac:dyDescent="0.3">
      <c r="BB1036947" s="38"/>
    </row>
    <row r="1036948" spans="54:54" ht="15.75" customHeight="1" x14ac:dyDescent="0.3">
      <c r="BB1036948" s="38"/>
    </row>
    <row r="1036949" spans="54:54" ht="15.75" customHeight="1" x14ac:dyDescent="0.3">
      <c r="BB1036949" s="38"/>
    </row>
    <row r="1036950" spans="54:54" ht="15.75" customHeight="1" x14ac:dyDescent="0.3">
      <c r="BB1036950" s="38"/>
    </row>
    <row r="1036951" spans="54:54" ht="15.75" customHeight="1" x14ac:dyDescent="0.3">
      <c r="BB1036951" s="38"/>
    </row>
    <row r="1036952" spans="54:54" ht="15.75" customHeight="1" x14ac:dyDescent="0.3">
      <c r="BB1036952" s="38"/>
    </row>
    <row r="1036953" spans="54:54" ht="15.75" customHeight="1" x14ac:dyDescent="0.3">
      <c r="BB1036953" s="38"/>
    </row>
    <row r="1036954" spans="54:54" ht="15.75" customHeight="1" x14ac:dyDescent="0.3">
      <c r="BB1036954" s="38"/>
    </row>
    <row r="1036955" spans="54:54" ht="15.75" customHeight="1" x14ac:dyDescent="0.3">
      <c r="BB1036955" s="38"/>
    </row>
    <row r="1036956" spans="54:54" ht="15.75" customHeight="1" x14ac:dyDescent="0.3">
      <c r="BB1036956" s="38"/>
    </row>
    <row r="1036957" spans="54:54" ht="15.75" customHeight="1" x14ac:dyDescent="0.3">
      <c r="BB1036957" s="38"/>
    </row>
    <row r="1036958" spans="54:54" ht="15.75" customHeight="1" x14ac:dyDescent="0.3">
      <c r="BB1036958" s="38"/>
    </row>
    <row r="1036959" spans="54:54" ht="15.75" customHeight="1" x14ac:dyDescent="0.3">
      <c r="BB1036959" s="38"/>
    </row>
    <row r="1036960" spans="54:54" ht="15.75" customHeight="1" x14ac:dyDescent="0.3">
      <c r="BB1036960" s="38"/>
    </row>
    <row r="1036961" spans="54:54" ht="15.75" customHeight="1" x14ac:dyDescent="0.3">
      <c r="BB1036961" s="38"/>
    </row>
    <row r="1036962" spans="54:54" ht="15.75" customHeight="1" x14ac:dyDescent="0.3">
      <c r="BB1036962" s="38"/>
    </row>
    <row r="1036963" spans="54:54" ht="15.75" customHeight="1" x14ac:dyDescent="0.3">
      <c r="BB1036963" s="38"/>
    </row>
    <row r="1036964" spans="54:54" ht="15.75" customHeight="1" x14ac:dyDescent="0.3">
      <c r="BB1036964" s="38"/>
    </row>
    <row r="1036965" spans="54:54" ht="15.75" customHeight="1" x14ac:dyDescent="0.3">
      <c r="BB1036965" s="38"/>
    </row>
    <row r="1036966" spans="54:54" ht="15.75" customHeight="1" x14ac:dyDescent="0.3">
      <c r="BB1036966" s="38"/>
    </row>
    <row r="1036967" spans="54:54" ht="15.75" customHeight="1" x14ac:dyDescent="0.3">
      <c r="BB1036967" s="38"/>
    </row>
    <row r="1036968" spans="54:54" ht="15.75" customHeight="1" x14ac:dyDescent="0.3">
      <c r="BB1036968" s="38"/>
    </row>
    <row r="1036969" spans="54:54" ht="15.75" customHeight="1" x14ac:dyDescent="0.3">
      <c r="BB1036969" s="38"/>
    </row>
    <row r="1036970" spans="54:54" ht="15.75" customHeight="1" x14ac:dyDescent="0.3">
      <c r="BB1036970" s="38"/>
    </row>
    <row r="1036971" spans="54:54" ht="15.75" customHeight="1" x14ac:dyDescent="0.3">
      <c r="BB1036971" s="38"/>
    </row>
    <row r="1036972" spans="54:54" ht="15.75" customHeight="1" x14ac:dyDescent="0.3">
      <c r="BB1036972" s="38"/>
    </row>
    <row r="1036973" spans="54:54" ht="15.75" customHeight="1" x14ac:dyDescent="0.3">
      <c r="BB1036973" s="38"/>
    </row>
    <row r="1036974" spans="54:54" ht="15.75" customHeight="1" x14ac:dyDescent="0.3">
      <c r="BB1036974" s="38"/>
    </row>
    <row r="1036975" spans="54:54" ht="15.75" customHeight="1" x14ac:dyDescent="0.3">
      <c r="BB1036975" s="38"/>
    </row>
    <row r="1036976" spans="54:54" ht="15.75" customHeight="1" x14ac:dyDescent="0.3">
      <c r="BB1036976" s="38"/>
    </row>
    <row r="1036977" spans="54:54" ht="15.75" customHeight="1" x14ac:dyDescent="0.3">
      <c r="BB1036977" s="38"/>
    </row>
    <row r="1036978" spans="54:54" ht="15.75" customHeight="1" x14ac:dyDescent="0.3">
      <c r="BB1036978" s="38"/>
    </row>
    <row r="1036979" spans="54:54" ht="15.75" customHeight="1" x14ac:dyDescent="0.3">
      <c r="BB1036979" s="38"/>
    </row>
    <row r="1036980" spans="54:54" ht="15.75" customHeight="1" x14ac:dyDescent="0.3">
      <c r="BB1036980" s="38"/>
    </row>
    <row r="1036981" spans="54:54" ht="15.75" customHeight="1" x14ac:dyDescent="0.3">
      <c r="BB1036981" s="38"/>
    </row>
    <row r="1036982" spans="54:54" ht="15.75" customHeight="1" x14ac:dyDescent="0.3">
      <c r="BB1036982" s="38"/>
    </row>
    <row r="1036983" spans="54:54" ht="15.75" customHeight="1" x14ac:dyDescent="0.3">
      <c r="BB1036983" s="38"/>
    </row>
    <row r="1036984" spans="54:54" ht="15.75" customHeight="1" x14ac:dyDescent="0.3">
      <c r="BB1036984" s="38"/>
    </row>
    <row r="1036985" spans="54:54" ht="15.75" customHeight="1" x14ac:dyDescent="0.3">
      <c r="BB1036985" s="38"/>
    </row>
    <row r="1036986" spans="54:54" ht="15.75" customHeight="1" x14ac:dyDescent="0.3">
      <c r="BB1036986" s="38"/>
    </row>
    <row r="1036987" spans="54:54" ht="15.75" customHeight="1" x14ac:dyDescent="0.3">
      <c r="BB1036987" s="38"/>
    </row>
    <row r="1036988" spans="54:54" ht="15.75" customHeight="1" x14ac:dyDescent="0.3">
      <c r="BB1036988" s="38"/>
    </row>
    <row r="1036989" spans="54:54" ht="15.75" customHeight="1" x14ac:dyDescent="0.3">
      <c r="BB1036989" s="38"/>
    </row>
    <row r="1036990" spans="54:54" ht="15.75" customHeight="1" x14ac:dyDescent="0.3">
      <c r="BB1036990" s="38"/>
    </row>
    <row r="1036991" spans="54:54" ht="15.75" customHeight="1" x14ac:dyDescent="0.3">
      <c r="BB1036991" s="38"/>
    </row>
    <row r="1036992" spans="54:54" ht="15.75" customHeight="1" x14ac:dyDescent="0.3">
      <c r="BB1036992" s="38"/>
    </row>
    <row r="1036993" spans="54:54" ht="15.75" customHeight="1" x14ac:dyDescent="0.3">
      <c r="BB1036993" s="38"/>
    </row>
    <row r="1036994" spans="54:54" ht="15.75" customHeight="1" x14ac:dyDescent="0.3">
      <c r="BB1036994" s="38"/>
    </row>
    <row r="1036995" spans="54:54" ht="15.75" customHeight="1" x14ac:dyDescent="0.3">
      <c r="BB1036995" s="38"/>
    </row>
    <row r="1036996" spans="54:54" ht="15.75" customHeight="1" x14ac:dyDescent="0.3">
      <c r="BB1036996" s="38"/>
    </row>
    <row r="1036997" spans="54:54" ht="15.75" customHeight="1" x14ac:dyDescent="0.3">
      <c r="BB1036997" s="38"/>
    </row>
    <row r="1036998" spans="54:54" ht="15.75" customHeight="1" x14ac:dyDescent="0.3">
      <c r="BB1036998" s="38"/>
    </row>
    <row r="1036999" spans="54:54" ht="15.75" customHeight="1" x14ac:dyDescent="0.3">
      <c r="BB1036999" s="38"/>
    </row>
    <row r="1037000" spans="54:54" ht="15.75" customHeight="1" x14ac:dyDescent="0.3">
      <c r="BB1037000" s="38"/>
    </row>
    <row r="1037001" spans="54:54" ht="15.75" customHeight="1" x14ac:dyDescent="0.3">
      <c r="BB1037001" s="38"/>
    </row>
    <row r="1037002" spans="54:54" ht="15.75" customHeight="1" x14ac:dyDescent="0.3">
      <c r="BB1037002" s="38"/>
    </row>
    <row r="1037003" spans="54:54" ht="15.75" customHeight="1" x14ac:dyDescent="0.3">
      <c r="BB1037003" s="38"/>
    </row>
    <row r="1037004" spans="54:54" ht="15.75" customHeight="1" x14ac:dyDescent="0.3">
      <c r="BB1037004" s="38"/>
    </row>
    <row r="1037005" spans="54:54" ht="15.75" customHeight="1" x14ac:dyDescent="0.3">
      <c r="BB1037005" s="38"/>
    </row>
    <row r="1037006" spans="54:54" ht="15.75" customHeight="1" x14ac:dyDescent="0.3">
      <c r="BB1037006" s="38"/>
    </row>
    <row r="1037007" spans="54:54" ht="15.75" customHeight="1" x14ac:dyDescent="0.3">
      <c r="BB1037007" s="38"/>
    </row>
    <row r="1037008" spans="54:54" ht="15.75" customHeight="1" x14ac:dyDescent="0.3">
      <c r="BB1037008" s="38"/>
    </row>
    <row r="1037009" spans="54:54" ht="15.75" customHeight="1" x14ac:dyDescent="0.3">
      <c r="BB1037009" s="38"/>
    </row>
    <row r="1037010" spans="54:54" ht="15.75" customHeight="1" x14ac:dyDescent="0.3">
      <c r="BB1037010" s="38"/>
    </row>
    <row r="1037011" spans="54:54" ht="15.75" customHeight="1" x14ac:dyDescent="0.3">
      <c r="BB1037011" s="38"/>
    </row>
    <row r="1037012" spans="54:54" ht="15.75" customHeight="1" x14ac:dyDescent="0.3">
      <c r="BB1037012" s="38"/>
    </row>
    <row r="1037013" spans="54:54" ht="15.75" customHeight="1" x14ac:dyDescent="0.3">
      <c r="BB1037013" s="38"/>
    </row>
    <row r="1037014" spans="54:54" ht="15.75" customHeight="1" x14ac:dyDescent="0.3">
      <c r="BB1037014" s="38"/>
    </row>
    <row r="1037015" spans="54:54" ht="15.75" customHeight="1" x14ac:dyDescent="0.3">
      <c r="BB1037015" s="38"/>
    </row>
    <row r="1037016" spans="54:54" ht="15.75" customHeight="1" x14ac:dyDescent="0.3">
      <c r="BB1037016" s="38"/>
    </row>
    <row r="1037017" spans="54:54" ht="15.75" customHeight="1" x14ac:dyDescent="0.3">
      <c r="BB1037017" s="38"/>
    </row>
    <row r="1037018" spans="54:54" ht="15.75" customHeight="1" x14ac:dyDescent="0.3">
      <c r="BB1037018" s="38"/>
    </row>
    <row r="1037019" spans="54:54" ht="15.75" customHeight="1" x14ac:dyDescent="0.3">
      <c r="BB1037019" s="38"/>
    </row>
    <row r="1037020" spans="54:54" ht="15.75" customHeight="1" x14ac:dyDescent="0.3">
      <c r="BB1037020" s="38"/>
    </row>
    <row r="1037021" spans="54:54" ht="15.75" customHeight="1" x14ac:dyDescent="0.3">
      <c r="BB1037021" s="38"/>
    </row>
    <row r="1037022" spans="54:54" ht="15.75" customHeight="1" x14ac:dyDescent="0.3">
      <c r="BB1037022" s="38"/>
    </row>
    <row r="1037023" spans="54:54" ht="15.75" customHeight="1" x14ac:dyDescent="0.3">
      <c r="BB1037023" s="38"/>
    </row>
    <row r="1037024" spans="54:54" ht="15.75" customHeight="1" x14ac:dyDescent="0.3">
      <c r="BB1037024" s="38"/>
    </row>
    <row r="1037025" spans="54:54" ht="15.75" customHeight="1" x14ac:dyDescent="0.3">
      <c r="BB1037025" s="38"/>
    </row>
    <row r="1037026" spans="54:54" ht="15.75" customHeight="1" x14ac:dyDescent="0.3">
      <c r="BB1037026" s="38"/>
    </row>
    <row r="1037027" spans="54:54" ht="15.75" customHeight="1" x14ac:dyDescent="0.3">
      <c r="BB1037027" s="38"/>
    </row>
    <row r="1037028" spans="54:54" ht="15.75" customHeight="1" x14ac:dyDescent="0.3">
      <c r="BB1037028" s="38"/>
    </row>
    <row r="1037029" spans="54:54" ht="15.75" customHeight="1" x14ac:dyDescent="0.3">
      <c r="BB1037029" s="38"/>
    </row>
    <row r="1037030" spans="54:54" ht="15.75" customHeight="1" x14ac:dyDescent="0.3">
      <c r="BB1037030" s="38"/>
    </row>
    <row r="1037031" spans="54:54" ht="15.75" customHeight="1" x14ac:dyDescent="0.3">
      <c r="BB1037031" s="38"/>
    </row>
    <row r="1037032" spans="54:54" ht="15.75" customHeight="1" x14ac:dyDescent="0.3">
      <c r="BB1037032" s="38"/>
    </row>
    <row r="1037033" spans="54:54" ht="15.75" customHeight="1" x14ac:dyDescent="0.3">
      <c r="BB1037033" s="38"/>
    </row>
    <row r="1037034" spans="54:54" ht="15.75" customHeight="1" x14ac:dyDescent="0.3">
      <c r="BB1037034" s="38"/>
    </row>
    <row r="1037035" spans="54:54" ht="15.75" customHeight="1" x14ac:dyDescent="0.3">
      <c r="BB1037035" s="38"/>
    </row>
    <row r="1037036" spans="54:54" ht="15.75" customHeight="1" x14ac:dyDescent="0.3">
      <c r="BB1037036" s="38"/>
    </row>
    <row r="1037037" spans="54:54" ht="15.75" customHeight="1" x14ac:dyDescent="0.3">
      <c r="BB1037037" s="38"/>
    </row>
    <row r="1037038" spans="54:54" ht="15.75" customHeight="1" x14ac:dyDescent="0.3">
      <c r="BB1037038" s="38"/>
    </row>
    <row r="1037039" spans="54:54" ht="15.75" customHeight="1" x14ac:dyDescent="0.3">
      <c r="BB1037039" s="38"/>
    </row>
    <row r="1037040" spans="54:54" ht="15.75" customHeight="1" x14ac:dyDescent="0.3">
      <c r="BB1037040" s="38"/>
    </row>
    <row r="1037041" spans="54:54" ht="15.75" customHeight="1" x14ac:dyDescent="0.3">
      <c r="BB1037041" s="38"/>
    </row>
    <row r="1037042" spans="54:54" ht="15.75" customHeight="1" x14ac:dyDescent="0.3">
      <c r="BB1037042" s="38"/>
    </row>
    <row r="1037043" spans="54:54" ht="15.75" customHeight="1" x14ac:dyDescent="0.3">
      <c r="BB1037043" s="38"/>
    </row>
    <row r="1037044" spans="54:54" ht="15.75" customHeight="1" x14ac:dyDescent="0.3">
      <c r="BB1037044" s="38"/>
    </row>
    <row r="1037045" spans="54:54" ht="15.75" customHeight="1" x14ac:dyDescent="0.3">
      <c r="BB1037045" s="38"/>
    </row>
    <row r="1037046" spans="54:54" ht="15.75" customHeight="1" x14ac:dyDescent="0.3">
      <c r="BB1037046" s="38"/>
    </row>
    <row r="1037047" spans="54:54" ht="15.75" customHeight="1" x14ac:dyDescent="0.3">
      <c r="BB1037047" s="38"/>
    </row>
    <row r="1037048" spans="54:54" ht="15.75" customHeight="1" x14ac:dyDescent="0.3">
      <c r="BB1037048" s="38"/>
    </row>
    <row r="1037049" spans="54:54" ht="15.75" customHeight="1" x14ac:dyDescent="0.3">
      <c r="BB1037049" s="38"/>
    </row>
    <row r="1037050" spans="54:54" ht="15.75" customHeight="1" x14ac:dyDescent="0.3">
      <c r="BB1037050" s="38"/>
    </row>
    <row r="1037051" spans="54:54" ht="15.75" customHeight="1" x14ac:dyDescent="0.3">
      <c r="BB1037051" s="38"/>
    </row>
    <row r="1037052" spans="54:54" ht="15.75" customHeight="1" x14ac:dyDescent="0.3">
      <c r="BB1037052" s="38"/>
    </row>
    <row r="1037053" spans="54:54" ht="15.75" customHeight="1" x14ac:dyDescent="0.3">
      <c r="BB1037053" s="38"/>
    </row>
    <row r="1037054" spans="54:54" ht="15.75" customHeight="1" x14ac:dyDescent="0.3">
      <c r="BB1037054" s="38"/>
    </row>
    <row r="1037055" spans="54:54" ht="15.75" customHeight="1" x14ac:dyDescent="0.3">
      <c r="BB1037055" s="38"/>
    </row>
    <row r="1037056" spans="54:54" ht="15.75" customHeight="1" x14ac:dyDescent="0.3">
      <c r="BB1037056" s="38"/>
    </row>
    <row r="1037057" spans="54:54" ht="15.75" customHeight="1" x14ac:dyDescent="0.3">
      <c r="BB1037057" s="38"/>
    </row>
    <row r="1037058" spans="54:54" ht="15.75" customHeight="1" x14ac:dyDescent="0.3">
      <c r="BB1037058" s="38"/>
    </row>
    <row r="1037059" spans="54:54" ht="15.75" customHeight="1" x14ac:dyDescent="0.3">
      <c r="BB1037059" s="38"/>
    </row>
    <row r="1037060" spans="54:54" ht="15.75" customHeight="1" x14ac:dyDescent="0.3">
      <c r="BB1037060" s="38"/>
    </row>
    <row r="1037061" spans="54:54" ht="15.75" customHeight="1" x14ac:dyDescent="0.3">
      <c r="BB1037061" s="38"/>
    </row>
    <row r="1037062" spans="54:54" ht="15.75" customHeight="1" x14ac:dyDescent="0.3">
      <c r="BB1037062" s="38"/>
    </row>
    <row r="1037063" spans="54:54" ht="15.75" customHeight="1" x14ac:dyDescent="0.3">
      <c r="BB1037063" s="38"/>
    </row>
    <row r="1037064" spans="54:54" ht="15.75" customHeight="1" x14ac:dyDescent="0.3">
      <c r="BB1037064" s="38"/>
    </row>
    <row r="1037065" spans="54:54" ht="15.75" customHeight="1" x14ac:dyDescent="0.3">
      <c r="BB1037065" s="38"/>
    </row>
    <row r="1037066" spans="54:54" ht="15.75" customHeight="1" x14ac:dyDescent="0.3">
      <c r="BB1037066" s="38"/>
    </row>
    <row r="1037067" spans="54:54" ht="15.75" customHeight="1" x14ac:dyDescent="0.3">
      <c r="BB1037067" s="38"/>
    </row>
    <row r="1037068" spans="54:54" ht="15.75" customHeight="1" x14ac:dyDescent="0.3">
      <c r="BB1037068" s="38"/>
    </row>
    <row r="1037069" spans="54:54" ht="15.75" customHeight="1" x14ac:dyDescent="0.3">
      <c r="BB1037069" s="38"/>
    </row>
    <row r="1037070" spans="54:54" ht="15.75" customHeight="1" x14ac:dyDescent="0.3">
      <c r="BB1037070" s="38"/>
    </row>
    <row r="1037071" spans="54:54" ht="15.75" customHeight="1" x14ac:dyDescent="0.3">
      <c r="BB1037071" s="38"/>
    </row>
    <row r="1037072" spans="54:54" ht="15.75" customHeight="1" x14ac:dyDescent="0.3">
      <c r="BB1037072" s="38"/>
    </row>
    <row r="1037073" spans="54:54" ht="15.75" customHeight="1" x14ac:dyDescent="0.3">
      <c r="BB1037073" s="38"/>
    </row>
    <row r="1037074" spans="54:54" ht="15.75" customHeight="1" x14ac:dyDescent="0.3">
      <c r="BB1037074" s="38"/>
    </row>
    <row r="1037075" spans="54:54" ht="15.75" customHeight="1" x14ac:dyDescent="0.3">
      <c r="BB1037075" s="38"/>
    </row>
    <row r="1037076" spans="54:54" ht="15.75" customHeight="1" x14ac:dyDescent="0.3">
      <c r="BB1037076" s="38"/>
    </row>
    <row r="1037077" spans="54:54" ht="15.75" customHeight="1" x14ac:dyDescent="0.3">
      <c r="BB1037077" s="38"/>
    </row>
    <row r="1037078" spans="54:54" ht="15.75" customHeight="1" x14ac:dyDescent="0.3">
      <c r="BB1037078" s="38"/>
    </row>
    <row r="1037079" spans="54:54" ht="15.75" customHeight="1" x14ac:dyDescent="0.3">
      <c r="BB1037079" s="38"/>
    </row>
    <row r="1037080" spans="54:54" ht="15.75" customHeight="1" x14ac:dyDescent="0.3">
      <c r="BB1037080" s="38"/>
    </row>
    <row r="1037081" spans="54:54" ht="15.75" customHeight="1" x14ac:dyDescent="0.3">
      <c r="BB1037081" s="38"/>
    </row>
    <row r="1037082" spans="54:54" ht="15.75" customHeight="1" x14ac:dyDescent="0.3">
      <c r="BB1037082" s="38"/>
    </row>
    <row r="1037083" spans="54:54" ht="15.75" customHeight="1" x14ac:dyDescent="0.3">
      <c r="BB1037083" s="38"/>
    </row>
    <row r="1037084" spans="54:54" ht="15.75" customHeight="1" x14ac:dyDescent="0.3">
      <c r="BB1037084" s="38"/>
    </row>
    <row r="1037085" spans="54:54" ht="15.75" customHeight="1" x14ac:dyDescent="0.3">
      <c r="BB1037085" s="38"/>
    </row>
    <row r="1037086" spans="54:54" ht="15.75" customHeight="1" x14ac:dyDescent="0.3">
      <c r="BB1037086" s="38"/>
    </row>
    <row r="1037087" spans="54:54" ht="15.75" customHeight="1" x14ac:dyDescent="0.3">
      <c r="BB1037087" s="38"/>
    </row>
    <row r="1037088" spans="54:54" ht="15.75" customHeight="1" x14ac:dyDescent="0.3">
      <c r="BB1037088" s="38"/>
    </row>
    <row r="1037089" spans="54:54" ht="15.75" customHeight="1" x14ac:dyDescent="0.3">
      <c r="BB1037089" s="38"/>
    </row>
    <row r="1037090" spans="54:54" ht="15.75" customHeight="1" x14ac:dyDescent="0.3">
      <c r="BB1037090" s="38"/>
    </row>
    <row r="1037091" spans="54:54" ht="15.75" customHeight="1" x14ac:dyDescent="0.3">
      <c r="BB1037091" s="38"/>
    </row>
    <row r="1037092" spans="54:54" ht="15.75" customHeight="1" x14ac:dyDescent="0.3">
      <c r="BB1037092" s="38"/>
    </row>
    <row r="1037093" spans="54:54" ht="15.75" customHeight="1" x14ac:dyDescent="0.3">
      <c r="BB1037093" s="38"/>
    </row>
    <row r="1037094" spans="54:54" ht="15.75" customHeight="1" x14ac:dyDescent="0.3">
      <c r="BB1037094" s="38"/>
    </row>
    <row r="1037095" spans="54:54" ht="15.75" customHeight="1" x14ac:dyDescent="0.3">
      <c r="BB1037095" s="38"/>
    </row>
    <row r="1037096" spans="54:54" ht="15.75" customHeight="1" x14ac:dyDescent="0.3">
      <c r="BB1037096" s="38"/>
    </row>
    <row r="1037097" spans="54:54" ht="15.75" customHeight="1" x14ac:dyDescent="0.3">
      <c r="BB1037097" s="38"/>
    </row>
    <row r="1037098" spans="54:54" ht="15.75" customHeight="1" x14ac:dyDescent="0.3">
      <c r="BB1037098" s="38"/>
    </row>
    <row r="1037099" spans="54:54" ht="15.75" customHeight="1" x14ac:dyDescent="0.3">
      <c r="BB1037099" s="38"/>
    </row>
    <row r="1037100" spans="54:54" ht="15.75" customHeight="1" x14ac:dyDescent="0.3">
      <c r="BB1037100" s="38"/>
    </row>
    <row r="1037101" spans="54:54" ht="15.75" customHeight="1" x14ac:dyDescent="0.3">
      <c r="BB1037101" s="38"/>
    </row>
    <row r="1037102" spans="54:54" ht="15.75" customHeight="1" x14ac:dyDescent="0.3">
      <c r="BB1037102" s="38"/>
    </row>
    <row r="1037103" spans="54:54" ht="15.75" customHeight="1" x14ac:dyDescent="0.3">
      <c r="BB1037103" s="38"/>
    </row>
    <row r="1037104" spans="54:54" ht="15.75" customHeight="1" x14ac:dyDescent="0.3">
      <c r="BB1037104" s="38"/>
    </row>
    <row r="1037105" spans="54:54" ht="15.75" customHeight="1" x14ac:dyDescent="0.3">
      <c r="BB1037105" s="38"/>
    </row>
    <row r="1037106" spans="54:54" ht="15.75" customHeight="1" x14ac:dyDescent="0.3">
      <c r="BB1037106" s="38"/>
    </row>
    <row r="1037107" spans="54:54" ht="15.75" customHeight="1" x14ac:dyDescent="0.3">
      <c r="BB1037107" s="38"/>
    </row>
    <row r="1037108" spans="54:54" ht="15.75" customHeight="1" x14ac:dyDescent="0.3">
      <c r="BB1037108" s="38"/>
    </row>
    <row r="1037109" spans="54:54" ht="15.75" customHeight="1" x14ac:dyDescent="0.3">
      <c r="BB1037109" s="38"/>
    </row>
    <row r="1037110" spans="54:54" ht="15.75" customHeight="1" x14ac:dyDescent="0.3">
      <c r="BB1037110" s="38"/>
    </row>
    <row r="1037111" spans="54:54" ht="15.75" customHeight="1" x14ac:dyDescent="0.3">
      <c r="BB1037111" s="38"/>
    </row>
    <row r="1037112" spans="54:54" ht="15.75" customHeight="1" x14ac:dyDescent="0.3">
      <c r="BB1037112" s="38"/>
    </row>
    <row r="1037113" spans="54:54" ht="15.75" customHeight="1" x14ac:dyDescent="0.3">
      <c r="BB1037113" s="38"/>
    </row>
    <row r="1037114" spans="54:54" ht="15.75" customHeight="1" x14ac:dyDescent="0.3">
      <c r="BB1037114" s="38"/>
    </row>
    <row r="1037115" spans="54:54" ht="15.75" customHeight="1" x14ac:dyDescent="0.3">
      <c r="BB1037115" s="38"/>
    </row>
    <row r="1037116" spans="54:54" ht="15.75" customHeight="1" x14ac:dyDescent="0.3">
      <c r="BB1037116" s="38"/>
    </row>
    <row r="1037117" spans="54:54" ht="15.75" customHeight="1" x14ac:dyDescent="0.3">
      <c r="BB1037117" s="38"/>
    </row>
    <row r="1037118" spans="54:54" ht="15.75" customHeight="1" x14ac:dyDescent="0.3">
      <c r="BB1037118" s="38"/>
    </row>
    <row r="1037119" spans="54:54" ht="15.75" customHeight="1" x14ac:dyDescent="0.3">
      <c r="BB1037119" s="38"/>
    </row>
    <row r="1037120" spans="54:54" ht="15.75" customHeight="1" x14ac:dyDescent="0.3">
      <c r="BB1037120" s="38"/>
    </row>
    <row r="1037121" spans="54:54" ht="15.75" customHeight="1" x14ac:dyDescent="0.3">
      <c r="BB1037121" s="38"/>
    </row>
    <row r="1037122" spans="54:54" ht="15.75" customHeight="1" x14ac:dyDescent="0.3">
      <c r="BB1037122" s="38"/>
    </row>
    <row r="1037123" spans="54:54" ht="15.75" customHeight="1" x14ac:dyDescent="0.3">
      <c r="BB1037123" s="38"/>
    </row>
    <row r="1037124" spans="54:54" ht="15.75" customHeight="1" x14ac:dyDescent="0.3">
      <c r="BB1037124" s="38"/>
    </row>
    <row r="1037125" spans="54:54" ht="15.75" customHeight="1" x14ac:dyDescent="0.3">
      <c r="BB1037125" s="38"/>
    </row>
    <row r="1037126" spans="54:54" ht="15.75" customHeight="1" x14ac:dyDescent="0.3">
      <c r="BB1037126" s="38"/>
    </row>
    <row r="1037127" spans="54:54" ht="15.75" customHeight="1" x14ac:dyDescent="0.3">
      <c r="BB1037127" s="38"/>
    </row>
    <row r="1037128" spans="54:54" ht="15.75" customHeight="1" x14ac:dyDescent="0.3">
      <c r="BB1037128" s="38"/>
    </row>
    <row r="1037129" spans="54:54" ht="15.75" customHeight="1" x14ac:dyDescent="0.3">
      <c r="BB1037129" s="38"/>
    </row>
    <row r="1037130" spans="54:54" ht="15.75" customHeight="1" x14ac:dyDescent="0.3">
      <c r="BB1037130" s="38"/>
    </row>
    <row r="1037131" spans="54:54" ht="15.75" customHeight="1" x14ac:dyDescent="0.3">
      <c r="BB1037131" s="38"/>
    </row>
    <row r="1037132" spans="54:54" ht="15.75" customHeight="1" x14ac:dyDescent="0.3">
      <c r="BB1037132" s="38"/>
    </row>
    <row r="1037133" spans="54:54" ht="15.75" customHeight="1" x14ac:dyDescent="0.3">
      <c r="BB1037133" s="38"/>
    </row>
    <row r="1037134" spans="54:54" ht="15.75" customHeight="1" x14ac:dyDescent="0.3">
      <c r="BB1037134" s="38"/>
    </row>
    <row r="1037135" spans="54:54" ht="15.75" customHeight="1" x14ac:dyDescent="0.3">
      <c r="BB1037135" s="38"/>
    </row>
    <row r="1037136" spans="54:54" ht="15.75" customHeight="1" x14ac:dyDescent="0.3">
      <c r="BB1037136" s="38"/>
    </row>
    <row r="1037137" spans="54:54" ht="15.75" customHeight="1" x14ac:dyDescent="0.3">
      <c r="BB1037137" s="38"/>
    </row>
    <row r="1037138" spans="54:54" ht="15.75" customHeight="1" x14ac:dyDescent="0.3">
      <c r="BB1037138" s="38"/>
    </row>
    <row r="1037139" spans="54:54" ht="15.75" customHeight="1" x14ac:dyDescent="0.3">
      <c r="BB1037139" s="38"/>
    </row>
    <row r="1037140" spans="54:54" ht="15.75" customHeight="1" x14ac:dyDescent="0.3">
      <c r="BB1037140" s="38"/>
    </row>
    <row r="1037141" spans="54:54" ht="15.75" customHeight="1" x14ac:dyDescent="0.3">
      <c r="BB1037141" s="38"/>
    </row>
    <row r="1037142" spans="54:54" ht="15.75" customHeight="1" x14ac:dyDescent="0.3">
      <c r="BB1037142" s="38"/>
    </row>
    <row r="1037143" spans="54:54" ht="15.75" customHeight="1" x14ac:dyDescent="0.3">
      <c r="BB1037143" s="38"/>
    </row>
    <row r="1037144" spans="54:54" ht="15.75" customHeight="1" x14ac:dyDescent="0.3">
      <c r="BB1037144" s="38"/>
    </row>
    <row r="1037145" spans="54:54" ht="15.75" customHeight="1" x14ac:dyDescent="0.3">
      <c r="BB1037145" s="38"/>
    </row>
    <row r="1037146" spans="54:54" ht="15.75" customHeight="1" x14ac:dyDescent="0.3">
      <c r="BB1037146" s="38"/>
    </row>
    <row r="1037147" spans="54:54" ht="15.75" customHeight="1" x14ac:dyDescent="0.3">
      <c r="BB1037147" s="38"/>
    </row>
    <row r="1037148" spans="54:54" ht="15.75" customHeight="1" x14ac:dyDescent="0.3">
      <c r="BB1037148" s="38"/>
    </row>
    <row r="1037149" spans="54:54" ht="15.75" customHeight="1" x14ac:dyDescent="0.3">
      <c r="BB1037149" s="38"/>
    </row>
    <row r="1037150" spans="54:54" ht="15.75" customHeight="1" x14ac:dyDescent="0.3">
      <c r="BB1037150" s="38"/>
    </row>
    <row r="1037151" spans="54:54" ht="15.75" customHeight="1" x14ac:dyDescent="0.3">
      <c r="BB1037151" s="38"/>
    </row>
    <row r="1037152" spans="54:54" ht="15.75" customHeight="1" x14ac:dyDescent="0.3">
      <c r="BB1037152" s="38"/>
    </row>
    <row r="1037153" spans="54:54" ht="15.75" customHeight="1" x14ac:dyDescent="0.3">
      <c r="BB1037153" s="38"/>
    </row>
    <row r="1037154" spans="54:54" ht="15.75" customHeight="1" x14ac:dyDescent="0.3">
      <c r="BB1037154" s="38"/>
    </row>
    <row r="1037155" spans="54:54" ht="15.75" customHeight="1" x14ac:dyDescent="0.3">
      <c r="BB1037155" s="38"/>
    </row>
    <row r="1037156" spans="54:54" ht="15.75" customHeight="1" x14ac:dyDescent="0.3">
      <c r="BB1037156" s="38"/>
    </row>
    <row r="1037157" spans="54:54" ht="15.75" customHeight="1" x14ac:dyDescent="0.3">
      <c r="BB1037157" s="38"/>
    </row>
    <row r="1037158" spans="54:54" ht="15.75" customHeight="1" x14ac:dyDescent="0.3">
      <c r="BB1037158" s="38"/>
    </row>
    <row r="1037159" spans="54:54" ht="15.75" customHeight="1" x14ac:dyDescent="0.3">
      <c r="BB1037159" s="38"/>
    </row>
    <row r="1037160" spans="54:54" ht="15.75" customHeight="1" x14ac:dyDescent="0.3">
      <c r="BB1037160" s="38"/>
    </row>
    <row r="1037161" spans="54:54" ht="15.75" customHeight="1" x14ac:dyDescent="0.3">
      <c r="BB1037161" s="38"/>
    </row>
    <row r="1037162" spans="54:54" ht="15.75" customHeight="1" x14ac:dyDescent="0.3">
      <c r="BB1037162" s="38"/>
    </row>
    <row r="1037163" spans="54:54" ht="15.75" customHeight="1" x14ac:dyDescent="0.3">
      <c r="BB1037163" s="38"/>
    </row>
    <row r="1037164" spans="54:54" ht="15.75" customHeight="1" x14ac:dyDescent="0.3">
      <c r="BB1037164" s="38"/>
    </row>
    <row r="1037165" spans="54:54" ht="15.75" customHeight="1" x14ac:dyDescent="0.3">
      <c r="BB1037165" s="38"/>
    </row>
    <row r="1037166" spans="54:54" ht="15.75" customHeight="1" x14ac:dyDescent="0.3">
      <c r="BB1037166" s="38"/>
    </row>
    <row r="1037167" spans="54:54" ht="15.75" customHeight="1" x14ac:dyDescent="0.3">
      <c r="BB1037167" s="38"/>
    </row>
    <row r="1037168" spans="54:54" ht="15.75" customHeight="1" x14ac:dyDescent="0.3">
      <c r="BB1037168" s="38"/>
    </row>
    <row r="1037169" spans="54:54" ht="15.75" customHeight="1" x14ac:dyDescent="0.3">
      <c r="BB1037169" s="38"/>
    </row>
    <row r="1037170" spans="54:54" ht="15.75" customHeight="1" x14ac:dyDescent="0.3">
      <c r="BB1037170" s="38"/>
    </row>
    <row r="1037171" spans="54:54" ht="15.75" customHeight="1" x14ac:dyDescent="0.3">
      <c r="BB1037171" s="38"/>
    </row>
    <row r="1037172" spans="54:54" ht="15.75" customHeight="1" x14ac:dyDescent="0.3">
      <c r="BB1037172" s="38"/>
    </row>
    <row r="1037173" spans="54:54" ht="15.75" customHeight="1" x14ac:dyDescent="0.3">
      <c r="BB1037173" s="38"/>
    </row>
    <row r="1037174" spans="54:54" ht="15.75" customHeight="1" x14ac:dyDescent="0.3">
      <c r="BB1037174" s="38"/>
    </row>
    <row r="1037175" spans="54:54" ht="15.75" customHeight="1" x14ac:dyDescent="0.3">
      <c r="BB1037175" s="38"/>
    </row>
    <row r="1037176" spans="54:54" ht="15.75" customHeight="1" x14ac:dyDescent="0.3">
      <c r="BB1037176" s="38"/>
    </row>
    <row r="1037177" spans="54:54" ht="15.75" customHeight="1" x14ac:dyDescent="0.3">
      <c r="BB1037177" s="38"/>
    </row>
    <row r="1037178" spans="54:54" ht="15.75" customHeight="1" x14ac:dyDescent="0.3">
      <c r="BB1037178" s="38"/>
    </row>
    <row r="1037179" spans="54:54" ht="15.75" customHeight="1" x14ac:dyDescent="0.3">
      <c r="BB1037179" s="38"/>
    </row>
    <row r="1037180" spans="54:54" ht="15.75" customHeight="1" x14ac:dyDescent="0.3">
      <c r="BB1037180" s="38"/>
    </row>
    <row r="1037181" spans="54:54" ht="15.75" customHeight="1" x14ac:dyDescent="0.3">
      <c r="BB1037181" s="38"/>
    </row>
    <row r="1037182" spans="54:54" ht="15.75" customHeight="1" x14ac:dyDescent="0.3">
      <c r="BB1037182" s="38"/>
    </row>
    <row r="1037183" spans="54:54" ht="15.75" customHeight="1" x14ac:dyDescent="0.3">
      <c r="BB1037183" s="38"/>
    </row>
    <row r="1037184" spans="54:54" ht="15.75" customHeight="1" x14ac:dyDescent="0.3">
      <c r="BB1037184" s="38"/>
    </row>
    <row r="1037185" spans="54:54" ht="15.75" customHeight="1" x14ac:dyDescent="0.3">
      <c r="BB1037185" s="38"/>
    </row>
    <row r="1037186" spans="54:54" ht="15.75" customHeight="1" x14ac:dyDescent="0.3">
      <c r="BB1037186" s="38"/>
    </row>
    <row r="1037187" spans="54:54" ht="15.75" customHeight="1" x14ac:dyDescent="0.3">
      <c r="BB1037187" s="38"/>
    </row>
    <row r="1037188" spans="54:54" ht="15.75" customHeight="1" x14ac:dyDescent="0.3">
      <c r="BB1037188" s="38"/>
    </row>
    <row r="1037189" spans="54:54" ht="15.75" customHeight="1" x14ac:dyDescent="0.3">
      <c r="BB1037189" s="38"/>
    </row>
    <row r="1037190" spans="54:54" ht="15.75" customHeight="1" x14ac:dyDescent="0.3">
      <c r="BB1037190" s="38"/>
    </row>
    <row r="1037191" spans="54:54" ht="15.75" customHeight="1" x14ac:dyDescent="0.3">
      <c r="BB1037191" s="38"/>
    </row>
    <row r="1037192" spans="54:54" ht="15.75" customHeight="1" x14ac:dyDescent="0.3">
      <c r="BB1037192" s="38"/>
    </row>
    <row r="1037193" spans="54:54" ht="15.75" customHeight="1" x14ac:dyDescent="0.3">
      <c r="BB1037193" s="38"/>
    </row>
    <row r="1037194" spans="54:54" ht="15.75" customHeight="1" x14ac:dyDescent="0.3">
      <c r="BB1037194" s="38"/>
    </row>
    <row r="1037195" spans="54:54" ht="15.75" customHeight="1" x14ac:dyDescent="0.3">
      <c r="BB1037195" s="38"/>
    </row>
    <row r="1037196" spans="54:54" ht="15.75" customHeight="1" x14ac:dyDescent="0.3">
      <c r="BB1037196" s="38"/>
    </row>
    <row r="1037197" spans="54:54" ht="15.75" customHeight="1" x14ac:dyDescent="0.3">
      <c r="BB1037197" s="38"/>
    </row>
    <row r="1037198" spans="54:54" ht="15.75" customHeight="1" x14ac:dyDescent="0.3">
      <c r="BB1037198" s="38"/>
    </row>
    <row r="1037199" spans="54:54" ht="15.75" customHeight="1" x14ac:dyDescent="0.3">
      <c r="BB1037199" s="38"/>
    </row>
    <row r="1037200" spans="54:54" ht="15.75" customHeight="1" x14ac:dyDescent="0.3">
      <c r="BB1037200" s="38"/>
    </row>
    <row r="1037201" spans="54:54" ht="15.75" customHeight="1" x14ac:dyDescent="0.3">
      <c r="BB1037201" s="38"/>
    </row>
    <row r="1037202" spans="54:54" ht="15.75" customHeight="1" x14ac:dyDescent="0.3">
      <c r="BB1037202" s="38"/>
    </row>
    <row r="1037203" spans="54:54" ht="15.75" customHeight="1" x14ac:dyDescent="0.3">
      <c r="BB1037203" s="38"/>
    </row>
    <row r="1037204" spans="54:54" ht="15.75" customHeight="1" x14ac:dyDescent="0.3">
      <c r="BB1037204" s="38"/>
    </row>
    <row r="1037205" spans="54:54" ht="15.75" customHeight="1" x14ac:dyDescent="0.3">
      <c r="BB1037205" s="38"/>
    </row>
    <row r="1037206" spans="54:54" ht="15.75" customHeight="1" x14ac:dyDescent="0.3">
      <c r="BB1037206" s="38"/>
    </row>
    <row r="1037207" spans="54:54" ht="15.75" customHeight="1" x14ac:dyDescent="0.3">
      <c r="BB1037207" s="38"/>
    </row>
    <row r="1037208" spans="54:54" ht="15.75" customHeight="1" x14ac:dyDescent="0.3">
      <c r="BB1037208" s="38"/>
    </row>
    <row r="1037209" spans="54:54" ht="15.75" customHeight="1" x14ac:dyDescent="0.3">
      <c r="BB1037209" s="38"/>
    </row>
    <row r="1037210" spans="54:54" ht="15.75" customHeight="1" x14ac:dyDescent="0.3">
      <c r="BB1037210" s="38"/>
    </row>
    <row r="1037211" spans="54:54" ht="15.75" customHeight="1" x14ac:dyDescent="0.3">
      <c r="BB1037211" s="38"/>
    </row>
    <row r="1037212" spans="54:54" ht="15.75" customHeight="1" x14ac:dyDescent="0.3">
      <c r="BB1037212" s="38"/>
    </row>
    <row r="1037213" spans="54:54" ht="15.75" customHeight="1" x14ac:dyDescent="0.3">
      <c r="BB1037213" s="38"/>
    </row>
    <row r="1037214" spans="54:54" ht="15.75" customHeight="1" x14ac:dyDescent="0.3">
      <c r="BB1037214" s="38"/>
    </row>
    <row r="1037215" spans="54:54" ht="15.75" customHeight="1" x14ac:dyDescent="0.3">
      <c r="BB1037215" s="38"/>
    </row>
    <row r="1037216" spans="54:54" ht="15.75" customHeight="1" x14ac:dyDescent="0.3">
      <c r="BB1037216" s="38"/>
    </row>
    <row r="1037217" spans="54:54" ht="15.75" customHeight="1" x14ac:dyDescent="0.3">
      <c r="BB1037217" s="38"/>
    </row>
    <row r="1037218" spans="54:54" ht="15.75" customHeight="1" x14ac:dyDescent="0.3">
      <c r="BB1037218" s="38"/>
    </row>
    <row r="1037219" spans="54:54" ht="15.75" customHeight="1" x14ac:dyDescent="0.3">
      <c r="BB1037219" s="38"/>
    </row>
    <row r="1037220" spans="54:54" ht="15.75" customHeight="1" x14ac:dyDescent="0.3">
      <c r="BB1037220" s="38"/>
    </row>
    <row r="1037221" spans="54:54" ht="15.75" customHeight="1" x14ac:dyDescent="0.3">
      <c r="BB1037221" s="38"/>
    </row>
    <row r="1037222" spans="54:54" ht="15.75" customHeight="1" x14ac:dyDescent="0.3">
      <c r="BB1037222" s="38"/>
    </row>
    <row r="1037223" spans="54:54" ht="15.75" customHeight="1" x14ac:dyDescent="0.3">
      <c r="BB1037223" s="38"/>
    </row>
    <row r="1037224" spans="54:54" ht="15.75" customHeight="1" x14ac:dyDescent="0.3">
      <c r="BB1037224" s="38"/>
    </row>
    <row r="1037225" spans="54:54" ht="15.75" customHeight="1" x14ac:dyDescent="0.3">
      <c r="BB1037225" s="38"/>
    </row>
    <row r="1037226" spans="54:54" ht="15.75" customHeight="1" x14ac:dyDescent="0.3">
      <c r="BB1037226" s="38"/>
    </row>
    <row r="1037227" spans="54:54" ht="15.75" customHeight="1" x14ac:dyDescent="0.3">
      <c r="BB1037227" s="38"/>
    </row>
    <row r="1037228" spans="54:54" ht="15.75" customHeight="1" x14ac:dyDescent="0.3">
      <c r="BB1037228" s="38"/>
    </row>
    <row r="1037229" spans="54:54" ht="15.75" customHeight="1" x14ac:dyDescent="0.3">
      <c r="BB1037229" s="38"/>
    </row>
    <row r="1037230" spans="54:54" ht="15.75" customHeight="1" x14ac:dyDescent="0.3">
      <c r="BB1037230" s="38"/>
    </row>
    <row r="1037231" spans="54:54" ht="15.75" customHeight="1" x14ac:dyDescent="0.3">
      <c r="BB1037231" s="38"/>
    </row>
    <row r="1037232" spans="54:54" ht="15.75" customHeight="1" x14ac:dyDescent="0.3">
      <c r="BB1037232" s="38"/>
    </row>
    <row r="1037233" spans="54:54" ht="15.75" customHeight="1" x14ac:dyDescent="0.3">
      <c r="BB1037233" s="38"/>
    </row>
    <row r="1037234" spans="54:54" ht="15.75" customHeight="1" x14ac:dyDescent="0.3">
      <c r="BB1037234" s="38"/>
    </row>
    <row r="1037235" spans="54:54" ht="15.75" customHeight="1" x14ac:dyDescent="0.3">
      <c r="BB1037235" s="38"/>
    </row>
    <row r="1037236" spans="54:54" ht="15.75" customHeight="1" x14ac:dyDescent="0.3">
      <c r="BB1037236" s="38"/>
    </row>
    <row r="1037237" spans="54:54" ht="15.75" customHeight="1" x14ac:dyDescent="0.3">
      <c r="BB1037237" s="38"/>
    </row>
    <row r="1037238" spans="54:54" ht="15.75" customHeight="1" x14ac:dyDescent="0.3">
      <c r="BB1037238" s="38"/>
    </row>
    <row r="1037239" spans="54:54" ht="15.75" customHeight="1" x14ac:dyDescent="0.3">
      <c r="BB1037239" s="38"/>
    </row>
    <row r="1037240" spans="54:54" ht="15.75" customHeight="1" x14ac:dyDescent="0.3">
      <c r="BB1037240" s="38"/>
    </row>
    <row r="1037241" spans="54:54" ht="15.75" customHeight="1" x14ac:dyDescent="0.3">
      <c r="BB1037241" s="38"/>
    </row>
    <row r="1037242" spans="54:54" ht="15.75" customHeight="1" x14ac:dyDescent="0.3">
      <c r="BB1037242" s="38"/>
    </row>
    <row r="1037243" spans="54:54" ht="15.75" customHeight="1" x14ac:dyDescent="0.3">
      <c r="BB1037243" s="38"/>
    </row>
    <row r="1037244" spans="54:54" ht="15.75" customHeight="1" x14ac:dyDescent="0.3">
      <c r="BB1037244" s="38"/>
    </row>
    <row r="1037245" spans="54:54" ht="15.75" customHeight="1" x14ac:dyDescent="0.3">
      <c r="BB1037245" s="38"/>
    </row>
    <row r="1037246" spans="54:54" ht="15.75" customHeight="1" x14ac:dyDescent="0.3">
      <c r="BB1037246" s="38"/>
    </row>
    <row r="1037247" spans="54:54" ht="15.75" customHeight="1" x14ac:dyDescent="0.3">
      <c r="BB1037247" s="38"/>
    </row>
    <row r="1037248" spans="54:54" ht="15.75" customHeight="1" x14ac:dyDescent="0.3">
      <c r="BB1037248" s="38"/>
    </row>
    <row r="1037249" spans="54:54" ht="15.75" customHeight="1" x14ac:dyDescent="0.3">
      <c r="BB1037249" s="38"/>
    </row>
    <row r="1037250" spans="54:54" ht="15.75" customHeight="1" x14ac:dyDescent="0.3">
      <c r="BB1037250" s="38"/>
    </row>
    <row r="1037251" spans="54:54" ht="15.75" customHeight="1" x14ac:dyDescent="0.3">
      <c r="BB1037251" s="38"/>
    </row>
    <row r="1037252" spans="54:54" ht="15.75" customHeight="1" x14ac:dyDescent="0.3">
      <c r="BB1037252" s="38"/>
    </row>
    <row r="1037253" spans="54:54" ht="15.75" customHeight="1" x14ac:dyDescent="0.3">
      <c r="BB1037253" s="38"/>
    </row>
    <row r="1037254" spans="54:54" ht="15.75" customHeight="1" x14ac:dyDescent="0.3">
      <c r="BB1037254" s="38"/>
    </row>
    <row r="1037255" spans="54:54" ht="15.75" customHeight="1" x14ac:dyDescent="0.3">
      <c r="BB1037255" s="38"/>
    </row>
    <row r="1037256" spans="54:54" ht="15.75" customHeight="1" x14ac:dyDescent="0.3">
      <c r="BB1037256" s="38"/>
    </row>
    <row r="1037257" spans="54:54" ht="15.75" customHeight="1" x14ac:dyDescent="0.3">
      <c r="BB1037257" s="38"/>
    </row>
    <row r="1037258" spans="54:54" ht="15.75" customHeight="1" x14ac:dyDescent="0.3">
      <c r="BB1037258" s="38"/>
    </row>
    <row r="1037259" spans="54:54" ht="15.75" customHeight="1" x14ac:dyDescent="0.3">
      <c r="BB1037259" s="38"/>
    </row>
    <row r="1037260" spans="54:54" ht="15.75" customHeight="1" x14ac:dyDescent="0.3">
      <c r="BB1037260" s="38"/>
    </row>
    <row r="1037261" spans="54:54" ht="15.75" customHeight="1" x14ac:dyDescent="0.3">
      <c r="BB1037261" s="38"/>
    </row>
    <row r="1037262" spans="54:54" ht="15.75" customHeight="1" x14ac:dyDescent="0.3">
      <c r="BB1037262" s="38"/>
    </row>
    <row r="1037263" spans="54:54" ht="15.75" customHeight="1" x14ac:dyDescent="0.3">
      <c r="BB1037263" s="38"/>
    </row>
    <row r="1037264" spans="54:54" ht="15.75" customHeight="1" x14ac:dyDescent="0.3">
      <c r="BB1037264" s="38"/>
    </row>
    <row r="1037265" spans="54:54" ht="15.75" customHeight="1" x14ac:dyDescent="0.3">
      <c r="BB1037265" s="38"/>
    </row>
    <row r="1037266" spans="54:54" ht="15.75" customHeight="1" x14ac:dyDescent="0.3">
      <c r="BB1037266" s="38"/>
    </row>
    <row r="1037267" spans="54:54" ht="15.75" customHeight="1" x14ac:dyDescent="0.3">
      <c r="BB1037267" s="38"/>
    </row>
    <row r="1037268" spans="54:54" ht="15.75" customHeight="1" x14ac:dyDescent="0.3">
      <c r="BB1037268" s="38"/>
    </row>
    <row r="1037269" spans="54:54" ht="15.75" customHeight="1" x14ac:dyDescent="0.3">
      <c r="BB1037269" s="38"/>
    </row>
    <row r="1037270" spans="54:54" ht="15.75" customHeight="1" x14ac:dyDescent="0.3">
      <c r="BB1037270" s="38"/>
    </row>
    <row r="1037271" spans="54:54" ht="15.75" customHeight="1" x14ac:dyDescent="0.3">
      <c r="BB1037271" s="38"/>
    </row>
    <row r="1037272" spans="54:54" ht="15.75" customHeight="1" x14ac:dyDescent="0.3">
      <c r="BB1037272" s="38"/>
    </row>
    <row r="1037273" spans="54:54" ht="15.75" customHeight="1" x14ac:dyDescent="0.3">
      <c r="BB1037273" s="38"/>
    </row>
    <row r="1037274" spans="54:54" ht="15.75" customHeight="1" x14ac:dyDescent="0.3">
      <c r="BB1037274" s="38"/>
    </row>
    <row r="1037275" spans="54:54" ht="15.75" customHeight="1" x14ac:dyDescent="0.3">
      <c r="BB1037275" s="38"/>
    </row>
    <row r="1037276" spans="54:54" ht="15.75" customHeight="1" x14ac:dyDescent="0.3">
      <c r="BB1037276" s="38"/>
    </row>
    <row r="1037277" spans="54:54" ht="15.75" customHeight="1" x14ac:dyDescent="0.3">
      <c r="BB1037277" s="38"/>
    </row>
    <row r="1037278" spans="54:54" ht="15.75" customHeight="1" x14ac:dyDescent="0.3">
      <c r="BB1037278" s="38"/>
    </row>
    <row r="1037279" spans="54:54" ht="15.75" customHeight="1" x14ac:dyDescent="0.3">
      <c r="BB1037279" s="38"/>
    </row>
    <row r="1037280" spans="54:54" ht="15.75" customHeight="1" x14ac:dyDescent="0.3">
      <c r="BB1037280" s="38"/>
    </row>
    <row r="1037281" spans="54:54" ht="15.75" customHeight="1" x14ac:dyDescent="0.3">
      <c r="BB1037281" s="38"/>
    </row>
    <row r="1037282" spans="54:54" ht="15.75" customHeight="1" x14ac:dyDescent="0.3">
      <c r="BB1037282" s="38"/>
    </row>
    <row r="1037283" spans="54:54" ht="15.75" customHeight="1" x14ac:dyDescent="0.3">
      <c r="BB1037283" s="38"/>
    </row>
    <row r="1037284" spans="54:54" ht="15.75" customHeight="1" x14ac:dyDescent="0.3">
      <c r="BB1037284" s="38"/>
    </row>
    <row r="1037285" spans="54:54" ht="15.75" customHeight="1" x14ac:dyDescent="0.3">
      <c r="BB1037285" s="38"/>
    </row>
    <row r="1037286" spans="54:54" ht="15.75" customHeight="1" x14ac:dyDescent="0.3">
      <c r="BB1037286" s="38"/>
    </row>
    <row r="1037287" spans="54:54" ht="15.75" customHeight="1" x14ac:dyDescent="0.3">
      <c r="BB1037287" s="38"/>
    </row>
    <row r="1037288" spans="54:54" ht="15.75" customHeight="1" x14ac:dyDescent="0.3">
      <c r="BB1037288" s="38"/>
    </row>
    <row r="1037289" spans="54:54" ht="15.75" customHeight="1" x14ac:dyDescent="0.3">
      <c r="BB1037289" s="38"/>
    </row>
    <row r="1037290" spans="54:54" ht="15.75" customHeight="1" x14ac:dyDescent="0.3">
      <c r="BB1037290" s="38"/>
    </row>
    <row r="1037291" spans="54:54" ht="15.75" customHeight="1" x14ac:dyDescent="0.3">
      <c r="BB1037291" s="38"/>
    </row>
    <row r="1037292" spans="54:54" ht="15.75" customHeight="1" x14ac:dyDescent="0.3">
      <c r="BB1037292" s="38"/>
    </row>
    <row r="1037293" spans="54:54" ht="15.75" customHeight="1" x14ac:dyDescent="0.3">
      <c r="BB1037293" s="38"/>
    </row>
    <row r="1037294" spans="54:54" ht="15.75" customHeight="1" x14ac:dyDescent="0.3">
      <c r="BB1037294" s="38"/>
    </row>
    <row r="1037295" spans="54:54" ht="15.75" customHeight="1" x14ac:dyDescent="0.3">
      <c r="BB1037295" s="38"/>
    </row>
    <row r="1037296" spans="54:54" ht="15.75" customHeight="1" x14ac:dyDescent="0.3">
      <c r="BB1037296" s="38"/>
    </row>
    <row r="1037297" spans="54:54" ht="15.75" customHeight="1" x14ac:dyDescent="0.3">
      <c r="BB1037297" s="38"/>
    </row>
    <row r="1037298" spans="54:54" ht="15.75" customHeight="1" x14ac:dyDescent="0.3">
      <c r="BB1037298" s="38"/>
    </row>
    <row r="1037299" spans="54:54" ht="15.75" customHeight="1" x14ac:dyDescent="0.3">
      <c r="BB1037299" s="38"/>
    </row>
    <row r="1037300" spans="54:54" ht="15.75" customHeight="1" x14ac:dyDescent="0.3">
      <c r="BB1037300" s="38"/>
    </row>
    <row r="1037301" spans="54:54" ht="15.75" customHeight="1" x14ac:dyDescent="0.3">
      <c r="BB1037301" s="38"/>
    </row>
    <row r="1037302" spans="54:54" ht="15.75" customHeight="1" x14ac:dyDescent="0.3">
      <c r="BB1037302" s="38"/>
    </row>
    <row r="1037303" spans="54:54" ht="15.75" customHeight="1" x14ac:dyDescent="0.3">
      <c r="BB1037303" s="38"/>
    </row>
    <row r="1037304" spans="54:54" ht="15.75" customHeight="1" x14ac:dyDescent="0.3">
      <c r="BB1037304" s="38"/>
    </row>
    <row r="1037305" spans="54:54" ht="15.75" customHeight="1" x14ac:dyDescent="0.3">
      <c r="BB1037305" s="38"/>
    </row>
    <row r="1037306" spans="54:54" ht="15.75" customHeight="1" x14ac:dyDescent="0.3">
      <c r="BB1037306" s="38"/>
    </row>
    <row r="1037307" spans="54:54" ht="15.75" customHeight="1" x14ac:dyDescent="0.3">
      <c r="BB1037307" s="38"/>
    </row>
    <row r="1037308" spans="54:54" ht="15.75" customHeight="1" x14ac:dyDescent="0.3">
      <c r="BB1037308" s="38"/>
    </row>
    <row r="1037309" spans="54:54" ht="15.75" customHeight="1" x14ac:dyDescent="0.3">
      <c r="BB1037309" s="38"/>
    </row>
    <row r="1037310" spans="54:54" ht="15.75" customHeight="1" x14ac:dyDescent="0.3">
      <c r="BB1037310" s="38"/>
    </row>
    <row r="1037311" spans="54:54" ht="15.75" customHeight="1" x14ac:dyDescent="0.3">
      <c r="BB1037311" s="38"/>
    </row>
    <row r="1037312" spans="54:54" ht="15.75" customHeight="1" x14ac:dyDescent="0.3">
      <c r="BB1037312" s="38"/>
    </row>
    <row r="1037313" spans="54:54" ht="15.75" customHeight="1" x14ac:dyDescent="0.3">
      <c r="BB1037313" s="38"/>
    </row>
    <row r="1037314" spans="54:54" ht="15.75" customHeight="1" x14ac:dyDescent="0.3">
      <c r="BB1037314" s="38"/>
    </row>
    <row r="1037315" spans="54:54" ht="15.75" customHeight="1" x14ac:dyDescent="0.3">
      <c r="BB1037315" s="38"/>
    </row>
    <row r="1037316" spans="54:54" ht="15.75" customHeight="1" x14ac:dyDescent="0.3">
      <c r="BB1037316" s="38"/>
    </row>
    <row r="1037317" spans="54:54" ht="15.75" customHeight="1" x14ac:dyDescent="0.3">
      <c r="BB1037317" s="38"/>
    </row>
    <row r="1037318" spans="54:54" ht="15.75" customHeight="1" x14ac:dyDescent="0.3">
      <c r="BB1037318" s="38"/>
    </row>
    <row r="1037319" spans="54:54" ht="15.75" customHeight="1" x14ac:dyDescent="0.3">
      <c r="BB1037319" s="38"/>
    </row>
    <row r="1037320" spans="54:54" ht="15.75" customHeight="1" x14ac:dyDescent="0.3">
      <c r="BB1037320" s="38"/>
    </row>
    <row r="1037321" spans="54:54" ht="15.75" customHeight="1" x14ac:dyDescent="0.3">
      <c r="BB1037321" s="38"/>
    </row>
    <row r="1037322" spans="54:54" ht="15.75" customHeight="1" x14ac:dyDescent="0.3">
      <c r="BB1037322" s="38"/>
    </row>
    <row r="1037323" spans="54:54" ht="15.75" customHeight="1" x14ac:dyDescent="0.3">
      <c r="BB1037323" s="38"/>
    </row>
    <row r="1037324" spans="54:54" ht="15.75" customHeight="1" x14ac:dyDescent="0.3">
      <c r="BB1037324" s="38"/>
    </row>
    <row r="1037325" spans="54:54" ht="15.75" customHeight="1" x14ac:dyDescent="0.3">
      <c r="BB1037325" s="38"/>
    </row>
    <row r="1037326" spans="54:54" ht="15.75" customHeight="1" x14ac:dyDescent="0.3">
      <c r="BB1037326" s="38"/>
    </row>
    <row r="1037327" spans="54:54" ht="15.75" customHeight="1" x14ac:dyDescent="0.3">
      <c r="BB1037327" s="38"/>
    </row>
    <row r="1037328" spans="54:54" ht="15.75" customHeight="1" x14ac:dyDescent="0.3">
      <c r="BB1037328" s="38"/>
    </row>
    <row r="1037329" spans="54:54" ht="15.75" customHeight="1" x14ac:dyDescent="0.3">
      <c r="BB1037329" s="38"/>
    </row>
    <row r="1037330" spans="54:54" ht="15.75" customHeight="1" x14ac:dyDescent="0.3">
      <c r="BB1037330" s="38"/>
    </row>
    <row r="1037331" spans="54:54" ht="15.75" customHeight="1" x14ac:dyDescent="0.3">
      <c r="BB1037331" s="38"/>
    </row>
    <row r="1037332" spans="54:54" ht="15.75" customHeight="1" x14ac:dyDescent="0.3">
      <c r="BB1037332" s="38"/>
    </row>
    <row r="1037333" spans="54:54" ht="15.75" customHeight="1" x14ac:dyDescent="0.3">
      <c r="BB1037333" s="38"/>
    </row>
    <row r="1037334" spans="54:54" ht="15.75" customHeight="1" x14ac:dyDescent="0.3">
      <c r="BB1037334" s="38"/>
    </row>
    <row r="1037335" spans="54:54" ht="15.75" customHeight="1" x14ac:dyDescent="0.3">
      <c r="BB1037335" s="38"/>
    </row>
    <row r="1037336" spans="54:54" ht="15.75" customHeight="1" x14ac:dyDescent="0.3">
      <c r="BB1037336" s="38"/>
    </row>
    <row r="1037337" spans="54:54" ht="15.75" customHeight="1" x14ac:dyDescent="0.3">
      <c r="BB1037337" s="38"/>
    </row>
    <row r="1037338" spans="54:54" ht="15.75" customHeight="1" x14ac:dyDescent="0.3">
      <c r="BB1037338" s="38"/>
    </row>
    <row r="1037339" spans="54:54" ht="15.75" customHeight="1" x14ac:dyDescent="0.3">
      <c r="BB1037339" s="38"/>
    </row>
    <row r="1037340" spans="54:54" ht="15.75" customHeight="1" x14ac:dyDescent="0.3">
      <c r="BB1037340" s="38"/>
    </row>
    <row r="1037341" spans="54:54" ht="15.75" customHeight="1" x14ac:dyDescent="0.3">
      <c r="BB1037341" s="38"/>
    </row>
    <row r="1037342" spans="54:54" ht="15.75" customHeight="1" x14ac:dyDescent="0.3">
      <c r="BB1037342" s="38"/>
    </row>
    <row r="1037343" spans="54:54" ht="15.75" customHeight="1" x14ac:dyDescent="0.3">
      <c r="BB1037343" s="38"/>
    </row>
    <row r="1037344" spans="54:54" ht="15.75" customHeight="1" x14ac:dyDescent="0.3">
      <c r="BB1037344" s="38"/>
    </row>
    <row r="1037345" spans="54:54" ht="15.75" customHeight="1" x14ac:dyDescent="0.3">
      <c r="BB1037345" s="38"/>
    </row>
    <row r="1037346" spans="54:54" ht="15.75" customHeight="1" x14ac:dyDescent="0.3">
      <c r="BB1037346" s="38"/>
    </row>
    <row r="1037347" spans="54:54" ht="15.75" customHeight="1" x14ac:dyDescent="0.3">
      <c r="BB1037347" s="38"/>
    </row>
    <row r="1037348" spans="54:54" ht="15.75" customHeight="1" x14ac:dyDescent="0.3">
      <c r="BB1037348" s="38"/>
    </row>
    <row r="1037349" spans="54:54" ht="15.75" customHeight="1" x14ac:dyDescent="0.3">
      <c r="BB1037349" s="38"/>
    </row>
    <row r="1037350" spans="54:54" ht="15.75" customHeight="1" x14ac:dyDescent="0.3">
      <c r="BB1037350" s="38"/>
    </row>
    <row r="1037351" spans="54:54" ht="15.75" customHeight="1" x14ac:dyDescent="0.3">
      <c r="BB1037351" s="38"/>
    </row>
    <row r="1037352" spans="54:54" ht="15.75" customHeight="1" x14ac:dyDescent="0.3">
      <c r="BB1037352" s="38"/>
    </row>
    <row r="1037353" spans="54:54" ht="15.75" customHeight="1" x14ac:dyDescent="0.3">
      <c r="BB1037353" s="38"/>
    </row>
    <row r="1037354" spans="54:54" ht="15.75" customHeight="1" x14ac:dyDescent="0.3">
      <c r="BB1037354" s="38"/>
    </row>
    <row r="1037355" spans="54:54" ht="15.75" customHeight="1" x14ac:dyDescent="0.3">
      <c r="BB1037355" s="38"/>
    </row>
    <row r="1037356" spans="54:54" ht="15.75" customHeight="1" x14ac:dyDescent="0.3">
      <c r="BB1037356" s="38"/>
    </row>
    <row r="1037357" spans="54:54" ht="15.75" customHeight="1" x14ac:dyDescent="0.3">
      <c r="BB1037357" s="38"/>
    </row>
    <row r="1037358" spans="54:54" ht="15.75" customHeight="1" x14ac:dyDescent="0.3">
      <c r="BB1037358" s="38"/>
    </row>
    <row r="1037359" spans="54:54" ht="15.75" customHeight="1" x14ac:dyDescent="0.3">
      <c r="BB1037359" s="38"/>
    </row>
    <row r="1037360" spans="54:54" ht="15.75" customHeight="1" x14ac:dyDescent="0.3">
      <c r="BB1037360" s="38"/>
    </row>
    <row r="1037361" spans="54:54" ht="15.75" customHeight="1" x14ac:dyDescent="0.3">
      <c r="BB1037361" s="38"/>
    </row>
    <row r="1037362" spans="54:54" ht="15.75" customHeight="1" x14ac:dyDescent="0.3">
      <c r="BB1037362" s="38"/>
    </row>
    <row r="1037363" spans="54:54" ht="15.75" customHeight="1" x14ac:dyDescent="0.3">
      <c r="BB1037363" s="38"/>
    </row>
    <row r="1037364" spans="54:54" ht="15.75" customHeight="1" x14ac:dyDescent="0.3">
      <c r="BB1037364" s="38"/>
    </row>
    <row r="1037365" spans="54:54" ht="15.75" customHeight="1" x14ac:dyDescent="0.3">
      <c r="BB1037365" s="38"/>
    </row>
    <row r="1037366" spans="54:54" ht="15.75" customHeight="1" x14ac:dyDescent="0.3">
      <c r="BB1037366" s="38"/>
    </row>
    <row r="1037367" spans="54:54" ht="15.75" customHeight="1" x14ac:dyDescent="0.3">
      <c r="BB1037367" s="38"/>
    </row>
    <row r="1037368" spans="54:54" ht="15.75" customHeight="1" x14ac:dyDescent="0.3">
      <c r="BB1037368" s="38"/>
    </row>
    <row r="1037369" spans="54:54" ht="15.75" customHeight="1" x14ac:dyDescent="0.3">
      <c r="BB1037369" s="38"/>
    </row>
    <row r="1037370" spans="54:54" ht="15.75" customHeight="1" x14ac:dyDescent="0.3">
      <c r="BB1037370" s="38"/>
    </row>
    <row r="1037371" spans="54:54" ht="15.75" customHeight="1" x14ac:dyDescent="0.3">
      <c r="BB1037371" s="38"/>
    </row>
    <row r="1037372" spans="54:54" ht="15.75" customHeight="1" x14ac:dyDescent="0.3">
      <c r="BB1037372" s="38"/>
    </row>
    <row r="1037373" spans="54:54" ht="15.75" customHeight="1" x14ac:dyDescent="0.3">
      <c r="BB1037373" s="38"/>
    </row>
    <row r="1037374" spans="54:54" ht="15.75" customHeight="1" x14ac:dyDescent="0.3">
      <c r="BB1037374" s="38"/>
    </row>
    <row r="1037375" spans="54:54" ht="15.75" customHeight="1" x14ac:dyDescent="0.3">
      <c r="BB1037375" s="38"/>
    </row>
    <row r="1037376" spans="54:54" ht="15.75" customHeight="1" x14ac:dyDescent="0.3">
      <c r="BB1037376" s="38"/>
    </row>
    <row r="1037377" spans="54:54" ht="15.75" customHeight="1" x14ac:dyDescent="0.3">
      <c r="BB1037377" s="38"/>
    </row>
    <row r="1037378" spans="54:54" ht="15.75" customHeight="1" x14ac:dyDescent="0.3">
      <c r="BB1037378" s="38"/>
    </row>
    <row r="1037379" spans="54:54" ht="15.75" customHeight="1" x14ac:dyDescent="0.3">
      <c r="BB1037379" s="38"/>
    </row>
    <row r="1037380" spans="54:54" ht="15.75" customHeight="1" x14ac:dyDescent="0.3">
      <c r="BB1037380" s="38"/>
    </row>
    <row r="1037381" spans="54:54" ht="15.75" customHeight="1" x14ac:dyDescent="0.3">
      <c r="BB1037381" s="38"/>
    </row>
    <row r="1037382" spans="54:54" ht="15.75" customHeight="1" x14ac:dyDescent="0.3">
      <c r="BB1037382" s="38"/>
    </row>
    <row r="1037383" spans="54:54" ht="15.75" customHeight="1" x14ac:dyDescent="0.3">
      <c r="BB1037383" s="38"/>
    </row>
    <row r="1037384" spans="54:54" ht="15.75" customHeight="1" x14ac:dyDescent="0.3">
      <c r="BB1037384" s="38"/>
    </row>
    <row r="1037385" spans="54:54" ht="15.75" customHeight="1" x14ac:dyDescent="0.3">
      <c r="BB1037385" s="38"/>
    </row>
    <row r="1037386" spans="54:54" ht="15.75" customHeight="1" x14ac:dyDescent="0.3">
      <c r="BB1037386" s="38"/>
    </row>
    <row r="1037387" spans="54:54" ht="15.75" customHeight="1" x14ac:dyDescent="0.3">
      <c r="BB1037387" s="38"/>
    </row>
    <row r="1037388" spans="54:54" ht="15.75" customHeight="1" x14ac:dyDescent="0.3">
      <c r="BB1037388" s="38"/>
    </row>
    <row r="1037389" spans="54:54" ht="15.75" customHeight="1" x14ac:dyDescent="0.3">
      <c r="BB1037389" s="38"/>
    </row>
    <row r="1037390" spans="54:54" ht="15.75" customHeight="1" x14ac:dyDescent="0.3">
      <c r="BB1037390" s="38"/>
    </row>
    <row r="1037391" spans="54:54" ht="15.75" customHeight="1" x14ac:dyDescent="0.3">
      <c r="BB1037391" s="38"/>
    </row>
    <row r="1037392" spans="54:54" ht="15.75" customHeight="1" x14ac:dyDescent="0.3">
      <c r="BB1037392" s="38"/>
    </row>
    <row r="1037393" spans="54:54" ht="15.75" customHeight="1" x14ac:dyDescent="0.3">
      <c r="BB1037393" s="38"/>
    </row>
    <row r="1037394" spans="54:54" ht="15.75" customHeight="1" x14ac:dyDescent="0.3">
      <c r="BB1037394" s="38"/>
    </row>
    <row r="1037395" spans="54:54" ht="15.75" customHeight="1" x14ac:dyDescent="0.3">
      <c r="BB1037395" s="38"/>
    </row>
    <row r="1037396" spans="54:54" ht="15.75" customHeight="1" x14ac:dyDescent="0.3">
      <c r="BB1037396" s="38"/>
    </row>
    <row r="1037397" spans="54:54" ht="15.75" customHeight="1" x14ac:dyDescent="0.3">
      <c r="BB1037397" s="38"/>
    </row>
    <row r="1037398" spans="54:54" ht="15.75" customHeight="1" x14ac:dyDescent="0.3">
      <c r="BB1037398" s="38"/>
    </row>
    <row r="1037399" spans="54:54" ht="15.75" customHeight="1" x14ac:dyDescent="0.3">
      <c r="BB1037399" s="38"/>
    </row>
    <row r="1037400" spans="54:54" ht="15.75" customHeight="1" x14ac:dyDescent="0.3">
      <c r="BB1037400" s="38"/>
    </row>
    <row r="1037401" spans="54:54" ht="15.75" customHeight="1" x14ac:dyDescent="0.3">
      <c r="BB1037401" s="38"/>
    </row>
    <row r="1037402" spans="54:54" ht="15.75" customHeight="1" x14ac:dyDescent="0.3">
      <c r="BB1037402" s="38"/>
    </row>
    <row r="1037403" spans="54:54" ht="15.75" customHeight="1" x14ac:dyDescent="0.3">
      <c r="BB1037403" s="38"/>
    </row>
    <row r="1037404" spans="54:54" ht="15.75" customHeight="1" x14ac:dyDescent="0.3">
      <c r="BB1037404" s="38"/>
    </row>
    <row r="1037405" spans="54:54" ht="15.75" customHeight="1" x14ac:dyDescent="0.3">
      <c r="BB1037405" s="38"/>
    </row>
    <row r="1037406" spans="54:54" ht="15.75" customHeight="1" x14ac:dyDescent="0.3">
      <c r="BB1037406" s="38"/>
    </row>
    <row r="1037407" spans="54:54" ht="15.75" customHeight="1" x14ac:dyDescent="0.3">
      <c r="BB1037407" s="38"/>
    </row>
    <row r="1037408" spans="54:54" ht="15.75" customHeight="1" x14ac:dyDescent="0.3">
      <c r="BB1037408" s="38"/>
    </row>
    <row r="1037409" spans="54:54" ht="15.75" customHeight="1" x14ac:dyDescent="0.3">
      <c r="BB1037409" s="38"/>
    </row>
    <row r="1037410" spans="54:54" ht="15.75" customHeight="1" x14ac:dyDescent="0.3">
      <c r="BB1037410" s="38"/>
    </row>
    <row r="1037411" spans="54:54" ht="15.75" customHeight="1" x14ac:dyDescent="0.3">
      <c r="BB1037411" s="38"/>
    </row>
    <row r="1037412" spans="54:54" ht="15.75" customHeight="1" x14ac:dyDescent="0.3">
      <c r="BB1037412" s="38"/>
    </row>
    <row r="1037413" spans="54:54" ht="15.75" customHeight="1" x14ac:dyDescent="0.3">
      <c r="BB1037413" s="38"/>
    </row>
    <row r="1037414" spans="54:54" ht="15.75" customHeight="1" x14ac:dyDescent="0.3">
      <c r="BB1037414" s="38"/>
    </row>
    <row r="1037415" spans="54:54" ht="15.75" customHeight="1" x14ac:dyDescent="0.3">
      <c r="BB1037415" s="38"/>
    </row>
    <row r="1037416" spans="54:54" ht="15.75" customHeight="1" x14ac:dyDescent="0.3">
      <c r="BB1037416" s="38"/>
    </row>
    <row r="1037417" spans="54:54" ht="15.75" customHeight="1" x14ac:dyDescent="0.3">
      <c r="BB1037417" s="38"/>
    </row>
    <row r="1037418" spans="54:54" ht="15.75" customHeight="1" x14ac:dyDescent="0.3">
      <c r="BB1037418" s="38"/>
    </row>
    <row r="1037419" spans="54:54" ht="15.75" customHeight="1" x14ac:dyDescent="0.3">
      <c r="BB1037419" s="38"/>
    </row>
    <row r="1037420" spans="54:54" ht="15.75" customHeight="1" x14ac:dyDescent="0.3">
      <c r="BB1037420" s="38"/>
    </row>
    <row r="1037421" spans="54:54" ht="15.75" customHeight="1" x14ac:dyDescent="0.3">
      <c r="BB1037421" s="38"/>
    </row>
    <row r="1037422" spans="54:54" ht="15.75" customHeight="1" x14ac:dyDescent="0.3">
      <c r="BB1037422" s="38"/>
    </row>
    <row r="1037423" spans="54:54" ht="15.75" customHeight="1" x14ac:dyDescent="0.3">
      <c r="BB1037423" s="38"/>
    </row>
    <row r="1037424" spans="54:54" ht="15.75" customHeight="1" x14ac:dyDescent="0.3">
      <c r="BB1037424" s="38"/>
    </row>
    <row r="1037425" spans="54:54" ht="15.75" customHeight="1" x14ac:dyDescent="0.3">
      <c r="BB1037425" s="38"/>
    </row>
    <row r="1037426" spans="54:54" ht="15.75" customHeight="1" x14ac:dyDescent="0.3">
      <c r="BB1037426" s="38"/>
    </row>
    <row r="1037427" spans="54:54" ht="15.75" customHeight="1" x14ac:dyDescent="0.3">
      <c r="BB1037427" s="38"/>
    </row>
    <row r="1037428" spans="54:54" ht="15.75" customHeight="1" x14ac:dyDescent="0.3">
      <c r="BB1037428" s="38"/>
    </row>
    <row r="1037429" spans="54:54" ht="15.75" customHeight="1" x14ac:dyDescent="0.3">
      <c r="BB1037429" s="38"/>
    </row>
    <row r="1037430" spans="54:54" ht="15.75" customHeight="1" x14ac:dyDescent="0.3">
      <c r="BB1037430" s="38"/>
    </row>
    <row r="1037431" spans="54:54" ht="15.75" customHeight="1" x14ac:dyDescent="0.3">
      <c r="BB1037431" s="38"/>
    </row>
    <row r="1037432" spans="54:54" ht="15.75" customHeight="1" x14ac:dyDescent="0.3">
      <c r="BB1037432" s="38"/>
    </row>
    <row r="1037433" spans="54:54" ht="15.75" customHeight="1" x14ac:dyDescent="0.3">
      <c r="BB1037433" s="38"/>
    </row>
    <row r="1037434" spans="54:54" ht="15.75" customHeight="1" x14ac:dyDescent="0.3">
      <c r="BB1037434" s="38"/>
    </row>
    <row r="1037435" spans="54:54" ht="15.75" customHeight="1" x14ac:dyDescent="0.3">
      <c r="BB1037435" s="38"/>
    </row>
    <row r="1037436" spans="54:54" ht="15.75" customHeight="1" x14ac:dyDescent="0.3">
      <c r="BB1037436" s="38"/>
    </row>
    <row r="1037437" spans="54:54" ht="15.75" customHeight="1" x14ac:dyDescent="0.3">
      <c r="BB1037437" s="38"/>
    </row>
    <row r="1037438" spans="54:54" ht="15.75" customHeight="1" x14ac:dyDescent="0.3">
      <c r="BB1037438" s="38"/>
    </row>
    <row r="1037439" spans="54:54" ht="15.75" customHeight="1" x14ac:dyDescent="0.3">
      <c r="BB1037439" s="38"/>
    </row>
    <row r="1037440" spans="54:54" ht="15.75" customHeight="1" x14ac:dyDescent="0.3">
      <c r="BB1037440" s="38"/>
    </row>
    <row r="1037441" spans="54:54" ht="15.75" customHeight="1" x14ac:dyDescent="0.3">
      <c r="BB1037441" s="38"/>
    </row>
    <row r="1037442" spans="54:54" ht="15.75" customHeight="1" x14ac:dyDescent="0.3">
      <c r="BB1037442" s="38"/>
    </row>
    <row r="1037443" spans="54:54" ht="15.75" customHeight="1" x14ac:dyDescent="0.3">
      <c r="BB1037443" s="38"/>
    </row>
    <row r="1037444" spans="54:54" ht="15.75" customHeight="1" x14ac:dyDescent="0.3">
      <c r="BB1037444" s="38"/>
    </row>
    <row r="1037445" spans="54:54" ht="15.75" customHeight="1" x14ac:dyDescent="0.3">
      <c r="BB1037445" s="38"/>
    </row>
    <row r="1037446" spans="54:54" ht="15.75" customHeight="1" x14ac:dyDescent="0.3">
      <c r="BB1037446" s="38"/>
    </row>
    <row r="1037447" spans="54:54" ht="15.75" customHeight="1" x14ac:dyDescent="0.3">
      <c r="BB1037447" s="38"/>
    </row>
    <row r="1037448" spans="54:54" ht="15.75" customHeight="1" x14ac:dyDescent="0.3">
      <c r="BB1037448" s="38"/>
    </row>
    <row r="1037449" spans="54:54" ht="15.75" customHeight="1" x14ac:dyDescent="0.3">
      <c r="BB1037449" s="38"/>
    </row>
    <row r="1037450" spans="54:54" ht="15.75" customHeight="1" x14ac:dyDescent="0.3">
      <c r="BB1037450" s="38"/>
    </row>
    <row r="1037451" spans="54:54" ht="15.75" customHeight="1" x14ac:dyDescent="0.3">
      <c r="BB1037451" s="38"/>
    </row>
    <row r="1037452" spans="54:54" ht="15.75" customHeight="1" x14ac:dyDescent="0.3">
      <c r="BB1037452" s="38"/>
    </row>
    <row r="1037453" spans="54:54" ht="15.75" customHeight="1" x14ac:dyDescent="0.3">
      <c r="BB1037453" s="38"/>
    </row>
    <row r="1037454" spans="54:54" ht="15.75" customHeight="1" x14ac:dyDescent="0.3">
      <c r="BB1037454" s="38"/>
    </row>
    <row r="1037455" spans="54:54" ht="15.75" customHeight="1" x14ac:dyDescent="0.3">
      <c r="BB1037455" s="38"/>
    </row>
    <row r="1037456" spans="54:54" ht="15.75" customHeight="1" x14ac:dyDescent="0.3">
      <c r="BB1037456" s="38"/>
    </row>
    <row r="1037457" spans="54:54" ht="15.75" customHeight="1" x14ac:dyDescent="0.3">
      <c r="BB1037457" s="38"/>
    </row>
    <row r="1037458" spans="54:54" ht="15.75" customHeight="1" x14ac:dyDescent="0.3">
      <c r="BB1037458" s="38"/>
    </row>
    <row r="1037459" spans="54:54" ht="15.75" customHeight="1" x14ac:dyDescent="0.3">
      <c r="BB1037459" s="38"/>
    </row>
    <row r="1037460" spans="54:54" ht="15.75" customHeight="1" x14ac:dyDescent="0.3">
      <c r="BB1037460" s="38"/>
    </row>
    <row r="1037461" spans="54:54" ht="15.75" customHeight="1" x14ac:dyDescent="0.3">
      <c r="BB1037461" s="38"/>
    </row>
    <row r="1037462" spans="54:54" ht="15.75" customHeight="1" x14ac:dyDescent="0.3">
      <c r="BB1037462" s="38"/>
    </row>
    <row r="1037463" spans="54:54" ht="15.75" customHeight="1" x14ac:dyDescent="0.3">
      <c r="BB1037463" s="38"/>
    </row>
    <row r="1037464" spans="54:54" ht="15.75" customHeight="1" x14ac:dyDescent="0.3">
      <c r="BB1037464" s="38"/>
    </row>
    <row r="1037465" spans="54:54" ht="15.75" customHeight="1" x14ac:dyDescent="0.3">
      <c r="BB1037465" s="38"/>
    </row>
    <row r="1037466" spans="54:54" ht="15.75" customHeight="1" x14ac:dyDescent="0.3">
      <c r="BB1037466" s="38"/>
    </row>
    <row r="1037467" spans="54:54" ht="15.75" customHeight="1" x14ac:dyDescent="0.3">
      <c r="BB1037467" s="38"/>
    </row>
    <row r="1037468" spans="54:54" ht="15.75" customHeight="1" x14ac:dyDescent="0.3">
      <c r="BB1037468" s="38"/>
    </row>
    <row r="1037469" spans="54:54" ht="15.75" customHeight="1" x14ac:dyDescent="0.3">
      <c r="BB1037469" s="38"/>
    </row>
    <row r="1037470" spans="54:54" ht="15.75" customHeight="1" x14ac:dyDescent="0.3">
      <c r="BB1037470" s="38"/>
    </row>
    <row r="1037471" spans="54:54" ht="15.75" customHeight="1" x14ac:dyDescent="0.3">
      <c r="BB1037471" s="38"/>
    </row>
    <row r="1037472" spans="54:54" ht="15.75" customHeight="1" x14ac:dyDescent="0.3">
      <c r="BB1037472" s="38"/>
    </row>
    <row r="1037473" spans="54:54" ht="15.75" customHeight="1" x14ac:dyDescent="0.3">
      <c r="BB1037473" s="38"/>
    </row>
    <row r="1037474" spans="54:54" ht="15.75" customHeight="1" x14ac:dyDescent="0.3">
      <c r="BB1037474" s="38"/>
    </row>
    <row r="1037475" spans="54:54" ht="15.75" customHeight="1" x14ac:dyDescent="0.3">
      <c r="BB1037475" s="38"/>
    </row>
    <row r="1037476" spans="54:54" ht="15.75" customHeight="1" x14ac:dyDescent="0.3">
      <c r="BB1037476" s="38"/>
    </row>
    <row r="1037477" spans="54:54" ht="15.75" customHeight="1" x14ac:dyDescent="0.3">
      <c r="BB1037477" s="38"/>
    </row>
    <row r="1037478" spans="54:54" ht="15.75" customHeight="1" x14ac:dyDescent="0.3">
      <c r="BB1037478" s="38"/>
    </row>
    <row r="1037479" spans="54:54" ht="15.75" customHeight="1" x14ac:dyDescent="0.3">
      <c r="BB1037479" s="38"/>
    </row>
    <row r="1037480" spans="54:54" ht="15.75" customHeight="1" x14ac:dyDescent="0.3">
      <c r="BB1037480" s="38"/>
    </row>
    <row r="1037481" spans="54:54" ht="15.75" customHeight="1" x14ac:dyDescent="0.3">
      <c r="BB1037481" s="38"/>
    </row>
    <row r="1037482" spans="54:54" ht="15.75" customHeight="1" x14ac:dyDescent="0.3">
      <c r="BB1037482" s="38"/>
    </row>
    <row r="1037483" spans="54:54" ht="15.75" customHeight="1" x14ac:dyDescent="0.3">
      <c r="BB1037483" s="38"/>
    </row>
    <row r="1037484" spans="54:54" ht="15.75" customHeight="1" x14ac:dyDescent="0.3">
      <c r="BB1037484" s="38"/>
    </row>
    <row r="1037485" spans="54:54" ht="15.75" customHeight="1" x14ac:dyDescent="0.3">
      <c r="BB1037485" s="38"/>
    </row>
    <row r="1037486" spans="54:54" ht="15.75" customHeight="1" x14ac:dyDescent="0.3">
      <c r="BB1037486" s="38"/>
    </row>
    <row r="1037487" spans="54:54" ht="15.75" customHeight="1" x14ac:dyDescent="0.3">
      <c r="BB1037487" s="38"/>
    </row>
    <row r="1037488" spans="54:54" ht="15.75" customHeight="1" x14ac:dyDescent="0.3">
      <c r="BB1037488" s="38"/>
    </row>
    <row r="1037489" spans="54:54" ht="15.75" customHeight="1" x14ac:dyDescent="0.3">
      <c r="BB1037489" s="38"/>
    </row>
    <row r="1037490" spans="54:54" ht="15.75" customHeight="1" x14ac:dyDescent="0.3">
      <c r="BB1037490" s="38"/>
    </row>
    <row r="1037491" spans="54:54" ht="15.75" customHeight="1" x14ac:dyDescent="0.3">
      <c r="BB1037491" s="38"/>
    </row>
    <row r="1037492" spans="54:54" ht="15.75" customHeight="1" x14ac:dyDescent="0.3">
      <c r="BB1037492" s="38"/>
    </row>
    <row r="1037493" spans="54:54" ht="15.75" customHeight="1" x14ac:dyDescent="0.3">
      <c r="BB1037493" s="38"/>
    </row>
    <row r="1037494" spans="54:54" ht="15.75" customHeight="1" x14ac:dyDescent="0.3">
      <c r="BB1037494" s="38"/>
    </row>
    <row r="1037495" spans="54:54" ht="15.75" customHeight="1" x14ac:dyDescent="0.3">
      <c r="BB1037495" s="38"/>
    </row>
    <row r="1037496" spans="54:54" ht="15.75" customHeight="1" x14ac:dyDescent="0.3">
      <c r="BB1037496" s="38"/>
    </row>
    <row r="1037497" spans="54:54" ht="15.75" customHeight="1" x14ac:dyDescent="0.3">
      <c r="BB1037497" s="38"/>
    </row>
    <row r="1037498" spans="54:54" ht="15.75" customHeight="1" x14ac:dyDescent="0.3">
      <c r="BB1037498" s="38"/>
    </row>
    <row r="1037499" spans="54:54" ht="15.75" customHeight="1" x14ac:dyDescent="0.3">
      <c r="BB1037499" s="38"/>
    </row>
    <row r="1037500" spans="54:54" ht="15.75" customHeight="1" x14ac:dyDescent="0.3">
      <c r="BB1037500" s="38"/>
    </row>
    <row r="1037501" spans="54:54" ht="15.75" customHeight="1" x14ac:dyDescent="0.3">
      <c r="BB1037501" s="38"/>
    </row>
    <row r="1037502" spans="54:54" ht="15.75" customHeight="1" x14ac:dyDescent="0.3">
      <c r="BB1037502" s="38"/>
    </row>
    <row r="1037503" spans="54:54" ht="15.75" customHeight="1" x14ac:dyDescent="0.3">
      <c r="BB1037503" s="38"/>
    </row>
    <row r="1037504" spans="54:54" ht="15.75" customHeight="1" x14ac:dyDescent="0.3">
      <c r="BB1037504" s="38"/>
    </row>
    <row r="1037505" spans="54:54" ht="15.75" customHeight="1" x14ac:dyDescent="0.3">
      <c r="BB1037505" s="38"/>
    </row>
    <row r="1037506" spans="54:54" ht="15.75" customHeight="1" x14ac:dyDescent="0.3">
      <c r="BB1037506" s="38"/>
    </row>
    <row r="1037507" spans="54:54" ht="15.75" customHeight="1" x14ac:dyDescent="0.3">
      <c r="BB1037507" s="38"/>
    </row>
    <row r="1037508" spans="54:54" ht="15.75" customHeight="1" x14ac:dyDescent="0.3">
      <c r="BB1037508" s="38"/>
    </row>
    <row r="1037509" spans="54:54" ht="15.75" customHeight="1" x14ac:dyDescent="0.3">
      <c r="BB1037509" s="38"/>
    </row>
    <row r="1037510" spans="54:54" ht="15.75" customHeight="1" x14ac:dyDescent="0.3">
      <c r="BB1037510" s="38"/>
    </row>
    <row r="1037511" spans="54:54" ht="15.75" customHeight="1" x14ac:dyDescent="0.3">
      <c r="BB1037511" s="38"/>
    </row>
    <row r="1037512" spans="54:54" ht="15.75" customHeight="1" x14ac:dyDescent="0.3">
      <c r="BB1037512" s="38"/>
    </row>
    <row r="1037513" spans="54:54" ht="15.75" customHeight="1" x14ac:dyDescent="0.3">
      <c r="BB1037513" s="38"/>
    </row>
    <row r="1037514" spans="54:54" ht="15.75" customHeight="1" x14ac:dyDescent="0.3">
      <c r="BB1037514" s="38"/>
    </row>
    <row r="1037515" spans="54:54" ht="15.75" customHeight="1" x14ac:dyDescent="0.3">
      <c r="BB1037515" s="38"/>
    </row>
    <row r="1037516" spans="54:54" ht="15.75" customHeight="1" x14ac:dyDescent="0.3">
      <c r="BB1037516" s="38"/>
    </row>
    <row r="1037517" spans="54:54" ht="15.75" customHeight="1" x14ac:dyDescent="0.3">
      <c r="BB1037517" s="38"/>
    </row>
    <row r="1037518" spans="54:54" ht="15.75" customHeight="1" x14ac:dyDescent="0.3">
      <c r="BB1037518" s="38"/>
    </row>
    <row r="1037519" spans="54:54" ht="15.75" customHeight="1" x14ac:dyDescent="0.3">
      <c r="BB1037519" s="38"/>
    </row>
    <row r="1037520" spans="54:54" ht="15.75" customHeight="1" x14ac:dyDescent="0.3">
      <c r="BB1037520" s="38"/>
    </row>
    <row r="1037521" spans="54:54" ht="15.75" customHeight="1" x14ac:dyDescent="0.3">
      <c r="BB1037521" s="38"/>
    </row>
    <row r="1037522" spans="54:54" ht="15.75" customHeight="1" x14ac:dyDescent="0.3">
      <c r="BB1037522" s="38"/>
    </row>
    <row r="1037523" spans="54:54" ht="15.75" customHeight="1" x14ac:dyDescent="0.3">
      <c r="BB1037523" s="38"/>
    </row>
    <row r="1037524" spans="54:54" ht="15.75" customHeight="1" x14ac:dyDescent="0.3">
      <c r="BB1037524" s="38"/>
    </row>
    <row r="1037525" spans="54:54" ht="15.75" customHeight="1" x14ac:dyDescent="0.3">
      <c r="BB1037525" s="38"/>
    </row>
    <row r="1037526" spans="54:54" ht="15.75" customHeight="1" x14ac:dyDescent="0.3">
      <c r="BB1037526" s="38"/>
    </row>
    <row r="1037527" spans="54:54" ht="15.75" customHeight="1" x14ac:dyDescent="0.3">
      <c r="BB1037527" s="38"/>
    </row>
    <row r="1037528" spans="54:54" ht="15.75" customHeight="1" x14ac:dyDescent="0.3">
      <c r="BB1037528" s="38"/>
    </row>
    <row r="1037529" spans="54:54" ht="15.75" customHeight="1" x14ac:dyDescent="0.3">
      <c r="BB1037529" s="38"/>
    </row>
    <row r="1037530" spans="54:54" ht="15.75" customHeight="1" x14ac:dyDescent="0.3">
      <c r="BB1037530" s="38"/>
    </row>
    <row r="1037531" spans="54:54" ht="15.75" customHeight="1" x14ac:dyDescent="0.3">
      <c r="BB1037531" s="38"/>
    </row>
    <row r="1037532" spans="54:54" ht="15.75" customHeight="1" x14ac:dyDescent="0.3">
      <c r="BB1037532" s="38"/>
    </row>
    <row r="1037533" spans="54:54" ht="15.75" customHeight="1" x14ac:dyDescent="0.3">
      <c r="BB1037533" s="38"/>
    </row>
    <row r="1037534" spans="54:54" ht="15.75" customHeight="1" x14ac:dyDescent="0.3">
      <c r="BB1037534" s="38"/>
    </row>
    <row r="1037535" spans="54:54" ht="15.75" customHeight="1" x14ac:dyDescent="0.3">
      <c r="BB1037535" s="38"/>
    </row>
    <row r="1037536" spans="54:54" ht="15.75" customHeight="1" x14ac:dyDescent="0.3">
      <c r="BB1037536" s="38"/>
    </row>
    <row r="1037537" spans="54:54" ht="15.75" customHeight="1" x14ac:dyDescent="0.3">
      <c r="BB1037537" s="38"/>
    </row>
    <row r="1037538" spans="54:54" ht="15.75" customHeight="1" x14ac:dyDescent="0.3">
      <c r="BB1037538" s="38"/>
    </row>
    <row r="1037539" spans="54:54" ht="15.75" customHeight="1" x14ac:dyDescent="0.3">
      <c r="BB1037539" s="38"/>
    </row>
    <row r="1037540" spans="54:54" ht="15.75" customHeight="1" x14ac:dyDescent="0.3">
      <c r="BB1037540" s="38"/>
    </row>
    <row r="1037541" spans="54:54" ht="15.75" customHeight="1" x14ac:dyDescent="0.3">
      <c r="BB1037541" s="38"/>
    </row>
    <row r="1037542" spans="54:54" ht="15.75" customHeight="1" x14ac:dyDescent="0.3">
      <c r="BB1037542" s="38"/>
    </row>
    <row r="1037543" spans="54:54" ht="15.75" customHeight="1" x14ac:dyDescent="0.3">
      <c r="BB1037543" s="38"/>
    </row>
    <row r="1037544" spans="54:54" ht="15.75" customHeight="1" x14ac:dyDescent="0.3">
      <c r="BB1037544" s="38"/>
    </row>
    <row r="1037545" spans="54:54" ht="15.75" customHeight="1" x14ac:dyDescent="0.3">
      <c r="BB1037545" s="38"/>
    </row>
    <row r="1037546" spans="54:54" ht="15.75" customHeight="1" x14ac:dyDescent="0.3">
      <c r="BB1037546" s="38"/>
    </row>
    <row r="1037547" spans="54:54" ht="15.75" customHeight="1" x14ac:dyDescent="0.3">
      <c r="BB1037547" s="38"/>
    </row>
    <row r="1037548" spans="54:54" ht="15.75" customHeight="1" x14ac:dyDescent="0.3">
      <c r="BB1037548" s="38"/>
    </row>
    <row r="1037549" spans="54:54" ht="15.75" customHeight="1" x14ac:dyDescent="0.3">
      <c r="BB1037549" s="38"/>
    </row>
    <row r="1037550" spans="54:54" ht="15.75" customHeight="1" x14ac:dyDescent="0.3">
      <c r="BB1037550" s="38"/>
    </row>
    <row r="1037551" spans="54:54" ht="15.75" customHeight="1" x14ac:dyDescent="0.3">
      <c r="BB1037551" s="38"/>
    </row>
    <row r="1037552" spans="54:54" ht="15.75" customHeight="1" x14ac:dyDescent="0.3">
      <c r="BB1037552" s="38"/>
    </row>
    <row r="1037553" spans="54:54" ht="15.75" customHeight="1" x14ac:dyDescent="0.3">
      <c r="BB1037553" s="38"/>
    </row>
    <row r="1037554" spans="54:54" ht="15.75" customHeight="1" x14ac:dyDescent="0.3">
      <c r="BB1037554" s="38"/>
    </row>
    <row r="1037555" spans="54:54" ht="15.75" customHeight="1" x14ac:dyDescent="0.3">
      <c r="BB1037555" s="38"/>
    </row>
    <row r="1037556" spans="54:54" ht="15.75" customHeight="1" x14ac:dyDescent="0.3">
      <c r="BB1037556" s="38"/>
    </row>
    <row r="1037557" spans="54:54" ht="15.75" customHeight="1" x14ac:dyDescent="0.3">
      <c r="BB1037557" s="38"/>
    </row>
    <row r="1037558" spans="54:54" ht="15.75" customHeight="1" x14ac:dyDescent="0.3">
      <c r="BB1037558" s="38"/>
    </row>
    <row r="1037559" spans="54:54" ht="15.75" customHeight="1" x14ac:dyDescent="0.3">
      <c r="BB1037559" s="38"/>
    </row>
    <row r="1037560" spans="54:54" ht="15.75" customHeight="1" x14ac:dyDescent="0.3">
      <c r="BB1037560" s="38"/>
    </row>
    <row r="1037561" spans="54:54" ht="15.75" customHeight="1" x14ac:dyDescent="0.3">
      <c r="BB1037561" s="38"/>
    </row>
    <row r="1037562" spans="54:54" ht="15.75" customHeight="1" x14ac:dyDescent="0.3">
      <c r="BB1037562" s="38"/>
    </row>
    <row r="1037563" spans="54:54" ht="15.75" customHeight="1" x14ac:dyDescent="0.3">
      <c r="BB1037563" s="38"/>
    </row>
    <row r="1037564" spans="54:54" ht="15.75" customHeight="1" x14ac:dyDescent="0.3">
      <c r="BB1037564" s="38"/>
    </row>
    <row r="1037565" spans="54:54" ht="15.75" customHeight="1" x14ac:dyDescent="0.3">
      <c r="BB1037565" s="38"/>
    </row>
    <row r="1037566" spans="54:54" ht="15.75" customHeight="1" x14ac:dyDescent="0.3">
      <c r="BB1037566" s="38"/>
    </row>
    <row r="1037567" spans="54:54" ht="15.75" customHeight="1" x14ac:dyDescent="0.3">
      <c r="BB1037567" s="38"/>
    </row>
    <row r="1037568" spans="54:54" ht="15.75" customHeight="1" x14ac:dyDescent="0.3">
      <c r="BB1037568" s="38"/>
    </row>
    <row r="1037569" spans="54:54" ht="15.75" customHeight="1" x14ac:dyDescent="0.3">
      <c r="BB1037569" s="38"/>
    </row>
    <row r="1037570" spans="54:54" ht="15.75" customHeight="1" x14ac:dyDescent="0.3">
      <c r="BB1037570" s="38"/>
    </row>
    <row r="1037571" spans="54:54" ht="15.75" customHeight="1" x14ac:dyDescent="0.3">
      <c r="BB1037571" s="38"/>
    </row>
    <row r="1037572" spans="54:54" ht="15.75" customHeight="1" x14ac:dyDescent="0.3">
      <c r="BB1037572" s="38"/>
    </row>
    <row r="1037573" spans="54:54" ht="15.75" customHeight="1" x14ac:dyDescent="0.3">
      <c r="BB1037573" s="38"/>
    </row>
    <row r="1037574" spans="54:54" ht="15.75" customHeight="1" x14ac:dyDescent="0.3">
      <c r="BB1037574" s="38"/>
    </row>
    <row r="1037575" spans="54:54" ht="15.75" customHeight="1" x14ac:dyDescent="0.3">
      <c r="BB1037575" s="38"/>
    </row>
    <row r="1037576" spans="54:54" ht="15.75" customHeight="1" x14ac:dyDescent="0.3">
      <c r="BB1037576" s="38"/>
    </row>
    <row r="1037577" spans="54:54" ht="15.75" customHeight="1" x14ac:dyDescent="0.3">
      <c r="BB1037577" s="38"/>
    </row>
    <row r="1037578" spans="54:54" ht="15.75" customHeight="1" x14ac:dyDescent="0.3">
      <c r="BB1037578" s="38"/>
    </row>
    <row r="1037579" spans="54:54" ht="15.75" customHeight="1" x14ac:dyDescent="0.3">
      <c r="BB1037579" s="38"/>
    </row>
    <row r="1037580" spans="54:54" ht="15.75" customHeight="1" x14ac:dyDescent="0.3">
      <c r="BB1037580" s="38"/>
    </row>
    <row r="1037581" spans="54:54" ht="15.75" customHeight="1" x14ac:dyDescent="0.3">
      <c r="BB1037581" s="38"/>
    </row>
    <row r="1037582" spans="54:54" ht="15.75" customHeight="1" x14ac:dyDescent="0.3">
      <c r="BB1037582" s="38"/>
    </row>
    <row r="1037583" spans="54:54" ht="15.75" customHeight="1" x14ac:dyDescent="0.3">
      <c r="BB1037583" s="38"/>
    </row>
    <row r="1037584" spans="54:54" ht="15.75" customHeight="1" x14ac:dyDescent="0.3">
      <c r="BB1037584" s="38"/>
    </row>
    <row r="1037585" spans="54:54" ht="15.75" customHeight="1" x14ac:dyDescent="0.3">
      <c r="BB1037585" s="38"/>
    </row>
    <row r="1037586" spans="54:54" ht="15.75" customHeight="1" x14ac:dyDescent="0.3">
      <c r="BB1037586" s="38"/>
    </row>
    <row r="1037587" spans="54:54" ht="15.75" customHeight="1" x14ac:dyDescent="0.3">
      <c r="BB1037587" s="38"/>
    </row>
    <row r="1037588" spans="54:54" ht="15.75" customHeight="1" x14ac:dyDescent="0.3">
      <c r="BB1037588" s="38"/>
    </row>
    <row r="1037589" spans="54:54" ht="15.75" customHeight="1" x14ac:dyDescent="0.3">
      <c r="BB1037589" s="38"/>
    </row>
    <row r="1037590" spans="54:54" ht="15.75" customHeight="1" x14ac:dyDescent="0.3">
      <c r="BB1037590" s="38"/>
    </row>
    <row r="1037591" spans="54:54" ht="15.75" customHeight="1" x14ac:dyDescent="0.3">
      <c r="BB1037591" s="38"/>
    </row>
    <row r="1037592" spans="54:54" ht="15.75" customHeight="1" x14ac:dyDescent="0.3">
      <c r="BB1037592" s="38"/>
    </row>
    <row r="1037593" spans="54:54" ht="15.75" customHeight="1" x14ac:dyDescent="0.3">
      <c r="BB1037593" s="38"/>
    </row>
    <row r="1037594" spans="54:54" ht="15.75" customHeight="1" x14ac:dyDescent="0.3">
      <c r="BB1037594" s="38"/>
    </row>
    <row r="1037595" spans="54:54" ht="15.75" customHeight="1" x14ac:dyDescent="0.3">
      <c r="BB1037595" s="38"/>
    </row>
    <row r="1037596" spans="54:54" ht="15.75" customHeight="1" x14ac:dyDescent="0.3">
      <c r="BB1037596" s="38"/>
    </row>
    <row r="1037597" spans="54:54" ht="15.75" customHeight="1" x14ac:dyDescent="0.3">
      <c r="BB1037597" s="38"/>
    </row>
    <row r="1037598" spans="54:54" ht="15.75" customHeight="1" x14ac:dyDescent="0.3">
      <c r="BB1037598" s="38"/>
    </row>
    <row r="1037599" spans="54:54" ht="15.75" customHeight="1" x14ac:dyDescent="0.3">
      <c r="BB1037599" s="38"/>
    </row>
    <row r="1037600" spans="54:54" ht="15.75" customHeight="1" x14ac:dyDescent="0.3">
      <c r="BB1037600" s="38"/>
    </row>
    <row r="1037601" spans="54:54" ht="15.75" customHeight="1" x14ac:dyDescent="0.3">
      <c r="BB1037601" s="38"/>
    </row>
    <row r="1037602" spans="54:54" ht="15.75" customHeight="1" x14ac:dyDescent="0.3">
      <c r="BB1037602" s="38"/>
    </row>
    <row r="1037603" spans="54:54" ht="15.75" customHeight="1" x14ac:dyDescent="0.3">
      <c r="BB1037603" s="38"/>
    </row>
    <row r="1037604" spans="54:54" ht="15.75" customHeight="1" x14ac:dyDescent="0.3">
      <c r="BB1037604" s="38"/>
    </row>
    <row r="1037605" spans="54:54" ht="15.75" customHeight="1" x14ac:dyDescent="0.3">
      <c r="BB1037605" s="38"/>
    </row>
    <row r="1037606" spans="54:54" ht="15.75" customHeight="1" x14ac:dyDescent="0.3">
      <c r="BB1037606" s="38"/>
    </row>
    <row r="1037607" spans="54:54" ht="15.75" customHeight="1" x14ac:dyDescent="0.3">
      <c r="BB1037607" s="38"/>
    </row>
    <row r="1037608" spans="54:54" ht="15.75" customHeight="1" x14ac:dyDescent="0.3">
      <c r="BB1037608" s="38"/>
    </row>
    <row r="1037609" spans="54:54" ht="15.75" customHeight="1" x14ac:dyDescent="0.3">
      <c r="BB1037609" s="38"/>
    </row>
    <row r="1037610" spans="54:54" ht="15.75" customHeight="1" x14ac:dyDescent="0.3">
      <c r="BB1037610" s="38"/>
    </row>
    <row r="1037611" spans="54:54" ht="15.75" customHeight="1" x14ac:dyDescent="0.3">
      <c r="BB1037611" s="38"/>
    </row>
    <row r="1037612" spans="54:54" ht="15.75" customHeight="1" x14ac:dyDescent="0.3">
      <c r="BB1037612" s="38"/>
    </row>
    <row r="1037613" spans="54:54" ht="15.75" customHeight="1" x14ac:dyDescent="0.3">
      <c r="BB1037613" s="38"/>
    </row>
    <row r="1037614" spans="54:54" ht="15.75" customHeight="1" x14ac:dyDescent="0.3">
      <c r="BB1037614" s="38"/>
    </row>
    <row r="1037615" spans="54:54" ht="15.75" customHeight="1" x14ac:dyDescent="0.3">
      <c r="BB1037615" s="38"/>
    </row>
    <row r="1037616" spans="54:54" ht="15.75" customHeight="1" x14ac:dyDescent="0.3">
      <c r="BB1037616" s="38"/>
    </row>
    <row r="1037617" spans="54:54" ht="15.75" customHeight="1" x14ac:dyDescent="0.3">
      <c r="BB1037617" s="38"/>
    </row>
    <row r="1037618" spans="54:54" ht="15.75" customHeight="1" x14ac:dyDescent="0.3">
      <c r="BB1037618" s="38"/>
    </row>
    <row r="1037619" spans="54:54" ht="15.75" customHeight="1" x14ac:dyDescent="0.3">
      <c r="BB1037619" s="38"/>
    </row>
    <row r="1037620" spans="54:54" ht="15.75" customHeight="1" x14ac:dyDescent="0.3">
      <c r="BB1037620" s="38"/>
    </row>
    <row r="1037621" spans="54:54" ht="15.75" customHeight="1" x14ac:dyDescent="0.3">
      <c r="BB1037621" s="38"/>
    </row>
    <row r="1037622" spans="54:54" ht="15.75" customHeight="1" x14ac:dyDescent="0.3">
      <c r="BB1037622" s="38"/>
    </row>
    <row r="1037623" spans="54:54" ht="15.75" customHeight="1" x14ac:dyDescent="0.3">
      <c r="BB1037623" s="38"/>
    </row>
    <row r="1037624" spans="54:54" ht="15.75" customHeight="1" x14ac:dyDescent="0.3">
      <c r="BB1037624" s="38"/>
    </row>
    <row r="1037625" spans="54:54" ht="15.75" customHeight="1" x14ac:dyDescent="0.3">
      <c r="BB1037625" s="38"/>
    </row>
    <row r="1037626" spans="54:54" ht="15.75" customHeight="1" x14ac:dyDescent="0.3">
      <c r="BB1037626" s="38"/>
    </row>
    <row r="1037627" spans="54:54" ht="15.75" customHeight="1" x14ac:dyDescent="0.3">
      <c r="BB1037627" s="38"/>
    </row>
    <row r="1037628" spans="54:54" ht="15.75" customHeight="1" x14ac:dyDescent="0.3">
      <c r="BB1037628" s="38"/>
    </row>
    <row r="1037629" spans="54:54" ht="15.75" customHeight="1" x14ac:dyDescent="0.3">
      <c r="BB1037629" s="38"/>
    </row>
    <row r="1037630" spans="54:54" ht="15.75" customHeight="1" x14ac:dyDescent="0.3">
      <c r="BB1037630" s="38"/>
    </row>
    <row r="1037631" spans="54:54" ht="15.75" customHeight="1" x14ac:dyDescent="0.3">
      <c r="BB1037631" s="38"/>
    </row>
    <row r="1037632" spans="54:54" ht="15.75" customHeight="1" x14ac:dyDescent="0.3">
      <c r="BB1037632" s="38"/>
    </row>
    <row r="1037633" spans="54:54" ht="15.75" customHeight="1" x14ac:dyDescent="0.3">
      <c r="BB1037633" s="38"/>
    </row>
    <row r="1037634" spans="54:54" ht="15.75" customHeight="1" x14ac:dyDescent="0.3">
      <c r="BB1037634" s="38"/>
    </row>
    <row r="1037635" spans="54:54" ht="15.75" customHeight="1" x14ac:dyDescent="0.3">
      <c r="BB1037635" s="38"/>
    </row>
    <row r="1037636" spans="54:54" ht="15.75" customHeight="1" x14ac:dyDescent="0.3">
      <c r="BB1037636" s="38"/>
    </row>
    <row r="1037637" spans="54:54" ht="15.75" customHeight="1" x14ac:dyDescent="0.3">
      <c r="BB1037637" s="38"/>
    </row>
    <row r="1037638" spans="54:54" ht="15.75" customHeight="1" x14ac:dyDescent="0.3">
      <c r="BB1037638" s="38"/>
    </row>
    <row r="1037639" spans="54:54" ht="15.75" customHeight="1" x14ac:dyDescent="0.3">
      <c r="BB1037639" s="38"/>
    </row>
    <row r="1037640" spans="54:54" ht="15.75" customHeight="1" x14ac:dyDescent="0.3">
      <c r="BB1037640" s="38"/>
    </row>
    <row r="1037641" spans="54:54" ht="15.75" customHeight="1" x14ac:dyDescent="0.3">
      <c r="BB1037641" s="38"/>
    </row>
    <row r="1037642" spans="54:54" ht="15.75" customHeight="1" x14ac:dyDescent="0.3">
      <c r="BB1037642" s="38"/>
    </row>
    <row r="1037643" spans="54:54" ht="15.75" customHeight="1" x14ac:dyDescent="0.3">
      <c r="BB1037643" s="38"/>
    </row>
    <row r="1037644" spans="54:54" ht="15.75" customHeight="1" x14ac:dyDescent="0.3">
      <c r="BB1037644" s="38"/>
    </row>
    <row r="1037645" spans="54:54" ht="15.75" customHeight="1" x14ac:dyDescent="0.3">
      <c r="BB1037645" s="38"/>
    </row>
    <row r="1037646" spans="54:54" ht="15.75" customHeight="1" x14ac:dyDescent="0.3">
      <c r="BB1037646" s="38"/>
    </row>
    <row r="1037647" spans="54:54" ht="15.75" customHeight="1" x14ac:dyDescent="0.3">
      <c r="BB1037647" s="38"/>
    </row>
    <row r="1037648" spans="54:54" ht="15.75" customHeight="1" x14ac:dyDescent="0.3">
      <c r="BB1037648" s="38"/>
    </row>
    <row r="1037649" spans="54:54" ht="15.75" customHeight="1" x14ac:dyDescent="0.3">
      <c r="BB1037649" s="38"/>
    </row>
    <row r="1037650" spans="54:54" ht="15.75" customHeight="1" x14ac:dyDescent="0.3">
      <c r="BB1037650" s="38"/>
    </row>
    <row r="1037651" spans="54:54" ht="15.75" customHeight="1" x14ac:dyDescent="0.3">
      <c r="BB1037651" s="38"/>
    </row>
    <row r="1037652" spans="54:54" ht="15.75" customHeight="1" x14ac:dyDescent="0.3">
      <c r="BB1037652" s="38"/>
    </row>
    <row r="1037653" spans="54:54" ht="15.75" customHeight="1" x14ac:dyDescent="0.3">
      <c r="BB1037653" s="38"/>
    </row>
    <row r="1037654" spans="54:54" ht="15.75" customHeight="1" x14ac:dyDescent="0.3">
      <c r="BB1037654" s="38"/>
    </row>
    <row r="1037655" spans="54:54" ht="15.75" customHeight="1" x14ac:dyDescent="0.3">
      <c r="BB1037655" s="38"/>
    </row>
    <row r="1037656" spans="54:54" ht="15.75" customHeight="1" x14ac:dyDescent="0.3">
      <c r="BB1037656" s="38"/>
    </row>
    <row r="1037657" spans="54:54" ht="15.75" customHeight="1" x14ac:dyDescent="0.3">
      <c r="BB1037657" s="38"/>
    </row>
    <row r="1037658" spans="54:54" ht="15.75" customHeight="1" x14ac:dyDescent="0.3">
      <c r="BB1037658" s="38"/>
    </row>
    <row r="1037659" spans="54:54" ht="15.75" customHeight="1" x14ac:dyDescent="0.3">
      <c r="BB1037659" s="38"/>
    </row>
    <row r="1037660" spans="54:54" ht="15.75" customHeight="1" x14ac:dyDescent="0.3">
      <c r="BB1037660" s="38"/>
    </row>
    <row r="1037661" spans="54:54" ht="15.75" customHeight="1" x14ac:dyDescent="0.3">
      <c r="BB1037661" s="38"/>
    </row>
    <row r="1037662" spans="54:54" ht="15.75" customHeight="1" x14ac:dyDescent="0.3">
      <c r="BB1037662" s="38"/>
    </row>
    <row r="1037663" spans="54:54" ht="15.75" customHeight="1" x14ac:dyDescent="0.3">
      <c r="BB1037663" s="38"/>
    </row>
    <row r="1037664" spans="54:54" ht="15.75" customHeight="1" x14ac:dyDescent="0.3">
      <c r="BB1037664" s="38"/>
    </row>
    <row r="1037665" spans="54:54" ht="15.75" customHeight="1" x14ac:dyDescent="0.3">
      <c r="BB1037665" s="38"/>
    </row>
    <row r="1037666" spans="54:54" ht="15.75" customHeight="1" x14ac:dyDescent="0.3">
      <c r="BB1037666" s="38"/>
    </row>
    <row r="1037667" spans="54:54" ht="15.75" customHeight="1" x14ac:dyDescent="0.3">
      <c r="BB1037667" s="38"/>
    </row>
    <row r="1037668" spans="54:54" ht="15.75" customHeight="1" x14ac:dyDescent="0.3">
      <c r="BB1037668" s="38"/>
    </row>
    <row r="1037669" spans="54:54" ht="15.75" customHeight="1" x14ac:dyDescent="0.3">
      <c r="BB1037669" s="38"/>
    </row>
    <row r="1037670" spans="54:54" ht="15.75" customHeight="1" x14ac:dyDescent="0.3">
      <c r="BB1037670" s="38"/>
    </row>
    <row r="1037671" spans="54:54" ht="15.75" customHeight="1" x14ac:dyDescent="0.3">
      <c r="BB1037671" s="38"/>
    </row>
    <row r="1037672" spans="54:54" ht="15.75" customHeight="1" x14ac:dyDescent="0.3">
      <c r="BB1037672" s="38"/>
    </row>
    <row r="1037673" spans="54:54" ht="15.75" customHeight="1" x14ac:dyDescent="0.3">
      <c r="BB1037673" s="38"/>
    </row>
    <row r="1037674" spans="54:54" ht="15.75" customHeight="1" x14ac:dyDescent="0.3">
      <c r="BB1037674" s="38"/>
    </row>
    <row r="1037675" spans="54:54" ht="15.75" customHeight="1" x14ac:dyDescent="0.3">
      <c r="BB1037675" s="38"/>
    </row>
    <row r="1037676" spans="54:54" ht="15.75" customHeight="1" x14ac:dyDescent="0.3">
      <c r="BB1037676" s="38"/>
    </row>
    <row r="1037677" spans="54:54" ht="15.75" customHeight="1" x14ac:dyDescent="0.3">
      <c r="BB1037677" s="38"/>
    </row>
    <row r="1037678" spans="54:54" ht="15.75" customHeight="1" x14ac:dyDescent="0.3">
      <c r="BB1037678" s="38"/>
    </row>
    <row r="1037679" spans="54:54" ht="15.75" customHeight="1" x14ac:dyDescent="0.3">
      <c r="BB1037679" s="38"/>
    </row>
    <row r="1037680" spans="54:54" ht="15.75" customHeight="1" x14ac:dyDescent="0.3">
      <c r="BB1037680" s="38"/>
    </row>
    <row r="1037681" spans="54:54" ht="15.75" customHeight="1" x14ac:dyDescent="0.3">
      <c r="BB1037681" s="38"/>
    </row>
    <row r="1037682" spans="54:54" ht="15.75" customHeight="1" x14ac:dyDescent="0.3">
      <c r="BB1037682" s="38"/>
    </row>
    <row r="1037683" spans="54:54" ht="15.75" customHeight="1" x14ac:dyDescent="0.3">
      <c r="BB1037683" s="38"/>
    </row>
    <row r="1037684" spans="54:54" ht="15.75" customHeight="1" x14ac:dyDescent="0.3">
      <c r="BB1037684" s="38"/>
    </row>
    <row r="1037685" spans="54:54" ht="15.75" customHeight="1" x14ac:dyDescent="0.3">
      <c r="BB1037685" s="38"/>
    </row>
    <row r="1037686" spans="54:54" ht="15.75" customHeight="1" x14ac:dyDescent="0.3">
      <c r="BB1037686" s="38"/>
    </row>
    <row r="1037687" spans="54:54" ht="15.75" customHeight="1" x14ac:dyDescent="0.3">
      <c r="BB1037687" s="38"/>
    </row>
    <row r="1037688" spans="54:54" ht="15.75" customHeight="1" x14ac:dyDescent="0.3">
      <c r="BB1037688" s="38"/>
    </row>
    <row r="1037689" spans="54:54" ht="15.75" customHeight="1" x14ac:dyDescent="0.3">
      <c r="BB1037689" s="38"/>
    </row>
    <row r="1037690" spans="54:54" ht="15.75" customHeight="1" x14ac:dyDescent="0.3">
      <c r="BB1037690" s="38"/>
    </row>
    <row r="1037691" spans="54:54" ht="15.75" customHeight="1" x14ac:dyDescent="0.3">
      <c r="BB1037691" s="38"/>
    </row>
    <row r="1037692" spans="54:54" ht="15.75" customHeight="1" x14ac:dyDescent="0.3">
      <c r="BB1037692" s="38"/>
    </row>
    <row r="1037693" spans="54:54" ht="15.75" customHeight="1" x14ac:dyDescent="0.3">
      <c r="BB1037693" s="38"/>
    </row>
    <row r="1037694" spans="54:54" ht="15.75" customHeight="1" x14ac:dyDescent="0.3">
      <c r="BB1037694" s="38"/>
    </row>
    <row r="1037695" spans="54:54" ht="15.75" customHeight="1" x14ac:dyDescent="0.3">
      <c r="BB1037695" s="38"/>
    </row>
    <row r="1037696" spans="54:54" ht="15.75" customHeight="1" x14ac:dyDescent="0.3">
      <c r="BB1037696" s="38"/>
    </row>
    <row r="1037697" spans="54:54" ht="15.75" customHeight="1" x14ac:dyDescent="0.3">
      <c r="BB1037697" s="38"/>
    </row>
    <row r="1037698" spans="54:54" ht="15.75" customHeight="1" x14ac:dyDescent="0.3">
      <c r="BB1037698" s="38"/>
    </row>
    <row r="1037699" spans="54:54" ht="15.75" customHeight="1" x14ac:dyDescent="0.3">
      <c r="BB1037699" s="38"/>
    </row>
    <row r="1037700" spans="54:54" ht="15.75" customHeight="1" x14ac:dyDescent="0.3">
      <c r="BB1037700" s="38"/>
    </row>
    <row r="1037701" spans="54:54" ht="15.75" customHeight="1" x14ac:dyDescent="0.3">
      <c r="BB1037701" s="38"/>
    </row>
    <row r="1037702" spans="54:54" ht="15.75" customHeight="1" x14ac:dyDescent="0.3">
      <c r="BB1037702" s="38"/>
    </row>
    <row r="1037703" spans="54:54" ht="15.75" customHeight="1" x14ac:dyDescent="0.3">
      <c r="BB1037703" s="38"/>
    </row>
    <row r="1037704" spans="54:54" ht="15.75" customHeight="1" x14ac:dyDescent="0.3">
      <c r="BB1037704" s="38"/>
    </row>
    <row r="1037705" spans="54:54" ht="15.75" customHeight="1" x14ac:dyDescent="0.3">
      <c r="BB1037705" s="38"/>
    </row>
    <row r="1037706" spans="54:54" ht="15.75" customHeight="1" x14ac:dyDescent="0.3">
      <c r="BB1037706" s="38"/>
    </row>
    <row r="1037707" spans="54:54" ht="15.75" customHeight="1" x14ac:dyDescent="0.3">
      <c r="BB1037707" s="38"/>
    </row>
    <row r="1037708" spans="54:54" ht="15.75" customHeight="1" x14ac:dyDescent="0.3">
      <c r="BB1037708" s="38"/>
    </row>
    <row r="1037709" spans="54:54" ht="15.75" customHeight="1" x14ac:dyDescent="0.3">
      <c r="BB1037709" s="38"/>
    </row>
    <row r="1037710" spans="54:54" ht="15.75" customHeight="1" x14ac:dyDescent="0.3">
      <c r="BB1037710" s="38"/>
    </row>
    <row r="1037711" spans="54:54" ht="15.75" customHeight="1" x14ac:dyDescent="0.3">
      <c r="BB1037711" s="38"/>
    </row>
    <row r="1037712" spans="54:54" ht="15.75" customHeight="1" x14ac:dyDescent="0.3">
      <c r="BB1037712" s="38"/>
    </row>
    <row r="1037713" spans="54:54" ht="15.75" customHeight="1" x14ac:dyDescent="0.3">
      <c r="BB1037713" s="38"/>
    </row>
    <row r="1037714" spans="54:54" ht="15.75" customHeight="1" x14ac:dyDescent="0.3">
      <c r="BB1037714" s="38"/>
    </row>
    <row r="1037715" spans="54:54" ht="15.75" customHeight="1" x14ac:dyDescent="0.3">
      <c r="BB1037715" s="38"/>
    </row>
    <row r="1037716" spans="54:54" ht="15.75" customHeight="1" x14ac:dyDescent="0.3">
      <c r="BB1037716" s="38"/>
    </row>
    <row r="1037717" spans="54:54" ht="15.75" customHeight="1" x14ac:dyDescent="0.3">
      <c r="BB1037717" s="38"/>
    </row>
    <row r="1037718" spans="54:54" ht="15.75" customHeight="1" x14ac:dyDescent="0.3">
      <c r="BB1037718" s="38"/>
    </row>
    <row r="1037719" spans="54:54" ht="15.75" customHeight="1" x14ac:dyDescent="0.3">
      <c r="BB1037719" s="38"/>
    </row>
    <row r="1037720" spans="54:54" ht="15.75" customHeight="1" x14ac:dyDescent="0.3">
      <c r="BB1037720" s="38"/>
    </row>
    <row r="1037721" spans="54:54" ht="15.75" customHeight="1" x14ac:dyDescent="0.3">
      <c r="BB1037721" s="38"/>
    </row>
    <row r="1037722" spans="54:54" ht="15.75" customHeight="1" x14ac:dyDescent="0.3">
      <c r="BB1037722" s="38"/>
    </row>
    <row r="1037723" spans="54:54" ht="15.75" customHeight="1" x14ac:dyDescent="0.3">
      <c r="BB1037723" s="38"/>
    </row>
    <row r="1037724" spans="54:54" ht="15.75" customHeight="1" x14ac:dyDescent="0.3">
      <c r="BB1037724" s="38"/>
    </row>
    <row r="1037725" spans="54:54" ht="15.75" customHeight="1" x14ac:dyDescent="0.3">
      <c r="BB1037725" s="38"/>
    </row>
    <row r="1037726" spans="54:54" ht="15.75" customHeight="1" x14ac:dyDescent="0.3">
      <c r="BB1037726" s="38"/>
    </row>
    <row r="1037727" spans="54:54" ht="15.75" customHeight="1" x14ac:dyDescent="0.3">
      <c r="BB1037727" s="38"/>
    </row>
    <row r="1037728" spans="54:54" ht="15.75" customHeight="1" x14ac:dyDescent="0.3">
      <c r="BB1037728" s="38"/>
    </row>
    <row r="1037729" spans="54:54" ht="15.75" customHeight="1" x14ac:dyDescent="0.3">
      <c r="BB1037729" s="38"/>
    </row>
    <row r="1037730" spans="54:54" ht="15.75" customHeight="1" x14ac:dyDescent="0.3">
      <c r="BB1037730" s="38"/>
    </row>
    <row r="1037731" spans="54:54" ht="15.75" customHeight="1" x14ac:dyDescent="0.3">
      <c r="BB1037731" s="38"/>
    </row>
    <row r="1037732" spans="54:54" ht="15.75" customHeight="1" x14ac:dyDescent="0.3">
      <c r="BB1037732" s="38"/>
    </row>
    <row r="1037733" spans="54:54" ht="15.75" customHeight="1" x14ac:dyDescent="0.3">
      <c r="BB1037733" s="38"/>
    </row>
    <row r="1037734" spans="54:54" ht="15.75" customHeight="1" x14ac:dyDescent="0.3">
      <c r="BB1037734" s="38"/>
    </row>
    <row r="1037735" spans="54:54" ht="15.75" customHeight="1" x14ac:dyDescent="0.3">
      <c r="BB1037735" s="38"/>
    </row>
    <row r="1037736" spans="54:54" ht="15.75" customHeight="1" x14ac:dyDescent="0.3">
      <c r="BB1037736" s="38"/>
    </row>
    <row r="1037737" spans="54:54" ht="15.75" customHeight="1" x14ac:dyDescent="0.3">
      <c r="BB1037737" s="38"/>
    </row>
    <row r="1037738" spans="54:54" ht="15.75" customHeight="1" x14ac:dyDescent="0.3">
      <c r="BB1037738" s="38"/>
    </row>
    <row r="1037739" spans="54:54" ht="15.75" customHeight="1" x14ac:dyDescent="0.3">
      <c r="BB1037739" s="38"/>
    </row>
    <row r="1037740" spans="54:54" ht="15.75" customHeight="1" x14ac:dyDescent="0.3">
      <c r="BB1037740" s="38"/>
    </row>
    <row r="1037741" spans="54:54" ht="15.75" customHeight="1" x14ac:dyDescent="0.3">
      <c r="BB1037741" s="38"/>
    </row>
    <row r="1037742" spans="54:54" ht="15.75" customHeight="1" x14ac:dyDescent="0.3">
      <c r="BB1037742" s="38"/>
    </row>
    <row r="1037743" spans="54:54" ht="15.75" customHeight="1" x14ac:dyDescent="0.3">
      <c r="BB1037743" s="38"/>
    </row>
    <row r="1037744" spans="54:54" ht="15.75" customHeight="1" x14ac:dyDescent="0.3">
      <c r="BB1037744" s="38"/>
    </row>
    <row r="1037745" spans="54:54" ht="15.75" customHeight="1" x14ac:dyDescent="0.3">
      <c r="BB1037745" s="38"/>
    </row>
    <row r="1037746" spans="54:54" ht="15.75" customHeight="1" x14ac:dyDescent="0.3">
      <c r="BB1037746" s="38"/>
    </row>
    <row r="1037747" spans="54:54" ht="15.75" customHeight="1" x14ac:dyDescent="0.3">
      <c r="BB1037747" s="38"/>
    </row>
    <row r="1037748" spans="54:54" ht="15.75" customHeight="1" x14ac:dyDescent="0.3">
      <c r="BB1037748" s="38"/>
    </row>
    <row r="1037749" spans="54:54" ht="15.75" customHeight="1" x14ac:dyDescent="0.3">
      <c r="BB1037749" s="38"/>
    </row>
    <row r="1037750" spans="54:54" ht="15.75" customHeight="1" x14ac:dyDescent="0.3">
      <c r="BB1037750" s="38"/>
    </row>
    <row r="1037751" spans="54:54" ht="15.75" customHeight="1" x14ac:dyDescent="0.3">
      <c r="BB1037751" s="38"/>
    </row>
    <row r="1037752" spans="54:54" ht="15.75" customHeight="1" x14ac:dyDescent="0.3">
      <c r="BB1037752" s="38"/>
    </row>
    <row r="1037753" spans="54:54" ht="15.75" customHeight="1" x14ac:dyDescent="0.3">
      <c r="BB1037753" s="38"/>
    </row>
    <row r="1037754" spans="54:54" ht="15.75" customHeight="1" x14ac:dyDescent="0.3">
      <c r="BB1037754" s="38"/>
    </row>
    <row r="1037755" spans="54:54" ht="15.75" customHeight="1" x14ac:dyDescent="0.3">
      <c r="BB1037755" s="38"/>
    </row>
    <row r="1037756" spans="54:54" ht="15.75" customHeight="1" x14ac:dyDescent="0.3">
      <c r="BB1037756" s="38"/>
    </row>
    <row r="1037757" spans="54:54" ht="15.75" customHeight="1" x14ac:dyDescent="0.3">
      <c r="BB1037757" s="38"/>
    </row>
    <row r="1037758" spans="54:54" ht="15.75" customHeight="1" x14ac:dyDescent="0.3">
      <c r="BB1037758" s="38"/>
    </row>
    <row r="1037759" spans="54:54" ht="15.75" customHeight="1" x14ac:dyDescent="0.3">
      <c r="BB1037759" s="38"/>
    </row>
    <row r="1037760" spans="54:54" ht="15.75" customHeight="1" x14ac:dyDescent="0.3">
      <c r="BB1037760" s="38"/>
    </row>
    <row r="1037761" spans="54:54" ht="15.75" customHeight="1" x14ac:dyDescent="0.3">
      <c r="BB1037761" s="38"/>
    </row>
    <row r="1037762" spans="54:54" ht="15.75" customHeight="1" x14ac:dyDescent="0.3">
      <c r="BB1037762" s="38"/>
    </row>
    <row r="1037763" spans="54:54" ht="15.75" customHeight="1" x14ac:dyDescent="0.3">
      <c r="BB1037763" s="38"/>
    </row>
    <row r="1037764" spans="54:54" ht="15.75" customHeight="1" x14ac:dyDescent="0.3">
      <c r="BB1037764" s="38"/>
    </row>
    <row r="1037765" spans="54:54" ht="15.75" customHeight="1" x14ac:dyDescent="0.3">
      <c r="BB1037765" s="38"/>
    </row>
    <row r="1037766" spans="54:54" ht="15.75" customHeight="1" x14ac:dyDescent="0.3">
      <c r="BB1037766" s="38"/>
    </row>
    <row r="1037767" spans="54:54" ht="15.75" customHeight="1" x14ac:dyDescent="0.3">
      <c r="BB1037767" s="38"/>
    </row>
    <row r="1037768" spans="54:54" ht="15.75" customHeight="1" x14ac:dyDescent="0.3">
      <c r="BB1037768" s="38"/>
    </row>
    <row r="1037769" spans="54:54" ht="15.75" customHeight="1" x14ac:dyDescent="0.3">
      <c r="BB1037769" s="38"/>
    </row>
    <row r="1037770" spans="54:54" ht="15.75" customHeight="1" x14ac:dyDescent="0.3">
      <c r="BB1037770" s="38"/>
    </row>
    <row r="1037771" spans="54:54" ht="15.75" customHeight="1" x14ac:dyDescent="0.3">
      <c r="BB1037771" s="38"/>
    </row>
    <row r="1037772" spans="54:54" ht="15.75" customHeight="1" x14ac:dyDescent="0.3">
      <c r="BB1037772" s="38"/>
    </row>
    <row r="1037773" spans="54:54" ht="15.75" customHeight="1" x14ac:dyDescent="0.3">
      <c r="BB1037773" s="38"/>
    </row>
    <row r="1037774" spans="54:54" ht="15.75" customHeight="1" x14ac:dyDescent="0.3">
      <c r="BB1037774" s="38"/>
    </row>
    <row r="1037775" spans="54:54" ht="15.75" customHeight="1" x14ac:dyDescent="0.3">
      <c r="BB1037775" s="38"/>
    </row>
    <row r="1037776" spans="54:54" ht="15.75" customHeight="1" x14ac:dyDescent="0.3">
      <c r="BB1037776" s="38"/>
    </row>
    <row r="1037777" spans="54:54" ht="15.75" customHeight="1" x14ac:dyDescent="0.3">
      <c r="BB1037777" s="38"/>
    </row>
    <row r="1037778" spans="54:54" ht="15.75" customHeight="1" x14ac:dyDescent="0.3">
      <c r="BB1037778" s="38"/>
    </row>
    <row r="1037779" spans="54:54" ht="15.75" customHeight="1" x14ac:dyDescent="0.3">
      <c r="BB1037779" s="38"/>
    </row>
    <row r="1037780" spans="54:54" ht="15.75" customHeight="1" x14ac:dyDescent="0.3">
      <c r="BB1037780" s="38"/>
    </row>
    <row r="1037781" spans="54:54" ht="15.75" customHeight="1" x14ac:dyDescent="0.3">
      <c r="BB1037781" s="38"/>
    </row>
    <row r="1037782" spans="54:54" ht="15.75" customHeight="1" x14ac:dyDescent="0.3">
      <c r="BB1037782" s="38"/>
    </row>
    <row r="1037783" spans="54:54" ht="15.75" customHeight="1" x14ac:dyDescent="0.3">
      <c r="BB1037783" s="38"/>
    </row>
    <row r="1037784" spans="54:54" ht="15.75" customHeight="1" x14ac:dyDescent="0.3">
      <c r="BB1037784" s="38"/>
    </row>
    <row r="1037785" spans="54:54" ht="15.75" customHeight="1" x14ac:dyDescent="0.3">
      <c r="BB1037785" s="38"/>
    </row>
    <row r="1037786" spans="54:54" ht="15.75" customHeight="1" x14ac:dyDescent="0.3">
      <c r="BB1037786" s="38"/>
    </row>
    <row r="1037787" spans="54:54" ht="15.75" customHeight="1" x14ac:dyDescent="0.3">
      <c r="BB1037787" s="38"/>
    </row>
    <row r="1037788" spans="54:54" ht="15.75" customHeight="1" x14ac:dyDescent="0.3">
      <c r="BB1037788" s="38"/>
    </row>
    <row r="1037789" spans="54:54" ht="15.75" customHeight="1" x14ac:dyDescent="0.3">
      <c r="BB1037789" s="38"/>
    </row>
    <row r="1037790" spans="54:54" ht="15.75" customHeight="1" x14ac:dyDescent="0.3">
      <c r="BB1037790" s="38"/>
    </row>
    <row r="1037791" spans="54:54" ht="15.75" customHeight="1" x14ac:dyDescent="0.3">
      <c r="BB1037791" s="38"/>
    </row>
    <row r="1037792" spans="54:54" ht="15.75" customHeight="1" x14ac:dyDescent="0.3">
      <c r="BB1037792" s="38"/>
    </row>
    <row r="1037793" spans="54:54" ht="15.75" customHeight="1" x14ac:dyDescent="0.3">
      <c r="BB1037793" s="38"/>
    </row>
    <row r="1037794" spans="54:54" ht="15.75" customHeight="1" x14ac:dyDescent="0.3">
      <c r="BB1037794" s="38"/>
    </row>
    <row r="1037795" spans="54:54" ht="15.75" customHeight="1" x14ac:dyDescent="0.3">
      <c r="BB1037795" s="38"/>
    </row>
    <row r="1037796" spans="54:54" ht="15.75" customHeight="1" x14ac:dyDescent="0.3">
      <c r="BB1037796" s="38"/>
    </row>
    <row r="1037797" spans="54:54" ht="15.75" customHeight="1" x14ac:dyDescent="0.3">
      <c r="BB1037797" s="38"/>
    </row>
    <row r="1037798" spans="54:54" ht="15.75" customHeight="1" x14ac:dyDescent="0.3">
      <c r="BB1037798" s="38"/>
    </row>
    <row r="1037799" spans="54:54" ht="15.75" customHeight="1" x14ac:dyDescent="0.3">
      <c r="BB1037799" s="38"/>
    </row>
    <row r="1037800" spans="54:54" ht="15.75" customHeight="1" x14ac:dyDescent="0.3">
      <c r="BB1037800" s="38"/>
    </row>
    <row r="1037801" spans="54:54" ht="15.75" customHeight="1" x14ac:dyDescent="0.3">
      <c r="BB1037801" s="38"/>
    </row>
    <row r="1037802" spans="54:54" ht="15.75" customHeight="1" x14ac:dyDescent="0.3">
      <c r="BB1037802" s="38"/>
    </row>
    <row r="1037803" spans="54:54" ht="15.75" customHeight="1" x14ac:dyDescent="0.3">
      <c r="BB1037803" s="38"/>
    </row>
    <row r="1037804" spans="54:54" ht="15.75" customHeight="1" x14ac:dyDescent="0.3">
      <c r="BB1037804" s="38"/>
    </row>
    <row r="1037805" spans="54:54" ht="15.75" customHeight="1" x14ac:dyDescent="0.3">
      <c r="BB1037805" s="38"/>
    </row>
    <row r="1037806" spans="54:54" ht="15.75" customHeight="1" x14ac:dyDescent="0.3">
      <c r="BB1037806" s="38"/>
    </row>
    <row r="1037807" spans="54:54" ht="15.75" customHeight="1" x14ac:dyDescent="0.3">
      <c r="BB1037807" s="38"/>
    </row>
    <row r="1037808" spans="54:54" ht="15.75" customHeight="1" x14ac:dyDescent="0.3">
      <c r="BB1037808" s="38"/>
    </row>
    <row r="1037809" spans="54:54" ht="15.75" customHeight="1" x14ac:dyDescent="0.3">
      <c r="BB1037809" s="38"/>
    </row>
    <row r="1037810" spans="54:54" ht="15.75" customHeight="1" x14ac:dyDescent="0.3">
      <c r="BB1037810" s="38"/>
    </row>
    <row r="1037811" spans="54:54" ht="15.75" customHeight="1" x14ac:dyDescent="0.3">
      <c r="BB1037811" s="38"/>
    </row>
    <row r="1037812" spans="54:54" ht="15.75" customHeight="1" x14ac:dyDescent="0.3">
      <c r="BB1037812" s="38"/>
    </row>
    <row r="1037813" spans="54:54" ht="15.75" customHeight="1" x14ac:dyDescent="0.3">
      <c r="BB1037813" s="38"/>
    </row>
    <row r="1037814" spans="54:54" ht="15.75" customHeight="1" x14ac:dyDescent="0.3">
      <c r="BB1037814" s="38"/>
    </row>
    <row r="1037815" spans="54:54" ht="15.75" customHeight="1" x14ac:dyDescent="0.3">
      <c r="BB1037815" s="38"/>
    </row>
    <row r="1037816" spans="54:54" ht="15.75" customHeight="1" x14ac:dyDescent="0.3">
      <c r="BB1037816" s="38"/>
    </row>
    <row r="1037817" spans="54:54" ht="15.75" customHeight="1" x14ac:dyDescent="0.3">
      <c r="BB1037817" s="38"/>
    </row>
    <row r="1037818" spans="54:54" ht="15.75" customHeight="1" x14ac:dyDescent="0.3">
      <c r="BB1037818" s="38"/>
    </row>
    <row r="1037819" spans="54:54" ht="15.75" customHeight="1" x14ac:dyDescent="0.3">
      <c r="BB1037819" s="38"/>
    </row>
    <row r="1037820" spans="54:54" ht="15.75" customHeight="1" x14ac:dyDescent="0.3">
      <c r="BB1037820" s="38"/>
    </row>
    <row r="1037821" spans="54:54" ht="15.75" customHeight="1" x14ac:dyDescent="0.3">
      <c r="BB1037821" s="38"/>
    </row>
    <row r="1037822" spans="54:54" ht="15.75" customHeight="1" x14ac:dyDescent="0.3">
      <c r="BB1037822" s="38"/>
    </row>
    <row r="1037823" spans="54:54" ht="15.75" customHeight="1" x14ac:dyDescent="0.3">
      <c r="BB1037823" s="38"/>
    </row>
    <row r="1037824" spans="54:54" ht="15.75" customHeight="1" x14ac:dyDescent="0.3">
      <c r="BB1037824" s="38"/>
    </row>
    <row r="1037825" spans="54:54" ht="15.75" customHeight="1" x14ac:dyDescent="0.3">
      <c r="BB1037825" s="38"/>
    </row>
    <row r="1037826" spans="54:54" ht="15.75" customHeight="1" x14ac:dyDescent="0.3">
      <c r="BB1037826" s="38"/>
    </row>
    <row r="1037827" spans="54:54" ht="15.75" customHeight="1" x14ac:dyDescent="0.3">
      <c r="BB1037827" s="38"/>
    </row>
    <row r="1037828" spans="54:54" ht="15.75" customHeight="1" x14ac:dyDescent="0.3">
      <c r="BB1037828" s="38"/>
    </row>
    <row r="1037829" spans="54:54" ht="15.75" customHeight="1" x14ac:dyDescent="0.3">
      <c r="BB1037829" s="38"/>
    </row>
    <row r="1037830" spans="54:54" ht="15.75" customHeight="1" x14ac:dyDescent="0.3">
      <c r="BB1037830" s="38"/>
    </row>
    <row r="1037831" spans="54:54" ht="15.75" customHeight="1" x14ac:dyDescent="0.3">
      <c r="BB1037831" s="38"/>
    </row>
    <row r="1037832" spans="54:54" ht="15.75" customHeight="1" x14ac:dyDescent="0.3">
      <c r="BB1037832" s="38"/>
    </row>
    <row r="1037833" spans="54:54" ht="15.75" customHeight="1" x14ac:dyDescent="0.3">
      <c r="BB1037833" s="38"/>
    </row>
    <row r="1037834" spans="54:54" ht="15.75" customHeight="1" x14ac:dyDescent="0.3">
      <c r="BB1037834" s="38"/>
    </row>
    <row r="1037835" spans="54:54" ht="15.75" customHeight="1" x14ac:dyDescent="0.3">
      <c r="BB1037835" s="38"/>
    </row>
    <row r="1037836" spans="54:54" ht="15.75" customHeight="1" x14ac:dyDescent="0.3">
      <c r="BB1037836" s="38"/>
    </row>
    <row r="1037837" spans="54:54" ht="15.75" customHeight="1" x14ac:dyDescent="0.3">
      <c r="BB1037837" s="38"/>
    </row>
    <row r="1037838" spans="54:54" ht="15.75" customHeight="1" x14ac:dyDescent="0.3">
      <c r="BB1037838" s="38"/>
    </row>
    <row r="1037839" spans="54:54" ht="15.75" customHeight="1" x14ac:dyDescent="0.3">
      <c r="BB1037839" s="38"/>
    </row>
    <row r="1037840" spans="54:54" ht="15.75" customHeight="1" x14ac:dyDescent="0.3">
      <c r="BB1037840" s="38"/>
    </row>
    <row r="1037841" spans="54:54" ht="15.75" customHeight="1" x14ac:dyDescent="0.3">
      <c r="BB1037841" s="38"/>
    </row>
    <row r="1037842" spans="54:54" ht="15.75" customHeight="1" x14ac:dyDescent="0.3">
      <c r="BB1037842" s="38"/>
    </row>
    <row r="1037843" spans="54:54" ht="15.75" customHeight="1" x14ac:dyDescent="0.3">
      <c r="BB1037843" s="38"/>
    </row>
    <row r="1037844" spans="54:54" ht="15.75" customHeight="1" x14ac:dyDescent="0.3">
      <c r="BB1037844" s="38"/>
    </row>
    <row r="1037845" spans="54:54" ht="15.75" customHeight="1" x14ac:dyDescent="0.3">
      <c r="BB1037845" s="38"/>
    </row>
    <row r="1037846" spans="54:54" ht="15.75" customHeight="1" x14ac:dyDescent="0.3">
      <c r="BB1037846" s="38"/>
    </row>
    <row r="1037847" spans="54:54" ht="15.75" customHeight="1" x14ac:dyDescent="0.3">
      <c r="BB1037847" s="38"/>
    </row>
    <row r="1037848" spans="54:54" ht="15.75" customHeight="1" x14ac:dyDescent="0.3">
      <c r="BB1037848" s="38"/>
    </row>
    <row r="1037849" spans="54:54" ht="15.75" customHeight="1" x14ac:dyDescent="0.3">
      <c r="BB1037849" s="38"/>
    </row>
    <row r="1037850" spans="54:54" ht="15.75" customHeight="1" x14ac:dyDescent="0.3">
      <c r="BB1037850" s="38"/>
    </row>
    <row r="1037851" spans="54:54" ht="15.75" customHeight="1" x14ac:dyDescent="0.3">
      <c r="BB1037851" s="38"/>
    </row>
    <row r="1037852" spans="54:54" ht="15.75" customHeight="1" x14ac:dyDescent="0.3">
      <c r="BB1037852" s="38"/>
    </row>
    <row r="1037853" spans="54:54" ht="15.75" customHeight="1" x14ac:dyDescent="0.3">
      <c r="BB1037853" s="38"/>
    </row>
    <row r="1037854" spans="54:54" ht="15.75" customHeight="1" x14ac:dyDescent="0.3">
      <c r="BB1037854" s="38"/>
    </row>
    <row r="1037855" spans="54:54" ht="15.75" customHeight="1" x14ac:dyDescent="0.3">
      <c r="BB1037855" s="38"/>
    </row>
    <row r="1037856" spans="54:54" ht="15.75" customHeight="1" x14ac:dyDescent="0.3">
      <c r="BB1037856" s="38"/>
    </row>
    <row r="1037857" spans="54:54" ht="15.75" customHeight="1" x14ac:dyDescent="0.3">
      <c r="BB1037857" s="38"/>
    </row>
    <row r="1037858" spans="54:54" ht="15.75" customHeight="1" x14ac:dyDescent="0.3">
      <c r="BB1037858" s="38"/>
    </row>
    <row r="1037859" spans="54:54" ht="15.75" customHeight="1" x14ac:dyDescent="0.3">
      <c r="BB1037859" s="38"/>
    </row>
    <row r="1037860" spans="54:54" ht="15.75" customHeight="1" x14ac:dyDescent="0.3">
      <c r="BB1037860" s="38"/>
    </row>
    <row r="1037861" spans="54:54" ht="15.75" customHeight="1" x14ac:dyDescent="0.3">
      <c r="BB1037861" s="38"/>
    </row>
    <row r="1037862" spans="54:54" ht="15.75" customHeight="1" x14ac:dyDescent="0.3">
      <c r="BB1037862" s="38"/>
    </row>
    <row r="1037863" spans="54:54" ht="15.75" customHeight="1" x14ac:dyDescent="0.3">
      <c r="BB1037863" s="38"/>
    </row>
    <row r="1037864" spans="54:54" ht="15.75" customHeight="1" x14ac:dyDescent="0.3">
      <c r="BB1037864" s="38"/>
    </row>
    <row r="1037865" spans="54:54" ht="15.75" customHeight="1" x14ac:dyDescent="0.3">
      <c r="BB1037865" s="38"/>
    </row>
    <row r="1037866" spans="54:54" ht="15.75" customHeight="1" x14ac:dyDescent="0.3">
      <c r="BB1037866" s="38"/>
    </row>
    <row r="1037867" spans="54:54" ht="15.75" customHeight="1" x14ac:dyDescent="0.3">
      <c r="BB1037867" s="38"/>
    </row>
    <row r="1037868" spans="54:54" ht="15.75" customHeight="1" x14ac:dyDescent="0.3">
      <c r="BB1037868" s="38"/>
    </row>
    <row r="1037869" spans="54:54" ht="15.75" customHeight="1" x14ac:dyDescent="0.3">
      <c r="BB1037869" s="38"/>
    </row>
    <row r="1037870" spans="54:54" ht="15.75" customHeight="1" x14ac:dyDescent="0.3">
      <c r="BB1037870" s="38"/>
    </row>
    <row r="1037871" spans="54:54" ht="15.75" customHeight="1" x14ac:dyDescent="0.3">
      <c r="BB1037871" s="38"/>
    </row>
    <row r="1037872" spans="54:54" ht="15.75" customHeight="1" x14ac:dyDescent="0.3">
      <c r="BB1037872" s="38"/>
    </row>
    <row r="1037873" spans="54:54" ht="15.75" customHeight="1" x14ac:dyDescent="0.3">
      <c r="BB1037873" s="38"/>
    </row>
    <row r="1037874" spans="54:54" ht="15.75" customHeight="1" x14ac:dyDescent="0.3">
      <c r="BB1037874" s="38"/>
    </row>
    <row r="1037875" spans="54:54" ht="15.75" customHeight="1" x14ac:dyDescent="0.3">
      <c r="BB1037875" s="38"/>
    </row>
    <row r="1037876" spans="54:54" ht="15.75" customHeight="1" x14ac:dyDescent="0.3">
      <c r="BB1037876" s="38"/>
    </row>
    <row r="1037877" spans="54:54" ht="15.75" customHeight="1" x14ac:dyDescent="0.3">
      <c r="BB1037877" s="38"/>
    </row>
    <row r="1037878" spans="54:54" ht="15.75" customHeight="1" x14ac:dyDescent="0.3">
      <c r="BB1037878" s="38"/>
    </row>
    <row r="1037879" spans="54:54" ht="15.75" customHeight="1" x14ac:dyDescent="0.3">
      <c r="BB1037879" s="38"/>
    </row>
    <row r="1037880" spans="54:54" ht="15.75" customHeight="1" x14ac:dyDescent="0.3">
      <c r="BB1037880" s="38"/>
    </row>
    <row r="1037881" spans="54:54" ht="15.75" customHeight="1" x14ac:dyDescent="0.3">
      <c r="BB1037881" s="38"/>
    </row>
    <row r="1037882" spans="54:54" ht="15.75" customHeight="1" x14ac:dyDescent="0.3">
      <c r="BB1037882" s="38"/>
    </row>
    <row r="1037883" spans="54:54" ht="15.75" customHeight="1" x14ac:dyDescent="0.3">
      <c r="BB1037883" s="38"/>
    </row>
    <row r="1037884" spans="54:54" ht="15.75" customHeight="1" x14ac:dyDescent="0.3">
      <c r="BB1037884" s="38"/>
    </row>
    <row r="1037885" spans="54:54" ht="15.75" customHeight="1" x14ac:dyDescent="0.3">
      <c r="BB1037885" s="38"/>
    </row>
    <row r="1037886" spans="54:54" ht="15.75" customHeight="1" x14ac:dyDescent="0.3">
      <c r="BB1037886" s="38"/>
    </row>
    <row r="1037887" spans="54:54" ht="15.75" customHeight="1" x14ac:dyDescent="0.3">
      <c r="BB1037887" s="38"/>
    </row>
    <row r="1037888" spans="54:54" ht="15.75" customHeight="1" x14ac:dyDescent="0.3">
      <c r="BB1037888" s="38"/>
    </row>
    <row r="1037889" spans="54:54" ht="15.75" customHeight="1" x14ac:dyDescent="0.3">
      <c r="BB1037889" s="38"/>
    </row>
    <row r="1037890" spans="54:54" ht="15.75" customHeight="1" x14ac:dyDescent="0.3">
      <c r="BB1037890" s="38"/>
    </row>
    <row r="1037891" spans="54:54" ht="15.75" customHeight="1" x14ac:dyDescent="0.3">
      <c r="BB1037891" s="38"/>
    </row>
    <row r="1037892" spans="54:54" ht="15.75" customHeight="1" x14ac:dyDescent="0.3">
      <c r="BB1037892" s="38"/>
    </row>
    <row r="1037893" spans="54:54" ht="15.75" customHeight="1" x14ac:dyDescent="0.3">
      <c r="BB1037893" s="38"/>
    </row>
    <row r="1037894" spans="54:54" ht="15.75" customHeight="1" x14ac:dyDescent="0.3">
      <c r="BB1037894" s="38"/>
    </row>
    <row r="1037895" spans="54:54" ht="15.75" customHeight="1" x14ac:dyDescent="0.3">
      <c r="BB1037895" s="38"/>
    </row>
    <row r="1037896" spans="54:54" ht="15.75" customHeight="1" x14ac:dyDescent="0.3">
      <c r="BB1037896" s="38"/>
    </row>
    <row r="1037897" spans="54:54" ht="15.75" customHeight="1" x14ac:dyDescent="0.3">
      <c r="BB1037897" s="38"/>
    </row>
    <row r="1037898" spans="54:54" ht="15.75" customHeight="1" x14ac:dyDescent="0.3">
      <c r="BB1037898" s="38"/>
    </row>
    <row r="1037899" spans="54:54" ht="15.75" customHeight="1" x14ac:dyDescent="0.3">
      <c r="BB1037899" s="38"/>
    </row>
    <row r="1037900" spans="54:54" ht="15.75" customHeight="1" x14ac:dyDescent="0.3">
      <c r="BB1037900" s="38"/>
    </row>
    <row r="1037901" spans="54:54" ht="15.75" customHeight="1" x14ac:dyDescent="0.3">
      <c r="BB1037901" s="38"/>
    </row>
    <row r="1037902" spans="54:54" ht="15.75" customHeight="1" x14ac:dyDescent="0.3">
      <c r="BB1037902" s="38"/>
    </row>
    <row r="1037903" spans="54:54" ht="15.75" customHeight="1" x14ac:dyDescent="0.3">
      <c r="BB1037903" s="38"/>
    </row>
    <row r="1037904" spans="54:54" ht="15.75" customHeight="1" x14ac:dyDescent="0.3">
      <c r="BB1037904" s="38"/>
    </row>
    <row r="1037905" spans="54:54" ht="15.75" customHeight="1" x14ac:dyDescent="0.3">
      <c r="BB1037905" s="38"/>
    </row>
    <row r="1037906" spans="54:54" ht="15.75" customHeight="1" x14ac:dyDescent="0.3">
      <c r="BB1037906" s="38"/>
    </row>
    <row r="1037907" spans="54:54" ht="15.75" customHeight="1" x14ac:dyDescent="0.3">
      <c r="BB1037907" s="38"/>
    </row>
    <row r="1037908" spans="54:54" ht="15.75" customHeight="1" x14ac:dyDescent="0.3">
      <c r="BB1037908" s="38"/>
    </row>
    <row r="1037909" spans="54:54" ht="15.75" customHeight="1" x14ac:dyDescent="0.3">
      <c r="BB1037909" s="38"/>
    </row>
    <row r="1037910" spans="54:54" ht="15.75" customHeight="1" x14ac:dyDescent="0.3">
      <c r="BB1037910" s="38"/>
    </row>
    <row r="1037911" spans="54:54" ht="15.75" customHeight="1" x14ac:dyDescent="0.3">
      <c r="BB1037911" s="38"/>
    </row>
    <row r="1037912" spans="54:54" ht="15.75" customHeight="1" x14ac:dyDescent="0.3">
      <c r="BB1037912" s="38"/>
    </row>
    <row r="1037913" spans="54:54" ht="15.75" customHeight="1" x14ac:dyDescent="0.3">
      <c r="BB1037913" s="38"/>
    </row>
    <row r="1037914" spans="54:54" ht="15.75" customHeight="1" x14ac:dyDescent="0.3">
      <c r="BB1037914" s="38"/>
    </row>
    <row r="1037915" spans="54:54" ht="15.75" customHeight="1" x14ac:dyDescent="0.3">
      <c r="BB1037915" s="38"/>
    </row>
    <row r="1037916" spans="54:54" ht="15.75" customHeight="1" x14ac:dyDescent="0.3">
      <c r="BB1037916" s="38"/>
    </row>
    <row r="1037917" spans="54:54" ht="15.75" customHeight="1" x14ac:dyDescent="0.3">
      <c r="BB1037917" s="38"/>
    </row>
    <row r="1037918" spans="54:54" ht="15.75" customHeight="1" x14ac:dyDescent="0.3">
      <c r="BB1037918" s="38"/>
    </row>
    <row r="1037919" spans="54:54" ht="15.75" customHeight="1" x14ac:dyDescent="0.3">
      <c r="BB1037919" s="38"/>
    </row>
    <row r="1037920" spans="54:54" ht="15.75" customHeight="1" x14ac:dyDescent="0.3">
      <c r="BB1037920" s="38"/>
    </row>
    <row r="1037921" spans="54:54" ht="15.75" customHeight="1" x14ac:dyDescent="0.3">
      <c r="BB1037921" s="38"/>
    </row>
    <row r="1037922" spans="54:54" ht="15.75" customHeight="1" x14ac:dyDescent="0.3">
      <c r="BB1037922" s="38"/>
    </row>
    <row r="1037923" spans="54:54" ht="15.75" customHeight="1" x14ac:dyDescent="0.3">
      <c r="BB1037923" s="38"/>
    </row>
    <row r="1037924" spans="54:54" ht="15.75" customHeight="1" x14ac:dyDescent="0.3">
      <c r="BB1037924" s="38"/>
    </row>
    <row r="1037925" spans="54:54" ht="15.75" customHeight="1" x14ac:dyDescent="0.3">
      <c r="BB1037925" s="38"/>
    </row>
    <row r="1037926" spans="54:54" ht="15.75" customHeight="1" x14ac:dyDescent="0.3">
      <c r="BB1037926" s="38"/>
    </row>
    <row r="1037927" spans="54:54" ht="15.75" customHeight="1" x14ac:dyDescent="0.3">
      <c r="BB1037927" s="38"/>
    </row>
    <row r="1037928" spans="54:54" ht="15.75" customHeight="1" x14ac:dyDescent="0.3">
      <c r="BB1037928" s="38"/>
    </row>
    <row r="1037929" spans="54:54" ht="15.75" customHeight="1" x14ac:dyDescent="0.3">
      <c r="BB1037929" s="38"/>
    </row>
    <row r="1037930" spans="54:54" ht="15.75" customHeight="1" x14ac:dyDescent="0.3">
      <c r="BB1037930" s="38"/>
    </row>
    <row r="1037931" spans="54:54" ht="15.75" customHeight="1" x14ac:dyDescent="0.3">
      <c r="BB1037931" s="38"/>
    </row>
    <row r="1037932" spans="54:54" ht="15.75" customHeight="1" x14ac:dyDescent="0.3">
      <c r="BB1037932" s="38"/>
    </row>
    <row r="1037933" spans="54:54" ht="15.75" customHeight="1" x14ac:dyDescent="0.3">
      <c r="BB1037933" s="38"/>
    </row>
    <row r="1037934" spans="54:54" ht="15.75" customHeight="1" x14ac:dyDescent="0.3">
      <c r="BB1037934" s="38"/>
    </row>
    <row r="1037935" spans="54:54" ht="15.75" customHeight="1" x14ac:dyDescent="0.3">
      <c r="BB1037935" s="38"/>
    </row>
    <row r="1037936" spans="54:54" ht="15.75" customHeight="1" x14ac:dyDescent="0.3">
      <c r="BB1037936" s="38"/>
    </row>
    <row r="1037937" spans="54:54" ht="15.75" customHeight="1" x14ac:dyDescent="0.3">
      <c r="BB1037937" s="38"/>
    </row>
    <row r="1037938" spans="54:54" ht="15.75" customHeight="1" x14ac:dyDescent="0.3">
      <c r="BB1037938" s="38"/>
    </row>
    <row r="1037939" spans="54:54" ht="15.75" customHeight="1" x14ac:dyDescent="0.3">
      <c r="BB1037939" s="38"/>
    </row>
    <row r="1037940" spans="54:54" ht="15.75" customHeight="1" x14ac:dyDescent="0.3">
      <c r="BB1037940" s="38"/>
    </row>
    <row r="1037941" spans="54:54" ht="15.75" customHeight="1" x14ac:dyDescent="0.3">
      <c r="BB1037941" s="38"/>
    </row>
    <row r="1037942" spans="54:54" ht="15.75" customHeight="1" x14ac:dyDescent="0.3">
      <c r="BB1037942" s="38"/>
    </row>
    <row r="1037943" spans="54:54" ht="15.75" customHeight="1" x14ac:dyDescent="0.3">
      <c r="BB1037943" s="38"/>
    </row>
    <row r="1037944" spans="54:54" ht="15.75" customHeight="1" x14ac:dyDescent="0.3">
      <c r="BB1037944" s="38"/>
    </row>
    <row r="1037945" spans="54:54" ht="15.75" customHeight="1" x14ac:dyDescent="0.3">
      <c r="BB1037945" s="38"/>
    </row>
    <row r="1037946" spans="54:54" ht="15.75" customHeight="1" x14ac:dyDescent="0.3">
      <c r="BB1037946" s="38"/>
    </row>
    <row r="1037947" spans="54:54" ht="15.75" customHeight="1" x14ac:dyDescent="0.3">
      <c r="BB1037947" s="38"/>
    </row>
    <row r="1037948" spans="54:54" ht="15.75" customHeight="1" x14ac:dyDescent="0.3">
      <c r="BB1037948" s="38"/>
    </row>
    <row r="1037949" spans="54:54" ht="15.75" customHeight="1" x14ac:dyDescent="0.3">
      <c r="BB1037949" s="38"/>
    </row>
    <row r="1037950" spans="54:54" ht="15.75" customHeight="1" x14ac:dyDescent="0.3">
      <c r="BB1037950" s="38"/>
    </row>
    <row r="1037951" spans="54:54" ht="15.75" customHeight="1" x14ac:dyDescent="0.3">
      <c r="BB1037951" s="38"/>
    </row>
    <row r="1037952" spans="54:54" ht="15.75" customHeight="1" x14ac:dyDescent="0.3">
      <c r="BB1037952" s="38"/>
    </row>
    <row r="1037953" spans="54:54" ht="15.75" customHeight="1" x14ac:dyDescent="0.3">
      <c r="BB1037953" s="38"/>
    </row>
    <row r="1037954" spans="54:54" ht="15.75" customHeight="1" x14ac:dyDescent="0.3">
      <c r="BB1037954" s="38"/>
    </row>
    <row r="1037955" spans="54:54" ht="15.75" customHeight="1" x14ac:dyDescent="0.3">
      <c r="BB1037955" s="38"/>
    </row>
    <row r="1037956" spans="54:54" ht="15.75" customHeight="1" x14ac:dyDescent="0.3">
      <c r="BB1037956" s="38"/>
    </row>
    <row r="1037957" spans="54:54" ht="15.75" customHeight="1" x14ac:dyDescent="0.3">
      <c r="BB1037957" s="38"/>
    </row>
    <row r="1037958" spans="54:54" ht="15.75" customHeight="1" x14ac:dyDescent="0.3">
      <c r="BB1037958" s="38"/>
    </row>
    <row r="1037959" spans="54:54" ht="15.75" customHeight="1" x14ac:dyDescent="0.3">
      <c r="BB1037959" s="38"/>
    </row>
    <row r="1037960" spans="54:54" ht="15.75" customHeight="1" x14ac:dyDescent="0.3">
      <c r="BB1037960" s="38"/>
    </row>
    <row r="1037961" spans="54:54" ht="15.75" customHeight="1" x14ac:dyDescent="0.3">
      <c r="BB1037961" s="38"/>
    </row>
    <row r="1037962" spans="54:54" ht="15.75" customHeight="1" x14ac:dyDescent="0.3">
      <c r="BB1037962" s="38"/>
    </row>
    <row r="1037963" spans="54:54" ht="15.75" customHeight="1" x14ac:dyDescent="0.3">
      <c r="BB1037963" s="38"/>
    </row>
    <row r="1037964" spans="54:54" ht="15.75" customHeight="1" x14ac:dyDescent="0.3">
      <c r="BB1037964" s="38"/>
    </row>
    <row r="1037965" spans="54:54" ht="15.75" customHeight="1" x14ac:dyDescent="0.3">
      <c r="BB1037965" s="38"/>
    </row>
    <row r="1037966" spans="54:54" ht="15.75" customHeight="1" x14ac:dyDescent="0.3">
      <c r="BB1037966" s="38"/>
    </row>
    <row r="1037967" spans="54:54" ht="15.75" customHeight="1" x14ac:dyDescent="0.3">
      <c r="BB1037967" s="38"/>
    </row>
    <row r="1037968" spans="54:54" ht="15.75" customHeight="1" x14ac:dyDescent="0.3">
      <c r="BB1037968" s="38"/>
    </row>
    <row r="1037969" spans="54:54" ht="15.75" customHeight="1" x14ac:dyDescent="0.3">
      <c r="BB1037969" s="38"/>
    </row>
    <row r="1037970" spans="54:54" ht="15.75" customHeight="1" x14ac:dyDescent="0.3">
      <c r="BB1037970" s="38"/>
    </row>
    <row r="1037971" spans="54:54" ht="15.75" customHeight="1" x14ac:dyDescent="0.3">
      <c r="BB1037971" s="38"/>
    </row>
    <row r="1037972" spans="54:54" ht="15.75" customHeight="1" x14ac:dyDescent="0.3">
      <c r="BB1037972" s="38"/>
    </row>
    <row r="1037973" spans="54:54" ht="15.75" customHeight="1" x14ac:dyDescent="0.3">
      <c r="BB1037973" s="38"/>
    </row>
    <row r="1037974" spans="54:54" ht="15.75" customHeight="1" x14ac:dyDescent="0.3">
      <c r="BB1037974" s="38"/>
    </row>
    <row r="1037975" spans="54:54" ht="15.75" customHeight="1" x14ac:dyDescent="0.3">
      <c r="BB1037975" s="38"/>
    </row>
    <row r="1037976" spans="54:54" ht="15.75" customHeight="1" x14ac:dyDescent="0.3">
      <c r="BB1037976" s="38"/>
    </row>
    <row r="1037977" spans="54:54" ht="15.75" customHeight="1" x14ac:dyDescent="0.3">
      <c r="BB1037977" s="38"/>
    </row>
    <row r="1037978" spans="54:54" ht="15.75" customHeight="1" x14ac:dyDescent="0.3">
      <c r="BB1037978" s="38"/>
    </row>
    <row r="1037979" spans="54:54" ht="15.75" customHeight="1" x14ac:dyDescent="0.3">
      <c r="BB1037979" s="38"/>
    </row>
    <row r="1037980" spans="54:54" ht="15.75" customHeight="1" x14ac:dyDescent="0.3">
      <c r="BB1037980" s="38"/>
    </row>
    <row r="1037981" spans="54:54" ht="15.75" customHeight="1" x14ac:dyDescent="0.3">
      <c r="BB1037981" s="38"/>
    </row>
    <row r="1037982" spans="54:54" ht="15.75" customHeight="1" x14ac:dyDescent="0.3">
      <c r="BB1037982" s="38"/>
    </row>
    <row r="1037983" spans="54:54" ht="15.75" customHeight="1" x14ac:dyDescent="0.3">
      <c r="BB1037983" s="38"/>
    </row>
    <row r="1037984" spans="54:54" ht="15.75" customHeight="1" x14ac:dyDescent="0.3">
      <c r="BB1037984" s="38"/>
    </row>
    <row r="1037985" spans="54:54" ht="15.75" customHeight="1" x14ac:dyDescent="0.3">
      <c r="BB1037985" s="38"/>
    </row>
    <row r="1037986" spans="54:54" ht="15.75" customHeight="1" x14ac:dyDescent="0.3">
      <c r="BB1037986" s="38"/>
    </row>
    <row r="1037987" spans="54:54" ht="15.75" customHeight="1" x14ac:dyDescent="0.3">
      <c r="BB1037987" s="38"/>
    </row>
    <row r="1037988" spans="54:54" ht="15.75" customHeight="1" x14ac:dyDescent="0.3">
      <c r="BB1037988" s="38"/>
    </row>
    <row r="1037989" spans="54:54" ht="15.75" customHeight="1" x14ac:dyDescent="0.3">
      <c r="BB1037989" s="38"/>
    </row>
    <row r="1037990" spans="54:54" ht="15.75" customHeight="1" x14ac:dyDescent="0.3">
      <c r="BB1037990" s="38"/>
    </row>
    <row r="1037991" spans="54:54" ht="15.75" customHeight="1" x14ac:dyDescent="0.3">
      <c r="BB1037991" s="38"/>
    </row>
    <row r="1037992" spans="54:54" ht="15.75" customHeight="1" x14ac:dyDescent="0.3">
      <c r="BB1037992" s="38"/>
    </row>
    <row r="1037993" spans="54:54" ht="15.75" customHeight="1" x14ac:dyDescent="0.3">
      <c r="BB1037993" s="38"/>
    </row>
    <row r="1037994" spans="54:54" ht="15.75" customHeight="1" x14ac:dyDescent="0.3">
      <c r="BB1037994" s="38"/>
    </row>
    <row r="1037995" spans="54:54" ht="15.75" customHeight="1" x14ac:dyDescent="0.3">
      <c r="BB1037995" s="38"/>
    </row>
    <row r="1037996" spans="54:54" ht="15.75" customHeight="1" x14ac:dyDescent="0.3">
      <c r="BB1037996" s="38"/>
    </row>
    <row r="1037997" spans="54:54" ht="15.75" customHeight="1" x14ac:dyDescent="0.3">
      <c r="BB1037997" s="38"/>
    </row>
    <row r="1037998" spans="54:54" ht="15.75" customHeight="1" x14ac:dyDescent="0.3">
      <c r="BB1037998" s="38"/>
    </row>
    <row r="1037999" spans="54:54" ht="15.75" customHeight="1" x14ac:dyDescent="0.3">
      <c r="BB1037999" s="38"/>
    </row>
    <row r="1038000" spans="54:54" ht="15.75" customHeight="1" x14ac:dyDescent="0.3">
      <c r="BB1038000" s="38"/>
    </row>
    <row r="1038001" spans="54:54" ht="15.75" customHeight="1" x14ac:dyDescent="0.3">
      <c r="BB1038001" s="38"/>
    </row>
    <row r="1038002" spans="54:54" ht="15.75" customHeight="1" x14ac:dyDescent="0.3">
      <c r="BB1038002" s="38"/>
    </row>
    <row r="1038003" spans="54:54" ht="15.75" customHeight="1" x14ac:dyDescent="0.3">
      <c r="BB1038003" s="38"/>
    </row>
    <row r="1038004" spans="54:54" ht="15.75" customHeight="1" x14ac:dyDescent="0.3">
      <c r="BB1038004" s="38"/>
    </row>
    <row r="1038005" spans="54:54" ht="15.75" customHeight="1" x14ac:dyDescent="0.3">
      <c r="BB1038005" s="38"/>
    </row>
    <row r="1038006" spans="54:54" ht="15.75" customHeight="1" x14ac:dyDescent="0.3">
      <c r="BB1038006" s="38"/>
    </row>
    <row r="1038007" spans="54:54" ht="15.75" customHeight="1" x14ac:dyDescent="0.3">
      <c r="BB1038007" s="38"/>
    </row>
    <row r="1038008" spans="54:54" ht="15.75" customHeight="1" x14ac:dyDescent="0.3">
      <c r="BB1038008" s="38"/>
    </row>
    <row r="1038009" spans="54:54" ht="15.75" customHeight="1" x14ac:dyDescent="0.3">
      <c r="BB1038009" s="38"/>
    </row>
    <row r="1038010" spans="54:54" ht="15.75" customHeight="1" x14ac:dyDescent="0.3">
      <c r="BB1038010" s="38"/>
    </row>
    <row r="1038011" spans="54:54" ht="15.75" customHeight="1" x14ac:dyDescent="0.3">
      <c r="BB1038011" s="38"/>
    </row>
    <row r="1038012" spans="54:54" ht="15.75" customHeight="1" x14ac:dyDescent="0.3">
      <c r="BB1038012" s="38"/>
    </row>
    <row r="1038013" spans="54:54" ht="15.75" customHeight="1" x14ac:dyDescent="0.3">
      <c r="BB1038013" s="38"/>
    </row>
    <row r="1038014" spans="54:54" ht="15.75" customHeight="1" x14ac:dyDescent="0.3">
      <c r="BB1038014" s="38"/>
    </row>
    <row r="1038015" spans="54:54" ht="15.75" customHeight="1" x14ac:dyDescent="0.3">
      <c r="BB1038015" s="38"/>
    </row>
    <row r="1038016" spans="54:54" ht="15.75" customHeight="1" x14ac:dyDescent="0.3">
      <c r="BB1038016" s="38"/>
    </row>
    <row r="1038017" spans="54:54" ht="15.75" customHeight="1" x14ac:dyDescent="0.3">
      <c r="BB1038017" s="38"/>
    </row>
    <row r="1038018" spans="54:54" ht="15.75" customHeight="1" x14ac:dyDescent="0.3">
      <c r="BB1038018" s="38"/>
    </row>
    <row r="1038019" spans="54:54" ht="15.75" customHeight="1" x14ac:dyDescent="0.3">
      <c r="BB1038019" s="38"/>
    </row>
    <row r="1038020" spans="54:54" ht="15.75" customHeight="1" x14ac:dyDescent="0.3">
      <c r="BB1038020" s="38"/>
    </row>
    <row r="1038021" spans="54:54" ht="15.75" customHeight="1" x14ac:dyDescent="0.3">
      <c r="BB1038021" s="38"/>
    </row>
    <row r="1038022" spans="54:54" ht="15.75" customHeight="1" x14ac:dyDescent="0.3">
      <c r="BB1038022" s="38"/>
    </row>
    <row r="1038023" spans="54:54" ht="15.75" customHeight="1" x14ac:dyDescent="0.3">
      <c r="BB1038023" s="38"/>
    </row>
    <row r="1038024" spans="54:54" ht="15.75" customHeight="1" x14ac:dyDescent="0.3">
      <c r="BB1038024" s="38"/>
    </row>
    <row r="1038025" spans="54:54" ht="15.75" customHeight="1" x14ac:dyDescent="0.3">
      <c r="BB1038025" s="38"/>
    </row>
    <row r="1038026" spans="54:54" ht="15.75" customHeight="1" x14ac:dyDescent="0.3">
      <c r="BB1038026" s="38"/>
    </row>
    <row r="1038027" spans="54:54" ht="15.75" customHeight="1" x14ac:dyDescent="0.3">
      <c r="BB1038027" s="38"/>
    </row>
    <row r="1038028" spans="54:54" ht="15.75" customHeight="1" x14ac:dyDescent="0.3">
      <c r="BB1038028" s="38"/>
    </row>
    <row r="1038029" spans="54:54" ht="15.75" customHeight="1" x14ac:dyDescent="0.3">
      <c r="BB1038029" s="38"/>
    </row>
    <row r="1038030" spans="54:54" ht="15.75" customHeight="1" x14ac:dyDescent="0.3">
      <c r="BB1038030" s="38"/>
    </row>
    <row r="1038031" spans="54:54" ht="15.75" customHeight="1" x14ac:dyDescent="0.3">
      <c r="BB1038031" s="38"/>
    </row>
    <row r="1038032" spans="54:54" ht="15.75" customHeight="1" x14ac:dyDescent="0.3">
      <c r="BB1038032" s="38"/>
    </row>
    <row r="1038033" spans="54:54" ht="15.75" customHeight="1" x14ac:dyDescent="0.3">
      <c r="BB1038033" s="38"/>
    </row>
    <row r="1038034" spans="54:54" ht="15.75" customHeight="1" x14ac:dyDescent="0.3">
      <c r="BB1038034" s="38"/>
    </row>
    <row r="1038035" spans="54:54" ht="15.75" customHeight="1" x14ac:dyDescent="0.3">
      <c r="BB1038035" s="38"/>
    </row>
    <row r="1038036" spans="54:54" ht="15.75" customHeight="1" x14ac:dyDescent="0.3">
      <c r="BB1038036" s="38"/>
    </row>
    <row r="1038037" spans="54:54" ht="15.75" customHeight="1" x14ac:dyDescent="0.3">
      <c r="BB1038037" s="38"/>
    </row>
    <row r="1038038" spans="54:54" ht="15.75" customHeight="1" x14ac:dyDescent="0.3">
      <c r="BB1038038" s="38"/>
    </row>
    <row r="1038039" spans="54:54" ht="15.75" customHeight="1" x14ac:dyDescent="0.3">
      <c r="BB1038039" s="38"/>
    </row>
    <row r="1038040" spans="54:54" ht="15.75" customHeight="1" x14ac:dyDescent="0.3">
      <c r="BB1038040" s="38"/>
    </row>
    <row r="1038041" spans="54:54" ht="15.75" customHeight="1" x14ac:dyDescent="0.3">
      <c r="BB1038041" s="38"/>
    </row>
    <row r="1038042" spans="54:54" ht="15.75" customHeight="1" x14ac:dyDescent="0.3">
      <c r="BB1038042" s="38"/>
    </row>
    <row r="1038043" spans="54:54" ht="15.75" customHeight="1" x14ac:dyDescent="0.3">
      <c r="BB1038043" s="38"/>
    </row>
    <row r="1038044" spans="54:54" ht="15.75" customHeight="1" x14ac:dyDescent="0.3">
      <c r="BB1038044" s="38"/>
    </row>
    <row r="1038045" spans="54:54" ht="15.75" customHeight="1" x14ac:dyDescent="0.3">
      <c r="BB1038045" s="38"/>
    </row>
    <row r="1038046" spans="54:54" ht="15.75" customHeight="1" x14ac:dyDescent="0.3">
      <c r="BB1038046" s="38"/>
    </row>
    <row r="1038047" spans="54:54" ht="15.75" customHeight="1" x14ac:dyDescent="0.3">
      <c r="BB1038047" s="38"/>
    </row>
    <row r="1038048" spans="54:54" ht="15.75" customHeight="1" x14ac:dyDescent="0.3">
      <c r="BB1038048" s="38"/>
    </row>
    <row r="1038049" spans="54:54" ht="15.75" customHeight="1" x14ac:dyDescent="0.3">
      <c r="BB1038049" s="38"/>
    </row>
    <row r="1038050" spans="54:54" ht="15.75" customHeight="1" x14ac:dyDescent="0.3">
      <c r="BB1038050" s="38"/>
    </row>
    <row r="1038051" spans="54:54" ht="15.75" customHeight="1" x14ac:dyDescent="0.3">
      <c r="BB1038051" s="38"/>
    </row>
    <row r="1038052" spans="54:54" ht="15.75" customHeight="1" x14ac:dyDescent="0.3">
      <c r="BB1038052" s="38"/>
    </row>
    <row r="1038053" spans="54:54" ht="15.75" customHeight="1" x14ac:dyDescent="0.3">
      <c r="BB1038053" s="38"/>
    </row>
    <row r="1038054" spans="54:54" ht="15.75" customHeight="1" x14ac:dyDescent="0.3">
      <c r="BB1038054" s="38"/>
    </row>
    <row r="1038055" spans="54:54" ht="15.75" customHeight="1" x14ac:dyDescent="0.3">
      <c r="BB1038055" s="38"/>
    </row>
    <row r="1038056" spans="54:54" ht="15.75" customHeight="1" x14ac:dyDescent="0.3">
      <c r="BB1038056" s="38"/>
    </row>
    <row r="1038057" spans="54:54" ht="15.75" customHeight="1" x14ac:dyDescent="0.3">
      <c r="BB1038057" s="38"/>
    </row>
    <row r="1038058" spans="54:54" ht="15.75" customHeight="1" x14ac:dyDescent="0.3">
      <c r="BB1038058" s="38"/>
    </row>
    <row r="1038059" spans="54:54" ht="15.75" customHeight="1" x14ac:dyDescent="0.3">
      <c r="BB1038059" s="38"/>
    </row>
    <row r="1038060" spans="54:54" ht="15.75" customHeight="1" x14ac:dyDescent="0.3">
      <c r="BB1038060" s="38"/>
    </row>
    <row r="1038061" spans="54:54" ht="15.75" customHeight="1" x14ac:dyDescent="0.3">
      <c r="BB1038061" s="38"/>
    </row>
    <row r="1038062" spans="54:54" ht="15.75" customHeight="1" x14ac:dyDescent="0.3">
      <c r="BB1038062" s="38"/>
    </row>
    <row r="1038063" spans="54:54" ht="15.75" customHeight="1" x14ac:dyDescent="0.3">
      <c r="BB1038063" s="38"/>
    </row>
    <row r="1038064" spans="54:54" ht="15.75" customHeight="1" x14ac:dyDescent="0.3">
      <c r="BB1038064" s="38"/>
    </row>
    <row r="1038065" spans="54:54" ht="15.75" customHeight="1" x14ac:dyDescent="0.3">
      <c r="BB1038065" s="38"/>
    </row>
    <row r="1038066" spans="54:54" ht="15.75" customHeight="1" x14ac:dyDescent="0.3">
      <c r="BB1038066" s="38"/>
    </row>
    <row r="1038067" spans="54:54" ht="15.75" customHeight="1" x14ac:dyDescent="0.3">
      <c r="BB1038067" s="38"/>
    </row>
    <row r="1038068" spans="54:54" ht="15.75" customHeight="1" x14ac:dyDescent="0.3">
      <c r="BB1038068" s="38"/>
    </row>
    <row r="1038069" spans="54:54" ht="15.75" customHeight="1" x14ac:dyDescent="0.3">
      <c r="BB1038069" s="38"/>
    </row>
    <row r="1038070" spans="54:54" ht="15.75" customHeight="1" x14ac:dyDescent="0.3">
      <c r="BB1038070" s="38"/>
    </row>
    <row r="1038071" spans="54:54" ht="15.75" customHeight="1" x14ac:dyDescent="0.3">
      <c r="BB1038071" s="38"/>
    </row>
    <row r="1038072" spans="54:54" ht="15.75" customHeight="1" x14ac:dyDescent="0.3">
      <c r="BB1038072" s="38"/>
    </row>
    <row r="1038073" spans="54:54" ht="15.75" customHeight="1" x14ac:dyDescent="0.3">
      <c r="BB1038073" s="38"/>
    </row>
    <row r="1038074" spans="54:54" ht="15.75" customHeight="1" x14ac:dyDescent="0.3">
      <c r="BB1038074" s="38"/>
    </row>
    <row r="1038075" spans="54:54" ht="15.75" customHeight="1" x14ac:dyDescent="0.3">
      <c r="BB1038075" s="38"/>
    </row>
    <row r="1038076" spans="54:54" ht="15.75" customHeight="1" x14ac:dyDescent="0.3">
      <c r="BB1038076" s="38"/>
    </row>
    <row r="1038077" spans="54:54" ht="15.75" customHeight="1" x14ac:dyDescent="0.3">
      <c r="BB1038077" s="38"/>
    </row>
    <row r="1038078" spans="54:54" ht="15.75" customHeight="1" x14ac:dyDescent="0.3">
      <c r="BB1038078" s="38"/>
    </row>
    <row r="1038079" spans="54:54" ht="15.75" customHeight="1" x14ac:dyDescent="0.3">
      <c r="BB1038079" s="38"/>
    </row>
    <row r="1038080" spans="54:54" ht="15.75" customHeight="1" x14ac:dyDescent="0.3">
      <c r="BB1038080" s="38"/>
    </row>
    <row r="1038081" spans="54:54" ht="15.75" customHeight="1" x14ac:dyDescent="0.3">
      <c r="BB1038081" s="38"/>
    </row>
    <row r="1038082" spans="54:54" ht="15.75" customHeight="1" x14ac:dyDescent="0.3">
      <c r="BB1038082" s="38"/>
    </row>
    <row r="1038083" spans="54:54" ht="15.75" customHeight="1" x14ac:dyDescent="0.3">
      <c r="BB1038083" s="38"/>
    </row>
    <row r="1038084" spans="54:54" ht="15.75" customHeight="1" x14ac:dyDescent="0.3">
      <c r="BB1038084" s="38"/>
    </row>
    <row r="1038085" spans="54:54" ht="15.75" customHeight="1" x14ac:dyDescent="0.3">
      <c r="BB1038085" s="38"/>
    </row>
    <row r="1038086" spans="54:54" ht="15.75" customHeight="1" x14ac:dyDescent="0.3">
      <c r="BB1038086" s="38"/>
    </row>
    <row r="1038087" spans="54:54" ht="15.75" customHeight="1" x14ac:dyDescent="0.3">
      <c r="BB1038087" s="38"/>
    </row>
    <row r="1038088" spans="54:54" ht="15.75" customHeight="1" x14ac:dyDescent="0.3">
      <c r="BB1038088" s="38"/>
    </row>
    <row r="1038089" spans="54:54" ht="15.75" customHeight="1" x14ac:dyDescent="0.3">
      <c r="BB1038089" s="38"/>
    </row>
    <row r="1038090" spans="54:54" ht="15.75" customHeight="1" x14ac:dyDescent="0.3">
      <c r="BB1038090" s="38"/>
    </row>
    <row r="1038091" spans="54:54" ht="15.75" customHeight="1" x14ac:dyDescent="0.3">
      <c r="BB1038091" s="38"/>
    </row>
    <row r="1038092" spans="54:54" ht="15.75" customHeight="1" x14ac:dyDescent="0.3">
      <c r="BB1038092" s="38"/>
    </row>
    <row r="1038093" spans="54:54" ht="15.75" customHeight="1" x14ac:dyDescent="0.3">
      <c r="BB1038093" s="38"/>
    </row>
    <row r="1038094" spans="54:54" ht="15.75" customHeight="1" x14ac:dyDescent="0.3">
      <c r="BB1038094" s="38"/>
    </row>
    <row r="1038095" spans="54:54" ht="15.75" customHeight="1" x14ac:dyDescent="0.3">
      <c r="BB1038095" s="38"/>
    </row>
    <row r="1038096" spans="54:54" ht="15.75" customHeight="1" x14ac:dyDescent="0.3">
      <c r="BB1038096" s="38"/>
    </row>
    <row r="1038097" spans="54:54" ht="15.75" customHeight="1" x14ac:dyDescent="0.3">
      <c r="BB1038097" s="38"/>
    </row>
    <row r="1038098" spans="54:54" ht="15.75" customHeight="1" x14ac:dyDescent="0.3">
      <c r="BB1038098" s="38"/>
    </row>
    <row r="1038099" spans="54:54" ht="15.75" customHeight="1" x14ac:dyDescent="0.3">
      <c r="BB1038099" s="38"/>
    </row>
    <row r="1038100" spans="54:54" ht="15.75" customHeight="1" x14ac:dyDescent="0.3">
      <c r="BB1038100" s="38"/>
    </row>
    <row r="1038101" spans="54:54" ht="15.75" customHeight="1" x14ac:dyDescent="0.3">
      <c r="BB1038101" s="38"/>
    </row>
    <row r="1038102" spans="54:54" ht="15.75" customHeight="1" x14ac:dyDescent="0.3">
      <c r="BB1038102" s="38"/>
    </row>
    <row r="1038103" spans="54:54" ht="15.75" customHeight="1" x14ac:dyDescent="0.3">
      <c r="BB1038103" s="38"/>
    </row>
    <row r="1038104" spans="54:54" ht="15.75" customHeight="1" x14ac:dyDescent="0.3">
      <c r="BB1038104" s="38"/>
    </row>
    <row r="1038105" spans="54:54" ht="15.75" customHeight="1" x14ac:dyDescent="0.3">
      <c r="BB1038105" s="38"/>
    </row>
    <row r="1038106" spans="54:54" ht="15.75" customHeight="1" x14ac:dyDescent="0.3">
      <c r="BB1038106" s="38"/>
    </row>
    <row r="1038107" spans="54:54" ht="15.75" customHeight="1" x14ac:dyDescent="0.3">
      <c r="BB1038107" s="38"/>
    </row>
    <row r="1038108" spans="54:54" ht="15.75" customHeight="1" x14ac:dyDescent="0.3">
      <c r="BB1038108" s="38"/>
    </row>
    <row r="1038109" spans="54:54" ht="15.75" customHeight="1" x14ac:dyDescent="0.3">
      <c r="BB1038109" s="38"/>
    </row>
    <row r="1038110" spans="54:54" ht="15.75" customHeight="1" x14ac:dyDescent="0.3">
      <c r="BB1038110" s="38"/>
    </row>
    <row r="1038111" spans="54:54" ht="15.75" customHeight="1" x14ac:dyDescent="0.3">
      <c r="BB1038111" s="38"/>
    </row>
    <row r="1038112" spans="54:54" ht="15.75" customHeight="1" x14ac:dyDescent="0.3">
      <c r="BB1038112" s="38"/>
    </row>
    <row r="1038113" spans="54:54" ht="15.75" customHeight="1" x14ac:dyDescent="0.3">
      <c r="BB1038113" s="38"/>
    </row>
    <row r="1038114" spans="54:54" ht="15.75" customHeight="1" x14ac:dyDescent="0.3">
      <c r="BB1038114" s="38"/>
    </row>
    <row r="1038115" spans="54:54" ht="15.75" customHeight="1" x14ac:dyDescent="0.3">
      <c r="BB1038115" s="38"/>
    </row>
    <row r="1038116" spans="54:54" ht="15.75" customHeight="1" x14ac:dyDescent="0.3">
      <c r="BB1038116" s="38"/>
    </row>
    <row r="1038117" spans="54:54" ht="15.75" customHeight="1" x14ac:dyDescent="0.3">
      <c r="BB1038117" s="38"/>
    </row>
    <row r="1038118" spans="54:54" ht="15.75" customHeight="1" x14ac:dyDescent="0.3">
      <c r="BB1038118" s="38"/>
    </row>
    <row r="1038119" spans="54:54" ht="15.75" customHeight="1" x14ac:dyDescent="0.3">
      <c r="BB1038119" s="38"/>
    </row>
    <row r="1038120" spans="54:54" ht="15.75" customHeight="1" x14ac:dyDescent="0.3">
      <c r="BB1038120" s="38"/>
    </row>
    <row r="1038121" spans="54:54" ht="15.75" customHeight="1" x14ac:dyDescent="0.3">
      <c r="BB1038121" s="38"/>
    </row>
    <row r="1038122" spans="54:54" ht="15.75" customHeight="1" x14ac:dyDescent="0.3">
      <c r="BB1038122" s="38"/>
    </row>
    <row r="1038123" spans="54:54" ht="15.75" customHeight="1" x14ac:dyDescent="0.3">
      <c r="BB1038123" s="38"/>
    </row>
    <row r="1038124" spans="54:54" ht="15.75" customHeight="1" x14ac:dyDescent="0.3">
      <c r="BB1038124" s="38"/>
    </row>
    <row r="1038125" spans="54:54" ht="15.75" customHeight="1" x14ac:dyDescent="0.3">
      <c r="BB1038125" s="38"/>
    </row>
    <row r="1038126" spans="54:54" ht="15.75" customHeight="1" x14ac:dyDescent="0.3">
      <c r="BB1038126" s="38"/>
    </row>
    <row r="1038127" spans="54:54" ht="15.75" customHeight="1" x14ac:dyDescent="0.3">
      <c r="BB1038127" s="38"/>
    </row>
    <row r="1038128" spans="54:54" ht="15.75" customHeight="1" x14ac:dyDescent="0.3">
      <c r="BB1038128" s="38"/>
    </row>
    <row r="1038129" spans="54:54" ht="15.75" customHeight="1" x14ac:dyDescent="0.3">
      <c r="BB1038129" s="38"/>
    </row>
    <row r="1038130" spans="54:54" ht="15.75" customHeight="1" x14ac:dyDescent="0.3">
      <c r="BB1038130" s="38"/>
    </row>
    <row r="1038131" spans="54:54" ht="15.75" customHeight="1" x14ac:dyDescent="0.3">
      <c r="BB1038131" s="38"/>
    </row>
    <row r="1038132" spans="54:54" ht="15.75" customHeight="1" x14ac:dyDescent="0.3">
      <c r="BB1038132" s="38"/>
    </row>
    <row r="1038133" spans="54:54" ht="15.75" customHeight="1" x14ac:dyDescent="0.3">
      <c r="BB1038133" s="38"/>
    </row>
    <row r="1038134" spans="54:54" ht="15.75" customHeight="1" x14ac:dyDescent="0.3">
      <c r="BB1038134" s="38"/>
    </row>
    <row r="1038135" spans="54:54" ht="15.75" customHeight="1" x14ac:dyDescent="0.3">
      <c r="BB1038135" s="38"/>
    </row>
    <row r="1038136" spans="54:54" ht="15.75" customHeight="1" x14ac:dyDescent="0.3">
      <c r="BB1038136" s="38"/>
    </row>
    <row r="1038137" spans="54:54" ht="15.75" customHeight="1" x14ac:dyDescent="0.3">
      <c r="BB1038137" s="38"/>
    </row>
    <row r="1038138" spans="54:54" ht="15.75" customHeight="1" x14ac:dyDescent="0.3">
      <c r="BB1038138" s="38"/>
    </row>
    <row r="1038139" spans="54:54" ht="15.75" customHeight="1" x14ac:dyDescent="0.3">
      <c r="BB1038139" s="38"/>
    </row>
    <row r="1038140" spans="54:54" ht="15.75" customHeight="1" x14ac:dyDescent="0.3">
      <c r="BB1038140" s="38"/>
    </row>
    <row r="1038141" spans="54:54" ht="15.75" customHeight="1" x14ac:dyDescent="0.3">
      <c r="BB1038141" s="38"/>
    </row>
    <row r="1038142" spans="54:54" ht="15.75" customHeight="1" x14ac:dyDescent="0.3">
      <c r="BB1038142" s="38"/>
    </row>
    <row r="1038143" spans="54:54" ht="15.75" customHeight="1" x14ac:dyDescent="0.3">
      <c r="BB1038143" s="38"/>
    </row>
    <row r="1038144" spans="54:54" ht="15.75" customHeight="1" x14ac:dyDescent="0.3">
      <c r="BB1038144" s="38"/>
    </row>
    <row r="1038145" spans="54:54" ht="15.75" customHeight="1" x14ac:dyDescent="0.3">
      <c r="BB1038145" s="38"/>
    </row>
    <row r="1038146" spans="54:54" ht="15.75" customHeight="1" x14ac:dyDescent="0.3">
      <c r="BB1038146" s="38"/>
    </row>
    <row r="1038147" spans="54:54" ht="15.75" customHeight="1" x14ac:dyDescent="0.3">
      <c r="BB1038147" s="38"/>
    </row>
    <row r="1038148" spans="54:54" ht="15.75" customHeight="1" x14ac:dyDescent="0.3">
      <c r="BB1038148" s="38"/>
    </row>
    <row r="1038149" spans="54:54" ht="15.75" customHeight="1" x14ac:dyDescent="0.3">
      <c r="BB1038149" s="38"/>
    </row>
    <row r="1038150" spans="54:54" ht="15.75" customHeight="1" x14ac:dyDescent="0.3">
      <c r="BB1038150" s="38"/>
    </row>
    <row r="1038151" spans="54:54" ht="15.75" customHeight="1" x14ac:dyDescent="0.3">
      <c r="BB1038151" s="38"/>
    </row>
    <row r="1038152" spans="54:54" ht="15.75" customHeight="1" x14ac:dyDescent="0.3">
      <c r="BB1038152" s="38"/>
    </row>
    <row r="1038153" spans="54:54" ht="15.75" customHeight="1" x14ac:dyDescent="0.3">
      <c r="BB1038153" s="38"/>
    </row>
    <row r="1038154" spans="54:54" ht="15.75" customHeight="1" x14ac:dyDescent="0.3">
      <c r="BB1038154" s="38"/>
    </row>
    <row r="1038155" spans="54:54" ht="15.75" customHeight="1" x14ac:dyDescent="0.3">
      <c r="BB1038155" s="38"/>
    </row>
    <row r="1038156" spans="54:54" ht="15.75" customHeight="1" x14ac:dyDescent="0.3">
      <c r="BB1038156" s="38"/>
    </row>
    <row r="1038157" spans="54:54" ht="15.75" customHeight="1" x14ac:dyDescent="0.3">
      <c r="BB1038157" s="38"/>
    </row>
    <row r="1038158" spans="54:54" ht="15.75" customHeight="1" x14ac:dyDescent="0.3">
      <c r="BB1038158" s="38"/>
    </row>
    <row r="1038159" spans="54:54" ht="15.75" customHeight="1" x14ac:dyDescent="0.3">
      <c r="BB1038159" s="38"/>
    </row>
    <row r="1038160" spans="54:54" ht="15.75" customHeight="1" x14ac:dyDescent="0.3">
      <c r="BB1038160" s="38"/>
    </row>
    <row r="1038161" spans="54:54" ht="15.75" customHeight="1" x14ac:dyDescent="0.3">
      <c r="BB1038161" s="38"/>
    </row>
    <row r="1038162" spans="54:54" ht="15.75" customHeight="1" x14ac:dyDescent="0.3">
      <c r="BB1038162" s="38"/>
    </row>
    <row r="1038163" spans="54:54" ht="15.75" customHeight="1" x14ac:dyDescent="0.3">
      <c r="BB1038163" s="38"/>
    </row>
    <row r="1038164" spans="54:54" ht="15.75" customHeight="1" x14ac:dyDescent="0.3">
      <c r="BB1038164" s="38"/>
    </row>
    <row r="1038165" spans="54:54" ht="15.75" customHeight="1" x14ac:dyDescent="0.3">
      <c r="BB1038165" s="38"/>
    </row>
    <row r="1038166" spans="54:54" ht="15.75" customHeight="1" x14ac:dyDescent="0.3">
      <c r="BB1038166" s="38"/>
    </row>
    <row r="1038167" spans="54:54" ht="15.75" customHeight="1" x14ac:dyDescent="0.3">
      <c r="BB1038167" s="38"/>
    </row>
    <row r="1038168" spans="54:54" ht="15.75" customHeight="1" x14ac:dyDescent="0.3">
      <c r="BB1038168" s="38"/>
    </row>
    <row r="1038169" spans="54:54" ht="15.75" customHeight="1" x14ac:dyDescent="0.3">
      <c r="BB1038169" s="38"/>
    </row>
    <row r="1038170" spans="54:54" ht="15.75" customHeight="1" x14ac:dyDescent="0.3">
      <c r="BB1038170" s="38"/>
    </row>
    <row r="1038171" spans="54:54" ht="15.75" customHeight="1" x14ac:dyDescent="0.3">
      <c r="BB1038171" s="38"/>
    </row>
    <row r="1038172" spans="54:54" ht="15.75" customHeight="1" x14ac:dyDescent="0.3">
      <c r="BB1038172" s="38"/>
    </row>
    <row r="1038173" spans="54:54" ht="15.75" customHeight="1" x14ac:dyDescent="0.3">
      <c r="BB1038173" s="38"/>
    </row>
    <row r="1038174" spans="54:54" ht="15.75" customHeight="1" x14ac:dyDescent="0.3">
      <c r="BB1038174" s="38"/>
    </row>
    <row r="1038175" spans="54:54" ht="15.75" customHeight="1" x14ac:dyDescent="0.3">
      <c r="BB1038175" s="38"/>
    </row>
    <row r="1038176" spans="54:54" ht="15.75" customHeight="1" x14ac:dyDescent="0.3">
      <c r="BB1038176" s="38"/>
    </row>
    <row r="1038177" spans="54:54" ht="15.75" customHeight="1" x14ac:dyDescent="0.3">
      <c r="BB1038177" s="38"/>
    </row>
    <row r="1038178" spans="54:54" ht="15.75" customHeight="1" x14ac:dyDescent="0.3">
      <c r="BB1038178" s="38"/>
    </row>
    <row r="1038179" spans="54:54" ht="15.75" customHeight="1" x14ac:dyDescent="0.3">
      <c r="BB1038179" s="38"/>
    </row>
    <row r="1038180" spans="54:54" ht="15.75" customHeight="1" x14ac:dyDescent="0.3">
      <c r="BB1038180" s="38"/>
    </row>
    <row r="1038181" spans="54:54" ht="15.75" customHeight="1" x14ac:dyDescent="0.3">
      <c r="BB1038181" s="38"/>
    </row>
    <row r="1038182" spans="54:54" ht="15.75" customHeight="1" x14ac:dyDescent="0.3">
      <c r="BB1038182" s="38"/>
    </row>
    <row r="1038183" spans="54:54" ht="15.75" customHeight="1" x14ac:dyDescent="0.3">
      <c r="BB1038183" s="38"/>
    </row>
    <row r="1038184" spans="54:54" ht="15.75" customHeight="1" x14ac:dyDescent="0.3">
      <c r="BB1038184" s="38"/>
    </row>
    <row r="1038185" spans="54:54" ht="15.75" customHeight="1" x14ac:dyDescent="0.3">
      <c r="BB1038185" s="38"/>
    </row>
    <row r="1038186" spans="54:54" ht="15.75" customHeight="1" x14ac:dyDescent="0.3">
      <c r="BB1038186" s="38"/>
    </row>
    <row r="1038187" spans="54:54" ht="15.75" customHeight="1" x14ac:dyDescent="0.3">
      <c r="BB1038187" s="38"/>
    </row>
    <row r="1038188" spans="54:54" ht="15.75" customHeight="1" x14ac:dyDescent="0.3">
      <c r="BB1038188" s="38"/>
    </row>
    <row r="1038189" spans="54:54" ht="15.75" customHeight="1" x14ac:dyDescent="0.3">
      <c r="BB1038189" s="38"/>
    </row>
    <row r="1038190" spans="54:54" ht="15.75" customHeight="1" x14ac:dyDescent="0.3">
      <c r="BB1038190" s="38"/>
    </row>
    <row r="1038191" spans="54:54" ht="15.75" customHeight="1" x14ac:dyDescent="0.3">
      <c r="BB1038191" s="38"/>
    </row>
    <row r="1038192" spans="54:54" ht="15.75" customHeight="1" x14ac:dyDescent="0.3">
      <c r="BB1038192" s="38"/>
    </row>
    <row r="1038193" spans="54:54" ht="15.75" customHeight="1" x14ac:dyDescent="0.3">
      <c r="BB1038193" s="38"/>
    </row>
    <row r="1038194" spans="54:54" ht="15.75" customHeight="1" x14ac:dyDescent="0.3">
      <c r="BB1038194" s="38"/>
    </row>
    <row r="1038195" spans="54:54" ht="15.75" customHeight="1" x14ac:dyDescent="0.3">
      <c r="BB1038195" s="38"/>
    </row>
    <row r="1038196" spans="54:54" ht="15.75" customHeight="1" x14ac:dyDescent="0.3">
      <c r="BB1038196" s="38"/>
    </row>
    <row r="1038197" spans="54:54" ht="15.75" customHeight="1" x14ac:dyDescent="0.3">
      <c r="BB1038197" s="38"/>
    </row>
    <row r="1038198" spans="54:54" ht="15.75" customHeight="1" x14ac:dyDescent="0.3">
      <c r="BB1038198" s="38"/>
    </row>
    <row r="1038199" spans="54:54" ht="15.75" customHeight="1" x14ac:dyDescent="0.3">
      <c r="BB1038199" s="38"/>
    </row>
    <row r="1038200" spans="54:54" ht="15.75" customHeight="1" x14ac:dyDescent="0.3">
      <c r="BB1038200" s="38"/>
    </row>
    <row r="1038201" spans="54:54" ht="15.75" customHeight="1" x14ac:dyDescent="0.3">
      <c r="BB1038201" s="38"/>
    </row>
    <row r="1038202" spans="54:54" ht="15.75" customHeight="1" x14ac:dyDescent="0.3">
      <c r="BB1038202" s="38"/>
    </row>
    <row r="1038203" spans="54:54" ht="15.75" customHeight="1" x14ac:dyDescent="0.3">
      <c r="BB1038203" s="38"/>
    </row>
    <row r="1038204" spans="54:54" ht="15.75" customHeight="1" x14ac:dyDescent="0.3">
      <c r="BB1038204" s="38"/>
    </row>
    <row r="1038205" spans="54:54" ht="15.75" customHeight="1" x14ac:dyDescent="0.3">
      <c r="BB1038205" s="38"/>
    </row>
    <row r="1038206" spans="54:54" ht="15.75" customHeight="1" x14ac:dyDescent="0.3">
      <c r="BB1038206" s="38"/>
    </row>
    <row r="1038207" spans="54:54" ht="15.75" customHeight="1" x14ac:dyDescent="0.3">
      <c r="BB1038207" s="38"/>
    </row>
    <row r="1038208" spans="54:54" ht="15.75" customHeight="1" x14ac:dyDescent="0.3">
      <c r="BB1038208" s="38"/>
    </row>
    <row r="1038209" spans="54:54" ht="15.75" customHeight="1" x14ac:dyDescent="0.3">
      <c r="BB1038209" s="38"/>
    </row>
    <row r="1038210" spans="54:54" ht="15.75" customHeight="1" x14ac:dyDescent="0.3">
      <c r="BB1038210" s="38"/>
    </row>
    <row r="1038211" spans="54:54" ht="15.75" customHeight="1" x14ac:dyDescent="0.3">
      <c r="BB1038211" s="38"/>
    </row>
    <row r="1038212" spans="54:54" ht="15.75" customHeight="1" x14ac:dyDescent="0.3">
      <c r="BB1038212" s="38"/>
    </row>
    <row r="1038213" spans="54:54" ht="15.75" customHeight="1" x14ac:dyDescent="0.3">
      <c r="BB1038213" s="38"/>
    </row>
    <row r="1038214" spans="54:54" ht="15.75" customHeight="1" x14ac:dyDescent="0.3">
      <c r="BB1038214" s="38"/>
    </row>
    <row r="1038215" spans="54:54" ht="15.75" customHeight="1" x14ac:dyDescent="0.3">
      <c r="BB1038215" s="38"/>
    </row>
    <row r="1038216" spans="54:54" ht="15.75" customHeight="1" x14ac:dyDescent="0.3">
      <c r="BB1038216" s="38"/>
    </row>
    <row r="1038217" spans="54:54" ht="15.75" customHeight="1" x14ac:dyDescent="0.3">
      <c r="BB1038217" s="38"/>
    </row>
    <row r="1038218" spans="54:54" ht="15.75" customHeight="1" x14ac:dyDescent="0.3">
      <c r="BB1038218" s="38"/>
    </row>
    <row r="1038219" spans="54:54" ht="15.75" customHeight="1" x14ac:dyDescent="0.3">
      <c r="BB1038219" s="38"/>
    </row>
    <row r="1038220" spans="54:54" ht="15.75" customHeight="1" x14ac:dyDescent="0.3">
      <c r="BB1038220" s="38"/>
    </row>
    <row r="1038221" spans="54:54" ht="15.75" customHeight="1" x14ac:dyDescent="0.3">
      <c r="BB1038221" s="38"/>
    </row>
    <row r="1038222" spans="54:54" ht="15.75" customHeight="1" x14ac:dyDescent="0.3">
      <c r="BB1038222" s="38"/>
    </row>
    <row r="1038223" spans="54:54" ht="15.75" customHeight="1" x14ac:dyDescent="0.3">
      <c r="BB1038223" s="38"/>
    </row>
    <row r="1038224" spans="54:54" ht="15.75" customHeight="1" x14ac:dyDescent="0.3">
      <c r="BB1038224" s="38"/>
    </row>
    <row r="1038225" spans="54:54" ht="15.75" customHeight="1" x14ac:dyDescent="0.3">
      <c r="BB1038225" s="38"/>
    </row>
    <row r="1038226" spans="54:54" ht="15.75" customHeight="1" x14ac:dyDescent="0.3">
      <c r="BB1038226" s="38"/>
    </row>
    <row r="1038227" spans="54:54" ht="15.75" customHeight="1" x14ac:dyDescent="0.3">
      <c r="BB1038227" s="38"/>
    </row>
    <row r="1038228" spans="54:54" ht="15.75" customHeight="1" x14ac:dyDescent="0.3">
      <c r="BB1038228" s="38"/>
    </row>
    <row r="1038229" spans="54:54" ht="15.75" customHeight="1" x14ac:dyDescent="0.3">
      <c r="BB1038229" s="38"/>
    </row>
    <row r="1038230" spans="54:54" ht="15.75" customHeight="1" x14ac:dyDescent="0.3">
      <c r="BB1038230" s="38"/>
    </row>
    <row r="1038231" spans="54:54" ht="15.75" customHeight="1" x14ac:dyDescent="0.3">
      <c r="BB1038231" s="38"/>
    </row>
    <row r="1038232" spans="54:54" ht="15.75" customHeight="1" x14ac:dyDescent="0.3">
      <c r="BB1038232" s="38"/>
    </row>
    <row r="1038233" spans="54:54" ht="15.75" customHeight="1" x14ac:dyDescent="0.3">
      <c r="BB1038233" s="38"/>
    </row>
    <row r="1038234" spans="54:54" ht="15.75" customHeight="1" x14ac:dyDescent="0.3">
      <c r="BB1038234" s="38"/>
    </row>
    <row r="1038235" spans="54:54" ht="15.75" customHeight="1" x14ac:dyDescent="0.3">
      <c r="BB1038235" s="38"/>
    </row>
    <row r="1038236" spans="54:54" ht="15.75" customHeight="1" x14ac:dyDescent="0.3">
      <c r="BB1038236" s="38"/>
    </row>
    <row r="1038237" spans="54:54" ht="15.75" customHeight="1" x14ac:dyDescent="0.3">
      <c r="BB1038237" s="38"/>
    </row>
    <row r="1038238" spans="54:54" ht="15.75" customHeight="1" x14ac:dyDescent="0.3">
      <c r="BB1038238" s="38"/>
    </row>
    <row r="1038239" spans="54:54" ht="15.75" customHeight="1" x14ac:dyDescent="0.3">
      <c r="BB1038239" s="38"/>
    </row>
    <row r="1038240" spans="54:54" ht="15.75" customHeight="1" x14ac:dyDescent="0.3">
      <c r="BB1038240" s="38"/>
    </row>
    <row r="1038241" spans="54:54" ht="15.75" customHeight="1" x14ac:dyDescent="0.3">
      <c r="BB1038241" s="38"/>
    </row>
    <row r="1038242" spans="54:54" ht="15.75" customHeight="1" x14ac:dyDescent="0.3">
      <c r="BB1038242" s="38"/>
    </row>
    <row r="1038243" spans="54:54" ht="15.75" customHeight="1" x14ac:dyDescent="0.3">
      <c r="BB1038243" s="38"/>
    </row>
    <row r="1038244" spans="54:54" ht="15.75" customHeight="1" x14ac:dyDescent="0.3">
      <c r="BB1038244" s="38"/>
    </row>
    <row r="1038245" spans="54:54" ht="15.75" customHeight="1" x14ac:dyDescent="0.3">
      <c r="BB1038245" s="38"/>
    </row>
    <row r="1038246" spans="54:54" ht="15.75" customHeight="1" x14ac:dyDescent="0.3">
      <c r="BB1038246" s="38"/>
    </row>
    <row r="1038247" spans="54:54" ht="15.75" customHeight="1" x14ac:dyDescent="0.3">
      <c r="BB1038247" s="38"/>
    </row>
    <row r="1038248" spans="54:54" ht="15.75" customHeight="1" x14ac:dyDescent="0.3">
      <c r="BB1038248" s="38"/>
    </row>
    <row r="1038249" spans="54:54" ht="15.75" customHeight="1" x14ac:dyDescent="0.3">
      <c r="BB1038249" s="38"/>
    </row>
    <row r="1038250" spans="54:54" ht="15.75" customHeight="1" x14ac:dyDescent="0.3">
      <c r="BB1038250" s="38"/>
    </row>
    <row r="1038251" spans="54:54" ht="15.75" customHeight="1" x14ac:dyDescent="0.3">
      <c r="BB1038251" s="38"/>
    </row>
    <row r="1038252" spans="54:54" ht="15.75" customHeight="1" x14ac:dyDescent="0.3">
      <c r="BB1038252" s="38"/>
    </row>
    <row r="1038253" spans="54:54" ht="15.75" customHeight="1" x14ac:dyDescent="0.3">
      <c r="BB1038253" s="38"/>
    </row>
    <row r="1038254" spans="54:54" ht="15.75" customHeight="1" x14ac:dyDescent="0.3">
      <c r="BB1038254" s="38"/>
    </row>
    <row r="1038255" spans="54:54" ht="15.75" customHeight="1" x14ac:dyDescent="0.3">
      <c r="BB1038255" s="38"/>
    </row>
    <row r="1038256" spans="54:54" ht="15.75" customHeight="1" x14ac:dyDescent="0.3">
      <c r="BB1038256" s="38"/>
    </row>
    <row r="1038257" spans="54:54" ht="15.75" customHeight="1" x14ac:dyDescent="0.3">
      <c r="BB1038257" s="38"/>
    </row>
    <row r="1038258" spans="54:54" ht="15.75" customHeight="1" x14ac:dyDescent="0.3">
      <c r="BB1038258" s="38"/>
    </row>
    <row r="1038259" spans="54:54" ht="15.75" customHeight="1" x14ac:dyDescent="0.3">
      <c r="BB1038259" s="38"/>
    </row>
    <row r="1038260" spans="54:54" ht="15.75" customHeight="1" x14ac:dyDescent="0.3">
      <c r="BB1038260" s="38"/>
    </row>
    <row r="1038261" spans="54:54" ht="15.75" customHeight="1" x14ac:dyDescent="0.3">
      <c r="BB1038261" s="38"/>
    </row>
    <row r="1038262" spans="54:54" ht="15.75" customHeight="1" x14ac:dyDescent="0.3">
      <c r="BB1038262" s="38"/>
    </row>
    <row r="1038263" spans="54:54" ht="15.75" customHeight="1" x14ac:dyDescent="0.3">
      <c r="BB1038263" s="38"/>
    </row>
    <row r="1038264" spans="54:54" ht="15.75" customHeight="1" x14ac:dyDescent="0.3">
      <c r="BB1038264" s="38"/>
    </row>
    <row r="1038265" spans="54:54" ht="15.75" customHeight="1" x14ac:dyDescent="0.3">
      <c r="BB1038265" s="38"/>
    </row>
    <row r="1038266" spans="54:54" ht="15.75" customHeight="1" x14ac:dyDescent="0.3">
      <c r="BB1038266" s="38"/>
    </row>
    <row r="1038267" spans="54:54" ht="15.75" customHeight="1" x14ac:dyDescent="0.3">
      <c r="BB1038267" s="38"/>
    </row>
    <row r="1038268" spans="54:54" ht="15.75" customHeight="1" x14ac:dyDescent="0.3">
      <c r="BB1038268" s="38"/>
    </row>
    <row r="1038269" spans="54:54" ht="15.75" customHeight="1" x14ac:dyDescent="0.3">
      <c r="BB1038269" s="38"/>
    </row>
    <row r="1038270" spans="54:54" ht="15.75" customHeight="1" x14ac:dyDescent="0.3">
      <c r="BB1038270" s="38"/>
    </row>
    <row r="1038271" spans="54:54" ht="15.75" customHeight="1" x14ac:dyDescent="0.3">
      <c r="BB1038271" s="38"/>
    </row>
    <row r="1038272" spans="54:54" ht="15.75" customHeight="1" x14ac:dyDescent="0.3">
      <c r="BB1038272" s="38"/>
    </row>
    <row r="1038273" spans="54:54" ht="15.75" customHeight="1" x14ac:dyDescent="0.3">
      <c r="BB1038273" s="38"/>
    </row>
    <row r="1038274" spans="54:54" ht="15.75" customHeight="1" x14ac:dyDescent="0.3">
      <c r="BB1038274" s="38"/>
    </row>
    <row r="1038275" spans="54:54" ht="15.75" customHeight="1" x14ac:dyDescent="0.3">
      <c r="BB1038275" s="38"/>
    </row>
    <row r="1038276" spans="54:54" ht="15.75" customHeight="1" x14ac:dyDescent="0.3">
      <c r="BB1038276" s="38"/>
    </row>
    <row r="1038277" spans="54:54" ht="15.75" customHeight="1" x14ac:dyDescent="0.3">
      <c r="BB1038277" s="38"/>
    </row>
    <row r="1038278" spans="54:54" ht="15.75" customHeight="1" x14ac:dyDescent="0.3">
      <c r="BB1038278" s="38"/>
    </row>
    <row r="1038279" spans="54:54" ht="15.75" customHeight="1" x14ac:dyDescent="0.3">
      <c r="BB1038279" s="38"/>
    </row>
    <row r="1038280" spans="54:54" ht="15.75" customHeight="1" x14ac:dyDescent="0.3">
      <c r="BB1038280" s="38"/>
    </row>
    <row r="1038281" spans="54:54" ht="15.75" customHeight="1" x14ac:dyDescent="0.3">
      <c r="BB1038281" s="38"/>
    </row>
    <row r="1038282" spans="54:54" ht="15.75" customHeight="1" x14ac:dyDescent="0.3">
      <c r="BB1038282" s="38"/>
    </row>
    <row r="1038283" spans="54:54" ht="15.75" customHeight="1" x14ac:dyDescent="0.3">
      <c r="BB1038283" s="38"/>
    </row>
    <row r="1038284" spans="54:54" ht="15.75" customHeight="1" x14ac:dyDescent="0.3">
      <c r="BB1038284" s="38"/>
    </row>
    <row r="1038285" spans="54:54" ht="15.75" customHeight="1" x14ac:dyDescent="0.3">
      <c r="BB1038285" s="38"/>
    </row>
    <row r="1038286" spans="54:54" ht="15.75" customHeight="1" x14ac:dyDescent="0.3">
      <c r="BB1038286" s="38"/>
    </row>
    <row r="1038287" spans="54:54" ht="15.75" customHeight="1" x14ac:dyDescent="0.3">
      <c r="BB1038287" s="38"/>
    </row>
    <row r="1038288" spans="54:54" ht="15.75" customHeight="1" x14ac:dyDescent="0.3">
      <c r="BB1038288" s="38"/>
    </row>
    <row r="1038289" spans="54:54" ht="15.75" customHeight="1" x14ac:dyDescent="0.3">
      <c r="BB1038289" s="38"/>
    </row>
    <row r="1038290" spans="54:54" ht="15.75" customHeight="1" x14ac:dyDescent="0.3">
      <c r="BB1038290" s="38"/>
    </row>
    <row r="1038291" spans="54:54" ht="15.75" customHeight="1" x14ac:dyDescent="0.3">
      <c r="BB1038291" s="38"/>
    </row>
    <row r="1038292" spans="54:54" ht="15.75" customHeight="1" x14ac:dyDescent="0.3">
      <c r="BB1038292" s="38"/>
    </row>
    <row r="1038293" spans="54:54" ht="15.75" customHeight="1" x14ac:dyDescent="0.3">
      <c r="BB1038293" s="38"/>
    </row>
    <row r="1038294" spans="54:54" ht="15.75" customHeight="1" x14ac:dyDescent="0.3">
      <c r="BB1038294" s="38"/>
    </row>
    <row r="1038295" spans="54:54" ht="15.75" customHeight="1" x14ac:dyDescent="0.3">
      <c r="BB1038295" s="38"/>
    </row>
    <row r="1038296" spans="54:54" ht="15.75" customHeight="1" x14ac:dyDescent="0.3">
      <c r="BB1038296" s="38"/>
    </row>
    <row r="1038297" spans="54:54" ht="15.75" customHeight="1" x14ac:dyDescent="0.3">
      <c r="BB1038297" s="38"/>
    </row>
    <row r="1038298" spans="54:54" ht="15.75" customHeight="1" x14ac:dyDescent="0.3">
      <c r="BB1038298" s="38"/>
    </row>
    <row r="1038299" spans="54:54" ht="15.75" customHeight="1" x14ac:dyDescent="0.3">
      <c r="BB1038299" s="38"/>
    </row>
    <row r="1038300" spans="54:54" ht="15.75" customHeight="1" x14ac:dyDescent="0.3">
      <c r="BB1038300" s="38"/>
    </row>
    <row r="1038301" spans="54:54" ht="15.75" customHeight="1" x14ac:dyDescent="0.3">
      <c r="BB1038301" s="38"/>
    </row>
    <row r="1038302" spans="54:54" ht="15.75" customHeight="1" x14ac:dyDescent="0.3">
      <c r="BB1038302" s="38"/>
    </row>
    <row r="1038303" spans="54:54" ht="15.75" customHeight="1" x14ac:dyDescent="0.3">
      <c r="BB1038303" s="38"/>
    </row>
    <row r="1038304" spans="54:54" ht="15.75" customHeight="1" x14ac:dyDescent="0.3">
      <c r="BB1038304" s="38"/>
    </row>
    <row r="1038305" spans="54:54" ht="15.75" customHeight="1" x14ac:dyDescent="0.3">
      <c r="BB1038305" s="38"/>
    </row>
    <row r="1038306" spans="54:54" ht="15.75" customHeight="1" x14ac:dyDescent="0.3">
      <c r="BB1038306" s="38"/>
    </row>
    <row r="1038307" spans="54:54" ht="15.75" customHeight="1" x14ac:dyDescent="0.3">
      <c r="BB1038307" s="38"/>
    </row>
    <row r="1038308" spans="54:54" ht="15.75" customHeight="1" x14ac:dyDescent="0.3">
      <c r="BB1038308" s="38"/>
    </row>
    <row r="1038309" spans="54:54" ht="15.75" customHeight="1" x14ac:dyDescent="0.3">
      <c r="BB1038309" s="38"/>
    </row>
    <row r="1038310" spans="54:54" ht="15.75" customHeight="1" x14ac:dyDescent="0.3">
      <c r="BB1038310" s="38"/>
    </row>
    <row r="1038311" spans="54:54" ht="15.75" customHeight="1" x14ac:dyDescent="0.3">
      <c r="BB1038311" s="38"/>
    </row>
    <row r="1038312" spans="54:54" ht="15.75" customHeight="1" x14ac:dyDescent="0.3">
      <c r="BB1038312" s="38"/>
    </row>
    <row r="1038313" spans="54:54" ht="15.75" customHeight="1" x14ac:dyDescent="0.3">
      <c r="BB1038313" s="38"/>
    </row>
    <row r="1038314" spans="54:54" ht="15.75" customHeight="1" x14ac:dyDescent="0.3">
      <c r="BB1038314" s="38"/>
    </row>
    <row r="1038315" spans="54:54" ht="15.75" customHeight="1" x14ac:dyDescent="0.3">
      <c r="BB1038315" s="38"/>
    </row>
    <row r="1038316" spans="54:54" ht="15.75" customHeight="1" x14ac:dyDescent="0.3">
      <c r="BB1038316" s="38"/>
    </row>
    <row r="1038317" spans="54:54" ht="15.75" customHeight="1" x14ac:dyDescent="0.3">
      <c r="BB1038317" s="38"/>
    </row>
    <row r="1038318" spans="54:54" ht="15.75" customHeight="1" x14ac:dyDescent="0.3">
      <c r="BB1038318" s="38"/>
    </row>
    <row r="1038319" spans="54:54" ht="15.75" customHeight="1" x14ac:dyDescent="0.3">
      <c r="BB1038319" s="38"/>
    </row>
    <row r="1038320" spans="54:54" ht="15.75" customHeight="1" x14ac:dyDescent="0.3">
      <c r="BB1038320" s="38"/>
    </row>
    <row r="1038321" spans="54:54" ht="15.75" customHeight="1" x14ac:dyDescent="0.3">
      <c r="BB1038321" s="38"/>
    </row>
    <row r="1038322" spans="54:54" ht="15.75" customHeight="1" x14ac:dyDescent="0.3">
      <c r="BB1038322" s="38"/>
    </row>
    <row r="1038323" spans="54:54" ht="15.75" customHeight="1" x14ac:dyDescent="0.3">
      <c r="BB1038323" s="38"/>
    </row>
    <row r="1038324" spans="54:54" ht="15.75" customHeight="1" x14ac:dyDescent="0.3">
      <c r="BB1038324" s="38"/>
    </row>
    <row r="1038325" spans="54:54" ht="15.75" customHeight="1" x14ac:dyDescent="0.3">
      <c r="BB1038325" s="38"/>
    </row>
    <row r="1038326" spans="54:54" ht="15.75" customHeight="1" x14ac:dyDescent="0.3">
      <c r="BB1038326" s="38"/>
    </row>
    <row r="1038327" spans="54:54" ht="15.75" customHeight="1" x14ac:dyDescent="0.3">
      <c r="BB1038327" s="38"/>
    </row>
    <row r="1038328" spans="54:54" ht="15.75" customHeight="1" x14ac:dyDescent="0.3">
      <c r="BB1038328" s="38"/>
    </row>
    <row r="1038329" spans="54:54" ht="15.75" customHeight="1" x14ac:dyDescent="0.3">
      <c r="BB1038329" s="38"/>
    </row>
    <row r="1038330" spans="54:54" ht="15.75" customHeight="1" x14ac:dyDescent="0.3">
      <c r="BB1038330" s="38"/>
    </row>
    <row r="1038331" spans="54:54" ht="15.75" customHeight="1" x14ac:dyDescent="0.3">
      <c r="BB1038331" s="38"/>
    </row>
    <row r="1038332" spans="54:54" ht="15.75" customHeight="1" x14ac:dyDescent="0.3">
      <c r="BB1038332" s="38"/>
    </row>
    <row r="1038333" spans="54:54" ht="15.75" customHeight="1" x14ac:dyDescent="0.3">
      <c r="BB1038333" s="38"/>
    </row>
    <row r="1038334" spans="54:54" ht="15.75" customHeight="1" x14ac:dyDescent="0.3">
      <c r="BB1038334" s="38"/>
    </row>
    <row r="1038335" spans="54:54" ht="15.75" customHeight="1" x14ac:dyDescent="0.3">
      <c r="BB1038335" s="38"/>
    </row>
    <row r="1038336" spans="54:54" ht="15.75" customHeight="1" x14ac:dyDescent="0.3">
      <c r="BB1038336" s="38"/>
    </row>
    <row r="1038337" spans="54:54" ht="15.75" customHeight="1" x14ac:dyDescent="0.3">
      <c r="BB1038337" s="38"/>
    </row>
    <row r="1038338" spans="54:54" ht="15.75" customHeight="1" x14ac:dyDescent="0.3">
      <c r="BB1038338" s="38"/>
    </row>
    <row r="1038339" spans="54:54" ht="15.75" customHeight="1" x14ac:dyDescent="0.3">
      <c r="BB1038339" s="38"/>
    </row>
    <row r="1038340" spans="54:54" ht="15.75" customHeight="1" x14ac:dyDescent="0.3">
      <c r="BB1038340" s="38"/>
    </row>
    <row r="1038341" spans="54:54" ht="15.75" customHeight="1" x14ac:dyDescent="0.3">
      <c r="BB1038341" s="38"/>
    </row>
    <row r="1038342" spans="54:54" ht="15.75" customHeight="1" x14ac:dyDescent="0.3">
      <c r="BB1038342" s="38"/>
    </row>
    <row r="1038343" spans="54:54" ht="15.75" customHeight="1" x14ac:dyDescent="0.3">
      <c r="BB1038343" s="38"/>
    </row>
    <row r="1038344" spans="54:54" ht="15.75" customHeight="1" x14ac:dyDescent="0.3">
      <c r="BB1038344" s="38"/>
    </row>
    <row r="1038345" spans="54:54" ht="15.75" customHeight="1" x14ac:dyDescent="0.3">
      <c r="BB1038345" s="38"/>
    </row>
    <row r="1038346" spans="54:54" ht="15.75" customHeight="1" x14ac:dyDescent="0.3">
      <c r="BB1038346" s="38"/>
    </row>
    <row r="1038347" spans="54:54" ht="15.75" customHeight="1" x14ac:dyDescent="0.3">
      <c r="BB1038347" s="38"/>
    </row>
    <row r="1038348" spans="54:54" ht="15.75" customHeight="1" x14ac:dyDescent="0.3">
      <c r="BB1038348" s="38"/>
    </row>
    <row r="1038349" spans="54:54" ht="15.75" customHeight="1" x14ac:dyDescent="0.3">
      <c r="BB1038349" s="38"/>
    </row>
    <row r="1038350" spans="54:54" ht="15.75" customHeight="1" x14ac:dyDescent="0.3">
      <c r="BB1038350" s="38"/>
    </row>
    <row r="1038351" spans="54:54" ht="15.75" customHeight="1" x14ac:dyDescent="0.3">
      <c r="BB1038351" s="38"/>
    </row>
    <row r="1038352" spans="54:54" ht="15.75" customHeight="1" x14ac:dyDescent="0.3">
      <c r="BB1038352" s="38"/>
    </row>
    <row r="1038353" spans="54:54" ht="15.75" customHeight="1" x14ac:dyDescent="0.3">
      <c r="BB1038353" s="38"/>
    </row>
    <row r="1038354" spans="54:54" ht="15.75" customHeight="1" x14ac:dyDescent="0.3">
      <c r="BB1038354" s="38"/>
    </row>
    <row r="1038355" spans="54:54" ht="15.75" customHeight="1" x14ac:dyDescent="0.3">
      <c r="BB1038355" s="38"/>
    </row>
    <row r="1038356" spans="54:54" ht="15.75" customHeight="1" x14ac:dyDescent="0.3">
      <c r="BB1038356" s="38"/>
    </row>
    <row r="1038357" spans="54:54" ht="15.75" customHeight="1" x14ac:dyDescent="0.3">
      <c r="BB1038357" s="38"/>
    </row>
    <row r="1038358" spans="54:54" ht="15.75" customHeight="1" x14ac:dyDescent="0.3">
      <c r="BB1038358" s="38"/>
    </row>
    <row r="1038359" spans="54:54" ht="15.75" customHeight="1" x14ac:dyDescent="0.3">
      <c r="BB1038359" s="38"/>
    </row>
    <row r="1038360" spans="54:54" ht="15.75" customHeight="1" x14ac:dyDescent="0.3">
      <c r="BB1038360" s="38"/>
    </row>
    <row r="1038361" spans="54:54" ht="15.75" customHeight="1" x14ac:dyDescent="0.3">
      <c r="BB1038361" s="38"/>
    </row>
    <row r="1038362" spans="54:54" ht="15.75" customHeight="1" x14ac:dyDescent="0.3">
      <c r="BB1038362" s="38"/>
    </row>
    <row r="1038363" spans="54:54" ht="15.75" customHeight="1" x14ac:dyDescent="0.3">
      <c r="BB1038363" s="38"/>
    </row>
    <row r="1038364" spans="54:54" ht="15.75" customHeight="1" x14ac:dyDescent="0.3">
      <c r="BB1038364" s="38"/>
    </row>
    <row r="1038365" spans="54:54" ht="15.75" customHeight="1" x14ac:dyDescent="0.3">
      <c r="BB1038365" s="38"/>
    </row>
    <row r="1038366" spans="54:54" ht="15.75" customHeight="1" x14ac:dyDescent="0.3">
      <c r="BB1038366" s="38"/>
    </row>
    <row r="1038367" spans="54:54" ht="15.75" customHeight="1" x14ac:dyDescent="0.3">
      <c r="BB1038367" s="38"/>
    </row>
    <row r="1038368" spans="54:54" ht="15.75" customHeight="1" x14ac:dyDescent="0.3">
      <c r="BB1038368" s="38"/>
    </row>
    <row r="1038369" spans="54:54" ht="15.75" customHeight="1" x14ac:dyDescent="0.3">
      <c r="BB1038369" s="38"/>
    </row>
    <row r="1038370" spans="54:54" ht="15.75" customHeight="1" x14ac:dyDescent="0.3">
      <c r="BB1038370" s="38"/>
    </row>
    <row r="1038371" spans="54:54" ht="15.75" customHeight="1" x14ac:dyDescent="0.3">
      <c r="BB1038371" s="38"/>
    </row>
    <row r="1038372" spans="54:54" ht="15.75" customHeight="1" x14ac:dyDescent="0.3">
      <c r="BB1038372" s="38"/>
    </row>
    <row r="1038373" spans="54:54" ht="15.75" customHeight="1" x14ac:dyDescent="0.3">
      <c r="BB1038373" s="38"/>
    </row>
    <row r="1038374" spans="54:54" ht="15.75" customHeight="1" x14ac:dyDescent="0.3">
      <c r="BB1038374" s="38"/>
    </row>
    <row r="1038375" spans="54:54" ht="15.75" customHeight="1" x14ac:dyDescent="0.3">
      <c r="BB1038375" s="38"/>
    </row>
    <row r="1038376" spans="54:54" ht="15.75" customHeight="1" x14ac:dyDescent="0.3">
      <c r="BB1038376" s="38"/>
    </row>
    <row r="1038377" spans="54:54" ht="15.75" customHeight="1" x14ac:dyDescent="0.3">
      <c r="BB1038377" s="38"/>
    </row>
    <row r="1038378" spans="54:54" ht="15.75" customHeight="1" x14ac:dyDescent="0.3">
      <c r="BB1038378" s="38"/>
    </row>
    <row r="1038379" spans="54:54" ht="15.75" customHeight="1" x14ac:dyDescent="0.3">
      <c r="BB1038379" s="38"/>
    </row>
    <row r="1038380" spans="54:54" ht="15.75" customHeight="1" x14ac:dyDescent="0.3">
      <c r="BB1038380" s="38"/>
    </row>
    <row r="1038381" spans="54:54" ht="15.75" customHeight="1" x14ac:dyDescent="0.3">
      <c r="BB1038381" s="38"/>
    </row>
    <row r="1038382" spans="54:54" ht="15.75" customHeight="1" x14ac:dyDescent="0.3">
      <c r="BB1038382" s="38"/>
    </row>
    <row r="1038383" spans="54:54" ht="15.75" customHeight="1" x14ac:dyDescent="0.3">
      <c r="BB1038383" s="38"/>
    </row>
    <row r="1038384" spans="54:54" ht="15.75" customHeight="1" x14ac:dyDescent="0.3">
      <c r="BB1038384" s="38"/>
    </row>
    <row r="1038385" spans="54:54" ht="15.75" customHeight="1" x14ac:dyDescent="0.3">
      <c r="BB1038385" s="38"/>
    </row>
    <row r="1038386" spans="54:54" ht="15.75" customHeight="1" x14ac:dyDescent="0.3">
      <c r="BB1038386" s="38"/>
    </row>
    <row r="1038387" spans="54:54" ht="15.75" customHeight="1" x14ac:dyDescent="0.3">
      <c r="BB1038387" s="38"/>
    </row>
    <row r="1038388" spans="54:54" ht="15.75" customHeight="1" x14ac:dyDescent="0.3">
      <c r="BB1038388" s="38"/>
    </row>
    <row r="1038389" spans="54:54" ht="15.75" customHeight="1" x14ac:dyDescent="0.3">
      <c r="BB1038389" s="38"/>
    </row>
    <row r="1038390" spans="54:54" ht="15.75" customHeight="1" x14ac:dyDescent="0.3">
      <c r="BB1038390" s="38"/>
    </row>
    <row r="1038391" spans="54:54" ht="15.75" customHeight="1" x14ac:dyDescent="0.3">
      <c r="BB1038391" s="38"/>
    </row>
    <row r="1038392" spans="54:54" ht="15.75" customHeight="1" x14ac:dyDescent="0.3">
      <c r="BB1038392" s="38"/>
    </row>
    <row r="1038393" spans="54:54" ht="15.75" customHeight="1" x14ac:dyDescent="0.3">
      <c r="BB1038393" s="38"/>
    </row>
    <row r="1038394" spans="54:54" ht="15.75" customHeight="1" x14ac:dyDescent="0.3">
      <c r="BB1038394" s="38"/>
    </row>
    <row r="1038395" spans="54:54" ht="15.75" customHeight="1" x14ac:dyDescent="0.3">
      <c r="BB1038395" s="38"/>
    </row>
    <row r="1038396" spans="54:54" ht="15.75" customHeight="1" x14ac:dyDescent="0.3">
      <c r="BB1038396" s="38"/>
    </row>
    <row r="1038397" spans="54:54" ht="15.75" customHeight="1" x14ac:dyDescent="0.3">
      <c r="BB1038397" s="38"/>
    </row>
    <row r="1038398" spans="54:54" ht="15.75" customHeight="1" x14ac:dyDescent="0.3">
      <c r="BB1038398" s="38"/>
    </row>
    <row r="1038399" spans="54:54" ht="15.75" customHeight="1" x14ac:dyDescent="0.3">
      <c r="BB1038399" s="38"/>
    </row>
    <row r="1038400" spans="54:54" ht="15.75" customHeight="1" x14ac:dyDescent="0.3">
      <c r="BB1038400" s="38"/>
    </row>
    <row r="1038401" spans="54:54" ht="15.75" customHeight="1" x14ac:dyDescent="0.3">
      <c r="BB1038401" s="38"/>
    </row>
    <row r="1038402" spans="54:54" ht="15.75" customHeight="1" x14ac:dyDescent="0.3">
      <c r="BB1038402" s="38"/>
    </row>
    <row r="1038403" spans="54:54" ht="15.75" customHeight="1" x14ac:dyDescent="0.3">
      <c r="BB1038403" s="38"/>
    </row>
    <row r="1038404" spans="54:54" ht="15.75" customHeight="1" x14ac:dyDescent="0.3">
      <c r="BB1038404" s="38"/>
    </row>
    <row r="1038405" spans="54:54" ht="15.75" customHeight="1" x14ac:dyDescent="0.3">
      <c r="BB1038405" s="38"/>
    </row>
    <row r="1038406" spans="54:54" ht="15.75" customHeight="1" x14ac:dyDescent="0.3">
      <c r="BB1038406" s="38"/>
    </row>
    <row r="1038407" spans="54:54" ht="15.75" customHeight="1" x14ac:dyDescent="0.3">
      <c r="BB1038407" s="38"/>
    </row>
    <row r="1038408" spans="54:54" ht="15.75" customHeight="1" x14ac:dyDescent="0.3">
      <c r="BB1038408" s="38"/>
    </row>
    <row r="1038409" spans="54:54" ht="15.75" customHeight="1" x14ac:dyDescent="0.3">
      <c r="BB1038409" s="38"/>
    </row>
    <row r="1038410" spans="54:54" ht="15.75" customHeight="1" x14ac:dyDescent="0.3">
      <c r="BB1038410" s="38"/>
    </row>
    <row r="1038411" spans="54:54" ht="15.75" customHeight="1" x14ac:dyDescent="0.3">
      <c r="BB1038411" s="38"/>
    </row>
    <row r="1038412" spans="54:54" ht="15.75" customHeight="1" x14ac:dyDescent="0.3">
      <c r="BB1038412" s="38"/>
    </row>
    <row r="1038413" spans="54:54" ht="15.75" customHeight="1" x14ac:dyDescent="0.3">
      <c r="BB1038413" s="38"/>
    </row>
    <row r="1038414" spans="54:54" ht="15.75" customHeight="1" x14ac:dyDescent="0.3">
      <c r="BB1038414" s="38"/>
    </row>
    <row r="1038415" spans="54:54" ht="15.75" customHeight="1" x14ac:dyDescent="0.3">
      <c r="BB1038415" s="38"/>
    </row>
    <row r="1038416" spans="54:54" ht="15.75" customHeight="1" x14ac:dyDescent="0.3">
      <c r="BB1038416" s="38"/>
    </row>
    <row r="1038417" spans="54:54" ht="15.75" customHeight="1" x14ac:dyDescent="0.3">
      <c r="BB1038417" s="38"/>
    </row>
    <row r="1038418" spans="54:54" ht="15.75" customHeight="1" x14ac:dyDescent="0.3">
      <c r="BB1038418" s="38"/>
    </row>
    <row r="1038419" spans="54:54" ht="15.75" customHeight="1" x14ac:dyDescent="0.3">
      <c r="BB1038419" s="38"/>
    </row>
    <row r="1038420" spans="54:54" ht="15.75" customHeight="1" x14ac:dyDescent="0.3">
      <c r="BB1038420" s="38"/>
    </row>
    <row r="1038421" spans="54:54" ht="15.75" customHeight="1" x14ac:dyDescent="0.3">
      <c r="BB1038421" s="38"/>
    </row>
    <row r="1038422" spans="54:54" ht="15.75" customHeight="1" x14ac:dyDescent="0.3">
      <c r="BB1038422" s="38"/>
    </row>
    <row r="1038423" spans="54:54" ht="15.75" customHeight="1" x14ac:dyDescent="0.3">
      <c r="BB1038423" s="38"/>
    </row>
    <row r="1038424" spans="54:54" ht="15.75" customHeight="1" x14ac:dyDescent="0.3">
      <c r="BB1038424" s="38"/>
    </row>
    <row r="1038425" spans="54:54" ht="15.75" customHeight="1" x14ac:dyDescent="0.3">
      <c r="BB1038425" s="38"/>
    </row>
    <row r="1038426" spans="54:54" ht="15.75" customHeight="1" x14ac:dyDescent="0.3">
      <c r="BB1038426" s="38"/>
    </row>
    <row r="1038427" spans="54:54" ht="15.75" customHeight="1" x14ac:dyDescent="0.3">
      <c r="BB1038427" s="38"/>
    </row>
    <row r="1038428" spans="54:54" ht="15.75" customHeight="1" x14ac:dyDescent="0.3">
      <c r="BB1038428" s="38"/>
    </row>
    <row r="1038429" spans="54:54" ht="15.75" customHeight="1" x14ac:dyDescent="0.3">
      <c r="BB1038429" s="38"/>
    </row>
    <row r="1038430" spans="54:54" ht="15.75" customHeight="1" x14ac:dyDescent="0.3">
      <c r="BB1038430" s="38"/>
    </row>
    <row r="1038431" spans="54:54" ht="15.75" customHeight="1" x14ac:dyDescent="0.3">
      <c r="BB1038431" s="38"/>
    </row>
    <row r="1038432" spans="54:54" ht="15.75" customHeight="1" x14ac:dyDescent="0.3">
      <c r="BB1038432" s="38"/>
    </row>
    <row r="1038433" spans="54:54" ht="15.75" customHeight="1" x14ac:dyDescent="0.3">
      <c r="BB1038433" s="38"/>
    </row>
    <row r="1038434" spans="54:54" ht="15.75" customHeight="1" x14ac:dyDescent="0.3">
      <c r="BB1038434" s="38"/>
    </row>
    <row r="1038435" spans="54:54" ht="15.75" customHeight="1" x14ac:dyDescent="0.3">
      <c r="BB1038435" s="38"/>
    </row>
    <row r="1038436" spans="54:54" ht="15.75" customHeight="1" x14ac:dyDescent="0.3">
      <c r="BB1038436" s="38"/>
    </row>
    <row r="1038437" spans="54:54" ht="15.75" customHeight="1" x14ac:dyDescent="0.3">
      <c r="BB1038437" s="38"/>
    </row>
    <row r="1038438" spans="54:54" ht="15.75" customHeight="1" x14ac:dyDescent="0.3">
      <c r="BB1038438" s="38"/>
    </row>
    <row r="1038439" spans="54:54" ht="15.75" customHeight="1" x14ac:dyDescent="0.3">
      <c r="BB1038439" s="38"/>
    </row>
    <row r="1038440" spans="54:54" ht="15.75" customHeight="1" x14ac:dyDescent="0.3">
      <c r="BB1038440" s="38"/>
    </row>
    <row r="1038441" spans="54:54" ht="15.75" customHeight="1" x14ac:dyDescent="0.3">
      <c r="BB1038441" s="38"/>
    </row>
    <row r="1038442" spans="54:54" ht="15.75" customHeight="1" x14ac:dyDescent="0.3">
      <c r="BB1038442" s="38"/>
    </row>
    <row r="1038443" spans="54:54" ht="15.75" customHeight="1" x14ac:dyDescent="0.3">
      <c r="BB1038443" s="38"/>
    </row>
    <row r="1038444" spans="54:54" ht="15.75" customHeight="1" x14ac:dyDescent="0.3">
      <c r="BB1038444" s="38"/>
    </row>
    <row r="1038445" spans="54:54" ht="15.75" customHeight="1" x14ac:dyDescent="0.3">
      <c r="BB1038445" s="38"/>
    </row>
    <row r="1038446" spans="54:54" ht="15.75" customHeight="1" x14ac:dyDescent="0.3">
      <c r="BB1038446" s="38"/>
    </row>
    <row r="1038447" spans="54:54" ht="15.75" customHeight="1" x14ac:dyDescent="0.3">
      <c r="BB1038447" s="38"/>
    </row>
    <row r="1038448" spans="54:54" ht="15.75" customHeight="1" x14ac:dyDescent="0.3">
      <c r="BB1038448" s="38"/>
    </row>
    <row r="1038449" spans="54:54" ht="15.75" customHeight="1" x14ac:dyDescent="0.3">
      <c r="BB1038449" s="38"/>
    </row>
    <row r="1038450" spans="54:54" ht="15.75" customHeight="1" x14ac:dyDescent="0.3">
      <c r="BB1038450" s="38"/>
    </row>
    <row r="1038451" spans="54:54" ht="15.75" customHeight="1" x14ac:dyDescent="0.3">
      <c r="BB1038451" s="38"/>
    </row>
    <row r="1038452" spans="54:54" ht="15.75" customHeight="1" x14ac:dyDescent="0.3">
      <c r="BB1038452" s="38"/>
    </row>
    <row r="1038453" spans="54:54" ht="15.75" customHeight="1" x14ac:dyDescent="0.3">
      <c r="BB1038453" s="38"/>
    </row>
    <row r="1038454" spans="54:54" ht="15.75" customHeight="1" x14ac:dyDescent="0.3">
      <c r="BB1038454" s="38"/>
    </row>
    <row r="1038455" spans="54:54" ht="15.75" customHeight="1" x14ac:dyDescent="0.3">
      <c r="BB1038455" s="38"/>
    </row>
    <row r="1038456" spans="54:54" ht="15.75" customHeight="1" x14ac:dyDescent="0.3">
      <c r="BB1038456" s="38"/>
    </row>
    <row r="1038457" spans="54:54" ht="15.75" customHeight="1" x14ac:dyDescent="0.3">
      <c r="BB1038457" s="38"/>
    </row>
    <row r="1038458" spans="54:54" ht="15.75" customHeight="1" x14ac:dyDescent="0.3">
      <c r="BB1038458" s="38"/>
    </row>
    <row r="1038459" spans="54:54" ht="15.75" customHeight="1" x14ac:dyDescent="0.3">
      <c r="BB1038459" s="38"/>
    </row>
    <row r="1038460" spans="54:54" ht="15.75" customHeight="1" x14ac:dyDescent="0.3">
      <c r="BB1038460" s="38"/>
    </row>
    <row r="1038461" spans="54:54" ht="15.75" customHeight="1" x14ac:dyDescent="0.3">
      <c r="BB1038461" s="38"/>
    </row>
    <row r="1038462" spans="54:54" ht="15.75" customHeight="1" x14ac:dyDescent="0.3">
      <c r="BB1038462" s="38"/>
    </row>
    <row r="1038463" spans="54:54" ht="15.75" customHeight="1" x14ac:dyDescent="0.3">
      <c r="BB1038463" s="38"/>
    </row>
    <row r="1038464" spans="54:54" ht="15.75" customHeight="1" x14ac:dyDescent="0.3">
      <c r="BB1038464" s="38"/>
    </row>
    <row r="1038465" spans="54:54" ht="15.75" customHeight="1" x14ac:dyDescent="0.3">
      <c r="BB1038465" s="38"/>
    </row>
    <row r="1038466" spans="54:54" ht="15.75" customHeight="1" x14ac:dyDescent="0.3">
      <c r="BB1038466" s="38"/>
    </row>
    <row r="1038467" spans="54:54" ht="15.75" customHeight="1" x14ac:dyDescent="0.3">
      <c r="BB1038467" s="38"/>
    </row>
    <row r="1038468" spans="54:54" ht="15.75" customHeight="1" x14ac:dyDescent="0.3">
      <c r="BB1038468" s="38"/>
    </row>
    <row r="1038469" spans="54:54" ht="15.75" customHeight="1" x14ac:dyDescent="0.3">
      <c r="BB1038469" s="38"/>
    </row>
    <row r="1038470" spans="54:54" ht="15.75" customHeight="1" x14ac:dyDescent="0.3">
      <c r="BB1038470" s="38"/>
    </row>
    <row r="1038471" spans="54:54" ht="15.75" customHeight="1" x14ac:dyDescent="0.3">
      <c r="BB1038471" s="38"/>
    </row>
    <row r="1038472" spans="54:54" ht="15.75" customHeight="1" x14ac:dyDescent="0.3">
      <c r="BB1038472" s="38"/>
    </row>
    <row r="1038473" spans="54:54" ht="15.75" customHeight="1" x14ac:dyDescent="0.3">
      <c r="BB1038473" s="38"/>
    </row>
    <row r="1038474" spans="54:54" ht="15.75" customHeight="1" x14ac:dyDescent="0.3">
      <c r="BB1038474" s="38"/>
    </row>
    <row r="1038475" spans="54:54" ht="15.75" customHeight="1" x14ac:dyDescent="0.3">
      <c r="BB1038475" s="38"/>
    </row>
    <row r="1038476" spans="54:54" ht="15.75" customHeight="1" x14ac:dyDescent="0.3">
      <c r="BB1038476" s="38"/>
    </row>
    <row r="1038477" spans="54:54" ht="15.75" customHeight="1" x14ac:dyDescent="0.3">
      <c r="BB1038477" s="38"/>
    </row>
    <row r="1038478" spans="54:54" ht="15.75" customHeight="1" x14ac:dyDescent="0.3">
      <c r="BB1038478" s="38"/>
    </row>
    <row r="1038479" spans="54:54" ht="15.75" customHeight="1" x14ac:dyDescent="0.3">
      <c r="BB1038479" s="38"/>
    </row>
    <row r="1038480" spans="54:54" ht="15.75" customHeight="1" x14ac:dyDescent="0.3">
      <c r="BB1038480" s="38"/>
    </row>
    <row r="1038481" spans="54:54" ht="15.75" customHeight="1" x14ac:dyDescent="0.3">
      <c r="BB1038481" s="38"/>
    </row>
    <row r="1038482" spans="54:54" ht="15.75" customHeight="1" x14ac:dyDescent="0.3">
      <c r="BB1038482" s="38"/>
    </row>
    <row r="1038483" spans="54:54" ht="15.75" customHeight="1" x14ac:dyDescent="0.3">
      <c r="BB1038483" s="38"/>
    </row>
    <row r="1038484" spans="54:54" ht="15.75" customHeight="1" x14ac:dyDescent="0.3">
      <c r="BB1038484" s="38"/>
    </row>
    <row r="1038485" spans="54:54" ht="15.75" customHeight="1" x14ac:dyDescent="0.3">
      <c r="BB1038485" s="38"/>
    </row>
    <row r="1038486" spans="54:54" ht="15.75" customHeight="1" x14ac:dyDescent="0.3">
      <c r="BB1038486" s="38"/>
    </row>
    <row r="1038487" spans="54:54" ht="15.75" customHeight="1" x14ac:dyDescent="0.3">
      <c r="BB1038487" s="38"/>
    </row>
    <row r="1038488" spans="54:54" ht="15.75" customHeight="1" x14ac:dyDescent="0.3">
      <c r="BB1038488" s="38"/>
    </row>
    <row r="1038489" spans="54:54" ht="15.75" customHeight="1" x14ac:dyDescent="0.3">
      <c r="BB1038489" s="38"/>
    </row>
    <row r="1038490" spans="54:54" ht="15.75" customHeight="1" x14ac:dyDescent="0.3">
      <c r="BB1038490" s="38"/>
    </row>
    <row r="1038491" spans="54:54" ht="15.75" customHeight="1" x14ac:dyDescent="0.3">
      <c r="BB1038491" s="38"/>
    </row>
    <row r="1038492" spans="54:54" ht="15.75" customHeight="1" x14ac:dyDescent="0.3">
      <c r="BB1038492" s="38"/>
    </row>
    <row r="1038493" spans="54:54" ht="15.75" customHeight="1" x14ac:dyDescent="0.3">
      <c r="BB1038493" s="38"/>
    </row>
    <row r="1038494" spans="54:54" ht="15.75" customHeight="1" x14ac:dyDescent="0.3">
      <c r="BB1038494" s="38"/>
    </row>
    <row r="1038495" spans="54:54" ht="15.75" customHeight="1" x14ac:dyDescent="0.3">
      <c r="BB1038495" s="38"/>
    </row>
    <row r="1038496" spans="54:54" ht="15.75" customHeight="1" x14ac:dyDescent="0.3">
      <c r="BB1038496" s="38"/>
    </row>
    <row r="1038497" spans="54:54" ht="15.75" customHeight="1" x14ac:dyDescent="0.3">
      <c r="BB1038497" s="38"/>
    </row>
    <row r="1038498" spans="54:54" ht="15.75" customHeight="1" x14ac:dyDescent="0.3">
      <c r="BB1038498" s="38"/>
    </row>
    <row r="1038499" spans="54:54" ht="15.75" customHeight="1" x14ac:dyDescent="0.3">
      <c r="BB1038499" s="38"/>
    </row>
    <row r="1038500" spans="54:54" ht="15.75" customHeight="1" x14ac:dyDescent="0.3">
      <c r="BB1038500" s="38"/>
    </row>
    <row r="1038501" spans="54:54" ht="15.75" customHeight="1" x14ac:dyDescent="0.3">
      <c r="BB1038501" s="38"/>
    </row>
    <row r="1038502" spans="54:54" ht="15.75" customHeight="1" x14ac:dyDescent="0.3">
      <c r="BB1038502" s="38"/>
    </row>
    <row r="1038503" spans="54:54" ht="15.75" customHeight="1" x14ac:dyDescent="0.3">
      <c r="BB1038503" s="38"/>
    </row>
    <row r="1038504" spans="54:54" ht="15.75" customHeight="1" x14ac:dyDescent="0.3">
      <c r="BB1038504" s="38"/>
    </row>
    <row r="1038505" spans="54:54" ht="15.75" customHeight="1" x14ac:dyDescent="0.3">
      <c r="BB1038505" s="38"/>
    </row>
    <row r="1038506" spans="54:54" ht="15.75" customHeight="1" x14ac:dyDescent="0.3">
      <c r="BB1038506" s="38"/>
    </row>
    <row r="1038507" spans="54:54" ht="15.75" customHeight="1" x14ac:dyDescent="0.3">
      <c r="BB1038507" s="38"/>
    </row>
    <row r="1038508" spans="54:54" ht="15.75" customHeight="1" x14ac:dyDescent="0.3">
      <c r="BB1038508" s="38"/>
    </row>
    <row r="1038509" spans="54:54" ht="15.75" customHeight="1" x14ac:dyDescent="0.3">
      <c r="BB1038509" s="38"/>
    </row>
    <row r="1038510" spans="54:54" ht="15.75" customHeight="1" x14ac:dyDescent="0.3">
      <c r="BB1038510" s="38"/>
    </row>
    <row r="1038511" spans="54:54" ht="15.75" customHeight="1" x14ac:dyDescent="0.3">
      <c r="BB1038511" s="38"/>
    </row>
    <row r="1038512" spans="54:54" ht="15.75" customHeight="1" x14ac:dyDescent="0.3">
      <c r="BB1038512" s="38"/>
    </row>
    <row r="1038513" spans="54:54" ht="15.75" customHeight="1" x14ac:dyDescent="0.3">
      <c r="BB1038513" s="38"/>
    </row>
    <row r="1038514" spans="54:54" ht="15.75" customHeight="1" x14ac:dyDescent="0.3">
      <c r="BB1038514" s="38"/>
    </row>
    <row r="1038515" spans="54:54" ht="15.75" customHeight="1" x14ac:dyDescent="0.3">
      <c r="BB1038515" s="38"/>
    </row>
    <row r="1038516" spans="54:54" ht="15.75" customHeight="1" x14ac:dyDescent="0.3">
      <c r="BB1038516" s="38"/>
    </row>
    <row r="1038517" spans="54:54" ht="15.75" customHeight="1" x14ac:dyDescent="0.3">
      <c r="BB1038517" s="38"/>
    </row>
    <row r="1038518" spans="54:54" ht="15.75" customHeight="1" x14ac:dyDescent="0.3">
      <c r="BB1038518" s="38"/>
    </row>
    <row r="1038519" spans="54:54" ht="15.75" customHeight="1" x14ac:dyDescent="0.3">
      <c r="BB1038519" s="38"/>
    </row>
    <row r="1038520" spans="54:54" ht="15.75" customHeight="1" x14ac:dyDescent="0.3">
      <c r="BB1038520" s="38"/>
    </row>
    <row r="1038521" spans="54:54" ht="15.75" customHeight="1" x14ac:dyDescent="0.3">
      <c r="BB1038521" s="38"/>
    </row>
    <row r="1038522" spans="54:54" ht="15.75" customHeight="1" x14ac:dyDescent="0.3">
      <c r="BB1038522" s="38"/>
    </row>
    <row r="1038523" spans="54:54" ht="15.75" customHeight="1" x14ac:dyDescent="0.3">
      <c r="BB1038523" s="38"/>
    </row>
    <row r="1038524" spans="54:54" ht="15.75" customHeight="1" x14ac:dyDescent="0.3">
      <c r="BB1038524" s="38"/>
    </row>
    <row r="1038525" spans="54:54" ht="15.75" customHeight="1" x14ac:dyDescent="0.3">
      <c r="BB1038525" s="38"/>
    </row>
    <row r="1038526" spans="54:54" ht="15.75" customHeight="1" x14ac:dyDescent="0.3">
      <c r="BB1038526" s="38"/>
    </row>
    <row r="1038527" spans="54:54" ht="15.75" customHeight="1" x14ac:dyDescent="0.3">
      <c r="BB1038527" s="38"/>
    </row>
    <row r="1038528" spans="54:54" ht="15.75" customHeight="1" x14ac:dyDescent="0.3">
      <c r="BB1038528" s="38"/>
    </row>
    <row r="1038529" spans="54:54" ht="15.75" customHeight="1" x14ac:dyDescent="0.3">
      <c r="BB1038529" s="38"/>
    </row>
    <row r="1038530" spans="54:54" ht="15.75" customHeight="1" x14ac:dyDescent="0.3">
      <c r="BB1038530" s="38"/>
    </row>
    <row r="1038531" spans="54:54" ht="15.75" customHeight="1" x14ac:dyDescent="0.3">
      <c r="BB1038531" s="38"/>
    </row>
    <row r="1038532" spans="54:54" ht="15.75" customHeight="1" x14ac:dyDescent="0.3">
      <c r="BB1038532" s="38"/>
    </row>
    <row r="1038533" spans="54:54" ht="15.75" customHeight="1" x14ac:dyDescent="0.3">
      <c r="BB1038533" s="38"/>
    </row>
    <row r="1038534" spans="54:54" ht="15.75" customHeight="1" x14ac:dyDescent="0.3">
      <c r="BB1038534" s="38"/>
    </row>
    <row r="1038535" spans="54:54" ht="15.75" customHeight="1" x14ac:dyDescent="0.3">
      <c r="BB1038535" s="38"/>
    </row>
    <row r="1038536" spans="54:54" ht="15.75" customHeight="1" x14ac:dyDescent="0.3">
      <c r="BB1038536" s="38"/>
    </row>
    <row r="1038537" spans="54:54" ht="15.75" customHeight="1" x14ac:dyDescent="0.3">
      <c r="BB1038537" s="38"/>
    </row>
    <row r="1038538" spans="54:54" ht="15.75" customHeight="1" x14ac:dyDescent="0.3">
      <c r="BB1038538" s="38"/>
    </row>
    <row r="1038539" spans="54:54" ht="15.75" customHeight="1" x14ac:dyDescent="0.3">
      <c r="BB1038539" s="38"/>
    </row>
    <row r="1038540" spans="54:54" ht="15.75" customHeight="1" x14ac:dyDescent="0.3">
      <c r="BB1038540" s="38"/>
    </row>
    <row r="1038541" spans="54:54" ht="15.75" customHeight="1" x14ac:dyDescent="0.3">
      <c r="BB1038541" s="38"/>
    </row>
    <row r="1038542" spans="54:54" ht="15.75" customHeight="1" x14ac:dyDescent="0.3">
      <c r="BB1038542" s="38"/>
    </row>
    <row r="1038543" spans="54:54" ht="15.75" customHeight="1" x14ac:dyDescent="0.3">
      <c r="BB1038543" s="38"/>
    </row>
    <row r="1038544" spans="54:54" ht="15.75" customHeight="1" x14ac:dyDescent="0.3">
      <c r="BB1038544" s="38"/>
    </row>
    <row r="1038545" spans="54:54" ht="15.75" customHeight="1" x14ac:dyDescent="0.3">
      <c r="BB1038545" s="38"/>
    </row>
    <row r="1038546" spans="54:54" ht="15.75" customHeight="1" x14ac:dyDescent="0.3">
      <c r="BB1038546" s="38"/>
    </row>
    <row r="1038547" spans="54:54" ht="15.75" customHeight="1" x14ac:dyDescent="0.3">
      <c r="BB1038547" s="38"/>
    </row>
    <row r="1038548" spans="54:54" ht="15.75" customHeight="1" x14ac:dyDescent="0.3">
      <c r="BB1038548" s="38"/>
    </row>
    <row r="1038549" spans="54:54" ht="15.75" customHeight="1" x14ac:dyDescent="0.3">
      <c r="BB1038549" s="38"/>
    </row>
    <row r="1038550" spans="54:54" ht="15.75" customHeight="1" x14ac:dyDescent="0.3">
      <c r="BB1038550" s="38"/>
    </row>
    <row r="1038551" spans="54:54" ht="15.75" customHeight="1" x14ac:dyDescent="0.3">
      <c r="BB1038551" s="38"/>
    </row>
    <row r="1038552" spans="54:54" ht="15.75" customHeight="1" x14ac:dyDescent="0.3">
      <c r="BB1038552" s="38"/>
    </row>
    <row r="1038553" spans="54:54" ht="15.75" customHeight="1" x14ac:dyDescent="0.3">
      <c r="BB1038553" s="38"/>
    </row>
    <row r="1038554" spans="54:54" ht="15.75" customHeight="1" x14ac:dyDescent="0.3">
      <c r="BB1038554" s="38"/>
    </row>
    <row r="1038555" spans="54:54" ht="15.75" customHeight="1" x14ac:dyDescent="0.3">
      <c r="BB1038555" s="38"/>
    </row>
    <row r="1038556" spans="54:54" ht="15.75" customHeight="1" x14ac:dyDescent="0.3">
      <c r="BB1038556" s="38"/>
    </row>
    <row r="1038557" spans="54:54" ht="15.75" customHeight="1" x14ac:dyDescent="0.3">
      <c r="BB1038557" s="38"/>
    </row>
    <row r="1038558" spans="54:54" ht="15.75" customHeight="1" x14ac:dyDescent="0.3">
      <c r="BB1038558" s="38"/>
    </row>
    <row r="1038559" spans="54:54" ht="15.75" customHeight="1" x14ac:dyDescent="0.3">
      <c r="BB1038559" s="38"/>
    </row>
    <row r="1038560" spans="54:54" ht="15.75" customHeight="1" x14ac:dyDescent="0.3">
      <c r="BB1038560" s="38"/>
    </row>
    <row r="1038561" spans="54:54" ht="15.75" customHeight="1" x14ac:dyDescent="0.3">
      <c r="BB1038561" s="38"/>
    </row>
    <row r="1038562" spans="54:54" ht="15.75" customHeight="1" x14ac:dyDescent="0.3">
      <c r="BB1038562" s="38"/>
    </row>
    <row r="1038563" spans="54:54" ht="15.75" customHeight="1" x14ac:dyDescent="0.3">
      <c r="BB1038563" s="38"/>
    </row>
    <row r="1038564" spans="54:54" ht="15.75" customHeight="1" x14ac:dyDescent="0.3">
      <c r="BB1038564" s="38"/>
    </row>
    <row r="1038565" spans="54:54" ht="15.75" customHeight="1" x14ac:dyDescent="0.3">
      <c r="BB1038565" s="38"/>
    </row>
    <row r="1038566" spans="54:54" ht="15.75" customHeight="1" x14ac:dyDescent="0.3">
      <c r="BB1038566" s="38"/>
    </row>
    <row r="1038567" spans="54:54" ht="15.75" customHeight="1" x14ac:dyDescent="0.3">
      <c r="BB1038567" s="38"/>
    </row>
    <row r="1038568" spans="54:54" ht="15.75" customHeight="1" x14ac:dyDescent="0.3">
      <c r="BB1038568" s="38"/>
    </row>
    <row r="1038569" spans="54:54" ht="15.75" customHeight="1" x14ac:dyDescent="0.3">
      <c r="BB1038569" s="38"/>
    </row>
    <row r="1038570" spans="54:54" ht="15.75" customHeight="1" x14ac:dyDescent="0.3">
      <c r="BB1038570" s="38"/>
    </row>
    <row r="1038571" spans="54:54" ht="15.75" customHeight="1" x14ac:dyDescent="0.3">
      <c r="BB1038571" s="38"/>
    </row>
    <row r="1038572" spans="54:54" ht="15.75" customHeight="1" x14ac:dyDescent="0.3">
      <c r="BB1038572" s="38"/>
    </row>
    <row r="1038573" spans="54:54" ht="15.75" customHeight="1" x14ac:dyDescent="0.3">
      <c r="BB1038573" s="38"/>
    </row>
    <row r="1038574" spans="54:54" ht="15.75" customHeight="1" x14ac:dyDescent="0.3">
      <c r="BB1038574" s="38"/>
    </row>
    <row r="1038575" spans="54:54" ht="15.75" customHeight="1" x14ac:dyDescent="0.3">
      <c r="BB1038575" s="38"/>
    </row>
    <row r="1038576" spans="54:54" ht="15.75" customHeight="1" x14ac:dyDescent="0.3">
      <c r="BB1038576" s="38"/>
    </row>
    <row r="1038577" spans="54:54" ht="15.75" customHeight="1" x14ac:dyDescent="0.3">
      <c r="BB1038577" s="38"/>
    </row>
    <row r="1038578" spans="54:54" ht="15.75" customHeight="1" x14ac:dyDescent="0.3">
      <c r="BB1038578" s="38"/>
    </row>
    <row r="1038579" spans="54:54" ht="15.75" customHeight="1" x14ac:dyDescent="0.3">
      <c r="BB1038579" s="38"/>
    </row>
    <row r="1038580" spans="54:54" ht="15.75" customHeight="1" x14ac:dyDescent="0.3">
      <c r="BB1038580" s="38"/>
    </row>
    <row r="1038581" spans="54:54" ht="15.75" customHeight="1" x14ac:dyDescent="0.3">
      <c r="BB1038581" s="38"/>
    </row>
    <row r="1038582" spans="54:54" ht="15.75" customHeight="1" x14ac:dyDescent="0.3">
      <c r="BB1038582" s="38"/>
    </row>
    <row r="1038583" spans="54:54" ht="15.75" customHeight="1" x14ac:dyDescent="0.3">
      <c r="BB1038583" s="38"/>
    </row>
    <row r="1038584" spans="54:54" ht="15.75" customHeight="1" x14ac:dyDescent="0.3">
      <c r="BB1038584" s="38"/>
    </row>
    <row r="1038585" spans="54:54" ht="15.75" customHeight="1" x14ac:dyDescent="0.3">
      <c r="BB1038585" s="38"/>
    </row>
    <row r="1038586" spans="54:54" ht="15.75" customHeight="1" x14ac:dyDescent="0.3">
      <c r="BB1038586" s="38"/>
    </row>
    <row r="1038587" spans="54:54" ht="15.75" customHeight="1" x14ac:dyDescent="0.3">
      <c r="BB1038587" s="38"/>
    </row>
    <row r="1038588" spans="54:54" ht="15.75" customHeight="1" x14ac:dyDescent="0.3">
      <c r="BB1038588" s="38"/>
    </row>
    <row r="1038589" spans="54:54" ht="15.75" customHeight="1" x14ac:dyDescent="0.3">
      <c r="BB1038589" s="38"/>
    </row>
    <row r="1038590" spans="54:54" ht="15.75" customHeight="1" x14ac:dyDescent="0.3">
      <c r="BB1038590" s="38"/>
    </row>
    <row r="1038591" spans="54:54" ht="15.75" customHeight="1" x14ac:dyDescent="0.3">
      <c r="BB1038591" s="38"/>
    </row>
    <row r="1038592" spans="54:54" ht="15.75" customHeight="1" x14ac:dyDescent="0.3">
      <c r="BB1038592" s="38"/>
    </row>
    <row r="1038593" spans="54:54" ht="15.75" customHeight="1" x14ac:dyDescent="0.3">
      <c r="BB1038593" s="38"/>
    </row>
    <row r="1038594" spans="54:54" ht="15.75" customHeight="1" x14ac:dyDescent="0.3">
      <c r="BB1038594" s="38"/>
    </row>
    <row r="1038595" spans="54:54" ht="15.75" customHeight="1" x14ac:dyDescent="0.3">
      <c r="BB1038595" s="38"/>
    </row>
    <row r="1038596" spans="54:54" ht="15.75" customHeight="1" x14ac:dyDescent="0.3">
      <c r="BB1038596" s="38"/>
    </row>
    <row r="1038597" spans="54:54" ht="15.75" customHeight="1" x14ac:dyDescent="0.3">
      <c r="BB1038597" s="38"/>
    </row>
    <row r="1038598" spans="54:54" ht="15.75" customHeight="1" x14ac:dyDescent="0.3">
      <c r="BB1038598" s="38"/>
    </row>
    <row r="1038599" spans="54:54" ht="15.75" customHeight="1" x14ac:dyDescent="0.3">
      <c r="BB1038599" s="38"/>
    </row>
    <row r="1038600" spans="54:54" ht="15.75" customHeight="1" x14ac:dyDescent="0.3">
      <c r="BB1038600" s="38"/>
    </row>
    <row r="1038601" spans="54:54" ht="15.75" customHeight="1" x14ac:dyDescent="0.3">
      <c r="BB1038601" s="38"/>
    </row>
    <row r="1038602" spans="54:54" ht="15.75" customHeight="1" x14ac:dyDescent="0.3">
      <c r="BB1038602" s="38"/>
    </row>
    <row r="1038603" spans="54:54" ht="15.75" customHeight="1" x14ac:dyDescent="0.3">
      <c r="BB1038603" s="38"/>
    </row>
    <row r="1038604" spans="54:54" ht="15.75" customHeight="1" x14ac:dyDescent="0.3">
      <c r="BB1038604" s="38"/>
    </row>
    <row r="1038605" spans="54:54" ht="15.75" customHeight="1" x14ac:dyDescent="0.3">
      <c r="BB1038605" s="38"/>
    </row>
    <row r="1038606" spans="54:54" ht="15.75" customHeight="1" x14ac:dyDescent="0.3">
      <c r="BB1038606" s="38"/>
    </row>
    <row r="1038607" spans="54:54" ht="15.75" customHeight="1" x14ac:dyDescent="0.3">
      <c r="BB1038607" s="38"/>
    </row>
    <row r="1038608" spans="54:54" ht="15.75" customHeight="1" x14ac:dyDescent="0.3">
      <c r="BB1038608" s="38"/>
    </row>
    <row r="1038609" spans="54:54" ht="15.75" customHeight="1" x14ac:dyDescent="0.3">
      <c r="BB1038609" s="38"/>
    </row>
    <row r="1038610" spans="54:54" ht="15.75" customHeight="1" x14ac:dyDescent="0.3">
      <c r="BB1038610" s="38"/>
    </row>
    <row r="1038611" spans="54:54" ht="15.75" customHeight="1" x14ac:dyDescent="0.3">
      <c r="BB1038611" s="38"/>
    </row>
    <row r="1038612" spans="54:54" ht="15.75" customHeight="1" x14ac:dyDescent="0.3">
      <c r="BB1038612" s="38"/>
    </row>
    <row r="1038613" spans="54:54" ht="15.75" customHeight="1" x14ac:dyDescent="0.3">
      <c r="BB1038613" s="38"/>
    </row>
    <row r="1038614" spans="54:54" ht="15.75" customHeight="1" x14ac:dyDescent="0.3">
      <c r="BB1038614" s="38"/>
    </row>
    <row r="1038615" spans="54:54" ht="15.75" customHeight="1" x14ac:dyDescent="0.3">
      <c r="BB1038615" s="38"/>
    </row>
    <row r="1038616" spans="54:54" ht="15.75" customHeight="1" x14ac:dyDescent="0.3">
      <c r="BB1038616" s="38"/>
    </row>
    <row r="1038617" spans="54:54" ht="15.75" customHeight="1" x14ac:dyDescent="0.3">
      <c r="BB1038617" s="38"/>
    </row>
    <row r="1038618" spans="54:54" ht="15.75" customHeight="1" x14ac:dyDescent="0.3">
      <c r="BB1038618" s="38"/>
    </row>
    <row r="1038619" spans="54:54" ht="15.75" customHeight="1" x14ac:dyDescent="0.3">
      <c r="BB1038619" s="38"/>
    </row>
    <row r="1038620" spans="54:54" ht="15.75" customHeight="1" x14ac:dyDescent="0.3">
      <c r="BB1038620" s="38"/>
    </row>
    <row r="1038621" spans="54:54" ht="15.75" customHeight="1" x14ac:dyDescent="0.3">
      <c r="BB1038621" s="38"/>
    </row>
    <row r="1038622" spans="54:54" ht="15.75" customHeight="1" x14ac:dyDescent="0.3">
      <c r="BB1038622" s="38"/>
    </row>
    <row r="1038623" spans="54:54" ht="15.75" customHeight="1" x14ac:dyDescent="0.3">
      <c r="BB1038623" s="38"/>
    </row>
    <row r="1038624" spans="54:54" ht="15.75" customHeight="1" x14ac:dyDescent="0.3">
      <c r="BB1038624" s="38"/>
    </row>
    <row r="1038625" spans="54:54" ht="15.75" customHeight="1" x14ac:dyDescent="0.3">
      <c r="BB1038625" s="38"/>
    </row>
    <row r="1038626" spans="54:54" ht="15.75" customHeight="1" x14ac:dyDescent="0.3">
      <c r="BB1038626" s="38"/>
    </row>
    <row r="1038627" spans="54:54" ht="15.75" customHeight="1" x14ac:dyDescent="0.3">
      <c r="BB1038627" s="38"/>
    </row>
    <row r="1038628" spans="54:54" ht="15.75" customHeight="1" x14ac:dyDescent="0.3">
      <c r="BB1038628" s="38"/>
    </row>
    <row r="1038629" spans="54:54" ht="15.75" customHeight="1" x14ac:dyDescent="0.3">
      <c r="BB1038629" s="38"/>
    </row>
    <row r="1038630" spans="54:54" ht="15.75" customHeight="1" x14ac:dyDescent="0.3">
      <c r="BB1038630" s="38"/>
    </row>
    <row r="1038631" spans="54:54" ht="15.75" customHeight="1" x14ac:dyDescent="0.3">
      <c r="BB1038631" s="38"/>
    </row>
    <row r="1038632" spans="54:54" ht="15.75" customHeight="1" x14ac:dyDescent="0.3">
      <c r="BB1038632" s="38"/>
    </row>
    <row r="1038633" spans="54:54" ht="15.75" customHeight="1" x14ac:dyDescent="0.3">
      <c r="BB1038633" s="38"/>
    </row>
    <row r="1038634" spans="54:54" ht="15.75" customHeight="1" x14ac:dyDescent="0.3">
      <c r="BB1038634" s="38"/>
    </row>
    <row r="1038635" spans="54:54" ht="15.75" customHeight="1" x14ac:dyDescent="0.3">
      <c r="BB1038635" s="38"/>
    </row>
    <row r="1038636" spans="54:54" ht="15.75" customHeight="1" x14ac:dyDescent="0.3">
      <c r="BB1038636" s="38"/>
    </row>
    <row r="1038637" spans="54:54" ht="15.75" customHeight="1" x14ac:dyDescent="0.3">
      <c r="BB1038637" s="38"/>
    </row>
    <row r="1038638" spans="54:54" ht="15.75" customHeight="1" x14ac:dyDescent="0.3">
      <c r="BB1038638" s="38"/>
    </row>
    <row r="1038639" spans="54:54" ht="15.75" customHeight="1" x14ac:dyDescent="0.3">
      <c r="BB1038639" s="38"/>
    </row>
    <row r="1038640" spans="54:54" ht="15.75" customHeight="1" x14ac:dyDescent="0.3">
      <c r="BB1038640" s="38"/>
    </row>
    <row r="1038641" spans="54:54" ht="15.75" customHeight="1" x14ac:dyDescent="0.3">
      <c r="BB1038641" s="38"/>
    </row>
    <row r="1038642" spans="54:54" ht="15.75" customHeight="1" x14ac:dyDescent="0.3">
      <c r="BB1038642" s="38"/>
    </row>
    <row r="1038643" spans="54:54" ht="15.75" customHeight="1" x14ac:dyDescent="0.3">
      <c r="BB1038643" s="38"/>
    </row>
    <row r="1038644" spans="54:54" ht="15.75" customHeight="1" x14ac:dyDescent="0.3">
      <c r="BB1038644" s="38"/>
    </row>
    <row r="1038645" spans="54:54" ht="15.75" customHeight="1" x14ac:dyDescent="0.3">
      <c r="BB1038645" s="38"/>
    </row>
    <row r="1038646" spans="54:54" ht="15.75" customHeight="1" x14ac:dyDescent="0.3">
      <c r="BB1038646" s="38"/>
    </row>
    <row r="1038647" spans="54:54" ht="15.75" customHeight="1" x14ac:dyDescent="0.3">
      <c r="BB1038647" s="38"/>
    </row>
    <row r="1038648" spans="54:54" ht="15.75" customHeight="1" x14ac:dyDescent="0.3">
      <c r="BB1038648" s="38"/>
    </row>
    <row r="1038649" spans="54:54" ht="15.75" customHeight="1" x14ac:dyDescent="0.3">
      <c r="BB1038649" s="38"/>
    </row>
    <row r="1038650" spans="54:54" ht="15.75" customHeight="1" x14ac:dyDescent="0.3">
      <c r="BB1038650" s="38"/>
    </row>
    <row r="1038651" spans="54:54" ht="15.75" customHeight="1" x14ac:dyDescent="0.3">
      <c r="BB1038651" s="38"/>
    </row>
    <row r="1038652" spans="54:54" ht="15.75" customHeight="1" x14ac:dyDescent="0.3">
      <c r="BB1038652" s="38"/>
    </row>
    <row r="1038653" spans="54:54" ht="15.75" customHeight="1" x14ac:dyDescent="0.3">
      <c r="BB1038653" s="38"/>
    </row>
    <row r="1038654" spans="54:54" ht="15.75" customHeight="1" x14ac:dyDescent="0.3">
      <c r="BB1038654" s="38"/>
    </row>
    <row r="1038655" spans="54:54" ht="15.75" customHeight="1" x14ac:dyDescent="0.3">
      <c r="BB1038655" s="38"/>
    </row>
    <row r="1038656" spans="54:54" ht="15.75" customHeight="1" x14ac:dyDescent="0.3">
      <c r="BB1038656" s="38"/>
    </row>
    <row r="1038657" spans="54:54" ht="15.75" customHeight="1" x14ac:dyDescent="0.3">
      <c r="BB1038657" s="38"/>
    </row>
    <row r="1038658" spans="54:54" ht="15.75" customHeight="1" x14ac:dyDescent="0.3">
      <c r="BB1038658" s="38"/>
    </row>
    <row r="1038659" spans="54:54" ht="15.75" customHeight="1" x14ac:dyDescent="0.3">
      <c r="BB1038659" s="38"/>
    </row>
    <row r="1038660" spans="54:54" ht="15.75" customHeight="1" x14ac:dyDescent="0.3">
      <c r="BB1038660" s="38"/>
    </row>
    <row r="1038661" spans="54:54" ht="15.75" customHeight="1" x14ac:dyDescent="0.3">
      <c r="BB1038661" s="38"/>
    </row>
    <row r="1038662" spans="54:54" ht="15.75" customHeight="1" x14ac:dyDescent="0.3">
      <c r="BB1038662" s="38"/>
    </row>
    <row r="1038663" spans="54:54" ht="15.75" customHeight="1" x14ac:dyDescent="0.3">
      <c r="BB1038663" s="38"/>
    </row>
    <row r="1038664" spans="54:54" ht="15.75" customHeight="1" x14ac:dyDescent="0.3">
      <c r="BB1038664" s="38"/>
    </row>
    <row r="1038665" spans="54:54" ht="15.75" customHeight="1" x14ac:dyDescent="0.3">
      <c r="BB1038665" s="38"/>
    </row>
    <row r="1038666" spans="54:54" ht="15.75" customHeight="1" x14ac:dyDescent="0.3">
      <c r="BB1038666" s="38"/>
    </row>
    <row r="1038667" spans="54:54" ht="15.75" customHeight="1" x14ac:dyDescent="0.3">
      <c r="BB1038667" s="38"/>
    </row>
    <row r="1038668" spans="54:54" ht="15.75" customHeight="1" x14ac:dyDescent="0.3">
      <c r="BB1038668" s="38"/>
    </row>
    <row r="1038669" spans="54:54" ht="15.75" customHeight="1" x14ac:dyDescent="0.3">
      <c r="BB1038669" s="38"/>
    </row>
    <row r="1038670" spans="54:54" ht="15.75" customHeight="1" x14ac:dyDescent="0.3">
      <c r="BB1038670" s="38"/>
    </row>
    <row r="1038671" spans="54:54" ht="15.75" customHeight="1" x14ac:dyDescent="0.3">
      <c r="BB1038671" s="38"/>
    </row>
    <row r="1038672" spans="54:54" ht="15.75" customHeight="1" x14ac:dyDescent="0.3">
      <c r="BB1038672" s="38"/>
    </row>
    <row r="1038673" spans="54:54" ht="15.75" customHeight="1" x14ac:dyDescent="0.3">
      <c r="BB1038673" s="38"/>
    </row>
    <row r="1038674" spans="54:54" ht="15.75" customHeight="1" x14ac:dyDescent="0.3">
      <c r="BB1038674" s="38"/>
    </row>
    <row r="1038675" spans="54:54" ht="15.75" customHeight="1" x14ac:dyDescent="0.3">
      <c r="BB1038675" s="38"/>
    </row>
    <row r="1038676" spans="54:54" ht="15.75" customHeight="1" x14ac:dyDescent="0.3">
      <c r="BB1038676" s="38"/>
    </row>
    <row r="1038677" spans="54:54" ht="15.75" customHeight="1" x14ac:dyDescent="0.3">
      <c r="BB1038677" s="38"/>
    </row>
    <row r="1038678" spans="54:54" ht="15.75" customHeight="1" x14ac:dyDescent="0.3">
      <c r="BB1038678" s="38"/>
    </row>
    <row r="1038679" spans="54:54" ht="15.75" customHeight="1" x14ac:dyDescent="0.3">
      <c r="BB1038679" s="38"/>
    </row>
    <row r="1038680" spans="54:54" ht="15.75" customHeight="1" x14ac:dyDescent="0.3">
      <c r="BB1038680" s="38"/>
    </row>
    <row r="1038681" spans="54:54" ht="15.75" customHeight="1" x14ac:dyDescent="0.3">
      <c r="BB1038681" s="38"/>
    </row>
    <row r="1038682" spans="54:54" ht="15.75" customHeight="1" x14ac:dyDescent="0.3">
      <c r="BB1038682" s="38"/>
    </row>
    <row r="1038683" spans="54:54" ht="15.75" customHeight="1" x14ac:dyDescent="0.3">
      <c r="BB1038683" s="38"/>
    </row>
    <row r="1038684" spans="54:54" ht="15.75" customHeight="1" x14ac:dyDescent="0.3">
      <c r="BB1038684" s="38"/>
    </row>
    <row r="1038685" spans="54:54" ht="15.75" customHeight="1" x14ac:dyDescent="0.3">
      <c r="BB1038685" s="38"/>
    </row>
    <row r="1038686" spans="54:54" ht="15.75" customHeight="1" x14ac:dyDescent="0.3">
      <c r="BB1038686" s="38"/>
    </row>
    <row r="1038687" spans="54:54" ht="15.75" customHeight="1" x14ac:dyDescent="0.3">
      <c r="BB1038687" s="38"/>
    </row>
    <row r="1038688" spans="54:54" ht="15.75" customHeight="1" x14ac:dyDescent="0.3">
      <c r="BB1038688" s="38"/>
    </row>
    <row r="1038689" spans="54:54" ht="15.75" customHeight="1" x14ac:dyDescent="0.3">
      <c r="BB1038689" s="38"/>
    </row>
    <row r="1038690" spans="54:54" ht="15.75" customHeight="1" x14ac:dyDescent="0.3">
      <c r="BB1038690" s="38"/>
    </row>
    <row r="1038691" spans="54:54" ht="15.75" customHeight="1" x14ac:dyDescent="0.3">
      <c r="BB1038691" s="38"/>
    </row>
    <row r="1038692" spans="54:54" ht="15.75" customHeight="1" x14ac:dyDescent="0.3">
      <c r="BB1038692" s="38"/>
    </row>
    <row r="1038693" spans="54:54" ht="15.75" customHeight="1" x14ac:dyDescent="0.3">
      <c r="BB1038693" s="38"/>
    </row>
    <row r="1038694" spans="54:54" ht="15.75" customHeight="1" x14ac:dyDescent="0.3">
      <c r="BB1038694" s="38"/>
    </row>
    <row r="1038695" spans="54:54" ht="15.75" customHeight="1" x14ac:dyDescent="0.3">
      <c r="BB1038695" s="38"/>
    </row>
    <row r="1038696" spans="54:54" ht="15.75" customHeight="1" x14ac:dyDescent="0.3">
      <c r="BB1038696" s="38"/>
    </row>
    <row r="1038697" spans="54:54" ht="15.75" customHeight="1" x14ac:dyDescent="0.3">
      <c r="BB1038697" s="38"/>
    </row>
    <row r="1038698" spans="54:54" ht="15.75" customHeight="1" x14ac:dyDescent="0.3">
      <c r="BB1038698" s="38"/>
    </row>
    <row r="1038699" spans="54:54" ht="15.75" customHeight="1" x14ac:dyDescent="0.3">
      <c r="BB1038699" s="38"/>
    </row>
    <row r="1038700" spans="54:54" ht="15.75" customHeight="1" x14ac:dyDescent="0.3">
      <c r="BB1038700" s="38"/>
    </row>
    <row r="1038701" spans="54:54" ht="15.75" customHeight="1" x14ac:dyDescent="0.3">
      <c r="BB1038701" s="38"/>
    </row>
    <row r="1038702" spans="54:54" ht="15.75" customHeight="1" x14ac:dyDescent="0.3">
      <c r="BB1038702" s="38"/>
    </row>
    <row r="1038703" spans="54:54" ht="15.75" customHeight="1" x14ac:dyDescent="0.3">
      <c r="BB1038703" s="38"/>
    </row>
    <row r="1038704" spans="54:54" ht="15.75" customHeight="1" x14ac:dyDescent="0.3">
      <c r="BB1038704" s="38"/>
    </row>
    <row r="1038705" spans="54:54" ht="15.75" customHeight="1" x14ac:dyDescent="0.3">
      <c r="BB1038705" s="38"/>
    </row>
    <row r="1038706" spans="54:54" ht="15.75" customHeight="1" x14ac:dyDescent="0.3">
      <c r="BB1038706" s="38"/>
    </row>
    <row r="1038707" spans="54:54" ht="15.75" customHeight="1" x14ac:dyDescent="0.3">
      <c r="BB1038707" s="38"/>
    </row>
    <row r="1038708" spans="54:54" ht="15.75" customHeight="1" x14ac:dyDescent="0.3">
      <c r="BB1038708" s="38"/>
    </row>
    <row r="1038709" spans="54:54" ht="15.75" customHeight="1" x14ac:dyDescent="0.3">
      <c r="BB1038709" s="38"/>
    </row>
    <row r="1038710" spans="54:54" ht="15.75" customHeight="1" x14ac:dyDescent="0.3">
      <c r="BB1038710" s="38"/>
    </row>
    <row r="1038711" spans="54:54" ht="15.75" customHeight="1" x14ac:dyDescent="0.3">
      <c r="BB1038711" s="38"/>
    </row>
    <row r="1038712" spans="54:54" ht="15.75" customHeight="1" x14ac:dyDescent="0.3">
      <c r="BB1038712" s="38"/>
    </row>
    <row r="1038713" spans="54:54" ht="15.75" customHeight="1" x14ac:dyDescent="0.3">
      <c r="BB1038713" s="38"/>
    </row>
    <row r="1038714" spans="54:54" ht="15.75" customHeight="1" x14ac:dyDescent="0.3">
      <c r="BB1038714" s="38"/>
    </row>
    <row r="1038715" spans="54:54" ht="15.75" customHeight="1" x14ac:dyDescent="0.3">
      <c r="BB1038715" s="38"/>
    </row>
    <row r="1038716" spans="54:54" ht="15.75" customHeight="1" x14ac:dyDescent="0.3">
      <c r="BB1038716" s="38"/>
    </row>
    <row r="1038717" spans="54:54" ht="15.75" customHeight="1" x14ac:dyDescent="0.3">
      <c r="BB1038717" s="38"/>
    </row>
    <row r="1038718" spans="54:54" ht="15.75" customHeight="1" x14ac:dyDescent="0.3">
      <c r="BB1038718" s="38"/>
    </row>
    <row r="1038719" spans="54:54" ht="15.75" customHeight="1" x14ac:dyDescent="0.3">
      <c r="BB1038719" s="38"/>
    </row>
    <row r="1038720" spans="54:54" ht="15.75" customHeight="1" x14ac:dyDescent="0.3">
      <c r="BB1038720" s="38"/>
    </row>
    <row r="1038721" spans="54:54" ht="15.75" customHeight="1" x14ac:dyDescent="0.3">
      <c r="BB1038721" s="38"/>
    </row>
    <row r="1038722" spans="54:54" ht="15.75" customHeight="1" x14ac:dyDescent="0.3">
      <c r="BB1038722" s="38"/>
    </row>
    <row r="1038723" spans="54:54" ht="15.75" customHeight="1" x14ac:dyDescent="0.3">
      <c r="BB1038723" s="38"/>
    </row>
    <row r="1038724" spans="54:54" ht="15.75" customHeight="1" x14ac:dyDescent="0.3">
      <c r="BB1038724" s="38"/>
    </row>
    <row r="1038725" spans="54:54" ht="15.75" customHeight="1" x14ac:dyDescent="0.3">
      <c r="BB1038725" s="38"/>
    </row>
    <row r="1038726" spans="54:54" ht="15.75" customHeight="1" x14ac:dyDescent="0.3">
      <c r="BB1038726" s="38"/>
    </row>
    <row r="1038727" spans="54:54" ht="15.75" customHeight="1" x14ac:dyDescent="0.3">
      <c r="BB1038727" s="38"/>
    </row>
    <row r="1038728" spans="54:54" ht="15.75" customHeight="1" x14ac:dyDescent="0.3">
      <c r="BB1038728" s="38"/>
    </row>
    <row r="1038729" spans="54:54" ht="15.75" customHeight="1" x14ac:dyDescent="0.3">
      <c r="BB1038729" s="38"/>
    </row>
    <row r="1038730" spans="54:54" ht="15.75" customHeight="1" x14ac:dyDescent="0.3">
      <c r="BB1038730" s="38"/>
    </row>
    <row r="1038731" spans="54:54" ht="15.75" customHeight="1" x14ac:dyDescent="0.3">
      <c r="BB1038731" s="38"/>
    </row>
    <row r="1038732" spans="54:54" ht="15.75" customHeight="1" x14ac:dyDescent="0.3">
      <c r="BB1038732" s="38"/>
    </row>
    <row r="1038733" spans="54:54" ht="15.75" customHeight="1" x14ac:dyDescent="0.3">
      <c r="BB1038733" s="38"/>
    </row>
    <row r="1038734" spans="54:54" ht="15.75" customHeight="1" x14ac:dyDescent="0.3">
      <c r="BB1038734" s="38"/>
    </row>
    <row r="1038735" spans="54:54" ht="15.75" customHeight="1" x14ac:dyDescent="0.3">
      <c r="BB1038735" s="38"/>
    </row>
    <row r="1038736" spans="54:54" ht="15.75" customHeight="1" x14ac:dyDescent="0.3">
      <c r="BB1038736" s="38"/>
    </row>
    <row r="1038737" spans="54:54" ht="15.75" customHeight="1" x14ac:dyDescent="0.3">
      <c r="BB1038737" s="38"/>
    </row>
    <row r="1038738" spans="54:54" ht="15.75" customHeight="1" x14ac:dyDescent="0.3">
      <c r="BB1038738" s="38"/>
    </row>
    <row r="1038739" spans="54:54" ht="15.75" customHeight="1" x14ac:dyDescent="0.3">
      <c r="BB1038739" s="38"/>
    </row>
    <row r="1038740" spans="54:54" ht="15.75" customHeight="1" x14ac:dyDescent="0.3">
      <c r="BB1038740" s="38"/>
    </row>
    <row r="1038741" spans="54:54" ht="15.75" customHeight="1" x14ac:dyDescent="0.3">
      <c r="BB1038741" s="38"/>
    </row>
    <row r="1038742" spans="54:54" ht="15.75" customHeight="1" x14ac:dyDescent="0.3">
      <c r="BB1038742" s="38"/>
    </row>
    <row r="1038743" spans="54:54" ht="15.75" customHeight="1" x14ac:dyDescent="0.3">
      <c r="BB1038743" s="38"/>
    </row>
    <row r="1038744" spans="54:54" ht="15.75" customHeight="1" x14ac:dyDescent="0.3">
      <c r="BB1038744" s="38"/>
    </row>
    <row r="1038745" spans="54:54" ht="15.75" customHeight="1" x14ac:dyDescent="0.3">
      <c r="BB1038745" s="38"/>
    </row>
    <row r="1038746" spans="54:54" ht="15.75" customHeight="1" x14ac:dyDescent="0.3">
      <c r="BB1038746" s="38"/>
    </row>
    <row r="1038747" spans="54:54" ht="15.75" customHeight="1" x14ac:dyDescent="0.3">
      <c r="BB1038747" s="38"/>
    </row>
    <row r="1038748" spans="54:54" ht="15.75" customHeight="1" x14ac:dyDescent="0.3">
      <c r="BB1038748" s="38"/>
    </row>
    <row r="1038749" spans="54:54" ht="15.75" customHeight="1" x14ac:dyDescent="0.3">
      <c r="BB1038749" s="38"/>
    </row>
    <row r="1038750" spans="54:54" ht="15.75" customHeight="1" x14ac:dyDescent="0.3">
      <c r="BB1038750" s="38"/>
    </row>
    <row r="1038751" spans="54:54" ht="15.75" customHeight="1" x14ac:dyDescent="0.3">
      <c r="BB1038751" s="38"/>
    </row>
    <row r="1038752" spans="54:54" ht="15.75" customHeight="1" x14ac:dyDescent="0.3">
      <c r="BB1038752" s="38"/>
    </row>
    <row r="1038753" spans="54:54" ht="15.75" customHeight="1" x14ac:dyDescent="0.3">
      <c r="BB1038753" s="38"/>
    </row>
    <row r="1038754" spans="54:54" ht="15.75" customHeight="1" x14ac:dyDescent="0.3">
      <c r="BB1038754" s="38"/>
    </row>
    <row r="1038755" spans="54:54" ht="15.75" customHeight="1" x14ac:dyDescent="0.3">
      <c r="BB1038755" s="38"/>
    </row>
    <row r="1038756" spans="54:54" ht="15.75" customHeight="1" x14ac:dyDescent="0.3">
      <c r="BB1038756" s="38"/>
    </row>
    <row r="1038757" spans="54:54" ht="15.75" customHeight="1" x14ac:dyDescent="0.3">
      <c r="BB1038757" s="38"/>
    </row>
    <row r="1038758" spans="54:54" ht="15.75" customHeight="1" x14ac:dyDescent="0.3">
      <c r="BB1038758" s="38"/>
    </row>
    <row r="1038759" spans="54:54" ht="15.75" customHeight="1" x14ac:dyDescent="0.3">
      <c r="BB1038759" s="38"/>
    </row>
    <row r="1038760" spans="54:54" ht="15.75" customHeight="1" x14ac:dyDescent="0.3">
      <c r="BB1038760" s="38"/>
    </row>
    <row r="1038761" spans="54:54" ht="15.75" customHeight="1" x14ac:dyDescent="0.3">
      <c r="BB1038761" s="38"/>
    </row>
    <row r="1038762" spans="54:54" ht="15.75" customHeight="1" x14ac:dyDescent="0.3">
      <c r="BB1038762" s="38"/>
    </row>
    <row r="1038763" spans="54:54" ht="15.75" customHeight="1" x14ac:dyDescent="0.3">
      <c r="BB1038763" s="38"/>
    </row>
    <row r="1038764" spans="54:54" ht="15.75" customHeight="1" x14ac:dyDescent="0.3">
      <c r="BB1038764" s="38"/>
    </row>
    <row r="1038765" spans="54:54" ht="15.75" customHeight="1" x14ac:dyDescent="0.3">
      <c r="BB1038765" s="38"/>
    </row>
    <row r="1038766" spans="54:54" ht="15.75" customHeight="1" x14ac:dyDescent="0.3">
      <c r="BB1038766" s="38"/>
    </row>
    <row r="1038767" spans="54:54" ht="15.75" customHeight="1" x14ac:dyDescent="0.3">
      <c r="BB1038767" s="38"/>
    </row>
    <row r="1038768" spans="54:54" ht="15.75" customHeight="1" x14ac:dyDescent="0.3">
      <c r="BB1038768" s="38"/>
    </row>
    <row r="1038769" spans="54:54" ht="15.75" customHeight="1" x14ac:dyDescent="0.3">
      <c r="BB1038769" s="38"/>
    </row>
    <row r="1038770" spans="54:54" ht="15.75" customHeight="1" x14ac:dyDescent="0.3">
      <c r="BB1038770" s="38"/>
    </row>
    <row r="1038771" spans="54:54" ht="15.75" customHeight="1" x14ac:dyDescent="0.3">
      <c r="BB1038771" s="38"/>
    </row>
    <row r="1038772" spans="54:54" ht="15.75" customHeight="1" x14ac:dyDescent="0.3">
      <c r="BB1038772" s="38"/>
    </row>
    <row r="1038773" spans="54:54" ht="15.75" customHeight="1" x14ac:dyDescent="0.3">
      <c r="BB1038773" s="38"/>
    </row>
    <row r="1038774" spans="54:54" ht="15.75" customHeight="1" x14ac:dyDescent="0.3">
      <c r="BB1038774" s="38"/>
    </row>
    <row r="1038775" spans="54:54" ht="15.75" customHeight="1" x14ac:dyDescent="0.3">
      <c r="BB1038775" s="38"/>
    </row>
    <row r="1038776" spans="54:54" ht="15.75" customHeight="1" x14ac:dyDescent="0.3">
      <c r="BB1038776" s="38"/>
    </row>
    <row r="1038777" spans="54:54" ht="15.75" customHeight="1" x14ac:dyDescent="0.3">
      <c r="BB1038777" s="38"/>
    </row>
    <row r="1038778" spans="54:54" ht="15.75" customHeight="1" x14ac:dyDescent="0.3">
      <c r="BB1038778" s="38"/>
    </row>
    <row r="1038779" spans="54:54" ht="15.75" customHeight="1" x14ac:dyDescent="0.3">
      <c r="BB1038779" s="38"/>
    </row>
    <row r="1038780" spans="54:54" ht="15.75" customHeight="1" x14ac:dyDescent="0.3">
      <c r="BB1038780" s="38"/>
    </row>
    <row r="1038781" spans="54:54" ht="15.75" customHeight="1" x14ac:dyDescent="0.3">
      <c r="BB1038781" s="38"/>
    </row>
    <row r="1038782" spans="54:54" ht="15.75" customHeight="1" x14ac:dyDescent="0.3">
      <c r="BB1038782" s="38"/>
    </row>
    <row r="1038783" spans="54:54" ht="15.75" customHeight="1" x14ac:dyDescent="0.3">
      <c r="BB1038783" s="38"/>
    </row>
    <row r="1038784" spans="54:54" ht="15.75" customHeight="1" x14ac:dyDescent="0.3">
      <c r="BB1038784" s="38"/>
    </row>
    <row r="1038785" spans="54:54" ht="15.75" customHeight="1" x14ac:dyDescent="0.3">
      <c r="BB1038785" s="38"/>
    </row>
    <row r="1038786" spans="54:54" ht="15.75" customHeight="1" x14ac:dyDescent="0.3">
      <c r="BB1038786" s="38"/>
    </row>
    <row r="1038787" spans="54:54" ht="15.75" customHeight="1" x14ac:dyDescent="0.3">
      <c r="BB1038787" s="38"/>
    </row>
    <row r="1038788" spans="54:54" ht="15.75" customHeight="1" x14ac:dyDescent="0.3">
      <c r="BB1038788" s="38"/>
    </row>
    <row r="1038789" spans="54:54" ht="15.75" customHeight="1" x14ac:dyDescent="0.3">
      <c r="BB1038789" s="38"/>
    </row>
    <row r="1038790" spans="54:54" ht="15.75" customHeight="1" x14ac:dyDescent="0.3">
      <c r="BB1038790" s="38"/>
    </row>
    <row r="1038791" spans="54:54" ht="15.75" customHeight="1" x14ac:dyDescent="0.3">
      <c r="BB1038791" s="38"/>
    </row>
    <row r="1038792" spans="54:54" ht="15.75" customHeight="1" x14ac:dyDescent="0.3">
      <c r="BB1038792" s="38"/>
    </row>
    <row r="1038793" spans="54:54" ht="15.75" customHeight="1" x14ac:dyDescent="0.3">
      <c r="BB1038793" s="38"/>
    </row>
    <row r="1038794" spans="54:54" ht="15.75" customHeight="1" x14ac:dyDescent="0.3">
      <c r="BB1038794" s="38"/>
    </row>
    <row r="1038795" spans="54:54" ht="15.75" customHeight="1" x14ac:dyDescent="0.3">
      <c r="BB1038795" s="38"/>
    </row>
    <row r="1038796" spans="54:54" ht="15.75" customHeight="1" x14ac:dyDescent="0.3">
      <c r="BB1038796" s="38"/>
    </row>
    <row r="1038797" spans="54:54" ht="15.75" customHeight="1" x14ac:dyDescent="0.3">
      <c r="BB1038797" s="38"/>
    </row>
    <row r="1038798" spans="54:54" ht="15.75" customHeight="1" x14ac:dyDescent="0.3">
      <c r="BB1038798" s="38"/>
    </row>
    <row r="1038799" spans="54:54" ht="15.75" customHeight="1" x14ac:dyDescent="0.3">
      <c r="BB1038799" s="38"/>
    </row>
    <row r="1038800" spans="54:54" ht="15.75" customHeight="1" x14ac:dyDescent="0.3">
      <c r="BB1038800" s="38"/>
    </row>
    <row r="1038801" spans="54:54" ht="15.75" customHeight="1" x14ac:dyDescent="0.3">
      <c r="BB1038801" s="38"/>
    </row>
    <row r="1038802" spans="54:54" ht="15.75" customHeight="1" x14ac:dyDescent="0.3">
      <c r="BB1038802" s="38"/>
    </row>
    <row r="1038803" spans="54:54" ht="15.75" customHeight="1" x14ac:dyDescent="0.3">
      <c r="BB1038803" s="38"/>
    </row>
    <row r="1038804" spans="54:54" ht="15.75" customHeight="1" x14ac:dyDescent="0.3">
      <c r="BB1038804" s="38"/>
    </row>
    <row r="1038805" spans="54:54" ht="15.75" customHeight="1" x14ac:dyDescent="0.3">
      <c r="BB1038805" s="38"/>
    </row>
    <row r="1038806" spans="54:54" ht="15.75" customHeight="1" x14ac:dyDescent="0.3">
      <c r="BB1038806" s="38"/>
    </row>
    <row r="1038807" spans="54:54" ht="15.75" customHeight="1" x14ac:dyDescent="0.3">
      <c r="BB1038807" s="38"/>
    </row>
    <row r="1038808" spans="54:54" ht="15.75" customHeight="1" x14ac:dyDescent="0.3">
      <c r="BB1038808" s="38"/>
    </row>
    <row r="1038809" spans="54:54" ht="15.75" customHeight="1" x14ac:dyDescent="0.3">
      <c r="BB1038809" s="38"/>
    </row>
    <row r="1038810" spans="54:54" ht="15.75" customHeight="1" x14ac:dyDescent="0.3">
      <c r="BB1038810" s="38"/>
    </row>
    <row r="1038811" spans="54:54" ht="15.75" customHeight="1" x14ac:dyDescent="0.3">
      <c r="BB1038811" s="38"/>
    </row>
    <row r="1038812" spans="54:54" ht="15.75" customHeight="1" x14ac:dyDescent="0.3">
      <c r="BB1038812" s="38"/>
    </row>
    <row r="1038813" spans="54:54" ht="15.75" customHeight="1" x14ac:dyDescent="0.3">
      <c r="BB1038813" s="38"/>
    </row>
    <row r="1038814" spans="54:54" ht="15.75" customHeight="1" x14ac:dyDescent="0.3">
      <c r="BB1038814" s="38"/>
    </row>
    <row r="1038815" spans="54:54" ht="15.75" customHeight="1" x14ac:dyDescent="0.3">
      <c r="BB1038815" s="38"/>
    </row>
    <row r="1038816" spans="54:54" ht="15.75" customHeight="1" x14ac:dyDescent="0.3">
      <c r="BB1038816" s="38"/>
    </row>
    <row r="1038817" spans="54:54" ht="15.75" customHeight="1" x14ac:dyDescent="0.3">
      <c r="BB1038817" s="38"/>
    </row>
    <row r="1038818" spans="54:54" ht="15.75" customHeight="1" x14ac:dyDescent="0.3">
      <c r="BB1038818" s="38"/>
    </row>
    <row r="1038819" spans="54:54" ht="15.75" customHeight="1" x14ac:dyDescent="0.3">
      <c r="BB1038819" s="38"/>
    </row>
    <row r="1038820" spans="54:54" ht="15.75" customHeight="1" x14ac:dyDescent="0.3">
      <c r="BB1038820" s="38"/>
    </row>
    <row r="1038821" spans="54:54" ht="15.75" customHeight="1" x14ac:dyDescent="0.3">
      <c r="BB1038821" s="38"/>
    </row>
    <row r="1038822" spans="54:54" ht="15.75" customHeight="1" x14ac:dyDescent="0.3">
      <c r="BB1038822" s="38"/>
    </row>
    <row r="1038823" spans="54:54" ht="15.75" customHeight="1" x14ac:dyDescent="0.3">
      <c r="BB1038823" s="38"/>
    </row>
    <row r="1038824" spans="54:54" ht="15.75" customHeight="1" x14ac:dyDescent="0.3">
      <c r="BB1038824" s="38"/>
    </row>
    <row r="1038825" spans="54:54" ht="15.75" customHeight="1" x14ac:dyDescent="0.3">
      <c r="BB1038825" s="38"/>
    </row>
    <row r="1038826" spans="54:54" ht="15.75" customHeight="1" x14ac:dyDescent="0.3">
      <c r="BB1038826" s="38"/>
    </row>
    <row r="1038827" spans="54:54" ht="15.75" customHeight="1" x14ac:dyDescent="0.3">
      <c r="BB1038827" s="38"/>
    </row>
    <row r="1038828" spans="54:54" ht="15.75" customHeight="1" x14ac:dyDescent="0.3">
      <c r="BB1038828" s="38"/>
    </row>
    <row r="1038829" spans="54:54" ht="15.75" customHeight="1" x14ac:dyDescent="0.3">
      <c r="BB1038829" s="38"/>
    </row>
    <row r="1038830" spans="54:54" ht="15.75" customHeight="1" x14ac:dyDescent="0.3">
      <c r="BB1038830" s="38"/>
    </row>
    <row r="1038831" spans="54:54" ht="15.75" customHeight="1" x14ac:dyDescent="0.3">
      <c r="BB1038831" s="38"/>
    </row>
    <row r="1038832" spans="54:54" ht="15.75" customHeight="1" x14ac:dyDescent="0.3">
      <c r="BB1038832" s="38"/>
    </row>
    <row r="1038833" spans="54:54" ht="15.75" customHeight="1" x14ac:dyDescent="0.3">
      <c r="BB1038833" s="38"/>
    </row>
    <row r="1038834" spans="54:54" ht="15.75" customHeight="1" x14ac:dyDescent="0.3">
      <c r="BB1038834" s="38"/>
    </row>
    <row r="1038835" spans="54:54" ht="15.75" customHeight="1" x14ac:dyDescent="0.3">
      <c r="BB1038835" s="38"/>
    </row>
    <row r="1038836" spans="54:54" ht="15.75" customHeight="1" x14ac:dyDescent="0.3">
      <c r="BB1038836" s="38"/>
    </row>
    <row r="1038837" spans="54:54" ht="15.75" customHeight="1" x14ac:dyDescent="0.3">
      <c r="BB1038837" s="38"/>
    </row>
    <row r="1038838" spans="54:54" ht="15.75" customHeight="1" x14ac:dyDescent="0.3">
      <c r="BB1038838" s="38"/>
    </row>
    <row r="1038839" spans="54:54" ht="15.75" customHeight="1" x14ac:dyDescent="0.3">
      <c r="BB1038839" s="38"/>
    </row>
    <row r="1038840" spans="54:54" ht="15.75" customHeight="1" x14ac:dyDescent="0.3">
      <c r="BB1038840" s="38"/>
    </row>
    <row r="1038841" spans="54:54" ht="15.75" customHeight="1" x14ac:dyDescent="0.3">
      <c r="BB1038841" s="38"/>
    </row>
    <row r="1038842" spans="54:54" ht="15.75" customHeight="1" x14ac:dyDescent="0.3">
      <c r="BB1038842" s="38"/>
    </row>
    <row r="1038843" spans="54:54" ht="15.75" customHeight="1" x14ac:dyDescent="0.3">
      <c r="BB1038843" s="38"/>
    </row>
    <row r="1038844" spans="54:54" ht="15.75" customHeight="1" x14ac:dyDescent="0.3">
      <c r="BB1038844" s="38"/>
    </row>
    <row r="1038845" spans="54:54" ht="15.75" customHeight="1" x14ac:dyDescent="0.3">
      <c r="BB1038845" s="38"/>
    </row>
    <row r="1038846" spans="54:54" ht="15.75" customHeight="1" x14ac:dyDescent="0.3">
      <c r="BB1038846" s="38"/>
    </row>
    <row r="1038847" spans="54:54" ht="15.75" customHeight="1" x14ac:dyDescent="0.3">
      <c r="BB1038847" s="38"/>
    </row>
    <row r="1038848" spans="54:54" ht="15.75" customHeight="1" x14ac:dyDescent="0.3">
      <c r="BB1038848" s="38"/>
    </row>
    <row r="1038849" spans="54:54" ht="15.75" customHeight="1" x14ac:dyDescent="0.3">
      <c r="BB1038849" s="38"/>
    </row>
    <row r="1038850" spans="54:54" ht="15.75" customHeight="1" x14ac:dyDescent="0.3">
      <c r="BB1038850" s="38"/>
    </row>
    <row r="1038851" spans="54:54" ht="15.75" customHeight="1" x14ac:dyDescent="0.3">
      <c r="BB1038851" s="38"/>
    </row>
    <row r="1038852" spans="54:54" ht="15.75" customHeight="1" x14ac:dyDescent="0.3">
      <c r="BB1038852" s="38"/>
    </row>
    <row r="1038853" spans="54:54" ht="15.75" customHeight="1" x14ac:dyDescent="0.3">
      <c r="BB1038853" s="38"/>
    </row>
    <row r="1038854" spans="54:54" ht="15.75" customHeight="1" x14ac:dyDescent="0.3">
      <c r="BB1038854" s="38"/>
    </row>
    <row r="1038855" spans="54:54" ht="15.75" customHeight="1" x14ac:dyDescent="0.3">
      <c r="BB1038855" s="38"/>
    </row>
    <row r="1038856" spans="54:54" ht="15.75" customHeight="1" x14ac:dyDescent="0.3">
      <c r="BB1038856" s="38"/>
    </row>
    <row r="1038857" spans="54:54" ht="15.75" customHeight="1" x14ac:dyDescent="0.3">
      <c r="BB1038857" s="38"/>
    </row>
    <row r="1038858" spans="54:54" ht="15.75" customHeight="1" x14ac:dyDescent="0.3">
      <c r="BB1038858" s="38"/>
    </row>
    <row r="1038859" spans="54:54" ht="15.75" customHeight="1" x14ac:dyDescent="0.3">
      <c r="BB1038859" s="38"/>
    </row>
    <row r="1038860" spans="54:54" ht="15.75" customHeight="1" x14ac:dyDescent="0.3">
      <c r="BB1038860" s="38"/>
    </row>
    <row r="1038861" spans="54:54" ht="15.75" customHeight="1" x14ac:dyDescent="0.3">
      <c r="BB1038861" s="38"/>
    </row>
    <row r="1038862" spans="54:54" ht="15.75" customHeight="1" x14ac:dyDescent="0.3">
      <c r="BB1038862" s="38"/>
    </row>
    <row r="1038863" spans="54:54" ht="15.75" customHeight="1" x14ac:dyDescent="0.3">
      <c r="BB1038863" s="38"/>
    </row>
    <row r="1038864" spans="54:54" ht="15.75" customHeight="1" x14ac:dyDescent="0.3">
      <c r="BB1038864" s="38"/>
    </row>
    <row r="1038865" spans="54:54" ht="15.75" customHeight="1" x14ac:dyDescent="0.3">
      <c r="BB1038865" s="38"/>
    </row>
    <row r="1038866" spans="54:54" ht="15.75" customHeight="1" x14ac:dyDescent="0.3">
      <c r="BB1038866" s="38"/>
    </row>
    <row r="1038867" spans="54:54" ht="15.75" customHeight="1" x14ac:dyDescent="0.3">
      <c r="BB1038867" s="38"/>
    </row>
    <row r="1038868" spans="54:54" ht="15.75" customHeight="1" x14ac:dyDescent="0.3">
      <c r="BB1038868" s="38"/>
    </row>
    <row r="1038869" spans="54:54" ht="15.75" customHeight="1" x14ac:dyDescent="0.3">
      <c r="BB1038869" s="38"/>
    </row>
    <row r="1038870" spans="54:54" ht="15.75" customHeight="1" x14ac:dyDescent="0.3">
      <c r="BB1038870" s="38"/>
    </row>
    <row r="1038871" spans="54:54" ht="15.75" customHeight="1" x14ac:dyDescent="0.3">
      <c r="BB1038871" s="38"/>
    </row>
    <row r="1038872" spans="54:54" ht="15.75" customHeight="1" x14ac:dyDescent="0.3">
      <c r="BB1038872" s="38"/>
    </row>
    <row r="1038873" spans="54:54" ht="15.75" customHeight="1" x14ac:dyDescent="0.3">
      <c r="BB1038873" s="38"/>
    </row>
    <row r="1038874" spans="54:54" ht="15.75" customHeight="1" x14ac:dyDescent="0.3">
      <c r="BB1038874" s="38"/>
    </row>
    <row r="1038875" spans="54:54" ht="15.75" customHeight="1" x14ac:dyDescent="0.3">
      <c r="BB1038875" s="38"/>
    </row>
    <row r="1038876" spans="54:54" ht="15.75" customHeight="1" x14ac:dyDescent="0.3">
      <c r="BB1038876" s="38"/>
    </row>
    <row r="1038877" spans="54:54" ht="15.75" customHeight="1" x14ac:dyDescent="0.3">
      <c r="BB1038877" s="38"/>
    </row>
    <row r="1038878" spans="54:54" ht="15.75" customHeight="1" x14ac:dyDescent="0.3">
      <c r="BB1038878" s="38"/>
    </row>
    <row r="1038879" spans="54:54" ht="15.75" customHeight="1" x14ac:dyDescent="0.3">
      <c r="BB1038879" s="38"/>
    </row>
    <row r="1038880" spans="54:54" ht="15.75" customHeight="1" x14ac:dyDescent="0.3">
      <c r="BB1038880" s="38"/>
    </row>
    <row r="1038881" spans="54:54" ht="15.75" customHeight="1" x14ac:dyDescent="0.3">
      <c r="BB1038881" s="38"/>
    </row>
    <row r="1038882" spans="54:54" ht="15.75" customHeight="1" x14ac:dyDescent="0.3">
      <c r="BB1038882" s="38"/>
    </row>
    <row r="1038883" spans="54:54" ht="15.75" customHeight="1" x14ac:dyDescent="0.3">
      <c r="BB1038883" s="38"/>
    </row>
    <row r="1038884" spans="54:54" ht="15.75" customHeight="1" x14ac:dyDescent="0.3">
      <c r="BB1038884" s="38"/>
    </row>
    <row r="1038885" spans="54:54" ht="15.75" customHeight="1" x14ac:dyDescent="0.3">
      <c r="BB1038885" s="38"/>
    </row>
    <row r="1038886" spans="54:54" ht="15.75" customHeight="1" x14ac:dyDescent="0.3">
      <c r="BB1038886" s="38"/>
    </row>
    <row r="1038887" spans="54:54" ht="15.75" customHeight="1" x14ac:dyDescent="0.3">
      <c r="BB1038887" s="38"/>
    </row>
    <row r="1038888" spans="54:54" ht="15.75" customHeight="1" x14ac:dyDescent="0.3">
      <c r="BB1038888" s="38"/>
    </row>
    <row r="1038889" spans="54:54" ht="15.75" customHeight="1" x14ac:dyDescent="0.3">
      <c r="BB1038889" s="38"/>
    </row>
    <row r="1038890" spans="54:54" ht="15.75" customHeight="1" x14ac:dyDescent="0.3">
      <c r="BB1038890" s="38"/>
    </row>
    <row r="1038891" spans="54:54" ht="15.75" customHeight="1" x14ac:dyDescent="0.3">
      <c r="BB1038891" s="38"/>
    </row>
    <row r="1038892" spans="54:54" ht="15.75" customHeight="1" x14ac:dyDescent="0.3">
      <c r="BB1038892" s="38"/>
    </row>
    <row r="1038893" spans="54:54" ht="15.75" customHeight="1" x14ac:dyDescent="0.3">
      <c r="BB1038893" s="38"/>
    </row>
    <row r="1038894" spans="54:54" ht="15.75" customHeight="1" x14ac:dyDescent="0.3">
      <c r="BB1038894" s="38"/>
    </row>
    <row r="1038895" spans="54:54" ht="15.75" customHeight="1" x14ac:dyDescent="0.3">
      <c r="BB1038895" s="38"/>
    </row>
    <row r="1038896" spans="54:54" ht="15.75" customHeight="1" x14ac:dyDescent="0.3">
      <c r="BB1038896" s="38"/>
    </row>
    <row r="1038897" spans="54:54" ht="15.75" customHeight="1" x14ac:dyDescent="0.3">
      <c r="BB1038897" s="38"/>
    </row>
    <row r="1038898" spans="54:54" ht="15.75" customHeight="1" x14ac:dyDescent="0.3">
      <c r="BB1038898" s="38"/>
    </row>
    <row r="1038899" spans="54:54" ht="15.75" customHeight="1" x14ac:dyDescent="0.3">
      <c r="BB1038899" s="38"/>
    </row>
    <row r="1038900" spans="54:54" ht="15.75" customHeight="1" x14ac:dyDescent="0.3">
      <c r="BB1038900" s="38"/>
    </row>
    <row r="1038901" spans="54:54" ht="15.75" customHeight="1" x14ac:dyDescent="0.3">
      <c r="BB1038901" s="38"/>
    </row>
    <row r="1038902" spans="54:54" ht="15.75" customHeight="1" x14ac:dyDescent="0.3">
      <c r="BB1038902" s="38"/>
    </row>
    <row r="1038903" spans="54:54" ht="15.75" customHeight="1" x14ac:dyDescent="0.3">
      <c r="BB1038903" s="38"/>
    </row>
    <row r="1038904" spans="54:54" ht="15.75" customHeight="1" x14ac:dyDescent="0.3">
      <c r="BB1038904" s="38"/>
    </row>
    <row r="1038905" spans="54:54" ht="15.75" customHeight="1" x14ac:dyDescent="0.3">
      <c r="BB1038905" s="38"/>
    </row>
    <row r="1038906" spans="54:54" ht="15.75" customHeight="1" x14ac:dyDescent="0.3">
      <c r="BB1038906" s="38"/>
    </row>
    <row r="1038907" spans="54:54" ht="15.75" customHeight="1" x14ac:dyDescent="0.3">
      <c r="BB1038907" s="38"/>
    </row>
    <row r="1038908" spans="54:54" ht="15.75" customHeight="1" x14ac:dyDescent="0.3">
      <c r="BB1038908" s="38"/>
    </row>
    <row r="1038909" spans="54:54" ht="15.75" customHeight="1" x14ac:dyDescent="0.3">
      <c r="BB1038909" s="38"/>
    </row>
    <row r="1038910" spans="54:54" ht="15.75" customHeight="1" x14ac:dyDescent="0.3">
      <c r="BB1038910" s="38"/>
    </row>
    <row r="1038911" spans="54:54" ht="15.75" customHeight="1" x14ac:dyDescent="0.3">
      <c r="BB1038911" s="38"/>
    </row>
    <row r="1038912" spans="54:54" ht="15.75" customHeight="1" x14ac:dyDescent="0.3">
      <c r="BB1038912" s="38"/>
    </row>
    <row r="1038913" spans="54:54" ht="15.75" customHeight="1" x14ac:dyDescent="0.3">
      <c r="BB1038913" s="38"/>
    </row>
    <row r="1038914" spans="54:54" ht="15.75" customHeight="1" x14ac:dyDescent="0.3">
      <c r="BB1038914" s="38"/>
    </row>
    <row r="1038915" spans="54:54" ht="15.75" customHeight="1" x14ac:dyDescent="0.3">
      <c r="BB1038915" s="38"/>
    </row>
    <row r="1038916" spans="54:54" ht="15.75" customHeight="1" x14ac:dyDescent="0.3">
      <c r="BB1038916" s="38"/>
    </row>
    <row r="1038917" spans="54:54" ht="15.75" customHeight="1" x14ac:dyDescent="0.3">
      <c r="BB1038917" s="38"/>
    </row>
    <row r="1038918" spans="54:54" ht="15.75" customHeight="1" x14ac:dyDescent="0.3">
      <c r="BB1038918" s="38"/>
    </row>
    <row r="1038919" spans="54:54" ht="15.75" customHeight="1" x14ac:dyDescent="0.3">
      <c r="BB1038919" s="38"/>
    </row>
    <row r="1038920" spans="54:54" ht="15.75" customHeight="1" x14ac:dyDescent="0.3">
      <c r="BB1038920" s="38"/>
    </row>
    <row r="1038921" spans="54:54" ht="15.75" customHeight="1" x14ac:dyDescent="0.3">
      <c r="BB1038921" s="38"/>
    </row>
    <row r="1038922" spans="54:54" ht="15.75" customHeight="1" x14ac:dyDescent="0.3">
      <c r="BB1038922" s="38"/>
    </row>
    <row r="1038923" spans="54:54" ht="15.75" customHeight="1" x14ac:dyDescent="0.3">
      <c r="BB1038923" s="38"/>
    </row>
    <row r="1038924" spans="54:54" ht="15.75" customHeight="1" x14ac:dyDescent="0.3">
      <c r="BB1038924" s="38"/>
    </row>
    <row r="1038925" spans="54:54" ht="15.75" customHeight="1" x14ac:dyDescent="0.3">
      <c r="BB1038925" s="38"/>
    </row>
    <row r="1038926" spans="54:54" ht="15.75" customHeight="1" x14ac:dyDescent="0.3">
      <c r="BB1038926" s="38"/>
    </row>
    <row r="1038927" spans="54:54" ht="15.75" customHeight="1" x14ac:dyDescent="0.3">
      <c r="BB1038927" s="38"/>
    </row>
    <row r="1038928" spans="54:54" ht="15.75" customHeight="1" x14ac:dyDescent="0.3">
      <c r="BB1038928" s="38"/>
    </row>
    <row r="1038929" spans="54:54" ht="15.75" customHeight="1" x14ac:dyDescent="0.3">
      <c r="BB1038929" s="38"/>
    </row>
    <row r="1038930" spans="54:54" ht="15.75" customHeight="1" x14ac:dyDescent="0.3">
      <c r="BB1038930" s="38"/>
    </row>
    <row r="1038931" spans="54:54" ht="15.75" customHeight="1" x14ac:dyDescent="0.3">
      <c r="BB1038931" s="38"/>
    </row>
    <row r="1038932" spans="54:54" ht="15.75" customHeight="1" x14ac:dyDescent="0.3">
      <c r="BB1038932" s="38"/>
    </row>
    <row r="1038933" spans="54:54" ht="15.75" customHeight="1" x14ac:dyDescent="0.3">
      <c r="BB1038933" s="38"/>
    </row>
    <row r="1038934" spans="54:54" ht="15.75" customHeight="1" x14ac:dyDescent="0.3">
      <c r="BB1038934" s="38"/>
    </row>
    <row r="1038935" spans="54:54" ht="15.75" customHeight="1" x14ac:dyDescent="0.3">
      <c r="BB1038935" s="38"/>
    </row>
    <row r="1038936" spans="54:54" ht="15.75" customHeight="1" x14ac:dyDescent="0.3">
      <c r="BB1038936" s="38"/>
    </row>
    <row r="1038937" spans="54:54" ht="15.75" customHeight="1" x14ac:dyDescent="0.3">
      <c r="BB1038937" s="38"/>
    </row>
    <row r="1038938" spans="54:54" ht="15.75" customHeight="1" x14ac:dyDescent="0.3">
      <c r="BB1038938" s="38"/>
    </row>
    <row r="1038939" spans="54:54" ht="15.75" customHeight="1" x14ac:dyDescent="0.3">
      <c r="BB1038939" s="38"/>
    </row>
    <row r="1038940" spans="54:54" ht="15.75" customHeight="1" x14ac:dyDescent="0.3">
      <c r="BB1038940" s="38"/>
    </row>
    <row r="1038941" spans="54:54" ht="15.75" customHeight="1" x14ac:dyDescent="0.3">
      <c r="BB1038941" s="38"/>
    </row>
    <row r="1038942" spans="54:54" ht="15.75" customHeight="1" x14ac:dyDescent="0.3">
      <c r="BB1038942" s="38"/>
    </row>
    <row r="1038943" spans="54:54" ht="15.75" customHeight="1" x14ac:dyDescent="0.3">
      <c r="BB1038943" s="38"/>
    </row>
    <row r="1038944" spans="54:54" ht="15.75" customHeight="1" x14ac:dyDescent="0.3">
      <c r="BB1038944" s="38"/>
    </row>
    <row r="1038945" spans="54:54" ht="15.75" customHeight="1" x14ac:dyDescent="0.3">
      <c r="BB1038945" s="38"/>
    </row>
    <row r="1038946" spans="54:54" ht="15.75" customHeight="1" x14ac:dyDescent="0.3">
      <c r="BB1038946" s="38"/>
    </row>
    <row r="1038947" spans="54:54" ht="15.75" customHeight="1" x14ac:dyDescent="0.3">
      <c r="BB1038947" s="38"/>
    </row>
    <row r="1038948" spans="54:54" ht="15.75" customHeight="1" x14ac:dyDescent="0.3">
      <c r="BB1038948" s="38"/>
    </row>
    <row r="1038949" spans="54:54" ht="15.75" customHeight="1" x14ac:dyDescent="0.3">
      <c r="BB1038949" s="38"/>
    </row>
    <row r="1038950" spans="54:54" ht="15.75" customHeight="1" x14ac:dyDescent="0.3">
      <c r="BB1038950" s="38"/>
    </row>
    <row r="1038951" spans="54:54" ht="15.75" customHeight="1" x14ac:dyDescent="0.3">
      <c r="BB1038951" s="38"/>
    </row>
    <row r="1038952" spans="54:54" ht="15.75" customHeight="1" x14ac:dyDescent="0.3">
      <c r="BB1038952" s="38"/>
    </row>
    <row r="1038953" spans="54:54" ht="15.75" customHeight="1" x14ac:dyDescent="0.3">
      <c r="BB1038953" s="38"/>
    </row>
    <row r="1038954" spans="54:54" ht="15.75" customHeight="1" x14ac:dyDescent="0.3">
      <c r="BB1038954" s="38"/>
    </row>
    <row r="1038955" spans="54:54" ht="15.75" customHeight="1" x14ac:dyDescent="0.3">
      <c r="BB1038955" s="38"/>
    </row>
    <row r="1038956" spans="54:54" ht="15.75" customHeight="1" x14ac:dyDescent="0.3">
      <c r="BB1038956" s="38"/>
    </row>
    <row r="1038957" spans="54:54" ht="15.75" customHeight="1" x14ac:dyDescent="0.3">
      <c r="BB1038957" s="38"/>
    </row>
    <row r="1038958" spans="54:54" ht="15.75" customHeight="1" x14ac:dyDescent="0.3">
      <c r="BB1038958" s="38"/>
    </row>
    <row r="1038959" spans="54:54" ht="15.75" customHeight="1" x14ac:dyDescent="0.3">
      <c r="BB1038959" s="38"/>
    </row>
    <row r="1038960" spans="54:54" ht="15.75" customHeight="1" x14ac:dyDescent="0.3">
      <c r="BB1038960" s="38"/>
    </row>
    <row r="1038961" spans="54:54" ht="15.75" customHeight="1" x14ac:dyDescent="0.3">
      <c r="BB1038961" s="38"/>
    </row>
    <row r="1038962" spans="54:54" ht="15.75" customHeight="1" x14ac:dyDescent="0.3">
      <c r="BB1038962" s="38"/>
    </row>
    <row r="1038963" spans="54:54" ht="15.75" customHeight="1" x14ac:dyDescent="0.3">
      <c r="BB1038963" s="38"/>
    </row>
    <row r="1038964" spans="54:54" ht="15.75" customHeight="1" x14ac:dyDescent="0.3">
      <c r="BB1038964" s="38"/>
    </row>
    <row r="1038965" spans="54:54" ht="15.75" customHeight="1" x14ac:dyDescent="0.3">
      <c r="BB1038965" s="38"/>
    </row>
    <row r="1038966" spans="54:54" ht="15.75" customHeight="1" x14ac:dyDescent="0.3">
      <c r="BB1038966" s="38"/>
    </row>
    <row r="1038967" spans="54:54" ht="15.75" customHeight="1" x14ac:dyDescent="0.3">
      <c r="BB1038967" s="38"/>
    </row>
    <row r="1038968" spans="54:54" ht="15.75" customHeight="1" x14ac:dyDescent="0.3">
      <c r="BB1038968" s="38"/>
    </row>
    <row r="1038969" spans="54:54" ht="15.75" customHeight="1" x14ac:dyDescent="0.3">
      <c r="BB1038969" s="38"/>
    </row>
    <row r="1038970" spans="54:54" ht="15.75" customHeight="1" x14ac:dyDescent="0.3">
      <c r="BB1038970" s="38"/>
    </row>
    <row r="1038971" spans="54:54" ht="15.75" customHeight="1" x14ac:dyDescent="0.3">
      <c r="BB1038971" s="38"/>
    </row>
    <row r="1038972" spans="54:54" ht="15.75" customHeight="1" x14ac:dyDescent="0.3">
      <c r="BB1038972" s="38"/>
    </row>
    <row r="1038973" spans="54:54" ht="15.75" customHeight="1" x14ac:dyDescent="0.3">
      <c r="BB1038973" s="38"/>
    </row>
    <row r="1038974" spans="54:54" ht="15.75" customHeight="1" x14ac:dyDescent="0.3">
      <c r="BB1038974" s="38"/>
    </row>
    <row r="1038975" spans="54:54" ht="15.75" customHeight="1" x14ac:dyDescent="0.3">
      <c r="BB1038975" s="38"/>
    </row>
    <row r="1038976" spans="54:54" ht="15.75" customHeight="1" x14ac:dyDescent="0.3">
      <c r="BB1038976" s="38"/>
    </row>
    <row r="1038977" spans="54:54" ht="15.75" customHeight="1" x14ac:dyDescent="0.3">
      <c r="BB1038977" s="38"/>
    </row>
    <row r="1038978" spans="54:54" ht="15.75" customHeight="1" x14ac:dyDescent="0.3">
      <c r="BB1038978" s="38"/>
    </row>
    <row r="1038979" spans="54:54" ht="15.75" customHeight="1" x14ac:dyDescent="0.3">
      <c r="BB1038979" s="38"/>
    </row>
    <row r="1038980" spans="54:54" ht="15.75" customHeight="1" x14ac:dyDescent="0.3">
      <c r="BB1038980" s="38"/>
    </row>
    <row r="1038981" spans="54:54" ht="15.75" customHeight="1" x14ac:dyDescent="0.3">
      <c r="BB1038981" s="38"/>
    </row>
    <row r="1038982" spans="54:54" ht="15.75" customHeight="1" x14ac:dyDescent="0.3">
      <c r="BB1038982" s="38"/>
    </row>
    <row r="1038983" spans="54:54" ht="15.75" customHeight="1" x14ac:dyDescent="0.3">
      <c r="BB1038983" s="38"/>
    </row>
    <row r="1038984" spans="54:54" ht="15.75" customHeight="1" x14ac:dyDescent="0.3">
      <c r="BB1038984" s="38"/>
    </row>
    <row r="1038985" spans="54:54" ht="15.75" customHeight="1" x14ac:dyDescent="0.3">
      <c r="BB1038985" s="38"/>
    </row>
    <row r="1038986" spans="54:54" ht="15.75" customHeight="1" x14ac:dyDescent="0.3">
      <c r="BB1038986" s="38"/>
    </row>
    <row r="1038987" spans="54:54" ht="15.75" customHeight="1" x14ac:dyDescent="0.3">
      <c r="BB1038987" s="38"/>
    </row>
    <row r="1038988" spans="54:54" ht="15.75" customHeight="1" x14ac:dyDescent="0.3">
      <c r="BB1038988" s="38"/>
    </row>
    <row r="1038989" spans="54:54" ht="15.75" customHeight="1" x14ac:dyDescent="0.3">
      <c r="BB1038989" s="38"/>
    </row>
    <row r="1038990" spans="54:54" ht="15.75" customHeight="1" x14ac:dyDescent="0.3">
      <c r="BB1038990" s="38"/>
    </row>
    <row r="1038991" spans="54:54" ht="15.75" customHeight="1" x14ac:dyDescent="0.3">
      <c r="BB1038991" s="38"/>
    </row>
    <row r="1038992" spans="54:54" ht="15.75" customHeight="1" x14ac:dyDescent="0.3">
      <c r="BB1038992" s="38"/>
    </row>
    <row r="1038993" spans="54:54" ht="15.75" customHeight="1" x14ac:dyDescent="0.3">
      <c r="BB1038993" s="38"/>
    </row>
    <row r="1038994" spans="54:54" ht="15.75" customHeight="1" x14ac:dyDescent="0.3">
      <c r="BB1038994" s="38"/>
    </row>
    <row r="1038995" spans="54:54" ht="15.75" customHeight="1" x14ac:dyDescent="0.3">
      <c r="BB1038995" s="38"/>
    </row>
    <row r="1038996" spans="54:54" ht="15.75" customHeight="1" x14ac:dyDescent="0.3">
      <c r="BB1038996" s="38"/>
    </row>
    <row r="1038997" spans="54:54" ht="15.75" customHeight="1" x14ac:dyDescent="0.3">
      <c r="BB1038997" s="38"/>
    </row>
    <row r="1038998" spans="54:54" ht="15.75" customHeight="1" x14ac:dyDescent="0.3">
      <c r="BB1038998" s="38"/>
    </row>
    <row r="1038999" spans="54:54" ht="15.75" customHeight="1" x14ac:dyDescent="0.3">
      <c r="BB1038999" s="38"/>
    </row>
    <row r="1039000" spans="54:54" ht="15.75" customHeight="1" x14ac:dyDescent="0.3">
      <c r="BB1039000" s="38"/>
    </row>
    <row r="1039001" spans="54:54" ht="15.75" customHeight="1" x14ac:dyDescent="0.3">
      <c r="BB1039001" s="38"/>
    </row>
    <row r="1039002" spans="54:54" ht="15.75" customHeight="1" x14ac:dyDescent="0.3">
      <c r="BB1039002" s="38"/>
    </row>
    <row r="1039003" spans="54:54" ht="15.75" customHeight="1" x14ac:dyDescent="0.3">
      <c r="BB1039003" s="38"/>
    </row>
    <row r="1039004" spans="54:54" ht="15.75" customHeight="1" x14ac:dyDescent="0.3">
      <c r="BB1039004" s="38"/>
    </row>
    <row r="1039005" spans="54:54" ht="15.75" customHeight="1" x14ac:dyDescent="0.3">
      <c r="BB1039005" s="38"/>
    </row>
    <row r="1039006" spans="54:54" ht="15.75" customHeight="1" x14ac:dyDescent="0.3">
      <c r="BB1039006" s="38"/>
    </row>
    <row r="1039007" spans="54:54" ht="15.75" customHeight="1" x14ac:dyDescent="0.3">
      <c r="BB1039007" s="38"/>
    </row>
    <row r="1039008" spans="54:54" ht="15.75" customHeight="1" x14ac:dyDescent="0.3">
      <c r="BB1039008" s="38"/>
    </row>
    <row r="1039009" spans="54:54" ht="15.75" customHeight="1" x14ac:dyDescent="0.3">
      <c r="BB1039009" s="38"/>
    </row>
    <row r="1039010" spans="54:54" ht="15.75" customHeight="1" x14ac:dyDescent="0.3">
      <c r="BB1039010" s="38"/>
    </row>
    <row r="1039011" spans="54:54" ht="15.75" customHeight="1" x14ac:dyDescent="0.3">
      <c r="BB1039011" s="38"/>
    </row>
    <row r="1039012" spans="54:54" ht="15.75" customHeight="1" x14ac:dyDescent="0.3">
      <c r="BB1039012" s="38"/>
    </row>
    <row r="1039013" spans="54:54" ht="15.75" customHeight="1" x14ac:dyDescent="0.3">
      <c r="BB1039013" s="38"/>
    </row>
    <row r="1039014" spans="54:54" ht="15.75" customHeight="1" x14ac:dyDescent="0.3">
      <c r="BB1039014" s="38"/>
    </row>
    <row r="1039015" spans="54:54" ht="15.75" customHeight="1" x14ac:dyDescent="0.3">
      <c r="BB1039015" s="38"/>
    </row>
    <row r="1039016" spans="54:54" ht="15.75" customHeight="1" x14ac:dyDescent="0.3">
      <c r="BB1039016" s="38"/>
    </row>
    <row r="1039017" spans="54:54" ht="15.75" customHeight="1" x14ac:dyDescent="0.3">
      <c r="BB1039017" s="38"/>
    </row>
    <row r="1039018" spans="54:54" ht="15.75" customHeight="1" x14ac:dyDescent="0.3">
      <c r="BB1039018" s="38"/>
    </row>
    <row r="1039019" spans="54:54" ht="15.75" customHeight="1" x14ac:dyDescent="0.3">
      <c r="BB1039019" s="38"/>
    </row>
    <row r="1039020" spans="54:54" ht="15.75" customHeight="1" x14ac:dyDescent="0.3">
      <c r="BB1039020" s="38"/>
    </row>
    <row r="1039021" spans="54:54" ht="15.75" customHeight="1" x14ac:dyDescent="0.3">
      <c r="BB1039021" s="38"/>
    </row>
    <row r="1039022" spans="54:54" ht="15.75" customHeight="1" x14ac:dyDescent="0.3">
      <c r="BB1039022" s="38"/>
    </row>
    <row r="1039023" spans="54:54" ht="15.75" customHeight="1" x14ac:dyDescent="0.3">
      <c r="BB1039023" s="38"/>
    </row>
    <row r="1039024" spans="54:54" ht="15.75" customHeight="1" x14ac:dyDescent="0.3">
      <c r="BB1039024" s="38"/>
    </row>
    <row r="1039025" spans="54:54" ht="15.75" customHeight="1" x14ac:dyDescent="0.3">
      <c r="BB1039025" s="38"/>
    </row>
    <row r="1039026" spans="54:54" ht="15.75" customHeight="1" x14ac:dyDescent="0.3">
      <c r="BB1039026" s="38"/>
    </row>
    <row r="1039027" spans="54:54" ht="15.75" customHeight="1" x14ac:dyDescent="0.3">
      <c r="BB1039027" s="38"/>
    </row>
    <row r="1039028" spans="54:54" ht="15.75" customHeight="1" x14ac:dyDescent="0.3">
      <c r="BB1039028" s="38"/>
    </row>
    <row r="1039029" spans="54:54" ht="15.75" customHeight="1" x14ac:dyDescent="0.3">
      <c r="BB1039029" s="38"/>
    </row>
    <row r="1039030" spans="54:54" ht="15.75" customHeight="1" x14ac:dyDescent="0.3">
      <c r="BB1039030" s="38"/>
    </row>
    <row r="1039031" spans="54:54" ht="15.75" customHeight="1" x14ac:dyDescent="0.3">
      <c r="BB1039031" s="38"/>
    </row>
    <row r="1039032" spans="54:54" ht="15.75" customHeight="1" x14ac:dyDescent="0.3">
      <c r="BB1039032" s="38"/>
    </row>
    <row r="1039033" spans="54:54" ht="15.75" customHeight="1" x14ac:dyDescent="0.3">
      <c r="BB1039033" s="38"/>
    </row>
    <row r="1039034" spans="54:54" ht="15.75" customHeight="1" x14ac:dyDescent="0.3">
      <c r="BB1039034" s="38"/>
    </row>
    <row r="1039035" spans="54:54" ht="15.75" customHeight="1" x14ac:dyDescent="0.3">
      <c r="BB1039035" s="38"/>
    </row>
    <row r="1039036" spans="54:54" ht="15.75" customHeight="1" x14ac:dyDescent="0.3">
      <c r="BB1039036" s="38"/>
    </row>
    <row r="1039037" spans="54:54" ht="15.75" customHeight="1" x14ac:dyDescent="0.3">
      <c r="BB1039037" s="38"/>
    </row>
    <row r="1039038" spans="54:54" ht="15.75" customHeight="1" x14ac:dyDescent="0.3">
      <c r="BB1039038" s="38"/>
    </row>
    <row r="1039039" spans="54:54" ht="15.75" customHeight="1" x14ac:dyDescent="0.3">
      <c r="BB1039039" s="38"/>
    </row>
    <row r="1039040" spans="54:54" ht="15.75" customHeight="1" x14ac:dyDescent="0.3">
      <c r="BB1039040" s="38"/>
    </row>
    <row r="1039041" spans="54:54" ht="15.75" customHeight="1" x14ac:dyDescent="0.3">
      <c r="BB1039041" s="38"/>
    </row>
    <row r="1039042" spans="54:54" ht="15.75" customHeight="1" x14ac:dyDescent="0.3">
      <c r="BB1039042" s="38"/>
    </row>
    <row r="1039043" spans="54:54" ht="15.75" customHeight="1" x14ac:dyDescent="0.3">
      <c r="BB1039043" s="38"/>
    </row>
    <row r="1039044" spans="54:54" ht="15.75" customHeight="1" x14ac:dyDescent="0.3">
      <c r="BB1039044" s="38"/>
    </row>
    <row r="1039045" spans="54:54" ht="15.75" customHeight="1" x14ac:dyDescent="0.3">
      <c r="BB1039045" s="38"/>
    </row>
    <row r="1039046" spans="54:54" ht="15.75" customHeight="1" x14ac:dyDescent="0.3">
      <c r="BB1039046" s="38"/>
    </row>
    <row r="1039047" spans="54:54" ht="15.75" customHeight="1" x14ac:dyDescent="0.3">
      <c r="BB1039047" s="38"/>
    </row>
    <row r="1039048" spans="54:54" ht="15.75" customHeight="1" x14ac:dyDescent="0.3">
      <c r="BB1039048" s="38"/>
    </row>
    <row r="1039049" spans="54:54" ht="15.75" customHeight="1" x14ac:dyDescent="0.3">
      <c r="BB1039049" s="38"/>
    </row>
    <row r="1039050" spans="54:54" ht="15.75" customHeight="1" x14ac:dyDescent="0.3">
      <c r="BB1039050" s="38"/>
    </row>
    <row r="1039051" spans="54:54" ht="15.75" customHeight="1" x14ac:dyDescent="0.3">
      <c r="BB1039051" s="38"/>
    </row>
    <row r="1039052" spans="54:54" ht="15.75" customHeight="1" x14ac:dyDescent="0.3">
      <c r="BB1039052" s="38"/>
    </row>
    <row r="1039053" spans="54:54" ht="15.75" customHeight="1" x14ac:dyDescent="0.3">
      <c r="BB1039053" s="38"/>
    </row>
    <row r="1039054" spans="54:54" ht="15.75" customHeight="1" x14ac:dyDescent="0.3">
      <c r="BB1039054" s="38"/>
    </row>
    <row r="1039055" spans="54:54" ht="15.75" customHeight="1" x14ac:dyDescent="0.3">
      <c r="BB1039055" s="38"/>
    </row>
    <row r="1039056" spans="54:54" ht="15.75" customHeight="1" x14ac:dyDescent="0.3">
      <c r="BB1039056" s="38"/>
    </row>
    <row r="1039057" spans="54:54" ht="15.75" customHeight="1" x14ac:dyDescent="0.3">
      <c r="BB1039057" s="38"/>
    </row>
    <row r="1039058" spans="54:54" ht="15.75" customHeight="1" x14ac:dyDescent="0.3">
      <c r="BB1039058" s="38"/>
    </row>
    <row r="1039059" spans="54:54" ht="15.75" customHeight="1" x14ac:dyDescent="0.3">
      <c r="BB1039059" s="38"/>
    </row>
    <row r="1039060" spans="54:54" ht="15.75" customHeight="1" x14ac:dyDescent="0.3">
      <c r="BB1039060" s="38"/>
    </row>
    <row r="1039061" spans="54:54" ht="15.75" customHeight="1" x14ac:dyDescent="0.3">
      <c r="BB1039061" s="38"/>
    </row>
    <row r="1039062" spans="54:54" ht="15.75" customHeight="1" x14ac:dyDescent="0.3">
      <c r="BB1039062" s="38"/>
    </row>
    <row r="1039063" spans="54:54" ht="15.75" customHeight="1" x14ac:dyDescent="0.3">
      <c r="BB1039063" s="38"/>
    </row>
    <row r="1039064" spans="54:54" ht="15.75" customHeight="1" x14ac:dyDescent="0.3">
      <c r="BB1039064" s="38"/>
    </row>
    <row r="1039065" spans="54:54" ht="15.75" customHeight="1" x14ac:dyDescent="0.3">
      <c r="BB1039065" s="38"/>
    </row>
    <row r="1039066" spans="54:54" ht="15.75" customHeight="1" x14ac:dyDescent="0.3">
      <c r="BB1039066" s="38"/>
    </row>
    <row r="1039067" spans="54:54" ht="15.75" customHeight="1" x14ac:dyDescent="0.3">
      <c r="BB1039067" s="38"/>
    </row>
    <row r="1039068" spans="54:54" ht="15.75" customHeight="1" x14ac:dyDescent="0.3">
      <c r="BB1039068" s="38"/>
    </row>
    <row r="1039069" spans="54:54" ht="15.75" customHeight="1" x14ac:dyDescent="0.3">
      <c r="BB1039069" s="38"/>
    </row>
    <row r="1039070" spans="54:54" ht="15.75" customHeight="1" x14ac:dyDescent="0.3">
      <c r="BB1039070" s="38"/>
    </row>
    <row r="1039071" spans="54:54" ht="15.75" customHeight="1" x14ac:dyDescent="0.3">
      <c r="BB1039071" s="38"/>
    </row>
    <row r="1039072" spans="54:54" ht="15.75" customHeight="1" x14ac:dyDescent="0.3">
      <c r="BB1039072" s="38"/>
    </row>
    <row r="1039073" spans="54:54" ht="15.75" customHeight="1" x14ac:dyDescent="0.3">
      <c r="BB1039073" s="38"/>
    </row>
    <row r="1039074" spans="54:54" ht="15.75" customHeight="1" x14ac:dyDescent="0.3">
      <c r="BB1039074" s="38"/>
    </row>
    <row r="1039075" spans="54:54" ht="15.75" customHeight="1" x14ac:dyDescent="0.3">
      <c r="BB1039075" s="38"/>
    </row>
    <row r="1039076" spans="54:54" ht="15.75" customHeight="1" x14ac:dyDescent="0.3">
      <c r="BB1039076" s="38"/>
    </row>
    <row r="1039077" spans="54:54" ht="15.75" customHeight="1" x14ac:dyDescent="0.3">
      <c r="BB1039077" s="38"/>
    </row>
    <row r="1039078" spans="54:54" ht="15.75" customHeight="1" x14ac:dyDescent="0.3">
      <c r="BB1039078" s="38"/>
    </row>
    <row r="1039079" spans="54:54" ht="15.75" customHeight="1" x14ac:dyDescent="0.3">
      <c r="BB1039079" s="38"/>
    </row>
    <row r="1039080" spans="54:54" ht="15.75" customHeight="1" x14ac:dyDescent="0.3">
      <c r="BB1039080" s="38"/>
    </row>
    <row r="1039081" spans="54:54" ht="15.75" customHeight="1" x14ac:dyDescent="0.3">
      <c r="BB1039081" s="38"/>
    </row>
    <row r="1039082" spans="54:54" ht="15.75" customHeight="1" x14ac:dyDescent="0.3">
      <c r="BB1039082" s="38"/>
    </row>
    <row r="1039083" spans="54:54" ht="15.75" customHeight="1" x14ac:dyDescent="0.3">
      <c r="BB1039083" s="38"/>
    </row>
    <row r="1039084" spans="54:54" ht="15.75" customHeight="1" x14ac:dyDescent="0.3">
      <c r="BB1039084" s="38"/>
    </row>
    <row r="1039085" spans="54:54" ht="15.75" customHeight="1" x14ac:dyDescent="0.3">
      <c r="BB1039085" s="38"/>
    </row>
    <row r="1039086" spans="54:54" ht="15.75" customHeight="1" x14ac:dyDescent="0.3">
      <c r="BB1039086" s="38"/>
    </row>
    <row r="1039087" spans="54:54" ht="15.75" customHeight="1" x14ac:dyDescent="0.3">
      <c r="BB1039087" s="38"/>
    </row>
    <row r="1039088" spans="54:54" ht="15.75" customHeight="1" x14ac:dyDescent="0.3">
      <c r="BB1039088" s="38"/>
    </row>
    <row r="1039089" spans="54:54" ht="15.75" customHeight="1" x14ac:dyDescent="0.3">
      <c r="BB1039089" s="38"/>
    </row>
    <row r="1039090" spans="54:54" ht="15.75" customHeight="1" x14ac:dyDescent="0.3">
      <c r="BB1039090" s="38"/>
    </row>
    <row r="1039091" spans="54:54" ht="15.75" customHeight="1" x14ac:dyDescent="0.3">
      <c r="BB1039091" s="38"/>
    </row>
    <row r="1039092" spans="54:54" ht="15.75" customHeight="1" x14ac:dyDescent="0.3">
      <c r="BB1039092" s="38"/>
    </row>
    <row r="1039093" spans="54:54" ht="15.75" customHeight="1" x14ac:dyDescent="0.3">
      <c r="BB1039093" s="38"/>
    </row>
    <row r="1039094" spans="54:54" ht="15.75" customHeight="1" x14ac:dyDescent="0.3">
      <c r="BB1039094" s="38"/>
    </row>
    <row r="1039095" spans="54:54" ht="15.75" customHeight="1" x14ac:dyDescent="0.3">
      <c r="BB1039095" s="38"/>
    </row>
    <row r="1039096" spans="54:54" ht="15.75" customHeight="1" x14ac:dyDescent="0.3">
      <c r="BB1039096" s="38"/>
    </row>
    <row r="1039097" spans="54:54" ht="15.75" customHeight="1" x14ac:dyDescent="0.3">
      <c r="BB1039097" s="38"/>
    </row>
    <row r="1039098" spans="54:54" ht="15.75" customHeight="1" x14ac:dyDescent="0.3">
      <c r="BB1039098" s="38"/>
    </row>
    <row r="1039099" spans="54:54" ht="15.75" customHeight="1" x14ac:dyDescent="0.3">
      <c r="BB1039099" s="38"/>
    </row>
    <row r="1039100" spans="54:54" ht="15.75" customHeight="1" x14ac:dyDescent="0.3">
      <c r="BB1039100" s="38"/>
    </row>
    <row r="1039101" spans="54:54" ht="15.75" customHeight="1" x14ac:dyDescent="0.3">
      <c r="BB1039101" s="38"/>
    </row>
    <row r="1039102" spans="54:54" ht="15.75" customHeight="1" x14ac:dyDescent="0.3">
      <c r="BB1039102" s="38"/>
    </row>
    <row r="1039103" spans="54:54" ht="15.75" customHeight="1" x14ac:dyDescent="0.3">
      <c r="BB1039103" s="38"/>
    </row>
    <row r="1039104" spans="54:54" ht="15.75" customHeight="1" x14ac:dyDescent="0.3">
      <c r="BB1039104" s="38"/>
    </row>
    <row r="1039105" spans="54:54" ht="15.75" customHeight="1" x14ac:dyDescent="0.3">
      <c r="BB1039105" s="38"/>
    </row>
    <row r="1039106" spans="54:54" ht="15.75" customHeight="1" x14ac:dyDescent="0.3">
      <c r="BB1039106" s="38"/>
    </row>
    <row r="1039107" spans="54:54" ht="15.75" customHeight="1" x14ac:dyDescent="0.3">
      <c r="BB1039107" s="38"/>
    </row>
    <row r="1039108" spans="54:54" ht="15.75" customHeight="1" x14ac:dyDescent="0.3">
      <c r="BB1039108" s="38"/>
    </row>
    <row r="1039109" spans="54:54" ht="15.75" customHeight="1" x14ac:dyDescent="0.3">
      <c r="BB1039109" s="38"/>
    </row>
    <row r="1039110" spans="54:54" ht="15.75" customHeight="1" x14ac:dyDescent="0.3">
      <c r="BB1039110" s="38"/>
    </row>
    <row r="1039111" spans="54:54" ht="15.75" customHeight="1" x14ac:dyDescent="0.3">
      <c r="BB1039111" s="38"/>
    </row>
    <row r="1039112" spans="54:54" ht="15.75" customHeight="1" x14ac:dyDescent="0.3">
      <c r="BB1039112" s="38"/>
    </row>
    <row r="1039113" spans="54:54" ht="15.75" customHeight="1" x14ac:dyDescent="0.3">
      <c r="BB1039113" s="38"/>
    </row>
    <row r="1039114" spans="54:54" ht="15.75" customHeight="1" x14ac:dyDescent="0.3">
      <c r="BB1039114" s="38"/>
    </row>
    <row r="1039115" spans="54:54" ht="15.75" customHeight="1" x14ac:dyDescent="0.3">
      <c r="BB1039115" s="38"/>
    </row>
    <row r="1039116" spans="54:54" ht="15.75" customHeight="1" x14ac:dyDescent="0.3">
      <c r="BB1039116" s="38"/>
    </row>
    <row r="1039117" spans="54:54" ht="15.75" customHeight="1" x14ac:dyDescent="0.3">
      <c r="BB1039117" s="38"/>
    </row>
    <row r="1039118" spans="54:54" ht="15.75" customHeight="1" x14ac:dyDescent="0.3">
      <c r="BB1039118" s="38"/>
    </row>
    <row r="1039119" spans="54:54" ht="15.75" customHeight="1" x14ac:dyDescent="0.3">
      <c r="BB1039119" s="38"/>
    </row>
    <row r="1039120" spans="54:54" ht="15.75" customHeight="1" x14ac:dyDescent="0.3">
      <c r="BB1039120" s="38"/>
    </row>
    <row r="1039121" spans="54:54" ht="15.75" customHeight="1" x14ac:dyDescent="0.3">
      <c r="BB1039121" s="38"/>
    </row>
    <row r="1039122" spans="54:54" ht="15.75" customHeight="1" x14ac:dyDescent="0.3">
      <c r="BB1039122" s="38"/>
    </row>
    <row r="1039123" spans="54:54" ht="15.75" customHeight="1" x14ac:dyDescent="0.3">
      <c r="BB1039123" s="38"/>
    </row>
    <row r="1039124" spans="54:54" ht="15.75" customHeight="1" x14ac:dyDescent="0.3">
      <c r="BB1039124" s="38"/>
    </row>
    <row r="1039125" spans="54:54" ht="15.75" customHeight="1" x14ac:dyDescent="0.3">
      <c r="BB1039125" s="38"/>
    </row>
    <row r="1039126" spans="54:54" ht="15.75" customHeight="1" x14ac:dyDescent="0.3">
      <c r="BB1039126" s="38"/>
    </row>
    <row r="1039127" spans="54:54" ht="15.75" customHeight="1" x14ac:dyDescent="0.3">
      <c r="BB1039127" s="38"/>
    </row>
    <row r="1039128" spans="54:54" ht="15.75" customHeight="1" x14ac:dyDescent="0.3">
      <c r="BB1039128" s="38"/>
    </row>
    <row r="1039129" spans="54:54" ht="15.75" customHeight="1" x14ac:dyDescent="0.3">
      <c r="BB1039129" s="38"/>
    </row>
    <row r="1039130" spans="54:54" ht="15.75" customHeight="1" x14ac:dyDescent="0.3">
      <c r="BB1039130" s="38"/>
    </row>
    <row r="1039131" spans="54:54" ht="15.75" customHeight="1" x14ac:dyDescent="0.3">
      <c r="BB1039131" s="38"/>
    </row>
    <row r="1039132" spans="54:54" ht="15.75" customHeight="1" x14ac:dyDescent="0.3">
      <c r="BB1039132" s="38"/>
    </row>
    <row r="1039133" spans="54:54" ht="15.75" customHeight="1" x14ac:dyDescent="0.3">
      <c r="BB1039133" s="38"/>
    </row>
    <row r="1039134" spans="54:54" ht="15.75" customHeight="1" x14ac:dyDescent="0.3">
      <c r="BB1039134" s="38"/>
    </row>
    <row r="1039135" spans="54:54" ht="15.75" customHeight="1" x14ac:dyDescent="0.3">
      <c r="BB1039135" s="38"/>
    </row>
    <row r="1039136" spans="54:54" ht="15.75" customHeight="1" x14ac:dyDescent="0.3">
      <c r="BB1039136" s="38"/>
    </row>
    <row r="1039137" spans="54:54" ht="15.75" customHeight="1" x14ac:dyDescent="0.3">
      <c r="BB1039137" s="38"/>
    </row>
    <row r="1039138" spans="54:54" ht="15.75" customHeight="1" x14ac:dyDescent="0.3">
      <c r="BB1039138" s="38"/>
    </row>
    <row r="1039139" spans="54:54" ht="15.75" customHeight="1" x14ac:dyDescent="0.3">
      <c r="BB1039139" s="38"/>
    </row>
    <row r="1039140" spans="54:54" ht="15.75" customHeight="1" x14ac:dyDescent="0.3">
      <c r="BB1039140" s="38"/>
    </row>
    <row r="1039141" spans="54:54" ht="15.75" customHeight="1" x14ac:dyDescent="0.3">
      <c r="BB1039141" s="38"/>
    </row>
    <row r="1039142" spans="54:54" ht="15.75" customHeight="1" x14ac:dyDescent="0.3">
      <c r="BB1039142" s="38"/>
    </row>
    <row r="1039143" spans="54:54" ht="15.75" customHeight="1" x14ac:dyDescent="0.3">
      <c r="BB1039143" s="38"/>
    </row>
    <row r="1039144" spans="54:54" ht="15.75" customHeight="1" x14ac:dyDescent="0.3">
      <c r="BB1039144" s="38"/>
    </row>
    <row r="1039145" spans="54:54" ht="15.75" customHeight="1" x14ac:dyDescent="0.3">
      <c r="BB1039145" s="38"/>
    </row>
    <row r="1039146" spans="54:54" ht="15.75" customHeight="1" x14ac:dyDescent="0.3">
      <c r="BB1039146" s="38"/>
    </row>
    <row r="1039147" spans="54:54" ht="15.75" customHeight="1" x14ac:dyDescent="0.3">
      <c r="BB1039147" s="38"/>
    </row>
    <row r="1039148" spans="54:54" ht="15.75" customHeight="1" x14ac:dyDescent="0.3">
      <c r="BB1039148" s="38"/>
    </row>
    <row r="1039149" spans="54:54" ht="15.75" customHeight="1" x14ac:dyDescent="0.3">
      <c r="BB1039149" s="38"/>
    </row>
    <row r="1039150" spans="54:54" ht="15.75" customHeight="1" x14ac:dyDescent="0.3">
      <c r="BB1039150" s="38"/>
    </row>
    <row r="1039151" spans="54:54" ht="15.75" customHeight="1" x14ac:dyDescent="0.3">
      <c r="BB1039151" s="38"/>
    </row>
    <row r="1039152" spans="54:54" ht="15.75" customHeight="1" x14ac:dyDescent="0.3">
      <c r="BB1039152" s="38"/>
    </row>
    <row r="1039153" spans="54:54" ht="15.75" customHeight="1" x14ac:dyDescent="0.3">
      <c r="BB1039153" s="38"/>
    </row>
    <row r="1039154" spans="54:54" ht="15.75" customHeight="1" x14ac:dyDescent="0.3">
      <c r="BB1039154" s="38"/>
    </row>
    <row r="1039155" spans="54:54" ht="15.75" customHeight="1" x14ac:dyDescent="0.3">
      <c r="BB1039155" s="38"/>
    </row>
    <row r="1039156" spans="54:54" ht="15.75" customHeight="1" x14ac:dyDescent="0.3">
      <c r="BB1039156" s="38"/>
    </row>
    <row r="1039157" spans="54:54" ht="15.75" customHeight="1" x14ac:dyDescent="0.3">
      <c r="BB1039157" s="38"/>
    </row>
    <row r="1039158" spans="54:54" ht="15.75" customHeight="1" x14ac:dyDescent="0.3">
      <c r="BB1039158" s="38"/>
    </row>
    <row r="1039159" spans="54:54" ht="15.75" customHeight="1" x14ac:dyDescent="0.3">
      <c r="BB1039159" s="38"/>
    </row>
    <row r="1039160" spans="54:54" ht="15.75" customHeight="1" x14ac:dyDescent="0.3">
      <c r="BB1039160" s="38"/>
    </row>
    <row r="1039161" spans="54:54" ht="15.75" customHeight="1" x14ac:dyDescent="0.3">
      <c r="BB1039161" s="38"/>
    </row>
    <row r="1039162" spans="54:54" ht="15.75" customHeight="1" x14ac:dyDescent="0.3">
      <c r="BB1039162" s="38"/>
    </row>
    <row r="1039163" spans="54:54" ht="15.75" customHeight="1" x14ac:dyDescent="0.3">
      <c r="BB1039163" s="38"/>
    </row>
    <row r="1039164" spans="54:54" ht="15.75" customHeight="1" x14ac:dyDescent="0.3">
      <c r="BB1039164" s="38"/>
    </row>
    <row r="1039165" spans="54:54" ht="15.75" customHeight="1" x14ac:dyDescent="0.3">
      <c r="BB1039165" s="38"/>
    </row>
    <row r="1039166" spans="54:54" ht="15.75" customHeight="1" x14ac:dyDescent="0.3">
      <c r="BB1039166" s="38"/>
    </row>
    <row r="1039167" spans="54:54" ht="15.75" customHeight="1" x14ac:dyDescent="0.3">
      <c r="BB1039167" s="38"/>
    </row>
    <row r="1039168" spans="54:54" ht="15.75" customHeight="1" x14ac:dyDescent="0.3">
      <c r="BB1039168" s="38"/>
    </row>
    <row r="1039169" spans="54:54" ht="15.75" customHeight="1" x14ac:dyDescent="0.3">
      <c r="BB1039169" s="38"/>
    </row>
    <row r="1039170" spans="54:54" ht="15.75" customHeight="1" x14ac:dyDescent="0.3">
      <c r="BB1039170" s="38"/>
    </row>
    <row r="1039171" spans="54:54" ht="15.75" customHeight="1" x14ac:dyDescent="0.3">
      <c r="BB1039171" s="38"/>
    </row>
    <row r="1039172" spans="54:54" ht="15.75" customHeight="1" x14ac:dyDescent="0.3">
      <c r="BB1039172" s="38"/>
    </row>
    <row r="1039173" spans="54:54" ht="15.75" customHeight="1" x14ac:dyDescent="0.3">
      <c r="BB1039173" s="38"/>
    </row>
    <row r="1039174" spans="54:54" ht="15.75" customHeight="1" x14ac:dyDescent="0.3">
      <c r="BB1039174" s="38"/>
    </row>
    <row r="1039175" spans="54:54" ht="15.75" customHeight="1" x14ac:dyDescent="0.3">
      <c r="BB1039175" s="38"/>
    </row>
    <row r="1039176" spans="54:54" ht="15.75" customHeight="1" x14ac:dyDescent="0.3">
      <c r="BB1039176" s="38"/>
    </row>
    <row r="1039177" spans="54:54" ht="15.75" customHeight="1" x14ac:dyDescent="0.3">
      <c r="BB1039177" s="38"/>
    </row>
    <row r="1039178" spans="54:54" ht="15.75" customHeight="1" x14ac:dyDescent="0.3">
      <c r="BB1039178" s="38"/>
    </row>
    <row r="1039179" spans="54:54" ht="15.75" customHeight="1" x14ac:dyDescent="0.3">
      <c r="BB1039179" s="38"/>
    </row>
    <row r="1039180" spans="54:54" ht="15.75" customHeight="1" x14ac:dyDescent="0.3">
      <c r="BB1039180" s="38"/>
    </row>
    <row r="1039181" spans="54:54" ht="15.75" customHeight="1" x14ac:dyDescent="0.3">
      <c r="BB1039181" s="38"/>
    </row>
    <row r="1039182" spans="54:54" ht="15.75" customHeight="1" x14ac:dyDescent="0.3">
      <c r="BB1039182" s="38"/>
    </row>
    <row r="1039183" spans="54:54" ht="15.75" customHeight="1" x14ac:dyDescent="0.3">
      <c r="BB1039183" s="38"/>
    </row>
    <row r="1039184" spans="54:54" ht="15.75" customHeight="1" x14ac:dyDescent="0.3">
      <c r="BB1039184" s="38"/>
    </row>
    <row r="1039185" spans="54:54" ht="15.75" customHeight="1" x14ac:dyDescent="0.3">
      <c r="BB1039185" s="38"/>
    </row>
    <row r="1039186" spans="54:54" ht="15.75" customHeight="1" x14ac:dyDescent="0.3">
      <c r="BB1039186" s="38"/>
    </row>
    <row r="1039187" spans="54:54" ht="15.75" customHeight="1" x14ac:dyDescent="0.3">
      <c r="BB1039187" s="38"/>
    </row>
    <row r="1039188" spans="54:54" ht="15.75" customHeight="1" x14ac:dyDescent="0.3">
      <c r="BB1039188" s="38"/>
    </row>
    <row r="1039189" spans="54:54" ht="15.75" customHeight="1" x14ac:dyDescent="0.3">
      <c r="BB1039189" s="38"/>
    </row>
    <row r="1039190" spans="54:54" ht="15.75" customHeight="1" x14ac:dyDescent="0.3">
      <c r="BB1039190" s="38"/>
    </row>
    <row r="1039191" spans="54:54" ht="15.75" customHeight="1" x14ac:dyDescent="0.3">
      <c r="BB1039191" s="38"/>
    </row>
    <row r="1039192" spans="54:54" ht="15.75" customHeight="1" x14ac:dyDescent="0.3">
      <c r="BB1039192" s="38"/>
    </row>
    <row r="1039193" spans="54:54" ht="15.75" customHeight="1" x14ac:dyDescent="0.3">
      <c r="BB1039193" s="38"/>
    </row>
    <row r="1039194" spans="54:54" ht="15.75" customHeight="1" x14ac:dyDescent="0.3">
      <c r="BB1039194" s="38"/>
    </row>
    <row r="1039195" spans="54:54" ht="15.75" customHeight="1" x14ac:dyDescent="0.3">
      <c r="BB1039195" s="38"/>
    </row>
    <row r="1039196" spans="54:54" ht="15.75" customHeight="1" x14ac:dyDescent="0.3">
      <c r="BB1039196" s="38"/>
    </row>
    <row r="1039197" spans="54:54" ht="15.75" customHeight="1" x14ac:dyDescent="0.3">
      <c r="BB1039197" s="38"/>
    </row>
    <row r="1039198" spans="54:54" ht="15.75" customHeight="1" x14ac:dyDescent="0.3">
      <c r="BB1039198" s="38"/>
    </row>
    <row r="1039199" spans="54:54" ht="15.75" customHeight="1" x14ac:dyDescent="0.3">
      <c r="BB1039199" s="38"/>
    </row>
    <row r="1039200" spans="54:54" ht="15.75" customHeight="1" x14ac:dyDescent="0.3">
      <c r="BB1039200" s="38"/>
    </row>
    <row r="1039201" spans="54:54" ht="15.75" customHeight="1" x14ac:dyDescent="0.3">
      <c r="BB1039201" s="38"/>
    </row>
    <row r="1039202" spans="54:54" ht="15.75" customHeight="1" x14ac:dyDescent="0.3">
      <c r="BB1039202" s="38"/>
    </row>
    <row r="1039203" spans="54:54" ht="15.75" customHeight="1" x14ac:dyDescent="0.3">
      <c r="BB1039203" s="38"/>
    </row>
    <row r="1039204" spans="54:54" ht="15.75" customHeight="1" x14ac:dyDescent="0.3">
      <c r="BB1039204" s="38"/>
    </row>
    <row r="1039205" spans="54:54" ht="15.75" customHeight="1" x14ac:dyDescent="0.3">
      <c r="BB1039205" s="38"/>
    </row>
    <row r="1039206" spans="54:54" ht="15.75" customHeight="1" x14ac:dyDescent="0.3">
      <c r="BB1039206" s="38"/>
    </row>
    <row r="1039207" spans="54:54" ht="15.75" customHeight="1" x14ac:dyDescent="0.3">
      <c r="BB1039207" s="38"/>
    </row>
    <row r="1039208" spans="54:54" ht="15.75" customHeight="1" x14ac:dyDescent="0.3">
      <c r="BB1039208" s="38"/>
    </row>
    <row r="1039209" spans="54:54" ht="15.75" customHeight="1" x14ac:dyDescent="0.3">
      <c r="BB1039209" s="38"/>
    </row>
    <row r="1039210" spans="54:54" ht="15.75" customHeight="1" x14ac:dyDescent="0.3">
      <c r="BB1039210" s="38"/>
    </row>
    <row r="1039211" spans="54:54" ht="15.75" customHeight="1" x14ac:dyDescent="0.3">
      <c r="BB1039211" s="38"/>
    </row>
    <row r="1039212" spans="54:54" ht="15.75" customHeight="1" x14ac:dyDescent="0.3">
      <c r="BB1039212" s="38"/>
    </row>
    <row r="1039213" spans="54:54" ht="15.75" customHeight="1" x14ac:dyDescent="0.3">
      <c r="BB1039213" s="38"/>
    </row>
    <row r="1039214" spans="54:54" ht="15.75" customHeight="1" x14ac:dyDescent="0.3">
      <c r="BB1039214" s="38"/>
    </row>
    <row r="1039215" spans="54:54" ht="15.75" customHeight="1" x14ac:dyDescent="0.3">
      <c r="BB1039215" s="38"/>
    </row>
    <row r="1039216" spans="54:54" ht="15.75" customHeight="1" x14ac:dyDescent="0.3">
      <c r="BB1039216" s="38"/>
    </row>
    <row r="1039217" spans="54:54" ht="15.75" customHeight="1" x14ac:dyDescent="0.3">
      <c r="BB1039217" s="38"/>
    </row>
    <row r="1039218" spans="54:54" ht="15.75" customHeight="1" x14ac:dyDescent="0.3">
      <c r="BB1039218" s="38"/>
    </row>
    <row r="1039219" spans="54:54" ht="15.75" customHeight="1" x14ac:dyDescent="0.3">
      <c r="BB1039219" s="38"/>
    </row>
    <row r="1039220" spans="54:54" ht="15.75" customHeight="1" x14ac:dyDescent="0.3">
      <c r="BB1039220" s="38"/>
    </row>
    <row r="1039221" spans="54:54" ht="15.75" customHeight="1" x14ac:dyDescent="0.3">
      <c r="BB1039221" s="38"/>
    </row>
    <row r="1039222" spans="54:54" ht="15.75" customHeight="1" x14ac:dyDescent="0.3">
      <c r="BB1039222" s="38"/>
    </row>
    <row r="1039223" spans="54:54" ht="15.75" customHeight="1" x14ac:dyDescent="0.3">
      <c r="BB1039223" s="38"/>
    </row>
    <row r="1039224" spans="54:54" ht="15.75" customHeight="1" x14ac:dyDescent="0.3">
      <c r="BB1039224" s="38"/>
    </row>
    <row r="1039225" spans="54:54" ht="15.75" customHeight="1" x14ac:dyDescent="0.3">
      <c r="BB1039225" s="38"/>
    </row>
    <row r="1039226" spans="54:54" ht="15.75" customHeight="1" x14ac:dyDescent="0.3">
      <c r="BB1039226" s="38"/>
    </row>
    <row r="1039227" spans="54:54" ht="15.75" customHeight="1" x14ac:dyDescent="0.3">
      <c r="BB1039227" s="38"/>
    </row>
    <row r="1039228" spans="54:54" ht="15.75" customHeight="1" x14ac:dyDescent="0.3">
      <c r="BB1039228" s="38"/>
    </row>
    <row r="1039229" spans="54:54" ht="15.75" customHeight="1" x14ac:dyDescent="0.3">
      <c r="BB1039229" s="38"/>
    </row>
    <row r="1039230" spans="54:54" ht="15.75" customHeight="1" x14ac:dyDescent="0.3">
      <c r="BB1039230" s="38"/>
    </row>
    <row r="1039231" spans="54:54" ht="15.75" customHeight="1" x14ac:dyDescent="0.3">
      <c r="BB1039231" s="38"/>
    </row>
    <row r="1039232" spans="54:54" ht="15.75" customHeight="1" x14ac:dyDescent="0.3">
      <c r="BB1039232" s="38"/>
    </row>
    <row r="1039233" spans="54:54" ht="15.75" customHeight="1" x14ac:dyDescent="0.3">
      <c r="BB1039233" s="38"/>
    </row>
    <row r="1039234" spans="54:54" ht="15.75" customHeight="1" x14ac:dyDescent="0.3">
      <c r="BB1039234" s="38"/>
    </row>
    <row r="1039235" spans="54:54" ht="15.75" customHeight="1" x14ac:dyDescent="0.3">
      <c r="BB1039235" s="38"/>
    </row>
    <row r="1039236" spans="54:54" ht="15.75" customHeight="1" x14ac:dyDescent="0.3">
      <c r="BB1039236" s="38"/>
    </row>
    <row r="1039237" spans="54:54" ht="15.75" customHeight="1" x14ac:dyDescent="0.3">
      <c r="BB1039237" s="38"/>
    </row>
    <row r="1039238" spans="54:54" ht="15.75" customHeight="1" x14ac:dyDescent="0.3">
      <c r="BB1039238" s="38"/>
    </row>
    <row r="1039239" spans="54:54" ht="15.75" customHeight="1" x14ac:dyDescent="0.3">
      <c r="BB1039239" s="38"/>
    </row>
    <row r="1039240" spans="54:54" ht="15.75" customHeight="1" x14ac:dyDescent="0.3">
      <c r="BB1039240" s="38"/>
    </row>
    <row r="1039241" spans="54:54" ht="15.75" customHeight="1" x14ac:dyDescent="0.3">
      <c r="BB1039241" s="38"/>
    </row>
    <row r="1039242" spans="54:54" ht="15.75" customHeight="1" x14ac:dyDescent="0.3">
      <c r="BB1039242" s="38"/>
    </row>
    <row r="1039243" spans="54:54" ht="15.75" customHeight="1" x14ac:dyDescent="0.3">
      <c r="BB1039243" s="38"/>
    </row>
    <row r="1039244" spans="54:54" ht="15.75" customHeight="1" x14ac:dyDescent="0.3">
      <c r="BB1039244" s="38"/>
    </row>
    <row r="1039245" spans="54:54" ht="15.75" customHeight="1" x14ac:dyDescent="0.3">
      <c r="BB1039245" s="38"/>
    </row>
    <row r="1039246" spans="54:54" ht="15.75" customHeight="1" x14ac:dyDescent="0.3">
      <c r="BB1039246" s="38"/>
    </row>
    <row r="1039247" spans="54:54" ht="15.75" customHeight="1" x14ac:dyDescent="0.3">
      <c r="BB1039247" s="38"/>
    </row>
    <row r="1039248" spans="54:54" ht="15.75" customHeight="1" x14ac:dyDescent="0.3">
      <c r="BB1039248" s="38"/>
    </row>
    <row r="1039249" spans="54:54" ht="15.75" customHeight="1" x14ac:dyDescent="0.3">
      <c r="BB1039249" s="38"/>
    </row>
    <row r="1039250" spans="54:54" ht="15.75" customHeight="1" x14ac:dyDescent="0.3">
      <c r="BB1039250" s="38"/>
    </row>
    <row r="1039251" spans="54:54" ht="15.75" customHeight="1" x14ac:dyDescent="0.3">
      <c r="BB1039251" s="38"/>
    </row>
    <row r="1039252" spans="54:54" ht="15.75" customHeight="1" x14ac:dyDescent="0.3">
      <c r="BB1039252" s="38"/>
    </row>
    <row r="1039253" spans="54:54" ht="15.75" customHeight="1" x14ac:dyDescent="0.3">
      <c r="BB1039253" s="38"/>
    </row>
    <row r="1039254" spans="54:54" ht="15.75" customHeight="1" x14ac:dyDescent="0.3">
      <c r="BB1039254" s="38"/>
    </row>
    <row r="1039255" spans="54:54" ht="15.75" customHeight="1" x14ac:dyDescent="0.3">
      <c r="BB1039255" s="38"/>
    </row>
    <row r="1039256" spans="54:54" ht="15.75" customHeight="1" x14ac:dyDescent="0.3">
      <c r="BB1039256" s="38"/>
    </row>
    <row r="1039257" spans="54:54" ht="15.75" customHeight="1" x14ac:dyDescent="0.3">
      <c r="BB1039257" s="38"/>
    </row>
    <row r="1039258" spans="54:54" ht="15.75" customHeight="1" x14ac:dyDescent="0.3">
      <c r="BB1039258" s="38"/>
    </row>
    <row r="1039259" spans="54:54" ht="15.75" customHeight="1" x14ac:dyDescent="0.3">
      <c r="BB1039259" s="38"/>
    </row>
    <row r="1039260" spans="54:54" ht="15.75" customHeight="1" x14ac:dyDescent="0.3">
      <c r="BB1039260" s="38"/>
    </row>
    <row r="1039261" spans="54:54" ht="15.75" customHeight="1" x14ac:dyDescent="0.3">
      <c r="BB1039261" s="38"/>
    </row>
    <row r="1039262" spans="54:54" ht="15.75" customHeight="1" x14ac:dyDescent="0.3">
      <c r="BB1039262" s="38"/>
    </row>
    <row r="1039263" spans="54:54" ht="15.75" customHeight="1" x14ac:dyDescent="0.3">
      <c r="BB1039263" s="38"/>
    </row>
    <row r="1039264" spans="54:54" ht="15.75" customHeight="1" x14ac:dyDescent="0.3">
      <c r="BB1039264" s="38"/>
    </row>
    <row r="1039265" spans="54:54" ht="15.75" customHeight="1" x14ac:dyDescent="0.3">
      <c r="BB1039265" s="38"/>
    </row>
    <row r="1039266" spans="54:54" ht="15.75" customHeight="1" x14ac:dyDescent="0.3">
      <c r="BB1039266" s="38"/>
    </row>
    <row r="1039267" spans="54:54" ht="15.75" customHeight="1" x14ac:dyDescent="0.3">
      <c r="BB1039267" s="38"/>
    </row>
    <row r="1039268" spans="54:54" ht="15.75" customHeight="1" x14ac:dyDescent="0.3">
      <c r="BB1039268" s="38"/>
    </row>
    <row r="1039269" spans="54:54" ht="15.75" customHeight="1" x14ac:dyDescent="0.3">
      <c r="BB1039269" s="38"/>
    </row>
    <row r="1039270" spans="54:54" ht="15.75" customHeight="1" x14ac:dyDescent="0.3">
      <c r="BB1039270" s="38"/>
    </row>
    <row r="1039271" spans="54:54" ht="15.75" customHeight="1" x14ac:dyDescent="0.3">
      <c r="BB1039271" s="38"/>
    </row>
    <row r="1039272" spans="54:54" ht="15.75" customHeight="1" x14ac:dyDescent="0.3">
      <c r="BB1039272" s="38"/>
    </row>
    <row r="1039273" spans="54:54" ht="15.75" customHeight="1" x14ac:dyDescent="0.3">
      <c r="BB1039273" s="38"/>
    </row>
    <row r="1039274" spans="54:54" ht="15.75" customHeight="1" x14ac:dyDescent="0.3">
      <c r="BB1039274" s="38"/>
    </row>
    <row r="1039275" spans="54:54" ht="15.75" customHeight="1" x14ac:dyDescent="0.3">
      <c r="BB1039275" s="38"/>
    </row>
    <row r="1039276" spans="54:54" ht="15.75" customHeight="1" x14ac:dyDescent="0.3">
      <c r="BB1039276" s="38"/>
    </row>
    <row r="1039277" spans="54:54" ht="15.75" customHeight="1" x14ac:dyDescent="0.3">
      <c r="BB1039277" s="38"/>
    </row>
    <row r="1039278" spans="54:54" ht="15.75" customHeight="1" x14ac:dyDescent="0.3">
      <c r="BB1039278" s="38"/>
    </row>
    <row r="1039279" spans="54:54" ht="15.75" customHeight="1" x14ac:dyDescent="0.3">
      <c r="BB1039279" s="38"/>
    </row>
    <row r="1039280" spans="54:54" ht="15.75" customHeight="1" x14ac:dyDescent="0.3">
      <c r="BB1039280" s="38"/>
    </row>
    <row r="1039281" spans="54:54" ht="15.75" customHeight="1" x14ac:dyDescent="0.3">
      <c r="BB1039281" s="38"/>
    </row>
    <row r="1039282" spans="54:54" ht="15.75" customHeight="1" x14ac:dyDescent="0.3">
      <c r="BB1039282" s="38"/>
    </row>
    <row r="1039283" spans="54:54" ht="15.75" customHeight="1" x14ac:dyDescent="0.3">
      <c r="BB1039283" s="38"/>
    </row>
    <row r="1039284" spans="54:54" ht="15.75" customHeight="1" x14ac:dyDescent="0.3">
      <c r="BB1039284" s="38"/>
    </row>
    <row r="1039285" spans="54:54" ht="15.75" customHeight="1" x14ac:dyDescent="0.3">
      <c r="BB1039285" s="38"/>
    </row>
    <row r="1039286" spans="54:54" ht="15.75" customHeight="1" x14ac:dyDescent="0.3">
      <c r="BB1039286" s="38"/>
    </row>
    <row r="1039287" spans="54:54" ht="15.75" customHeight="1" x14ac:dyDescent="0.3">
      <c r="BB1039287" s="38"/>
    </row>
    <row r="1039288" spans="54:54" ht="15.75" customHeight="1" x14ac:dyDescent="0.3">
      <c r="BB1039288" s="38"/>
    </row>
    <row r="1039289" spans="54:54" ht="15.75" customHeight="1" x14ac:dyDescent="0.3">
      <c r="BB1039289" s="38"/>
    </row>
    <row r="1039290" spans="54:54" ht="15.75" customHeight="1" x14ac:dyDescent="0.3">
      <c r="BB1039290" s="38"/>
    </row>
    <row r="1039291" spans="54:54" ht="15.75" customHeight="1" x14ac:dyDescent="0.3">
      <c r="BB1039291" s="38"/>
    </row>
    <row r="1039292" spans="54:54" ht="15.75" customHeight="1" x14ac:dyDescent="0.3">
      <c r="BB1039292" s="38"/>
    </row>
    <row r="1039293" spans="54:54" ht="15.75" customHeight="1" x14ac:dyDescent="0.3">
      <c r="BB1039293" s="38"/>
    </row>
    <row r="1039294" spans="54:54" ht="15.75" customHeight="1" x14ac:dyDescent="0.3">
      <c r="BB1039294" s="38"/>
    </row>
    <row r="1039295" spans="54:54" ht="15.75" customHeight="1" x14ac:dyDescent="0.3">
      <c r="BB1039295" s="38"/>
    </row>
    <row r="1039296" spans="54:54" ht="15.75" customHeight="1" x14ac:dyDescent="0.3">
      <c r="BB1039296" s="38"/>
    </row>
    <row r="1039297" spans="54:54" ht="15.75" customHeight="1" x14ac:dyDescent="0.3">
      <c r="BB1039297" s="38"/>
    </row>
    <row r="1039298" spans="54:54" ht="15.75" customHeight="1" x14ac:dyDescent="0.3">
      <c r="BB1039298" s="38"/>
    </row>
    <row r="1039299" spans="54:54" ht="15.75" customHeight="1" x14ac:dyDescent="0.3">
      <c r="BB1039299" s="38"/>
    </row>
    <row r="1039300" spans="54:54" ht="15.75" customHeight="1" x14ac:dyDescent="0.3">
      <c r="BB1039300" s="38"/>
    </row>
    <row r="1039301" spans="54:54" ht="15.75" customHeight="1" x14ac:dyDescent="0.3">
      <c r="BB1039301" s="38"/>
    </row>
    <row r="1039302" spans="54:54" ht="15.75" customHeight="1" x14ac:dyDescent="0.3">
      <c r="BB1039302" s="38"/>
    </row>
    <row r="1039303" spans="54:54" ht="15.75" customHeight="1" x14ac:dyDescent="0.3">
      <c r="BB1039303" s="38"/>
    </row>
    <row r="1039304" spans="54:54" ht="15.75" customHeight="1" x14ac:dyDescent="0.3">
      <c r="BB1039304" s="38"/>
    </row>
    <row r="1039305" spans="54:54" ht="15.75" customHeight="1" x14ac:dyDescent="0.3">
      <c r="BB1039305" s="38"/>
    </row>
    <row r="1039306" spans="54:54" ht="15.75" customHeight="1" x14ac:dyDescent="0.3">
      <c r="BB1039306" s="38"/>
    </row>
    <row r="1039307" spans="54:54" ht="15.75" customHeight="1" x14ac:dyDescent="0.3">
      <c r="BB1039307" s="38"/>
    </row>
    <row r="1039308" spans="54:54" ht="15.75" customHeight="1" x14ac:dyDescent="0.3">
      <c r="BB1039308" s="38"/>
    </row>
    <row r="1039309" spans="54:54" ht="15.75" customHeight="1" x14ac:dyDescent="0.3">
      <c r="BB1039309" s="38"/>
    </row>
    <row r="1039310" spans="54:54" ht="15.75" customHeight="1" x14ac:dyDescent="0.3">
      <c r="BB1039310" s="38"/>
    </row>
    <row r="1039311" spans="54:54" ht="15.75" customHeight="1" x14ac:dyDescent="0.3">
      <c r="BB1039311" s="38"/>
    </row>
    <row r="1039312" spans="54:54" ht="15.75" customHeight="1" x14ac:dyDescent="0.3">
      <c r="BB1039312" s="38"/>
    </row>
    <row r="1039313" spans="54:54" ht="15.75" customHeight="1" x14ac:dyDescent="0.3">
      <c r="BB1039313" s="38"/>
    </row>
    <row r="1039314" spans="54:54" ht="15.75" customHeight="1" x14ac:dyDescent="0.3">
      <c r="BB1039314" s="38"/>
    </row>
    <row r="1039315" spans="54:54" ht="15.75" customHeight="1" x14ac:dyDescent="0.3">
      <c r="BB1039315" s="38"/>
    </row>
    <row r="1039316" spans="54:54" ht="15.75" customHeight="1" x14ac:dyDescent="0.3">
      <c r="BB1039316" s="38"/>
    </row>
    <row r="1039317" spans="54:54" ht="15.75" customHeight="1" x14ac:dyDescent="0.3">
      <c r="BB1039317" s="38"/>
    </row>
    <row r="1039318" spans="54:54" ht="15.75" customHeight="1" x14ac:dyDescent="0.3">
      <c r="BB1039318" s="38"/>
    </row>
    <row r="1039319" spans="54:54" ht="15.75" customHeight="1" x14ac:dyDescent="0.3">
      <c r="BB1039319" s="38"/>
    </row>
    <row r="1039320" spans="54:54" ht="15.75" customHeight="1" x14ac:dyDescent="0.3">
      <c r="BB1039320" s="38"/>
    </row>
    <row r="1039321" spans="54:54" ht="15.75" customHeight="1" x14ac:dyDescent="0.3">
      <c r="BB1039321" s="38"/>
    </row>
    <row r="1039322" spans="54:54" ht="15.75" customHeight="1" x14ac:dyDescent="0.3">
      <c r="BB1039322" s="38"/>
    </row>
    <row r="1039323" spans="54:54" ht="15.75" customHeight="1" x14ac:dyDescent="0.3">
      <c r="BB1039323" s="38"/>
    </row>
    <row r="1039324" spans="54:54" ht="15.75" customHeight="1" x14ac:dyDescent="0.3">
      <c r="BB1039324" s="38"/>
    </row>
    <row r="1039325" spans="54:54" ht="15.75" customHeight="1" x14ac:dyDescent="0.3">
      <c r="BB1039325" s="38"/>
    </row>
    <row r="1039326" spans="54:54" ht="15.75" customHeight="1" x14ac:dyDescent="0.3">
      <c r="BB1039326" s="38"/>
    </row>
    <row r="1039327" spans="54:54" ht="15.75" customHeight="1" x14ac:dyDescent="0.3">
      <c r="BB1039327" s="38"/>
    </row>
    <row r="1039328" spans="54:54" ht="15.75" customHeight="1" x14ac:dyDescent="0.3">
      <c r="BB1039328" s="38"/>
    </row>
    <row r="1039329" spans="54:54" ht="15.75" customHeight="1" x14ac:dyDescent="0.3">
      <c r="BB1039329" s="38"/>
    </row>
    <row r="1039330" spans="54:54" ht="15.75" customHeight="1" x14ac:dyDescent="0.3">
      <c r="BB1039330" s="38"/>
    </row>
    <row r="1039331" spans="54:54" ht="15.75" customHeight="1" x14ac:dyDescent="0.3">
      <c r="BB1039331" s="38"/>
    </row>
    <row r="1039332" spans="54:54" ht="15.75" customHeight="1" x14ac:dyDescent="0.3">
      <c r="BB1039332" s="38"/>
    </row>
    <row r="1039333" spans="54:54" ht="15.75" customHeight="1" x14ac:dyDescent="0.3">
      <c r="BB1039333" s="38"/>
    </row>
    <row r="1039334" spans="54:54" ht="15.75" customHeight="1" x14ac:dyDescent="0.3">
      <c r="BB1039334" s="38"/>
    </row>
    <row r="1039335" spans="54:54" ht="15.75" customHeight="1" x14ac:dyDescent="0.3">
      <c r="BB1039335" s="38"/>
    </row>
    <row r="1039336" spans="54:54" ht="15.75" customHeight="1" x14ac:dyDescent="0.3">
      <c r="BB1039336" s="38"/>
    </row>
    <row r="1039337" spans="54:54" ht="15.75" customHeight="1" x14ac:dyDescent="0.3">
      <c r="BB1039337" s="38"/>
    </row>
    <row r="1039338" spans="54:54" ht="15.75" customHeight="1" x14ac:dyDescent="0.3">
      <c r="BB1039338" s="38"/>
    </row>
    <row r="1039339" spans="54:54" ht="15.75" customHeight="1" x14ac:dyDescent="0.3">
      <c r="BB1039339" s="38"/>
    </row>
    <row r="1039340" spans="54:54" ht="15.75" customHeight="1" x14ac:dyDescent="0.3">
      <c r="BB1039340" s="38"/>
    </row>
    <row r="1039341" spans="54:54" ht="15.75" customHeight="1" x14ac:dyDescent="0.3">
      <c r="BB1039341" s="38"/>
    </row>
    <row r="1039342" spans="54:54" ht="15.75" customHeight="1" x14ac:dyDescent="0.3">
      <c r="BB1039342" s="38"/>
    </row>
    <row r="1039343" spans="54:54" ht="15.75" customHeight="1" x14ac:dyDescent="0.3">
      <c r="BB1039343" s="38"/>
    </row>
    <row r="1039344" spans="54:54" ht="15.75" customHeight="1" x14ac:dyDescent="0.3">
      <c r="BB1039344" s="38"/>
    </row>
    <row r="1039345" spans="54:54" ht="15.75" customHeight="1" x14ac:dyDescent="0.3">
      <c r="BB1039345" s="38"/>
    </row>
    <row r="1039346" spans="54:54" ht="15.75" customHeight="1" x14ac:dyDescent="0.3">
      <c r="BB1039346" s="38"/>
    </row>
    <row r="1039347" spans="54:54" ht="15.75" customHeight="1" x14ac:dyDescent="0.3">
      <c r="BB1039347" s="38"/>
    </row>
    <row r="1039348" spans="54:54" ht="15.75" customHeight="1" x14ac:dyDescent="0.3">
      <c r="BB1039348" s="38"/>
    </row>
    <row r="1039349" spans="54:54" ht="15.75" customHeight="1" x14ac:dyDescent="0.3">
      <c r="BB1039349" s="38"/>
    </row>
    <row r="1039350" spans="54:54" ht="15.75" customHeight="1" x14ac:dyDescent="0.3">
      <c r="BB1039350" s="38"/>
    </row>
    <row r="1039351" spans="54:54" ht="15.75" customHeight="1" x14ac:dyDescent="0.3">
      <c r="BB1039351" s="38"/>
    </row>
    <row r="1039352" spans="54:54" ht="15.75" customHeight="1" x14ac:dyDescent="0.3">
      <c r="BB1039352" s="38"/>
    </row>
    <row r="1039353" spans="54:54" ht="15.75" customHeight="1" x14ac:dyDescent="0.3">
      <c r="BB1039353" s="38"/>
    </row>
    <row r="1039354" spans="54:54" ht="15.75" customHeight="1" x14ac:dyDescent="0.3">
      <c r="BB1039354" s="38"/>
    </row>
    <row r="1039355" spans="54:54" ht="15.75" customHeight="1" x14ac:dyDescent="0.3">
      <c r="BB1039355" s="38"/>
    </row>
    <row r="1039356" spans="54:54" ht="15.75" customHeight="1" x14ac:dyDescent="0.3">
      <c r="BB1039356" s="38"/>
    </row>
    <row r="1039357" spans="54:54" ht="15.75" customHeight="1" x14ac:dyDescent="0.3">
      <c r="BB1039357" s="38"/>
    </row>
    <row r="1039358" spans="54:54" ht="15.75" customHeight="1" x14ac:dyDescent="0.3">
      <c r="BB1039358" s="38"/>
    </row>
    <row r="1039359" spans="54:54" ht="15.75" customHeight="1" x14ac:dyDescent="0.3">
      <c r="BB1039359" s="38"/>
    </row>
    <row r="1039360" spans="54:54" ht="15.75" customHeight="1" x14ac:dyDescent="0.3">
      <c r="BB1039360" s="38"/>
    </row>
    <row r="1039361" spans="54:54" ht="15.75" customHeight="1" x14ac:dyDescent="0.3">
      <c r="BB1039361" s="38"/>
    </row>
    <row r="1039362" spans="54:54" ht="15.75" customHeight="1" x14ac:dyDescent="0.3">
      <c r="BB1039362" s="38"/>
    </row>
    <row r="1039363" spans="54:54" ht="15.75" customHeight="1" x14ac:dyDescent="0.3">
      <c r="BB1039363" s="38"/>
    </row>
    <row r="1039364" spans="54:54" ht="15.75" customHeight="1" x14ac:dyDescent="0.3">
      <c r="BB1039364" s="38"/>
    </row>
    <row r="1039365" spans="54:54" ht="15.75" customHeight="1" x14ac:dyDescent="0.3">
      <c r="BB1039365" s="38"/>
    </row>
    <row r="1039366" spans="54:54" ht="15.75" customHeight="1" x14ac:dyDescent="0.3">
      <c r="BB1039366" s="38"/>
    </row>
    <row r="1039367" spans="54:54" ht="15.75" customHeight="1" x14ac:dyDescent="0.3">
      <c r="BB1039367" s="38"/>
    </row>
    <row r="1039368" spans="54:54" ht="15.75" customHeight="1" x14ac:dyDescent="0.3">
      <c r="BB1039368" s="38"/>
    </row>
    <row r="1039369" spans="54:54" ht="15.75" customHeight="1" x14ac:dyDescent="0.3">
      <c r="BB1039369" s="38"/>
    </row>
    <row r="1039370" spans="54:54" ht="15.75" customHeight="1" x14ac:dyDescent="0.3">
      <c r="BB1039370" s="38"/>
    </row>
    <row r="1039371" spans="54:54" ht="15.75" customHeight="1" x14ac:dyDescent="0.3">
      <c r="BB1039371" s="38"/>
    </row>
    <row r="1039372" spans="54:54" ht="15.75" customHeight="1" x14ac:dyDescent="0.3">
      <c r="BB1039372" s="38"/>
    </row>
    <row r="1039373" spans="54:54" ht="15.75" customHeight="1" x14ac:dyDescent="0.3">
      <c r="BB1039373" s="38"/>
    </row>
    <row r="1039374" spans="54:54" ht="15.75" customHeight="1" x14ac:dyDescent="0.3">
      <c r="BB1039374" s="38"/>
    </row>
    <row r="1039375" spans="54:54" ht="15.75" customHeight="1" x14ac:dyDescent="0.3">
      <c r="BB1039375" s="38"/>
    </row>
    <row r="1039376" spans="54:54" ht="15.75" customHeight="1" x14ac:dyDescent="0.3">
      <c r="BB1039376" s="38"/>
    </row>
    <row r="1039377" spans="54:54" ht="15.75" customHeight="1" x14ac:dyDescent="0.3">
      <c r="BB1039377" s="38"/>
    </row>
    <row r="1039378" spans="54:54" ht="15.75" customHeight="1" x14ac:dyDescent="0.3">
      <c r="BB1039378" s="38"/>
    </row>
    <row r="1039379" spans="54:54" ht="15.75" customHeight="1" x14ac:dyDescent="0.3">
      <c r="BB1039379" s="38"/>
    </row>
    <row r="1039380" spans="54:54" ht="15.75" customHeight="1" x14ac:dyDescent="0.3">
      <c r="BB1039380" s="38"/>
    </row>
    <row r="1039381" spans="54:54" ht="15.75" customHeight="1" x14ac:dyDescent="0.3">
      <c r="BB1039381" s="38"/>
    </row>
    <row r="1039382" spans="54:54" ht="15.75" customHeight="1" x14ac:dyDescent="0.3">
      <c r="BB1039382" s="38"/>
    </row>
    <row r="1039383" spans="54:54" ht="15.75" customHeight="1" x14ac:dyDescent="0.3">
      <c r="BB1039383" s="38"/>
    </row>
    <row r="1039384" spans="54:54" ht="15.75" customHeight="1" x14ac:dyDescent="0.3">
      <c r="BB1039384" s="38"/>
    </row>
    <row r="1039385" spans="54:54" ht="15.75" customHeight="1" x14ac:dyDescent="0.3">
      <c r="BB1039385" s="38"/>
    </row>
    <row r="1039386" spans="54:54" ht="15.75" customHeight="1" x14ac:dyDescent="0.3">
      <c r="BB1039386" s="38"/>
    </row>
    <row r="1039387" spans="54:54" ht="15.75" customHeight="1" x14ac:dyDescent="0.3">
      <c r="BB1039387" s="38"/>
    </row>
    <row r="1039388" spans="54:54" ht="15.75" customHeight="1" x14ac:dyDescent="0.3">
      <c r="BB1039388" s="38"/>
    </row>
    <row r="1039389" spans="54:54" ht="15.75" customHeight="1" x14ac:dyDescent="0.3">
      <c r="BB1039389" s="38"/>
    </row>
    <row r="1039390" spans="54:54" ht="15.75" customHeight="1" x14ac:dyDescent="0.3">
      <c r="BB1039390" s="38"/>
    </row>
    <row r="1039391" spans="54:54" ht="15.75" customHeight="1" x14ac:dyDescent="0.3">
      <c r="BB1039391" s="38"/>
    </row>
    <row r="1039392" spans="54:54" ht="15.75" customHeight="1" x14ac:dyDescent="0.3">
      <c r="BB1039392" s="38"/>
    </row>
    <row r="1039393" spans="54:54" ht="15.75" customHeight="1" x14ac:dyDescent="0.3">
      <c r="BB1039393" s="38"/>
    </row>
    <row r="1039394" spans="54:54" ht="15.75" customHeight="1" x14ac:dyDescent="0.3">
      <c r="BB1039394" s="38"/>
    </row>
    <row r="1039395" spans="54:54" ht="15.75" customHeight="1" x14ac:dyDescent="0.3">
      <c r="BB1039395" s="38"/>
    </row>
    <row r="1039396" spans="54:54" ht="15.75" customHeight="1" x14ac:dyDescent="0.3">
      <c r="BB1039396" s="38"/>
    </row>
    <row r="1039397" spans="54:54" ht="15.75" customHeight="1" x14ac:dyDescent="0.3">
      <c r="BB1039397" s="38"/>
    </row>
    <row r="1039398" spans="54:54" ht="15.75" customHeight="1" x14ac:dyDescent="0.3">
      <c r="BB1039398" s="38"/>
    </row>
    <row r="1039399" spans="54:54" ht="15.75" customHeight="1" x14ac:dyDescent="0.3">
      <c r="BB1039399" s="38"/>
    </row>
    <row r="1039400" spans="54:54" ht="15.75" customHeight="1" x14ac:dyDescent="0.3">
      <c r="BB1039400" s="38"/>
    </row>
    <row r="1039401" spans="54:54" ht="15.75" customHeight="1" x14ac:dyDescent="0.3">
      <c r="BB1039401" s="38"/>
    </row>
    <row r="1039402" spans="54:54" ht="15.75" customHeight="1" x14ac:dyDescent="0.3">
      <c r="BB1039402" s="38"/>
    </row>
    <row r="1039403" spans="54:54" ht="15.75" customHeight="1" x14ac:dyDescent="0.3">
      <c r="BB1039403" s="38"/>
    </row>
    <row r="1039404" spans="54:54" ht="15.75" customHeight="1" x14ac:dyDescent="0.3">
      <c r="BB1039404" s="38"/>
    </row>
    <row r="1039405" spans="54:54" ht="15.75" customHeight="1" x14ac:dyDescent="0.3">
      <c r="BB1039405" s="38"/>
    </row>
    <row r="1039406" spans="54:54" ht="15.75" customHeight="1" x14ac:dyDescent="0.3">
      <c r="BB1039406" s="38"/>
    </row>
    <row r="1039407" spans="54:54" ht="15.75" customHeight="1" x14ac:dyDescent="0.3">
      <c r="BB1039407" s="38"/>
    </row>
    <row r="1039408" spans="54:54" ht="15.75" customHeight="1" x14ac:dyDescent="0.3">
      <c r="BB1039408" s="38"/>
    </row>
    <row r="1039409" spans="54:54" ht="15.75" customHeight="1" x14ac:dyDescent="0.3">
      <c r="BB1039409" s="38"/>
    </row>
    <row r="1039410" spans="54:54" ht="15.75" customHeight="1" x14ac:dyDescent="0.3">
      <c r="BB1039410" s="38"/>
    </row>
    <row r="1039411" spans="54:54" ht="15.75" customHeight="1" x14ac:dyDescent="0.3">
      <c r="BB1039411" s="38"/>
    </row>
    <row r="1039412" spans="54:54" ht="15.75" customHeight="1" x14ac:dyDescent="0.3">
      <c r="BB1039412" s="38"/>
    </row>
    <row r="1039413" spans="54:54" ht="15.75" customHeight="1" x14ac:dyDescent="0.3">
      <c r="BB1039413" s="38"/>
    </row>
    <row r="1039414" spans="54:54" ht="15.75" customHeight="1" x14ac:dyDescent="0.3">
      <c r="BB1039414" s="38"/>
    </row>
    <row r="1039415" spans="54:54" ht="15.75" customHeight="1" x14ac:dyDescent="0.3">
      <c r="BB1039415" s="38"/>
    </row>
    <row r="1039416" spans="54:54" ht="15.75" customHeight="1" x14ac:dyDescent="0.3">
      <c r="BB1039416" s="38"/>
    </row>
    <row r="1039417" spans="54:54" ht="15.75" customHeight="1" x14ac:dyDescent="0.3">
      <c r="BB1039417" s="38"/>
    </row>
    <row r="1039418" spans="54:54" ht="15.75" customHeight="1" x14ac:dyDescent="0.3">
      <c r="BB1039418" s="38"/>
    </row>
    <row r="1039419" spans="54:54" ht="15.75" customHeight="1" x14ac:dyDescent="0.3">
      <c r="BB1039419" s="38"/>
    </row>
    <row r="1039420" spans="54:54" ht="15.75" customHeight="1" x14ac:dyDescent="0.3">
      <c r="BB1039420" s="38"/>
    </row>
    <row r="1039421" spans="54:54" ht="15.75" customHeight="1" x14ac:dyDescent="0.3">
      <c r="BB1039421" s="38"/>
    </row>
    <row r="1039422" spans="54:54" ht="15.75" customHeight="1" x14ac:dyDescent="0.3">
      <c r="BB1039422" s="38"/>
    </row>
    <row r="1039423" spans="54:54" ht="15.75" customHeight="1" x14ac:dyDescent="0.3">
      <c r="BB1039423" s="38"/>
    </row>
    <row r="1039424" spans="54:54" ht="15.75" customHeight="1" x14ac:dyDescent="0.3">
      <c r="BB1039424" s="38"/>
    </row>
    <row r="1039425" spans="54:54" ht="15.75" customHeight="1" x14ac:dyDescent="0.3">
      <c r="BB1039425" s="38"/>
    </row>
    <row r="1039426" spans="54:54" ht="15.75" customHeight="1" x14ac:dyDescent="0.3">
      <c r="BB1039426" s="38"/>
    </row>
    <row r="1039427" spans="54:54" ht="15.75" customHeight="1" x14ac:dyDescent="0.3">
      <c r="BB1039427" s="38"/>
    </row>
    <row r="1039428" spans="54:54" ht="15.75" customHeight="1" x14ac:dyDescent="0.3">
      <c r="BB1039428" s="38"/>
    </row>
    <row r="1039429" spans="54:54" ht="15.75" customHeight="1" x14ac:dyDescent="0.3">
      <c r="BB1039429" s="38"/>
    </row>
    <row r="1039430" spans="54:54" ht="15.75" customHeight="1" x14ac:dyDescent="0.3">
      <c r="BB1039430" s="38"/>
    </row>
    <row r="1039431" spans="54:54" ht="15.75" customHeight="1" x14ac:dyDescent="0.3">
      <c r="BB1039431" s="38"/>
    </row>
    <row r="1039432" spans="54:54" ht="15.75" customHeight="1" x14ac:dyDescent="0.3">
      <c r="BB1039432" s="38"/>
    </row>
    <row r="1039433" spans="54:54" ht="15.75" customHeight="1" x14ac:dyDescent="0.3">
      <c r="BB1039433" s="38"/>
    </row>
    <row r="1039434" spans="54:54" ht="15.75" customHeight="1" x14ac:dyDescent="0.3">
      <c r="BB1039434" s="38"/>
    </row>
    <row r="1039435" spans="54:54" ht="15.75" customHeight="1" x14ac:dyDescent="0.3">
      <c r="BB1039435" s="38"/>
    </row>
    <row r="1039436" spans="54:54" ht="15.75" customHeight="1" x14ac:dyDescent="0.3">
      <c r="BB1039436" s="38"/>
    </row>
    <row r="1039437" spans="54:54" ht="15.75" customHeight="1" x14ac:dyDescent="0.3">
      <c r="BB1039437" s="38"/>
    </row>
    <row r="1039438" spans="54:54" ht="15.75" customHeight="1" x14ac:dyDescent="0.3">
      <c r="BB1039438" s="38"/>
    </row>
    <row r="1039439" spans="54:54" ht="15.75" customHeight="1" x14ac:dyDescent="0.3">
      <c r="BB1039439" s="38"/>
    </row>
    <row r="1039440" spans="54:54" ht="15.75" customHeight="1" x14ac:dyDescent="0.3">
      <c r="BB1039440" s="38"/>
    </row>
    <row r="1039441" spans="54:54" ht="15.75" customHeight="1" x14ac:dyDescent="0.3">
      <c r="BB1039441" s="38"/>
    </row>
    <row r="1039442" spans="54:54" ht="15.75" customHeight="1" x14ac:dyDescent="0.3">
      <c r="BB1039442" s="38"/>
    </row>
    <row r="1039443" spans="54:54" ht="15.75" customHeight="1" x14ac:dyDescent="0.3">
      <c r="BB1039443" s="38"/>
    </row>
    <row r="1039444" spans="54:54" ht="15.75" customHeight="1" x14ac:dyDescent="0.3">
      <c r="BB1039444" s="38"/>
    </row>
    <row r="1039445" spans="54:54" ht="15.75" customHeight="1" x14ac:dyDescent="0.3">
      <c r="BB1039445" s="38"/>
    </row>
    <row r="1039446" spans="54:54" ht="15.75" customHeight="1" x14ac:dyDescent="0.3">
      <c r="BB1039446" s="38"/>
    </row>
    <row r="1039447" spans="54:54" ht="15.75" customHeight="1" x14ac:dyDescent="0.3">
      <c r="BB1039447" s="38"/>
    </row>
    <row r="1039448" spans="54:54" ht="15.75" customHeight="1" x14ac:dyDescent="0.3">
      <c r="BB1039448" s="38"/>
    </row>
    <row r="1039449" spans="54:54" ht="15.75" customHeight="1" x14ac:dyDescent="0.3">
      <c r="BB1039449" s="38"/>
    </row>
    <row r="1039450" spans="54:54" ht="15.75" customHeight="1" x14ac:dyDescent="0.3">
      <c r="BB1039450" s="38"/>
    </row>
    <row r="1039451" spans="54:54" ht="15.75" customHeight="1" x14ac:dyDescent="0.3">
      <c r="BB1039451" s="38"/>
    </row>
    <row r="1039452" spans="54:54" ht="15.75" customHeight="1" x14ac:dyDescent="0.3">
      <c r="BB1039452" s="38"/>
    </row>
    <row r="1039453" spans="54:54" ht="15.75" customHeight="1" x14ac:dyDescent="0.3">
      <c r="BB1039453" s="38"/>
    </row>
    <row r="1039454" spans="54:54" ht="15.75" customHeight="1" x14ac:dyDescent="0.3">
      <c r="BB1039454" s="38"/>
    </row>
    <row r="1039455" spans="54:54" ht="15.75" customHeight="1" x14ac:dyDescent="0.3">
      <c r="BB1039455" s="38"/>
    </row>
    <row r="1039456" spans="54:54" ht="15.75" customHeight="1" x14ac:dyDescent="0.3">
      <c r="BB1039456" s="38"/>
    </row>
    <row r="1039457" spans="54:54" ht="15.75" customHeight="1" x14ac:dyDescent="0.3">
      <c r="BB1039457" s="38"/>
    </row>
    <row r="1039458" spans="54:54" ht="15.75" customHeight="1" x14ac:dyDescent="0.3">
      <c r="BB1039458" s="38"/>
    </row>
    <row r="1039459" spans="54:54" ht="15.75" customHeight="1" x14ac:dyDescent="0.3">
      <c r="BB1039459" s="38"/>
    </row>
    <row r="1039460" spans="54:54" ht="15.75" customHeight="1" x14ac:dyDescent="0.3">
      <c r="BB1039460" s="38"/>
    </row>
    <row r="1039461" spans="54:54" ht="15.75" customHeight="1" x14ac:dyDescent="0.3">
      <c r="BB1039461" s="38"/>
    </row>
    <row r="1039462" spans="54:54" ht="15.75" customHeight="1" x14ac:dyDescent="0.3">
      <c r="BB1039462" s="38"/>
    </row>
    <row r="1039463" spans="54:54" ht="15.75" customHeight="1" x14ac:dyDescent="0.3">
      <c r="BB1039463" s="38"/>
    </row>
    <row r="1039464" spans="54:54" ht="15.75" customHeight="1" x14ac:dyDescent="0.3">
      <c r="BB1039464" s="38"/>
    </row>
    <row r="1039465" spans="54:54" ht="15.75" customHeight="1" x14ac:dyDescent="0.3">
      <c r="BB1039465" s="38"/>
    </row>
    <row r="1039466" spans="54:54" ht="15.75" customHeight="1" x14ac:dyDescent="0.3">
      <c r="BB1039466" s="38"/>
    </row>
    <row r="1039467" spans="54:54" ht="15.75" customHeight="1" x14ac:dyDescent="0.3">
      <c r="BB1039467" s="38"/>
    </row>
    <row r="1039468" spans="54:54" ht="15.75" customHeight="1" x14ac:dyDescent="0.3">
      <c r="BB1039468" s="38"/>
    </row>
    <row r="1039469" spans="54:54" ht="15.75" customHeight="1" x14ac:dyDescent="0.3">
      <c r="BB1039469" s="38"/>
    </row>
    <row r="1039470" spans="54:54" ht="15.75" customHeight="1" x14ac:dyDescent="0.3">
      <c r="BB1039470" s="38"/>
    </row>
    <row r="1039471" spans="54:54" ht="15.75" customHeight="1" x14ac:dyDescent="0.3">
      <c r="BB1039471" s="38"/>
    </row>
    <row r="1039472" spans="54:54" ht="15.75" customHeight="1" x14ac:dyDescent="0.3">
      <c r="BB1039472" s="38"/>
    </row>
    <row r="1039473" spans="54:54" ht="15.75" customHeight="1" x14ac:dyDescent="0.3">
      <c r="BB1039473" s="38"/>
    </row>
    <row r="1039474" spans="54:54" ht="15.75" customHeight="1" x14ac:dyDescent="0.3">
      <c r="BB1039474" s="38"/>
    </row>
    <row r="1039475" spans="54:54" ht="15.75" customHeight="1" x14ac:dyDescent="0.3">
      <c r="BB1039475" s="38"/>
    </row>
    <row r="1039476" spans="54:54" ht="15.75" customHeight="1" x14ac:dyDescent="0.3">
      <c r="BB1039476" s="38"/>
    </row>
    <row r="1039477" spans="54:54" ht="15.75" customHeight="1" x14ac:dyDescent="0.3">
      <c r="BB1039477" s="38"/>
    </row>
    <row r="1039478" spans="54:54" ht="15.75" customHeight="1" x14ac:dyDescent="0.3">
      <c r="BB1039478" s="38"/>
    </row>
    <row r="1039479" spans="54:54" ht="15.75" customHeight="1" x14ac:dyDescent="0.3">
      <c r="BB1039479" s="38"/>
    </row>
    <row r="1039480" spans="54:54" ht="15.75" customHeight="1" x14ac:dyDescent="0.3">
      <c r="BB1039480" s="38"/>
    </row>
    <row r="1039481" spans="54:54" ht="15.75" customHeight="1" x14ac:dyDescent="0.3">
      <c r="BB1039481" s="38"/>
    </row>
    <row r="1039482" spans="54:54" ht="15.75" customHeight="1" x14ac:dyDescent="0.3">
      <c r="BB1039482" s="38"/>
    </row>
    <row r="1039483" spans="54:54" ht="15.75" customHeight="1" x14ac:dyDescent="0.3">
      <c r="BB1039483" s="38"/>
    </row>
    <row r="1039484" spans="54:54" ht="15.75" customHeight="1" x14ac:dyDescent="0.3">
      <c r="BB1039484" s="38"/>
    </row>
    <row r="1039485" spans="54:54" ht="15.75" customHeight="1" x14ac:dyDescent="0.3">
      <c r="BB1039485" s="38"/>
    </row>
    <row r="1039486" spans="54:54" ht="15.75" customHeight="1" x14ac:dyDescent="0.3">
      <c r="BB1039486" s="38"/>
    </row>
    <row r="1039487" spans="54:54" ht="15.75" customHeight="1" x14ac:dyDescent="0.3">
      <c r="BB1039487" s="38"/>
    </row>
    <row r="1039488" spans="54:54" ht="15.75" customHeight="1" x14ac:dyDescent="0.3">
      <c r="BB1039488" s="38"/>
    </row>
    <row r="1039489" spans="54:54" ht="15.75" customHeight="1" x14ac:dyDescent="0.3">
      <c r="BB1039489" s="38"/>
    </row>
    <row r="1039490" spans="54:54" ht="15.75" customHeight="1" x14ac:dyDescent="0.3">
      <c r="BB1039490" s="38"/>
    </row>
    <row r="1039491" spans="54:54" ht="15.75" customHeight="1" x14ac:dyDescent="0.3">
      <c r="BB1039491" s="38"/>
    </row>
    <row r="1039492" spans="54:54" ht="15.75" customHeight="1" x14ac:dyDescent="0.3">
      <c r="BB1039492" s="38"/>
    </row>
    <row r="1039493" spans="54:54" ht="15.75" customHeight="1" x14ac:dyDescent="0.3">
      <c r="BB1039493" s="38"/>
    </row>
    <row r="1039494" spans="54:54" ht="15.75" customHeight="1" x14ac:dyDescent="0.3">
      <c r="BB1039494" s="38"/>
    </row>
    <row r="1039495" spans="54:54" ht="15.75" customHeight="1" x14ac:dyDescent="0.3">
      <c r="BB1039495" s="38"/>
    </row>
    <row r="1039496" spans="54:54" ht="15.75" customHeight="1" x14ac:dyDescent="0.3">
      <c r="BB1039496" s="38"/>
    </row>
    <row r="1039497" spans="54:54" ht="15.75" customHeight="1" x14ac:dyDescent="0.3">
      <c r="BB1039497" s="38"/>
    </row>
    <row r="1039498" spans="54:54" ht="15.75" customHeight="1" x14ac:dyDescent="0.3">
      <c r="BB1039498" s="38"/>
    </row>
    <row r="1039499" spans="54:54" ht="15.75" customHeight="1" x14ac:dyDescent="0.3">
      <c r="BB1039499" s="38"/>
    </row>
    <row r="1039500" spans="54:54" ht="15.75" customHeight="1" x14ac:dyDescent="0.3">
      <c r="BB1039500" s="38"/>
    </row>
    <row r="1039501" spans="54:54" ht="15.75" customHeight="1" x14ac:dyDescent="0.3">
      <c r="BB1039501" s="38"/>
    </row>
    <row r="1039502" spans="54:54" ht="15.75" customHeight="1" x14ac:dyDescent="0.3">
      <c r="BB1039502" s="38"/>
    </row>
    <row r="1039503" spans="54:54" ht="15.75" customHeight="1" x14ac:dyDescent="0.3">
      <c r="BB1039503" s="38"/>
    </row>
    <row r="1039504" spans="54:54" ht="15.75" customHeight="1" x14ac:dyDescent="0.3">
      <c r="BB1039504" s="38"/>
    </row>
    <row r="1039505" spans="54:54" ht="15.75" customHeight="1" x14ac:dyDescent="0.3">
      <c r="BB1039505" s="38"/>
    </row>
    <row r="1039506" spans="54:54" ht="15.75" customHeight="1" x14ac:dyDescent="0.3">
      <c r="BB1039506" s="38"/>
    </row>
    <row r="1039507" spans="54:54" ht="15.75" customHeight="1" x14ac:dyDescent="0.3">
      <c r="BB1039507" s="38"/>
    </row>
    <row r="1039508" spans="54:54" ht="15.75" customHeight="1" x14ac:dyDescent="0.3">
      <c r="BB1039508" s="38"/>
    </row>
    <row r="1039509" spans="54:54" ht="15.75" customHeight="1" x14ac:dyDescent="0.3">
      <c r="BB1039509" s="38"/>
    </row>
    <row r="1039510" spans="54:54" ht="15.75" customHeight="1" x14ac:dyDescent="0.3">
      <c r="BB1039510" s="38"/>
    </row>
    <row r="1039511" spans="54:54" ht="15.75" customHeight="1" x14ac:dyDescent="0.3">
      <c r="BB1039511" s="38"/>
    </row>
    <row r="1039512" spans="54:54" ht="15.75" customHeight="1" x14ac:dyDescent="0.3">
      <c r="BB1039512" s="38"/>
    </row>
    <row r="1039513" spans="54:54" ht="15.75" customHeight="1" x14ac:dyDescent="0.3">
      <c r="BB1039513" s="38"/>
    </row>
    <row r="1039514" spans="54:54" ht="15.75" customHeight="1" x14ac:dyDescent="0.3">
      <c r="BB1039514" s="38"/>
    </row>
    <row r="1039515" spans="54:54" ht="15.75" customHeight="1" x14ac:dyDescent="0.3">
      <c r="BB1039515" s="38"/>
    </row>
    <row r="1039516" spans="54:54" ht="15.75" customHeight="1" x14ac:dyDescent="0.3">
      <c r="BB1039516" s="38"/>
    </row>
    <row r="1039517" spans="54:54" ht="15.75" customHeight="1" x14ac:dyDescent="0.3">
      <c r="BB1039517" s="38"/>
    </row>
    <row r="1039518" spans="54:54" ht="15.75" customHeight="1" x14ac:dyDescent="0.3">
      <c r="BB1039518" s="38"/>
    </row>
    <row r="1039519" spans="54:54" ht="15.75" customHeight="1" x14ac:dyDescent="0.3">
      <c r="BB1039519" s="38"/>
    </row>
    <row r="1039520" spans="54:54" ht="15.75" customHeight="1" x14ac:dyDescent="0.3">
      <c r="BB1039520" s="38"/>
    </row>
    <row r="1039521" spans="54:54" ht="15.75" customHeight="1" x14ac:dyDescent="0.3">
      <c r="BB1039521" s="38"/>
    </row>
    <row r="1039522" spans="54:54" ht="15.75" customHeight="1" x14ac:dyDescent="0.3">
      <c r="BB1039522" s="38"/>
    </row>
    <row r="1039523" spans="54:54" ht="15.75" customHeight="1" x14ac:dyDescent="0.3">
      <c r="BB1039523" s="38"/>
    </row>
    <row r="1039524" spans="54:54" ht="15.75" customHeight="1" x14ac:dyDescent="0.3">
      <c r="BB1039524" s="38"/>
    </row>
    <row r="1039525" spans="54:54" ht="15.75" customHeight="1" x14ac:dyDescent="0.3">
      <c r="BB1039525" s="38"/>
    </row>
    <row r="1039526" spans="54:54" ht="15.75" customHeight="1" x14ac:dyDescent="0.3">
      <c r="BB1039526" s="38"/>
    </row>
    <row r="1039527" spans="54:54" ht="15.75" customHeight="1" x14ac:dyDescent="0.3">
      <c r="BB1039527" s="38"/>
    </row>
    <row r="1039528" spans="54:54" ht="15.75" customHeight="1" x14ac:dyDescent="0.3">
      <c r="BB1039528" s="38"/>
    </row>
    <row r="1039529" spans="54:54" ht="15.75" customHeight="1" x14ac:dyDescent="0.3">
      <c r="BB1039529" s="38"/>
    </row>
    <row r="1039530" spans="54:54" ht="15.75" customHeight="1" x14ac:dyDescent="0.3">
      <c r="BB1039530" s="38"/>
    </row>
    <row r="1039531" spans="54:54" ht="15.75" customHeight="1" x14ac:dyDescent="0.3">
      <c r="BB1039531" s="38"/>
    </row>
    <row r="1039532" spans="54:54" ht="15.75" customHeight="1" x14ac:dyDescent="0.3">
      <c r="BB1039532" s="38"/>
    </row>
    <row r="1039533" spans="54:54" ht="15.75" customHeight="1" x14ac:dyDescent="0.3">
      <c r="BB1039533" s="38"/>
    </row>
    <row r="1039534" spans="54:54" ht="15.75" customHeight="1" x14ac:dyDescent="0.3">
      <c r="BB1039534" s="38"/>
    </row>
    <row r="1039535" spans="54:54" ht="15.75" customHeight="1" x14ac:dyDescent="0.3">
      <c r="BB1039535" s="38"/>
    </row>
    <row r="1039536" spans="54:54" ht="15.75" customHeight="1" x14ac:dyDescent="0.3">
      <c r="BB1039536" s="38"/>
    </row>
    <row r="1039537" spans="54:54" ht="15.75" customHeight="1" x14ac:dyDescent="0.3">
      <c r="BB1039537" s="38"/>
    </row>
    <row r="1039538" spans="54:54" ht="15.75" customHeight="1" x14ac:dyDescent="0.3">
      <c r="BB1039538" s="38"/>
    </row>
    <row r="1039539" spans="54:54" ht="15.75" customHeight="1" x14ac:dyDescent="0.3">
      <c r="BB1039539" s="38"/>
    </row>
    <row r="1039540" spans="54:54" ht="15.75" customHeight="1" x14ac:dyDescent="0.3">
      <c r="BB1039540" s="38"/>
    </row>
    <row r="1039541" spans="54:54" ht="15.75" customHeight="1" x14ac:dyDescent="0.3">
      <c r="BB1039541" s="38"/>
    </row>
    <row r="1039542" spans="54:54" ht="15.75" customHeight="1" x14ac:dyDescent="0.3">
      <c r="BB1039542" s="38"/>
    </row>
    <row r="1039543" spans="54:54" ht="15.75" customHeight="1" x14ac:dyDescent="0.3">
      <c r="BB1039543" s="38"/>
    </row>
    <row r="1039544" spans="54:54" ht="15.75" customHeight="1" x14ac:dyDescent="0.3">
      <c r="BB1039544" s="38"/>
    </row>
    <row r="1039545" spans="54:54" ht="15.75" customHeight="1" x14ac:dyDescent="0.3">
      <c r="BB1039545" s="38"/>
    </row>
    <row r="1039546" spans="54:54" ht="15.75" customHeight="1" x14ac:dyDescent="0.3">
      <c r="BB1039546" s="38"/>
    </row>
    <row r="1039547" spans="54:54" ht="15.75" customHeight="1" x14ac:dyDescent="0.3">
      <c r="BB1039547" s="38"/>
    </row>
    <row r="1039548" spans="54:54" ht="15.75" customHeight="1" x14ac:dyDescent="0.3">
      <c r="BB1039548" s="38"/>
    </row>
    <row r="1039549" spans="54:54" ht="15.75" customHeight="1" x14ac:dyDescent="0.3">
      <c r="BB1039549" s="38"/>
    </row>
    <row r="1039550" spans="54:54" ht="15.75" customHeight="1" x14ac:dyDescent="0.3">
      <c r="BB1039550" s="38"/>
    </row>
    <row r="1039551" spans="54:54" ht="15.75" customHeight="1" x14ac:dyDescent="0.3">
      <c r="BB1039551" s="38"/>
    </row>
    <row r="1039552" spans="54:54" ht="15.75" customHeight="1" x14ac:dyDescent="0.3">
      <c r="BB1039552" s="38"/>
    </row>
    <row r="1039553" spans="54:54" ht="15.75" customHeight="1" x14ac:dyDescent="0.3">
      <c r="BB1039553" s="38"/>
    </row>
    <row r="1039554" spans="54:54" ht="15.75" customHeight="1" x14ac:dyDescent="0.3">
      <c r="BB1039554" s="38"/>
    </row>
    <row r="1039555" spans="54:54" ht="15.75" customHeight="1" x14ac:dyDescent="0.3">
      <c r="BB1039555" s="38"/>
    </row>
    <row r="1039556" spans="54:54" ht="15.75" customHeight="1" x14ac:dyDescent="0.3">
      <c r="BB1039556" s="38"/>
    </row>
    <row r="1039557" spans="54:54" ht="15.75" customHeight="1" x14ac:dyDescent="0.3">
      <c r="BB1039557" s="38"/>
    </row>
    <row r="1039558" spans="54:54" ht="15.75" customHeight="1" x14ac:dyDescent="0.3">
      <c r="BB1039558" s="38"/>
    </row>
    <row r="1039559" spans="54:54" ht="15.75" customHeight="1" x14ac:dyDescent="0.3">
      <c r="BB1039559" s="38"/>
    </row>
    <row r="1039560" spans="54:54" ht="15.75" customHeight="1" x14ac:dyDescent="0.3">
      <c r="BB1039560" s="38"/>
    </row>
    <row r="1039561" spans="54:54" ht="15.75" customHeight="1" x14ac:dyDescent="0.3">
      <c r="BB1039561" s="38"/>
    </row>
    <row r="1039562" spans="54:54" ht="15.75" customHeight="1" x14ac:dyDescent="0.3">
      <c r="BB1039562" s="38"/>
    </row>
    <row r="1039563" spans="54:54" ht="15.75" customHeight="1" x14ac:dyDescent="0.3">
      <c r="BB1039563" s="38"/>
    </row>
    <row r="1039564" spans="54:54" ht="15.75" customHeight="1" x14ac:dyDescent="0.3">
      <c r="BB1039564" s="38"/>
    </row>
    <row r="1039565" spans="54:54" ht="15.75" customHeight="1" x14ac:dyDescent="0.3">
      <c r="BB1039565" s="38"/>
    </row>
    <row r="1039566" spans="54:54" ht="15.75" customHeight="1" x14ac:dyDescent="0.3">
      <c r="BB1039566" s="38"/>
    </row>
    <row r="1039567" spans="54:54" ht="15.75" customHeight="1" x14ac:dyDescent="0.3">
      <c r="BB1039567" s="38"/>
    </row>
    <row r="1039568" spans="54:54" ht="15.75" customHeight="1" x14ac:dyDescent="0.3">
      <c r="BB1039568" s="38"/>
    </row>
    <row r="1039569" spans="54:54" ht="15.75" customHeight="1" x14ac:dyDescent="0.3">
      <c r="BB1039569" s="38"/>
    </row>
    <row r="1039570" spans="54:54" ht="15.75" customHeight="1" x14ac:dyDescent="0.3">
      <c r="BB1039570" s="38"/>
    </row>
    <row r="1039571" spans="54:54" ht="15.75" customHeight="1" x14ac:dyDescent="0.3">
      <c r="BB1039571" s="38"/>
    </row>
    <row r="1039572" spans="54:54" ht="15.75" customHeight="1" x14ac:dyDescent="0.3">
      <c r="BB1039572" s="38"/>
    </row>
    <row r="1039573" spans="54:54" ht="15.75" customHeight="1" x14ac:dyDescent="0.3">
      <c r="BB1039573" s="38"/>
    </row>
    <row r="1039574" spans="54:54" ht="15.75" customHeight="1" x14ac:dyDescent="0.3">
      <c r="BB1039574" s="38"/>
    </row>
    <row r="1039575" spans="54:54" ht="15.75" customHeight="1" x14ac:dyDescent="0.3">
      <c r="BB1039575" s="38"/>
    </row>
    <row r="1039576" spans="54:54" ht="15.75" customHeight="1" x14ac:dyDescent="0.3">
      <c r="BB1039576" s="38"/>
    </row>
    <row r="1039577" spans="54:54" ht="15.75" customHeight="1" x14ac:dyDescent="0.3">
      <c r="BB1039577" s="38"/>
    </row>
    <row r="1039578" spans="54:54" ht="15.75" customHeight="1" x14ac:dyDescent="0.3">
      <c r="BB1039578" s="38"/>
    </row>
    <row r="1039579" spans="54:54" ht="15.75" customHeight="1" x14ac:dyDescent="0.3">
      <c r="BB1039579" s="38"/>
    </row>
    <row r="1039580" spans="54:54" ht="15.75" customHeight="1" x14ac:dyDescent="0.3">
      <c r="BB1039580" s="38"/>
    </row>
    <row r="1039581" spans="54:54" ht="15.75" customHeight="1" x14ac:dyDescent="0.3">
      <c r="BB1039581" s="38"/>
    </row>
    <row r="1039582" spans="54:54" ht="15.75" customHeight="1" x14ac:dyDescent="0.3">
      <c r="BB1039582" s="38"/>
    </row>
    <row r="1039583" spans="54:54" ht="15.75" customHeight="1" x14ac:dyDescent="0.3">
      <c r="BB1039583" s="38"/>
    </row>
    <row r="1039584" spans="54:54" ht="15.75" customHeight="1" x14ac:dyDescent="0.3">
      <c r="BB1039584" s="38"/>
    </row>
    <row r="1039585" spans="54:54" ht="15.75" customHeight="1" x14ac:dyDescent="0.3">
      <c r="BB1039585" s="38"/>
    </row>
    <row r="1039586" spans="54:54" ht="15.75" customHeight="1" x14ac:dyDescent="0.3">
      <c r="BB1039586" s="38"/>
    </row>
    <row r="1039587" spans="54:54" ht="15.75" customHeight="1" x14ac:dyDescent="0.3">
      <c r="BB1039587" s="38"/>
    </row>
    <row r="1039588" spans="54:54" ht="15.75" customHeight="1" x14ac:dyDescent="0.3">
      <c r="BB1039588" s="38"/>
    </row>
    <row r="1039589" spans="54:54" ht="15.75" customHeight="1" x14ac:dyDescent="0.3">
      <c r="BB1039589" s="38"/>
    </row>
    <row r="1039590" spans="54:54" ht="15.75" customHeight="1" x14ac:dyDescent="0.3">
      <c r="BB1039590" s="38"/>
    </row>
    <row r="1039591" spans="54:54" ht="15.75" customHeight="1" x14ac:dyDescent="0.3">
      <c r="BB1039591" s="38"/>
    </row>
    <row r="1039592" spans="54:54" ht="15.75" customHeight="1" x14ac:dyDescent="0.3">
      <c r="BB1039592" s="38"/>
    </row>
    <row r="1039593" spans="54:54" ht="15.75" customHeight="1" x14ac:dyDescent="0.3">
      <c r="BB1039593" s="38"/>
    </row>
    <row r="1039594" spans="54:54" ht="15.75" customHeight="1" x14ac:dyDescent="0.3">
      <c r="BB1039594" s="38"/>
    </row>
    <row r="1039595" spans="54:54" ht="15.75" customHeight="1" x14ac:dyDescent="0.3">
      <c r="BB1039595" s="38"/>
    </row>
    <row r="1039596" spans="54:54" ht="15.75" customHeight="1" x14ac:dyDescent="0.3">
      <c r="BB1039596" s="38"/>
    </row>
    <row r="1039597" spans="54:54" ht="15.75" customHeight="1" x14ac:dyDescent="0.3">
      <c r="BB1039597" s="38"/>
    </row>
    <row r="1039598" spans="54:54" ht="15.75" customHeight="1" x14ac:dyDescent="0.3">
      <c r="BB1039598" s="38"/>
    </row>
    <row r="1039599" spans="54:54" ht="15.75" customHeight="1" x14ac:dyDescent="0.3">
      <c r="BB1039599" s="38"/>
    </row>
    <row r="1039600" spans="54:54" ht="15.75" customHeight="1" x14ac:dyDescent="0.3">
      <c r="BB1039600" s="38"/>
    </row>
    <row r="1039601" spans="54:54" ht="15.75" customHeight="1" x14ac:dyDescent="0.3">
      <c r="BB1039601" s="38"/>
    </row>
    <row r="1039602" spans="54:54" ht="15.75" customHeight="1" x14ac:dyDescent="0.3">
      <c r="BB1039602" s="38"/>
    </row>
    <row r="1039603" spans="54:54" ht="15.75" customHeight="1" x14ac:dyDescent="0.3">
      <c r="BB1039603" s="38"/>
    </row>
    <row r="1039604" spans="54:54" ht="15.75" customHeight="1" x14ac:dyDescent="0.3">
      <c r="BB1039604" s="38"/>
    </row>
    <row r="1039605" spans="54:54" ht="15.75" customHeight="1" x14ac:dyDescent="0.3">
      <c r="BB1039605" s="38"/>
    </row>
    <row r="1039606" spans="54:54" ht="15.75" customHeight="1" x14ac:dyDescent="0.3">
      <c r="BB1039606" s="38"/>
    </row>
    <row r="1039607" spans="54:54" ht="15.75" customHeight="1" x14ac:dyDescent="0.3">
      <c r="BB1039607" s="38"/>
    </row>
    <row r="1039608" spans="54:54" ht="15.75" customHeight="1" x14ac:dyDescent="0.3">
      <c r="BB1039608" s="38"/>
    </row>
    <row r="1039609" spans="54:54" ht="15.75" customHeight="1" x14ac:dyDescent="0.3">
      <c r="BB1039609" s="38"/>
    </row>
    <row r="1039610" spans="54:54" ht="15.75" customHeight="1" x14ac:dyDescent="0.3">
      <c r="BB1039610" s="38"/>
    </row>
    <row r="1039611" spans="54:54" ht="15.75" customHeight="1" x14ac:dyDescent="0.3">
      <c r="BB1039611" s="38"/>
    </row>
    <row r="1039612" spans="54:54" ht="15.75" customHeight="1" x14ac:dyDescent="0.3">
      <c r="BB1039612" s="38"/>
    </row>
    <row r="1039613" spans="54:54" ht="15.75" customHeight="1" x14ac:dyDescent="0.3">
      <c r="BB1039613" s="38"/>
    </row>
    <row r="1039614" spans="54:54" ht="15.75" customHeight="1" x14ac:dyDescent="0.3">
      <c r="BB1039614" s="38"/>
    </row>
    <row r="1039615" spans="54:54" ht="15.75" customHeight="1" x14ac:dyDescent="0.3">
      <c r="BB1039615" s="38"/>
    </row>
    <row r="1039616" spans="54:54" ht="15.75" customHeight="1" x14ac:dyDescent="0.3">
      <c r="BB1039616" s="38"/>
    </row>
    <row r="1039617" spans="54:54" ht="15.75" customHeight="1" x14ac:dyDescent="0.3">
      <c r="BB1039617" s="38"/>
    </row>
    <row r="1039618" spans="54:54" ht="15.75" customHeight="1" x14ac:dyDescent="0.3">
      <c r="BB1039618" s="38"/>
    </row>
    <row r="1039619" spans="54:54" ht="15.75" customHeight="1" x14ac:dyDescent="0.3">
      <c r="BB1039619" s="38"/>
    </row>
    <row r="1039620" spans="54:54" ht="15.75" customHeight="1" x14ac:dyDescent="0.3">
      <c r="BB1039620" s="38"/>
    </row>
    <row r="1039621" spans="54:54" ht="15.75" customHeight="1" x14ac:dyDescent="0.3">
      <c r="BB1039621" s="38"/>
    </row>
    <row r="1039622" spans="54:54" ht="15.75" customHeight="1" x14ac:dyDescent="0.3">
      <c r="BB1039622" s="38"/>
    </row>
    <row r="1039623" spans="54:54" ht="15.75" customHeight="1" x14ac:dyDescent="0.3">
      <c r="BB1039623" s="38"/>
    </row>
    <row r="1039624" spans="54:54" ht="15.75" customHeight="1" x14ac:dyDescent="0.3">
      <c r="BB1039624" s="38"/>
    </row>
    <row r="1039625" spans="54:54" ht="15.75" customHeight="1" x14ac:dyDescent="0.3">
      <c r="BB1039625" s="38"/>
    </row>
    <row r="1039626" spans="54:54" ht="15.75" customHeight="1" x14ac:dyDescent="0.3">
      <c r="BB1039626" s="38"/>
    </row>
    <row r="1039627" spans="54:54" ht="15.75" customHeight="1" x14ac:dyDescent="0.3">
      <c r="BB1039627" s="38"/>
    </row>
    <row r="1039628" spans="54:54" ht="15.75" customHeight="1" x14ac:dyDescent="0.3">
      <c r="BB1039628" s="38"/>
    </row>
    <row r="1039629" spans="54:54" ht="15.75" customHeight="1" x14ac:dyDescent="0.3">
      <c r="BB1039629" s="38"/>
    </row>
    <row r="1039630" spans="54:54" ht="15.75" customHeight="1" x14ac:dyDescent="0.3">
      <c r="BB1039630" s="38"/>
    </row>
    <row r="1039631" spans="54:54" ht="15.75" customHeight="1" x14ac:dyDescent="0.3">
      <c r="BB1039631" s="38"/>
    </row>
    <row r="1039632" spans="54:54" ht="15.75" customHeight="1" x14ac:dyDescent="0.3">
      <c r="BB1039632" s="38"/>
    </row>
    <row r="1039633" spans="54:54" ht="15.75" customHeight="1" x14ac:dyDescent="0.3">
      <c r="BB1039633" s="38"/>
    </row>
    <row r="1039634" spans="54:54" ht="15.75" customHeight="1" x14ac:dyDescent="0.3">
      <c r="BB1039634" s="38"/>
    </row>
    <row r="1039635" spans="54:54" ht="15.75" customHeight="1" x14ac:dyDescent="0.3">
      <c r="BB1039635" s="38"/>
    </row>
    <row r="1039636" spans="54:54" ht="15.75" customHeight="1" x14ac:dyDescent="0.3">
      <c r="BB1039636" s="38"/>
    </row>
    <row r="1039637" spans="54:54" ht="15.75" customHeight="1" x14ac:dyDescent="0.3">
      <c r="BB1039637" s="38"/>
    </row>
    <row r="1039638" spans="54:54" ht="15.75" customHeight="1" x14ac:dyDescent="0.3">
      <c r="BB1039638" s="38"/>
    </row>
    <row r="1039639" spans="54:54" ht="15.75" customHeight="1" x14ac:dyDescent="0.3">
      <c r="BB1039639" s="38"/>
    </row>
    <row r="1039640" spans="54:54" ht="15.75" customHeight="1" x14ac:dyDescent="0.3">
      <c r="BB1039640" s="38"/>
    </row>
    <row r="1039641" spans="54:54" ht="15.75" customHeight="1" x14ac:dyDescent="0.3">
      <c r="BB1039641" s="38"/>
    </row>
    <row r="1039642" spans="54:54" ht="15.75" customHeight="1" x14ac:dyDescent="0.3">
      <c r="BB1039642" s="38"/>
    </row>
    <row r="1039643" spans="54:54" ht="15.75" customHeight="1" x14ac:dyDescent="0.3">
      <c r="BB1039643" s="38"/>
    </row>
    <row r="1039644" spans="54:54" ht="15.75" customHeight="1" x14ac:dyDescent="0.3">
      <c r="BB1039644" s="38"/>
    </row>
    <row r="1039645" spans="54:54" ht="15.75" customHeight="1" x14ac:dyDescent="0.3">
      <c r="BB1039645" s="38"/>
    </row>
    <row r="1039646" spans="54:54" ht="15.75" customHeight="1" x14ac:dyDescent="0.3">
      <c r="BB1039646" s="38"/>
    </row>
    <row r="1039647" spans="54:54" ht="15.75" customHeight="1" x14ac:dyDescent="0.3">
      <c r="BB1039647" s="38"/>
    </row>
    <row r="1039648" spans="54:54" ht="15.75" customHeight="1" x14ac:dyDescent="0.3">
      <c r="BB1039648" s="38"/>
    </row>
    <row r="1039649" spans="54:54" ht="15.75" customHeight="1" x14ac:dyDescent="0.3">
      <c r="BB1039649" s="38"/>
    </row>
    <row r="1039650" spans="54:54" ht="15.75" customHeight="1" x14ac:dyDescent="0.3">
      <c r="BB1039650" s="38"/>
    </row>
    <row r="1039651" spans="54:54" ht="15.75" customHeight="1" x14ac:dyDescent="0.3">
      <c r="BB1039651" s="38"/>
    </row>
    <row r="1039652" spans="54:54" ht="15.75" customHeight="1" x14ac:dyDescent="0.3">
      <c r="BB1039652" s="38"/>
    </row>
    <row r="1039653" spans="54:54" ht="15.75" customHeight="1" x14ac:dyDescent="0.3">
      <c r="BB1039653" s="38"/>
    </row>
    <row r="1039654" spans="54:54" ht="15.75" customHeight="1" x14ac:dyDescent="0.3">
      <c r="BB1039654" s="38"/>
    </row>
    <row r="1039655" spans="54:54" ht="15.75" customHeight="1" x14ac:dyDescent="0.3">
      <c r="BB1039655" s="38"/>
    </row>
    <row r="1039656" spans="54:54" ht="15.75" customHeight="1" x14ac:dyDescent="0.3">
      <c r="BB1039656" s="38"/>
    </row>
    <row r="1039657" spans="54:54" ht="15.75" customHeight="1" x14ac:dyDescent="0.3">
      <c r="BB1039657" s="38"/>
    </row>
    <row r="1039658" spans="54:54" ht="15.75" customHeight="1" x14ac:dyDescent="0.3">
      <c r="BB1039658" s="38"/>
    </row>
    <row r="1039659" spans="54:54" ht="15.75" customHeight="1" x14ac:dyDescent="0.3">
      <c r="BB1039659" s="38"/>
    </row>
    <row r="1039660" spans="54:54" ht="15.75" customHeight="1" x14ac:dyDescent="0.3">
      <c r="BB1039660" s="38"/>
    </row>
    <row r="1039661" spans="54:54" ht="15.75" customHeight="1" x14ac:dyDescent="0.3">
      <c r="BB1039661" s="38"/>
    </row>
    <row r="1039662" spans="54:54" ht="15.75" customHeight="1" x14ac:dyDescent="0.3">
      <c r="BB1039662" s="38"/>
    </row>
    <row r="1039663" spans="54:54" ht="15.75" customHeight="1" x14ac:dyDescent="0.3">
      <c r="BB1039663" s="38"/>
    </row>
    <row r="1039664" spans="54:54" ht="15.75" customHeight="1" x14ac:dyDescent="0.3">
      <c r="BB1039664" s="38"/>
    </row>
    <row r="1039665" spans="54:54" ht="15.75" customHeight="1" x14ac:dyDescent="0.3">
      <c r="BB1039665" s="38"/>
    </row>
    <row r="1039666" spans="54:54" ht="15.75" customHeight="1" x14ac:dyDescent="0.3">
      <c r="BB1039666" s="38"/>
    </row>
    <row r="1039667" spans="54:54" ht="15.75" customHeight="1" x14ac:dyDescent="0.3">
      <c r="BB1039667" s="38"/>
    </row>
    <row r="1039668" spans="54:54" ht="15.75" customHeight="1" x14ac:dyDescent="0.3">
      <c r="BB1039668" s="38"/>
    </row>
    <row r="1039669" spans="54:54" ht="15.75" customHeight="1" x14ac:dyDescent="0.3">
      <c r="BB1039669" s="38"/>
    </row>
    <row r="1039670" spans="54:54" ht="15.75" customHeight="1" x14ac:dyDescent="0.3">
      <c r="BB1039670" s="38"/>
    </row>
    <row r="1039671" spans="54:54" ht="15.75" customHeight="1" x14ac:dyDescent="0.3">
      <c r="BB1039671" s="38"/>
    </row>
    <row r="1039672" spans="54:54" ht="15.75" customHeight="1" x14ac:dyDescent="0.3">
      <c r="BB1039672" s="38"/>
    </row>
    <row r="1039673" spans="54:54" ht="15.75" customHeight="1" x14ac:dyDescent="0.3">
      <c r="BB1039673" s="38"/>
    </row>
    <row r="1039674" spans="54:54" ht="15.75" customHeight="1" x14ac:dyDescent="0.3">
      <c r="BB1039674" s="38"/>
    </row>
    <row r="1039675" spans="54:54" ht="15.75" customHeight="1" x14ac:dyDescent="0.3">
      <c r="BB1039675" s="38"/>
    </row>
    <row r="1039676" spans="54:54" ht="15.75" customHeight="1" x14ac:dyDescent="0.3">
      <c r="BB1039676" s="38"/>
    </row>
    <row r="1039677" spans="54:54" ht="15.75" customHeight="1" x14ac:dyDescent="0.3">
      <c r="BB1039677" s="38"/>
    </row>
    <row r="1039678" spans="54:54" ht="15.75" customHeight="1" x14ac:dyDescent="0.3">
      <c r="BB1039678" s="38"/>
    </row>
    <row r="1039679" spans="54:54" ht="15.75" customHeight="1" x14ac:dyDescent="0.3">
      <c r="BB1039679" s="38"/>
    </row>
    <row r="1039680" spans="54:54" ht="15.75" customHeight="1" x14ac:dyDescent="0.3">
      <c r="BB1039680" s="38"/>
    </row>
    <row r="1039681" spans="54:54" ht="15.75" customHeight="1" x14ac:dyDescent="0.3">
      <c r="BB1039681" s="38"/>
    </row>
    <row r="1039682" spans="54:54" ht="15.75" customHeight="1" x14ac:dyDescent="0.3">
      <c r="BB1039682" s="38"/>
    </row>
    <row r="1039683" spans="54:54" ht="15.75" customHeight="1" x14ac:dyDescent="0.3">
      <c r="BB1039683" s="38"/>
    </row>
    <row r="1039684" spans="54:54" ht="15.75" customHeight="1" x14ac:dyDescent="0.3">
      <c r="BB1039684" s="38"/>
    </row>
    <row r="1039685" spans="54:54" ht="15.75" customHeight="1" x14ac:dyDescent="0.3">
      <c r="BB1039685" s="38"/>
    </row>
    <row r="1039686" spans="54:54" ht="15.75" customHeight="1" x14ac:dyDescent="0.3">
      <c r="BB1039686" s="38"/>
    </row>
    <row r="1039687" spans="54:54" ht="15.75" customHeight="1" x14ac:dyDescent="0.3">
      <c r="BB1039687" s="38"/>
    </row>
    <row r="1039688" spans="54:54" ht="15.75" customHeight="1" x14ac:dyDescent="0.3">
      <c r="BB1039688" s="38"/>
    </row>
    <row r="1039689" spans="54:54" ht="15.75" customHeight="1" x14ac:dyDescent="0.3">
      <c r="BB1039689" s="38"/>
    </row>
    <row r="1039690" spans="54:54" ht="15.75" customHeight="1" x14ac:dyDescent="0.3">
      <c r="BB1039690" s="38"/>
    </row>
    <row r="1039691" spans="54:54" ht="15.75" customHeight="1" x14ac:dyDescent="0.3">
      <c r="BB1039691" s="38"/>
    </row>
    <row r="1039692" spans="54:54" ht="15.75" customHeight="1" x14ac:dyDescent="0.3">
      <c r="BB1039692" s="38"/>
    </row>
    <row r="1039693" spans="54:54" ht="15.75" customHeight="1" x14ac:dyDescent="0.3">
      <c r="BB1039693" s="38"/>
    </row>
    <row r="1039694" spans="54:54" ht="15.75" customHeight="1" x14ac:dyDescent="0.3">
      <c r="BB1039694" s="38"/>
    </row>
    <row r="1039695" spans="54:54" ht="15.75" customHeight="1" x14ac:dyDescent="0.3">
      <c r="BB1039695" s="38"/>
    </row>
    <row r="1039696" spans="54:54" ht="15.75" customHeight="1" x14ac:dyDescent="0.3">
      <c r="BB1039696" s="38"/>
    </row>
    <row r="1039697" spans="54:54" ht="15.75" customHeight="1" x14ac:dyDescent="0.3">
      <c r="BB1039697" s="38"/>
    </row>
    <row r="1039698" spans="54:54" ht="15.75" customHeight="1" x14ac:dyDescent="0.3">
      <c r="BB1039698" s="38"/>
    </row>
    <row r="1039699" spans="54:54" ht="15.75" customHeight="1" x14ac:dyDescent="0.3">
      <c r="BB1039699" s="38"/>
    </row>
    <row r="1039700" spans="54:54" ht="15.75" customHeight="1" x14ac:dyDescent="0.3">
      <c r="BB1039700" s="38"/>
    </row>
    <row r="1039701" spans="54:54" ht="15.75" customHeight="1" x14ac:dyDescent="0.3">
      <c r="BB1039701" s="38"/>
    </row>
    <row r="1039702" spans="54:54" ht="15.75" customHeight="1" x14ac:dyDescent="0.3">
      <c r="BB1039702" s="38"/>
    </row>
    <row r="1039703" spans="54:54" ht="15.75" customHeight="1" x14ac:dyDescent="0.3">
      <c r="BB1039703" s="38"/>
    </row>
    <row r="1039704" spans="54:54" ht="15.75" customHeight="1" x14ac:dyDescent="0.3">
      <c r="BB1039704" s="38"/>
    </row>
    <row r="1039705" spans="54:54" ht="15.75" customHeight="1" x14ac:dyDescent="0.3">
      <c r="BB1039705" s="38"/>
    </row>
    <row r="1039706" spans="54:54" ht="15.75" customHeight="1" x14ac:dyDescent="0.3">
      <c r="BB1039706" s="38"/>
    </row>
    <row r="1039707" spans="54:54" ht="15.75" customHeight="1" x14ac:dyDescent="0.3">
      <c r="BB1039707" s="38"/>
    </row>
    <row r="1039708" spans="54:54" ht="15.75" customHeight="1" x14ac:dyDescent="0.3">
      <c r="BB1039708" s="38"/>
    </row>
    <row r="1039709" spans="54:54" ht="15.75" customHeight="1" x14ac:dyDescent="0.3">
      <c r="BB1039709" s="38"/>
    </row>
    <row r="1039710" spans="54:54" ht="15.75" customHeight="1" x14ac:dyDescent="0.3">
      <c r="BB1039710" s="38"/>
    </row>
    <row r="1039711" spans="54:54" ht="15.75" customHeight="1" x14ac:dyDescent="0.3">
      <c r="BB1039711" s="38"/>
    </row>
    <row r="1039712" spans="54:54" ht="15.75" customHeight="1" x14ac:dyDescent="0.3">
      <c r="BB1039712" s="38"/>
    </row>
    <row r="1039713" spans="54:54" ht="15.75" customHeight="1" x14ac:dyDescent="0.3">
      <c r="BB1039713" s="38"/>
    </row>
    <row r="1039714" spans="54:54" ht="15.75" customHeight="1" x14ac:dyDescent="0.3">
      <c r="BB1039714" s="38"/>
    </row>
    <row r="1039715" spans="54:54" ht="15.75" customHeight="1" x14ac:dyDescent="0.3">
      <c r="BB1039715" s="38"/>
    </row>
    <row r="1039716" spans="54:54" ht="15.75" customHeight="1" x14ac:dyDescent="0.3">
      <c r="BB1039716" s="38"/>
    </row>
    <row r="1039717" spans="54:54" ht="15.75" customHeight="1" x14ac:dyDescent="0.3">
      <c r="BB1039717" s="38"/>
    </row>
    <row r="1039718" spans="54:54" ht="15.75" customHeight="1" x14ac:dyDescent="0.3">
      <c r="BB1039718" s="38"/>
    </row>
    <row r="1039719" spans="54:54" ht="15.75" customHeight="1" x14ac:dyDescent="0.3">
      <c r="BB1039719" s="38"/>
    </row>
    <row r="1039720" spans="54:54" ht="15.75" customHeight="1" x14ac:dyDescent="0.3">
      <c r="BB1039720" s="38"/>
    </row>
    <row r="1039721" spans="54:54" ht="15.75" customHeight="1" x14ac:dyDescent="0.3">
      <c r="BB1039721" s="38"/>
    </row>
    <row r="1039722" spans="54:54" ht="15.75" customHeight="1" x14ac:dyDescent="0.3">
      <c r="BB1039722" s="38"/>
    </row>
    <row r="1039723" spans="54:54" ht="15.75" customHeight="1" x14ac:dyDescent="0.3">
      <c r="BB1039723" s="38"/>
    </row>
    <row r="1039724" spans="54:54" ht="15.75" customHeight="1" x14ac:dyDescent="0.3">
      <c r="BB1039724" s="38"/>
    </row>
    <row r="1039725" spans="54:54" ht="15.75" customHeight="1" x14ac:dyDescent="0.3">
      <c r="BB1039725" s="38"/>
    </row>
    <row r="1039726" spans="54:54" ht="15.75" customHeight="1" x14ac:dyDescent="0.3">
      <c r="BB1039726" s="38"/>
    </row>
    <row r="1039727" spans="54:54" ht="15.75" customHeight="1" x14ac:dyDescent="0.3">
      <c r="BB1039727" s="38"/>
    </row>
    <row r="1039728" spans="54:54" ht="15.75" customHeight="1" x14ac:dyDescent="0.3">
      <c r="BB1039728" s="38"/>
    </row>
    <row r="1039729" spans="54:54" ht="15.75" customHeight="1" x14ac:dyDescent="0.3">
      <c r="BB1039729" s="38"/>
    </row>
    <row r="1039730" spans="54:54" ht="15.75" customHeight="1" x14ac:dyDescent="0.3">
      <c r="BB1039730" s="38"/>
    </row>
    <row r="1039731" spans="54:54" ht="15.75" customHeight="1" x14ac:dyDescent="0.3">
      <c r="BB1039731" s="38"/>
    </row>
    <row r="1039732" spans="54:54" ht="15.75" customHeight="1" x14ac:dyDescent="0.3">
      <c r="BB1039732" s="38"/>
    </row>
    <row r="1039733" spans="54:54" ht="15.75" customHeight="1" x14ac:dyDescent="0.3">
      <c r="BB1039733" s="38"/>
    </row>
    <row r="1039734" spans="54:54" ht="15.75" customHeight="1" x14ac:dyDescent="0.3">
      <c r="BB1039734" s="38"/>
    </row>
    <row r="1039735" spans="54:54" ht="15.75" customHeight="1" x14ac:dyDescent="0.3">
      <c r="BB1039735" s="38"/>
    </row>
    <row r="1039736" spans="54:54" ht="15.75" customHeight="1" x14ac:dyDescent="0.3">
      <c r="BB1039736" s="38"/>
    </row>
    <row r="1039737" spans="54:54" ht="15.75" customHeight="1" x14ac:dyDescent="0.3">
      <c r="BB1039737" s="38"/>
    </row>
    <row r="1039738" spans="54:54" ht="15.75" customHeight="1" x14ac:dyDescent="0.3">
      <c r="BB1039738" s="38"/>
    </row>
    <row r="1039739" spans="54:54" ht="15.75" customHeight="1" x14ac:dyDescent="0.3">
      <c r="BB1039739" s="38"/>
    </row>
    <row r="1039740" spans="54:54" ht="15.75" customHeight="1" x14ac:dyDescent="0.3">
      <c r="BB1039740" s="38"/>
    </row>
    <row r="1039741" spans="54:54" ht="15.75" customHeight="1" x14ac:dyDescent="0.3">
      <c r="BB1039741" s="38"/>
    </row>
    <row r="1039742" spans="54:54" ht="15.75" customHeight="1" x14ac:dyDescent="0.3">
      <c r="BB1039742" s="38"/>
    </row>
    <row r="1039743" spans="54:54" ht="15.75" customHeight="1" x14ac:dyDescent="0.3">
      <c r="BB1039743" s="38"/>
    </row>
    <row r="1039744" spans="54:54" ht="15.75" customHeight="1" x14ac:dyDescent="0.3">
      <c r="BB1039744" s="38"/>
    </row>
    <row r="1039745" spans="54:54" ht="15.75" customHeight="1" x14ac:dyDescent="0.3">
      <c r="BB1039745" s="38"/>
    </row>
    <row r="1039746" spans="54:54" ht="15.75" customHeight="1" x14ac:dyDescent="0.3">
      <c r="BB1039746" s="38"/>
    </row>
    <row r="1039747" spans="54:54" ht="15.75" customHeight="1" x14ac:dyDescent="0.3">
      <c r="BB1039747" s="38"/>
    </row>
    <row r="1039748" spans="54:54" ht="15.75" customHeight="1" x14ac:dyDescent="0.3">
      <c r="BB1039748" s="38"/>
    </row>
    <row r="1039749" spans="54:54" ht="15.75" customHeight="1" x14ac:dyDescent="0.3">
      <c r="BB1039749" s="38"/>
    </row>
    <row r="1039750" spans="54:54" ht="15.75" customHeight="1" x14ac:dyDescent="0.3">
      <c r="BB1039750" s="38"/>
    </row>
    <row r="1039751" spans="54:54" ht="15.75" customHeight="1" x14ac:dyDescent="0.3">
      <c r="BB1039751" s="38"/>
    </row>
    <row r="1039752" spans="54:54" ht="15.75" customHeight="1" x14ac:dyDescent="0.3">
      <c r="BB1039752" s="38"/>
    </row>
    <row r="1039753" spans="54:54" ht="15.75" customHeight="1" x14ac:dyDescent="0.3">
      <c r="BB1039753" s="38"/>
    </row>
    <row r="1039754" spans="54:54" ht="15.75" customHeight="1" x14ac:dyDescent="0.3">
      <c r="BB1039754" s="38"/>
    </row>
    <row r="1039755" spans="54:54" ht="15.75" customHeight="1" x14ac:dyDescent="0.3">
      <c r="BB1039755" s="38"/>
    </row>
    <row r="1039756" spans="54:54" ht="15.75" customHeight="1" x14ac:dyDescent="0.3">
      <c r="BB1039756" s="38"/>
    </row>
    <row r="1039757" spans="54:54" ht="15.75" customHeight="1" x14ac:dyDescent="0.3">
      <c r="BB1039757" s="38"/>
    </row>
    <row r="1039758" spans="54:54" ht="15.75" customHeight="1" x14ac:dyDescent="0.3">
      <c r="BB1039758" s="38"/>
    </row>
    <row r="1039759" spans="54:54" ht="15.75" customHeight="1" x14ac:dyDescent="0.3">
      <c r="BB1039759" s="38"/>
    </row>
    <row r="1039760" spans="54:54" ht="15.75" customHeight="1" x14ac:dyDescent="0.3">
      <c r="BB1039760" s="38"/>
    </row>
    <row r="1039761" spans="54:54" ht="15.75" customHeight="1" x14ac:dyDescent="0.3">
      <c r="BB1039761" s="38"/>
    </row>
    <row r="1039762" spans="54:54" ht="15.75" customHeight="1" x14ac:dyDescent="0.3">
      <c r="BB1039762" s="38"/>
    </row>
    <row r="1039763" spans="54:54" ht="15.75" customHeight="1" x14ac:dyDescent="0.3">
      <c r="BB1039763" s="38"/>
    </row>
    <row r="1039764" spans="54:54" ht="15.75" customHeight="1" x14ac:dyDescent="0.3">
      <c r="BB1039764" s="38"/>
    </row>
    <row r="1039765" spans="54:54" ht="15.75" customHeight="1" x14ac:dyDescent="0.3">
      <c r="BB1039765" s="38"/>
    </row>
    <row r="1039766" spans="54:54" ht="15.75" customHeight="1" x14ac:dyDescent="0.3">
      <c r="BB1039766" s="38"/>
    </row>
    <row r="1039767" spans="54:54" ht="15.75" customHeight="1" x14ac:dyDescent="0.3">
      <c r="BB1039767" s="38"/>
    </row>
    <row r="1039768" spans="54:54" ht="15.75" customHeight="1" x14ac:dyDescent="0.3">
      <c r="BB1039768" s="38"/>
    </row>
    <row r="1039769" spans="54:54" ht="15.75" customHeight="1" x14ac:dyDescent="0.3">
      <c r="BB1039769" s="38"/>
    </row>
    <row r="1039770" spans="54:54" ht="15.75" customHeight="1" x14ac:dyDescent="0.3">
      <c r="BB1039770" s="38"/>
    </row>
    <row r="1039771" spans="54:54" ht="15.75" customHeight="1" x14ac:dyDescent="0.3">
      <c r="BB1039771" s="38"/>
    </row>
    <row r="1039772" spans="54:54" ht="15.75" customHeight="1" x14ac:dyDescent="0.3">
      <c r="BB1039772" s="38"/>
    </row>
    <row r="1039773" spans="54:54" ht="15.75" customHeight="1" x14ac:dyDescent="0.3">
      <c r="BB1039773" s="38"/>
    </row>
    <row r="1039774" spans="54:54" ht="15.75" customHeight="1" x14ac:dyDescent="0.3">
      <c r="BB1039774" s="38"/>
    </row>
    <row r="1039775" spans="54:54" ht="15.75" customHeight="1" x14ac:dyDescent="0.3">
      <c r="BB1039775" s="38"/>
    </row>
    <row r="1039776" spans="54:54" ht="15.75" customHeight="1" x14ac:dyDescent="0.3">
      <c r="BB1039776" s="38"/>
    </row>
    <row r="1039777" spans="54:54" ht="15.75" customHeight="1" x14ac:dyDescent="0.3">
      <c r="BB1039777" s="38"/>
    </row>
    <row r="1039778" spans="54:54" ht="15.75" customHeight="1" x14ac:dyDescent="0.3">
      <c r="BB1039778" s="38"/>
    </row>
    <row r="1039779" spans="54:54" ht="15.75" customHeight="1" x14ac:dyDescent="0.3">
      <c r="BB1039779" s="38"/>
    </row>
    <row r="1039780" spans="54:54" ht="15.75" customHeight="1" x14ac:dyDescent="0.3">
      <c r="BB1039780" s="38"/>
    </row>
    <row r="1039781" spans="54:54" ht="15.75" customHeight="1" x14ac:dyDescent="0.3">
      <c r="BB1039781" s="38"/>
    </row>
    <row r="1039782" spans="54:54" ht="15.75" customHeight="1" x14ac:dyDescent="0.3">
      <c r="BB1039782" s="38"/>
    </row>
    <row r="1039783" spans="54:54" ht="15.75" customHeight="1" x14ac:dyDescent="0.3">
      <c r="BB1039783" s="38"/>
    </row>
    <row r="1039784" spans="54:54" ht="15.75" customHeight="1" x14ac:dyDescent="0.3">
      <c r="BB1039784" s="38"/>
    </row>
    <row r="1039785" spans="54:54" ht="15.75" customHeight="1" x14ac:dyDescent="0.3">
      <c r="BB1039785" s="38"/>
    </row>
    <row r="1039786" spans="54:54" ht="15.75" customHeight="1" x14ac:dyDescent="0.3">
      <c r="BB1039786" s="38"/>
    </row>
    <row r="1039787" spans="54:54" ht="15.75" customHeight="1" x14ac:dyDescent="0.3">
      <c r="BB1039787" s="38"/>
    </row>
    <row r="1039788" spans="54:54" ht="15.75" customHeight="1" x14ac:dyDescent="0.3">
      <c r="BB1039788" s="38"/>
    </row>
    <row r="1039789" spans="54:54" ht="15.75" customHeight="1" x14ac:dyDescent="0.3">
      <c r="BB1039789" s="38"/>
    </row>
    <row r="1039790" spans="54:54" ht="15.75" customHeight="1" x14ac:dyDescent="0.3">
      <c r="BB1039790" s="38"/>
    </row>
    <row r="1039791" spans="54:54" ht="15.75" customHeight="1" x14ac:dyDescent="0.3">
      <c r="BB1039791" s="38"/>
    </row>
    <row r="1039792" spans="54:54" ht="15.75" customHeight="1" x14ac:dyDescent="0.3">
      <c r="BB1039792" s="38"/>
    </row>
    <row r="1039793" spans="54:54" ht="15.75" customHeight="1" x14ac:dyDescent="0.3">
      <c r="BB1039793" s="38"/>
    </row>
    <row r="1039794" spans="54:54" ht="15.75" customHeight="1" x14ac:dyDescent="0.3">
      <c r="BB1039794" s="38"/>
    </row>
    <row r="1039795" spans="54:54" ht="15.75" customHeight="1" x14ac:dyDescent="0.3">
      <c r="BB1039795" s="38"/>
    </row>
    <row r="1039796" spans="54:54" ht="15.75" customHeight="1" x14ac:dyDescent="0.3">
      <c r="BB1039796" s="38"/>
    </row>
    <row r="1039797" spans="54:54" ht="15.75" customHeight="1" x14ac:dyDescent="0.3">
      <c r="BB1039797" s="38"/>
    </row>
    <row r="1039798" spans="54:54" ht="15.75" customHeight="1" x14ac:dyDescent="0.3">
      <c r="BB1039798" s="38"/>
    </row>
    <row r="1039799" spans="54:54" ht="15.75" customHeight="1" x14ac:dyDescent="0.3">
      <c r="BB1039799" s="38"/>
    </row>
    <row r="1039800" spans="54:54" ht="15.75" customHeight="1" x14ac:dyDescent="0.3">
      <c r="BB1039800" s="38"/>
    </row>
    <row r="1039801" spans="54:54" ht="15.75" customHeight="1" x14ac:dyDescent="0.3">
      <c r="BB1039801" s="38"/>
    </row>
    <row r="1039802" spans="54:54" ht="15.75" customHeight="1" x14ac:dyDescent="0.3">
      <c r="BB1039802" s="38"/>
    </row>
    <row r="1039803" spans="54:54" ht="15.75" customHeight="1" x14ac:dyDescent="0.3">
      <c r="BB1039803" s="38"/>
    </row>
    <row r="1039804" spans="54:54" ht="15.75" customHeight="1" x14ac:dyDescent="0.3">
      <c r="BB1039804" s="38"/>
    </row>
    <row r="1039805" spans="54:54" ht="15.75" customHeight="1" x14ac:dyDescent="0.3">
      <c r="BB1039805" s="38"/>
    </row>
    <row r="1039806" spans="54:54" ht="15.75" customHeight="1" x14ac:dyDescent="0.3">
      <c r="BB1039806" s="38"/>
    </row>
    <row r="1039807" spans="54:54" ht="15.75" customHeight="1" x14ac:dyDescent="0.3">
      <c r="BB1039807" s="38"/>
    </row>
    <row r="1039808" spans="54:54" ht="15.75" customHeight="1" x14ac:dyDescent="0.3">
      <c r="BB1039808" s="38"/>
    </row>
    <row r="1039809" spans="54:54" ht="15.75" customHeight="1" x14ac:dyDescent="0.3">
      <c r="BB1039809" s="38"/>
    </row>
    <row r="1039810" spans="54:54" ht="15.75" customHeight="1" x14ac:dyDescent="0.3">
      <c r="BB1039810" s="38"/>
    </row>
    <row r="1039811" spans="54:54" ht="15.75" customHeight="1" x14ac:dyDescent="0.3">
      <c r="BB1039811" s="38"/>
    </row>
    <row r="1039812" spans="54:54" ht="15.75" customHeight="1" x14ac:dyDescent="0.3">
      <c r="BB1039812" s="38"/>
    </row>
    <row r="1039813" spans="54:54" ht="15.75" customHeight="1" x14ac:dyDescent="0.3">
      <c r="BB1039813" s="38"/>
    </row>
    <row r="1039814" spans="54:54" ht="15.75" customHeight="1" x14ac:dyDescent="0.3">
      <c r="BB1039814" s="38"/>
    </row>
    <row r="1039815" spans="54:54" ht="15.75" customHeight="1" x14ac:dyDescent="0.3">
      <c r="BB1039815" s="38"/>
    </row>
    <row r="1039816" spans="54:54" ht="15.75" customHeight="1" x14ac:dyDescent="0.3">
      <c r="BB1039816" s="38"/>
    </row>
    <row r="1039817" spans="54:54" ht="15.75" customHeight="1" x14ac:dyDescent="0.3">
      <c r="BB1039817" s="38"/>
    </row>
    <row r="1039818" spans="54:54" ht="15.75" customHeight="1" x14ac:dyDescent="0.3">
      <c r="BB1039818" s="38"/>
    </row>
    <row r="1039819" spans="54:54" ht="15.75" customHeight="1" x14ac:dyDescent="0.3">
      <c r="BB1039819" s="38"/>
    </row>
    <row r="1039820" spans="54:54" ht="15.75" customHeight="1" x14ac:dyDescent="0.3">
      <c r="BB1039820" s="38"/>
    </row>
    <row r="1039821" spans="54:54" ht="15.75" customHeight="1" x14ac:dyDescent="0.3">
      <c r="BB1039821" s="38"/>
    </row>
    <row r="1039822" spans="54:54" ht="15.75" customHeight="1" x14ac:dyDescent="0.3">
      <c r="BB1039822" s="38"/>
    </row>
    <row r="1039823" spans="54:54" ht="15.75" customHeight="1" x14ac:dyDescent="0.3">
      <c r="BB1039823" s="38"/>
    </row>
    <row r="1039824" spans="54:54" ht="15.75" customHeight="1" x14ac:dyDescent="0.3">
      <c r="BB1039824" s="38"/>
    </row>
    <row r="1039825" spans="54:54" ht="15.75" customHeight="1" x14ac:dyDescent="0.3">
      <c r="BB1039825" s="38"/>
    </row>
    <row r="1039826" spans="54:54" ht="15.75" customHeight="1" x14ac:dyDescent="0.3">
      <c r="BB1039826" s="38"/>
    </row>
    <row r="1039827" spans="54:54" ht="15.75" customHeight="1" x14ac:dyDescent="0.3">
      <c r="BB1039827" s="38"/>
    </row>
    <row r="1039828" spans="54:54" ht="15.75" customHeight="1" x14ac:dyDescent="0.3">
      <c r="BB1039828" s="38"/>
    </row>
    <row r="1039829" spans="54:54" ht="15.75" customHeight="1" x14ac:dyDescent="0.3">
      <c r="BB1039829" s="38"/>
    </row>
    <row r="1039830" spans="54:54" ht="15.75" customHeight="1" x14ac:dyDescent="0.3">
      <c r="BB1039830" s="38"/>
    </row>
    <row r="1039831" spans="54:54" ht="15.75" customHeight="1" x14ac:dyDescent="0.3">
      <c r="BB1039831" s="38"/>
    </row>
    <row r="1039832" spans="54:54" ht="15.75" customHeight="1" x14ac:dyDescent="0.3">
      <c r="BB1039832" s="38"/>
    </row>
    <row r="1039833" spans="54:54" ht="15.75" customHeight="1" x14ac:dyDescent="0.3">
      <c r="BB1039833" s="38"/>
    </row>
    <row r="1039834" spans="54:54" ht="15.75" customHeight="1" x14ac:dyDescent="0.3">
      <c r="BB1039834" s="38"/>
    </row>
    <row r="1039835" spans="54:54" ht="15.75" customHeight="1" x14ac:dyDescent="0.3">
      <c r="BB1039835" s="38"/>
    </row>
    <row r="1039836" spans="54:54" ht="15.75" customHeight="1" x14ac:dyDescent="0.3">
      <c r="BB1039836" s="38"/>
    </row>
    <row r="1039837" spans="54:54" ht="15.75" customHeight="1" x14ac:dyDescent="0.3">
      <c r="BB1039837" s="38"/>
    </row>
    <row r="1039838" spans="54:54" ht="15.75" customHeight="1" x14ac:dyDescent="0.3">
      <c r="BB1039838" s="38"/>
    </row>
    <row r="1039839" spans="54:54" ht="15.75" customHeight="1" x14ac:dyDescent="0.3">
      <c r="BB1039839" s="38"/>
    </row>
    <row r="1039840" spans="54:54" ht="15.75" customHeight="1" x14ac:dyDescent="0.3">
      <c r="BB1039840" s="38"/>
    </row>
    <row r="1039841" spans="54:54" ht="15.75" customHeight="1" x14ac:dyDescent="0.3">
      <c r="BB1039841" s="38"/>
    </row>
    <row r="1039842" spans="54:54" ht="15.75" customHeight="1" x14ac:dyDescent="0.3">
      <c r="BB1039842" s="38"/>
    </row>
    <row r="1039843" spans="54:54" ht="15.75" customHeight="1" x14ac:dyDescent="0.3">
      <c r="BB1039843" s="38"/>
    </row>
    <row r="1039844" spans="54:54" ht="15.75" customHeight="1" x14ac:dyDescent="0.3">
      <c r="BB1039844" s="38"/>
    </row>
    <row r="1039845" spans="54:54" ht="15.75" customHeight="1" x14ac:dyDescent="0.3">
      <c r="BB1039845" s="38"/>
    </row>
    <row r="1039846" spans="54:54" ht="15.75" customHeight="1" x14ac:dyDescent="0.3">
      <c r="BB1039846" s="38"/>
    </row>
    <row r="1039847" spans="54:54" ht="15.75" customHeight="1" x14ac:dyDescent="0.3">
      <c r="BB1039847" s="38"/>
    </row>
    <row r="1039848" spans="54:54" ht="15.75" customHeight="1" x14ac:dyDescent="0.3">
      <c r="BB1039848" s="38"/>
    </row>
    <row r="1039849" spans="54:54" ht="15.75" customHeight="1" x14ac:dyDescent="0.3">
      <c r="BB1039849" s="38"/>
    </row>
    <row r="1039850" spans="54:54" ht="15.75" customHeight="1" x14ac:dyDescent="0.3">
      <c r="BB1039850" s="38"/>
    </row>
    <row r="1039851" spans="54:54" ht="15.75" customHeight="1" x14ac:dyDescent="0.3">
      <c r="BB1039851" s="38"/>
    </row>
    <row r="1039852" spans="54:54" ht="15.75" customHeight="1" x14ac:dyDescent="0.3">
      <c r="BB1039852" s="38"/>
    </row>
    <row r="1039853" spans="54:54" ht="15.75" customHeight="1" x14ac:dyDescent="0.3">
      <c r="BB1039853" s="38"/>
    </row>
    <row r="1039854" spans="54:54" ht="15.75" customHeight="1" x14ac:dyDescent="0.3">
      <c r="BB1039854" s="38"/>
    </row>
    <row r="1039855" spans="54:54" ht="15.75" customHeight="1" x14ac:dyDescent="0.3">
      <c r="BB1039855" s="38"/>
    </row>
    <row r="1039856" spans="54:54" ht="15.75" customHeight="1" x14ac:dyDescent="0.3">
      <c r="BB1039856" s="38"/>
    </row>
    <row r="1039857" spans="54:54" ht="15.75" customHeight="1" x14ac:dyDescent="0.3">
      <c r="BB1039857" s="38"/>
    </row>
    <row r="1039858" spans="54:54" ht="15.75" customHeight="1" x14ac:dyDescent="0.3">
      <c r="BB1039858" s="38"/>
    </row>
    <row r="1039859" spans="54:54" ht="15.75" customHeight="1" x14ac:dyDescent="0.3">
      <c r="BB1039859" s="38"/>
    </row>
    <row r="1039860" spans="54:54" ht="15.75" customHeight="1" x14ac:dyDescent="0.3">
      <c r="BB1039860" s="38"/>
    </row>
    <row r="1039861" spans="54:54" ht="15.75" customHeight="1" x14ac:dyDescent="0.3">
      <c r="BB1039861" s="38"/>
    </row>
    <row r="1039862" spans="54:54" ht="15.75" customHeight="1" x14ac:dyDescent="0.3">
      <c r="BB1039862" s="38"/>
    </row>
    <row r="1039863" spans="54:54" ht="15.75" customHeight="1" x14ac:dyDescent="0.3">
      <c r="BB1039863" s="38"/>
    </row>
    <row r="1039864" spans="54:54" ht="15.75" customHeight="1" x14ac:dyDescent="0.3">
      <c r="BB1039864" s="38"/>
    </row>
    <row r="1039865" spans="54:54" ht="15.75" customHeight="1" x14ac:dyDescent="0.3">
      <c r="BB1039865" s="38"/>
    </row>
    <row r="1039866" spans="54:54" ht="15.75" customHeight="1" x14ac:dyDescent="0.3">
      <c r="BB1039866" s="38"/>
    </row>
    <row r="1039867" spans="54:54" ht="15.75" customHeight="1" x14ac:dyDescent="0.3">
      <c r="BB1039867" s="38"/>
    </row>
    <row r="1039868" spans="54:54" ht="15.75" customHeight="1" x14ac:dyDescent="0.3">
      <c r="BB1039868" s="38"/>
    </row>
    <row r="1039869" spans="54:54" ht="15.75" customHeight="1" x14ac:dyDescent="0.3">
      <c r="BB1039869" s="38"/>
    </row>
    <row r="1039870" spans="54:54" ht="15.75" customHeight="1" x14ac:dyDescent="0.3">
      <c r="BB1039870" s="38"/>
    </row>
    <row r="1039871" spans="54:54" ht="15.75" customHeight="1" x14ac:dyDescent="0.3">
      <c r="BB1039871" s="38"/>
    </row>
    <row r="1039872" spans="54:54" ht="15.75" customHeight="1" x14ac:dyDescent="0.3">
      <c r="BB1039872" s="38"/>
    </row>
    <row r="1039873" spans="54:54" ht="15.75" customHeight="1" x14ac:dyDescent="0.3">
      <c r="BB1039873" s="38"/>
    </row>
    <row r="1039874" spans="54:54" ht="15.75" customHeight="1" x14ac:dyDescent="0.3">
      <c r="BB1039874" s="38"/>
    </row>
    <row r="1039875" spans="54:54" ht="15.75" customHeight="1" x14ac:dyDescent="0.3">
      <c r="BB1039875" s="38"/>
    </row>
    <row r="1039876" spans="54:54" ht="15.75" customHeight="1" x14ac:dyDescent="0.3">
      <c r="BB1039876" s="38"/>
    </row>
    <row r="1039877" spans="54:54" ht="15.75" customHeight="1" x14ac:dyDescent="0.3">
      <c r="BB1039877" s="38"/>
    </row>
    <row r="1039878" spans="54:54" ht="15.75" customHeight="1" x14ac:dyDescent="0.3">
      <c r="BB1039878" s="38"/>
    </row>
    <row r="1039879" spans="54:54" ht="15.75" customHeight="1" x14ac:dyDescent="0.3">
      <c r="BB1039879" s="38"/>
    </row>
    <row r="1039880" spans="54:54" ht="15.75" customHeight="1" x14ac:dyDescent="0.3">
      <c r="BB1039880" s="38"/>
    </row>
    <row r="1039881" spans="54:54" ht="15.75" customHeight="1" x14ac:dyDescent="0.3">
      <c r="BB1039881" s="38"/>
    </row>
    <row r="1039882" spans="54:54" ht="15.75" customHeight="1" x14ac:dyDescent="0.3">
      <c r="BB1039882" s="38"/>
    </row>
    <row r="1039883" spans="54:54" ht="15.75" customHeight="1" x14ac:dyDescent="0.3">
      <c r="BB1039883" s="38"/>
    </row>
    <row r="1039884" spans="54:54" ht="15.75" customHeight="1" x14ac:dyDescent="0.3">
      <c r="BB1039884" s="38"/>
    </row>
    <row r="1039885" spans="54:54" ht="15.75" customHeight="1" x14ac:dyDescent="0.3">
      <c r="BB1039885" s="38"/>
    </row>
    <row r="1039886" spans="54:54" ht="15.75" customHeight="1" x14ac:dyDescent="0.3">
      <c r="BB1039886" s="38"/>
    </row>
    <row r="1039887" spans="54:54" ht="15.75" customHeight="1" x14ac:dyDescent="0.3">
      <c r="BB1039887" s="38"/>
    </row>
    <row r="1039888" spans="54:54" ht="15.75" customHeight="1" x14ac:dyDescent="0.3">
      <c r="BB1039888" s="38"/>
    </row>
    <row r="1039889" spans="54:54" ht="15.75" customHeight="1" x14ac:dyDescent="0.3">
      <c r="BB1039889" s="38"/>
    </row>
    <row r="1039890" spans="54:54" ht="15.75" customHeight="1" x14ac:dyDescent="0.3">
      <c r="BB1039890" s="38"/>
    </row>
    <row r="1039891" spans="54:54" ht="15.75" customHeight="1" x14ac:dyDescent="0.3">
      <c r="BB1039891" s="38"/>
    </row>
    <row r="1039892" spans="54:54" ht="15.75" customHeight="1" x14ac:dyDescent="0.3">
      <c r="BB1039892" s="38"/>
    </row>
    <row r="1039893" spans="54:54" ht="15.75" customHeight="1" x14ac:dyDescent="0.3">
      <c r="BB1039893" s="38"/>
    </row>
    <row r="1039894" spans="54:54" ht="15.75" customHeight="1" x14ac:dyDescent="0.3">
      <c r="BB1039894" s="38"/>
    </row>
    <row r="1039895" spans="54:54" ht="15.75" customHeight="1" x14ac:dyDescent="0.3">
      <c r="BB1039895" s="38"/>
    </row>
    <row r="1039896" spans="54:54" ht="15.75" customHeight="1" x14ac:dyDescent="0.3">
      <c r="BB1039896" s="38"/>
    </row>
    <row r="1039897" spans="54:54" ht="15.75" customHeight="1" x14ac:dyDescent="0.3">
      <c r="BB1039897" s="38"/>
    </row>
    <row r="1039898" spans="54:54" ht="15.75" customHeight="1" x14ac:dyDescent="0.3">
      <c r="BB1039898" s="38"/>
    </row>
    <row r="1039899" spans="54:54" ht="15.75" customHeight="1" x14ac:dyDescent="0.3">
      <c r="BB1039899" s="38"/>
    </row>
    <row r="1039900" spans="54:54" ht="15.75" customHeight="1" x14ac:dyDescent="0.3">
      <c r="BB1039900" s="38"/>
    </row>
    <row r="1039901" spans="54:54" ht="15.75" customHeight="1" x14ac:dyDescent="0.3">
      <c r="BB1039901" s="38"/>
    </row>
    <row r="1039902" spans="54:54" ht="15.75" customHeight="1" x14ac:dyDescent="0.3">
      <c r="BB1039902" s="38"/>
    </row>
    <row r="1039903" spans="54:54" ht="15.75" customHeight="1" x14ac:dyDescent="0.3">
      <c r="BB1039903" s="38"/>
    </row>
    <row r="1039904" spans="54:54" ht="15.75" customHeight="1" x14ac:dyDescent="0.3">
      <c r="BB1039904" s="38"/>
    </row>
    <row r="1039905" spans="54:54" ht="15.75" customHeight="1" x14ac:dyDescent="0.3">
      <c r="BB1039905" s="38"/>
    </row>
    <row r="1039906" spans="54:54" ht="15.75" customHeight="1" x14ac:dyDescent="0.3">
      <c r="BB1039906" s="38"/>
    </row>
    <row r="1039907" spans="54:54" ht="15.75" customHeight="1" x14ac:dyDescent="0.3">
      <c r="BB1039907" s="38"/>
    </row>
    <row r="1039908" spans="54:54" ht="15.75" customHeight="1" x14ac:dyDescent="0.3">
      <c r="BB1039908" s="38"/>
    </row>
    <row r="1039909" spans="54:54" ht="15.75" customHeight="1" x14ac:dyDescent="0.3">
      <c r="BB1039909" s="38"/>
    </row>
    <row r="1039910" spans="54:54" ht="15.75" customHeight="1" x14ac:dyDescent="0.3">
      <c r="BB1039910" s="38"/>
    </row>
    <row r="1039911" spans="54:54" ht="15.75" customHeight="1" x14ac:dyDescent="0.3">
      <c r="BB1039911" s="38"/>
    </row>
    <row r="1039912" spans="54:54" ht="15.75" customHeight="1" x14ac:dyDescent="0.3">
      <c r="BB1039912" s="38"/>
    </row>
    <row r="1039913" spans="54:54" ht="15.75" customHeight="1" x14ac:dyDescent="0.3">
      <c r="BB1039913" s="38"/>
    </row>
    <row r="1039914" spans="54:54" ht="15.75" customHeight="1" x14ac:dyDescent="0.3">
      <c r="BB1039914" s="38"/>
    </row>
    <row r="1039915" spans="54:54" ht="15.75" customHeight="1" x14ac:dyDescent="0.3">
      <c r="BB1039915" s="38"/>
    </row>
    <row r="1039916" spans="54:54" ht="15.75" customHeight="1" x14ac:dyDescent="0.3">
      <c r="BB1039916" s="38"/>
    </row>
    <row r="1039917" spans="54:54" ht="15.75" customHeight="1" x14ac:dyDescent="0.3">
      <c r="BB1039917" s="38"/>
    </row>
    <row r="1039918" spans="54:54" ht="15.75" customHeight="1" x14ac:dyDescent="0.3">
      <c r="BB1039918" s="38"/>
    </row>
    <row r="1039919" spans="54:54" ht="15.75" customHeight="1" x14ac:dyDescent="0.3">
      <c r="BB1039919" s="38"/>
    </row>
    <row r="1039920" spans="54:54" ht="15.75" customHeight="1" x14ac:dyDescent="0.3">
      <c r="BB1039920" s="38"/>
    </row>
    <row r="1039921" spans="54:54" ht="15.75" customHeight="1" x14ac:dyDescent="0.3">
      <c r="BB1039921" s="38"/>
    </row>
    <row r="1039922" spans="54:54" ht="15.75" customHeight="1" x14ac:dyDescent="0.3">
      <c r="BB1039922" s="38"/>
    </row>
    <row r="1039923" spans="54:54" ht="15.75" customHeight="1" x14ac:dyDescent="0.3">
      <c r="BB1039923" s="38"/>
    </row>
    <row r="1039924" spans="54:54" ht="15.75" customHeight="1" x14ac:dyDescent="0.3">
      <c r="BB1039924" s="38"/>
    </row>
    <row r="1039925" spans="54:54" ht="15.75" customHeight="1" x14ac:dyDescent="0.3">
      <c r="BB1039925" s="38"/>
    </row>
    <row r="1039926" spans="54:54" ht="15.75" customHeight="1" x14ac:dyDescent="0.3">
      <c r="BB1039926" s="38"/>
    </row>
    <row r="1039927" spans="54:54" ht="15.75" customHeight="1" x14ac:dyDescent="0.3">
      <c r="BB1039927" s="38"/>
    </row>
    <row r="1039928" spans="54:54" ht="15.75" customHeight="1" x14ac:dyDescent="0.3">
      <c r="BB1039928" s="38"/>
    </row>
    <row r="1039929" spans="54:54" ht="15.75" customHeight="1" x14ac:dyDescent="0.3">
      <c r="BB1039929" s="38"/>
    </row>
    <row r="1039930" spans="54:54" ht="15.75" customHeight="1" x14ac:dyDescent="0.3">
      <c r="BB1039930" s="38"/>
    </row>
    <row r="1039931" spans="54:54" ht="15.75" customHeight="1" x14ac:dyDescent="0.3">
      <c r="BB1039931" s="38"/>
    </row>
    <row r="1039932" spans="54:54" ht="15.75" customHeight="1" x14ac:dyDescent="0.3">
      <c r="BB1039932" s="38"/>
    </row>
    <row r="1039933" spans="54:54" ht="15.75" customHeight="1" x14ac:dyDescent="0.3">
      <c r="BB1039933" s="38"/>
    </row>
    <row r="1039934" spans="54:54" ht="15.75" customHeight="1" x14ac:dyDescent="0.3">
      <c r="BB1039934" s="38"/>
    </row>
    <row r="1039935" spans="54:54" ht="15.75" customHeight="1" x14ac:dyDescent="0.3">
      <c r="BB1039935" s="38"/>
    </row>
    <row r="1039936" spans="54:54" ht="15.75" customHeight="1" x14ac:dyDescent="0.3">
      <c r="BB1039936" s="38"/>
    </row>
    <row r="1039937" spans="54:54" ht="15.75" customHeight="1" x14ac:dyDescent="0.3">
      <c r="BB1039937" s="38"/>
    </row>
    <row r="1039938" spans="54:54" ht="15.75" customHeight="1" x14ac:dyDescent="0.3">
      <c r="BB1039938" s="38"/>
    </row>
    <row r="1039939" spans="54:54" ht="15.75" customHeight="1" x14ac:dyDescent="0.3">
      <c r="BB1039939" s="38"/>
    </row>
    <row r="1039940" spans="54:54" ht="15.75" customHeight="1" x14ac:dyDescent="0.3">
      <c r="BB1039940" s="38"/>
    </row>
    <row r="1039941" spans="54:54" ht="15.75" customHeight="1" x14ac:dyDescent="0.3">
      <c r="BB1039941" s="38"/>
    </row>
    <row r="1039942" spans="54:54" ht="15.75" customHeight="1" x14ac:dyDescent="0.3">
      <c r="BB1039942" s="38"/>
    </row>
    <row r="1039943" spans="54:54" ht="15.75" customHeight="1" x14ac:dyDescent="0.3">
      <c r="BB1039943" s="38"/>
    </row>
    <row r="1039944" spans="54:54" ht="15.75" customHeight="1" x14ac:dyDescent="0.3">
      <c r="BB1039944" s="38"/>
    </row>
    <row r="1039945" spans="54:54" ht="15.75" customHeight="1" x14ac:dyDescent="0.3">
      <c r="BB1039945" s="38"/>
    </row>
    <row r="1039946" spans="54:54" ht="15.75" customHeight="1" x14ac:dyDescent="0.3">
      <c r="BB1039946" s="38"/>
    </row>
    <row r="1039947" spans="54:54" ht="15.75" customHeight="1" x14ac:dyDescent="0.3">
      <c r="BB1039947" s="38"/>
    </row>
    <row r="1039948" spans="54:54" ht="15.75" customHeight="1" x14ac:dyDescent="0.3">
      <c r="BB1039948" s="38"/>
    </row>
    <row r="1039949" spans="54:54" ht="15.75" customHeight="1" x14ac:dyDescent="0.3">
      <c r="BB1039949" s="38"/>
    </row>
    <row r="1039950" spans="54:54" ht="15.75" customHeight="1" x14ac:dyDescent="0.3">
      <c r="BB1039950" s="38"/>
    </row>
    <row r="1039951" spans="54:54" ht="15.75" customHeight="1" x14ac:dyDescent="0.3">
      <c r="BB1039951" s="38"/>
    </row>
    <row r="1039952" spans="54:54" ht="15.75" customHeight="1" x14ac:dyDescent="0.3">
      <c r="BB1039952" s="38"/>
    </row>
    <row r="1039953" spans="54:54" ht="15.75" customHeight="1" x14ac:dyDescent="0.3">
      <c r="BB1039953" s="38"/>
    </row>
    <row r="1039954" spans="54:54" ht="15.75" customHeight="1" x14ac:dyDescent="0.3">
      <c r="BB1039954" s="38"/>
    </row>
    <row r="1039955" spans="54:54" ht="15.75" customHeight="1" x14ac:dyDescent="0.3">
      <c r="BB1039955" s="38"/>
    </row>
    <row r="1039956" spans="54:54" ht="15.75" customHeight="1" x14ac:dyDescent="0.3">
      <c r="BB1039956" s="38"/>
    </row>
    <row r="1039957" spans="54:54" ht="15.75" customHeight="1" x14ac:dyDescent="0.3">
      <c r="BB1039957" s="38"/>
    </row>
    <row r="1039958" spans="54:54" ht="15.75" customHeight="1" x14ac:dyDescent="0.3">
      <c r="BB1039958" s="38"/>
    </row>
    <row r="1039959" spans="54:54" ht="15.75" customHeight="1" x14ac:dyDescent="0.3">
      <c r="BB1039959" s="38"/>
    </row>
    <row r="1039960" spans="54:54" ht="15.75" customHeight="1" x14ac:dyDescent="0.3">
      <c r="BB1039960" s="38"/>
    </row>
    <row r="1039961" spans="54:54" ht="15.75" customHeight="1" x14ac:dyDescent="0.3">
      <c r="BB1039961" s="38"/>
    </row>
    <row r="1039962" spans="54:54" ht="15.75" customHeight="1" x14ac:dyDescent="0.3">
      <c r="BB1039962" s="38"/>
    </row>
    <row r="1039963" spans="54:54" ht="15.75" customHeight="1" x14ac:dyDescent="0.3">
      <c r="BB1039963" s="38"/>
    </row>
    <row r="1039964" spans="54:54" ht="15.75" customHeight="1" x14ac:dyDescent="0.3">
      <c r="BB1039964" s="38"/>
    </row>
    <row r="1039965" spans="54:54" ht="15.75" customHeight="1" x14ac:dyDescent="0.3">
      <c r="BB1039965" s="38"/>
    </row>
    <row r="1039966" spans="54:54" ht="15.75" customHeight="1" x14ac:dyDescent="0.3">
      <c r="BB1039966" s="38"/>
    </row>
    <row r="1039967" spans="54:54" ht="15.75" customHeight="1" x14ac:dyDescent="0.3">
      <c r="BB1039967" s="38"/>
    </row>
    <row r="1039968" spans="54:54" ht="15.75" customHeight="1" x14ac:dyDescent="0.3">
      <c r="BB1039968" s="38"/>
    </row>
    <row r="1039969" spans="54:54" ht="15.75" customHeight="1" x14ac:dyDescent="0.3">
      <c r="BB1039969" s="38"/>
    </row>
    <row r="1039970" spans="54:54" ht="15.75" customHeight="1" x14ac:dyDescent="0.3">
      <c r="BB1039970" s="38"/>
    </row>
    <row r="1039971" spans="54:54" ht="15.75" customHeight="1" x14ac:dyDescent="0.3">
      <c r="BB1039971" s="38"/>
    </row>
    <row r="1039972" spans="54:54" ht="15.75" customHeight="1" x14ac:dyDescent="0.3">
      <c r="BB1039972" s="38"/>
    </row>
    <row r="1039973" spans="54:54" ht="15.75" customHeight="1" x14ac:dyDescent="0.3">
      <c r="BB1039973" s="38"/>
    </row>
    <row r="1039974" spans="54:54" ht="15.75" customHeight="1" x14ac:dyDescent="0.3">
      <c r="BB1039974" s="38"/>
    </row>
    <row r="1039975" spans="54:54" ht="15.75" customHeight="1" x14ac:dyDescent="0.3">
      <c r="BB1039975" s="38"/>
    </row>
    <row r="1039976" spans="54:54" ht="15.75" customHeight="1" x14ac:dyDescent="0.3">
      <c r="BB1039976" s="38"/>
    </row>
    <row r="1039977" spans="54:54" ht="15.75" customHeight="1" x14ac:dyDescent="0.3">
      <c r="BB1039977" s="38"/>
    </row>
    <row r="1039978" spans="54:54" ht="15.75" customHeight="1" x14ac:dyDescent="0.3">
      <c r="BB1039978" s="38"/>
    </row>
    <row r="1039979" spans="54:54" ht="15.75" customHeight="1" x14ac:dyDescent="0.3">
      <c r="BB1039979" s="38"/>
    </row>
    <row r="1039980" spans="54:54" ht="15.75" customHeight="1" x14ac:dyDescent="0.3">
      <c r="BB1039980" s="38"/>
    </row>
    <row r="1039981" spans="54:54" ht="15.75" customHeight="1" x14ac:dyDescent="0.3">
      <c r="BB1039981" s="38"/>
    </row>
    <row r="1039982" spans="54:54" ht="15.75" customHeight="1" x14ac:dyDescent="0.3">
      <c r="BB1039982" s="38"/>
    </row>
    <row r="1039983" spans="54:54" ht="15.75" customHeight="1" x14ac:dyDescent="0.3">
      <c r="BB1039983" s="38"/>
    </row>
    <row r="1039984" spans="54:54" ht="15.75" customHeight="1" x14ac:dyDescent="0.3">
      <c r="BB1039984" s="38"/>
    </row>
    <row r="1039985" spans="54:54" ht="15.75" customHeight="1" x14ac:dyDescent="0.3">
      <c r="BB1039985" s="38"/>
    </row>
    <row r="1039986" spans="54:54" ht="15.75" customHeight="1" x14ac:dyDescent="0.3">
      <c r="BB1039986" s="38"/>
    </row>
    <row r="1039987" spans="54:54" ht="15.75" customHeight="1" x14ac:dyDescent="0.3">
      <c r="BB1039987" s="38"/>
    </row>
    <row r="1039988" spans="54:54" ht="15.75" customHeight="1" x14ac:dyDescent="0.3">
      <c r="BB1039988" s="38"/>
    </row>
    <row r="1039989" spans="54:54" ht="15.75" customHeight="1" x14ac:dyDescent="0.3">
      <c r="BB1039989" s="38"/>
    </row>
    <row r="1039990" spans="54:54" ht="15.75" customHeight="1" x14ac:dyDescent="0.3">
      <c r="BB1039990" s="38"/>
    </row>
    <row r="1039991" spans="54:54" ht="15.75" customHeight="1" x14ac:dyDescent="0.3">
      <c r="BB1039991" s="38"/>
    </row>
    <row r="1039992" spans="54:54" ht="15.75" customHeight="1" x14ac:dyDescent="0.3">
      <c r="BB1039992" s="38"/>
    </row>
    <row r="1039993" spans="54:54" ht="15.75" customHeight="1" x14ac:dyDescent="0.3">
      <c r="BB1039993" s="38"/>
    </row>
    <row r="1039994" spans="54:54" ht="15.75" customHeight="1" x14ac:dyDescent="0.3">
      <c r="BB1039994" s="38"/>
    </row>
    <row r="1039995" spans="54:54" ht="15.75" customHeight="1" x14ac:dyDescent="0.3">
      <c r="BB1039995" s="38"/>
    </row>
    <row r="1039996" spans="54:54" ht="15.75" customHeight="1" x14ac:dyDescent="0.3">
      <c r="BB1039996" s="38"/>
    </row>
    <row r="1039997" spans="54:54" ht="15.75" customHeight="1" x14ac:dyDescent="0.3">
      <c r="BB1039997" s="38"/>
    </row>
    <row r="1039998" spans="54:54" ht="15.75" customHeight="1" x14ac:dyDescent="0.3">
      <c r="BB1039998" s="38"/>
    </row>
    <row r="1039999" spans="54:54" ht="15.75" customHeight="1" x14ac:dyDescent="0.3">
      <c r="BB1039999" s="38"/>
    </row>
    <row r="1040000" spans="54:54" ht="15.75" customHeight="1" x14ac:dyDescent="0.3">
      <c r="BB1040000" s="38"/>
    </row>
    <row r="1040001" spans="54:54" ht="15.75" customHeight="1" x14ac:dyDescent="0.3">
      <c r="BB1040001" s="38"/>
    </row>
    <row r="1040002" spans="54:54" ht="15.75" customHeight="1" x14ac:dyDescent="0.3">
      <c r="BB1040002" s="38"/>
    </row>
    <row r="1040003" spans="54:54" ht="15.75" customHeight="1" x14ac:dyDescent="0.3">
      <c r="BB1040003" s="38"/>
    </row>
    <row r="1040004" spans="54:54" ht="15.75" customHeight="1" x14ac:dyDescent="0.3">
      <c r="BB1040004" s="38"/>
    </row>
    <row r="1040005" spans="54:54" ht="15.75" customHeight="1" x14ac:dyDescent="0.3">
      <c r="BB1040005" s="38"/>
    </row>
    <row r="1040006" spans="54:54" ht="15.75" customHeight="1" x14ac:dyDescent="0.3">
      <c r="BB1040006" s="38"/>
    </row>
    <row r="1040007" spans="54:54" ht="15.75" customHeight="1" x14ac:dyDescent="0.3">
      <c r="BB1040007" s="38"/>
    </row>
    <row r="1040008" spans="54:54" ht="15.75" customHeight="1" x14ac:dyDescent="0.3">
      <c r="BB1040008" s="38"/>
    </row>
    <row r="1040009" spans="54:54" ht="15.75" customHeight="1" x14ac:dyDescent="0.3">
      <c r="BB1040009" s="38"/>
    </row>
    <row r="1040010" spans="54:54" ht="15.75" customHeight="1" x14ac:dyDescent="0.3">
      <c r="BB1040010" s="38"/>
    </row>
    <row r="1040011" spans="54:54" ht="15.75" customHeight="1" x14ac:dyDescent="0.3">
      <c r="BB1040011" s="38"/>
    </row>
    <row r="1040012" spans="54:54" ht="15.75" customHeight="1" x14ac:dyDescent="0.3">
      <c r="BB1040012" s="38"/>
    </row>
    <row r="1040013" spans="54:54" ht="15.75" customHeight="1" x14ac:dyDescent="0.3">
      <c r="BB1040013" s="38"/>
    </row>
    <row r="1040014" spans="54:54" ht="15.75" customHeight="1" x14ac:dyDescent="0.3">
      <c r="BB1040014" s="38"/>
    </row>
    <row r="1040015" spans="54:54" ht="15.75" customHeight="1" x14ac:dyDescent="0.3">
      <c r="BB1040015" s="38"/>
    </row>
    <row r="1040016" spans="54:54" ht="15.75" customHeight="1" x14ac:dyDescent="0.3">
      <c r="BB1040016" s="38"/>
    </row>
    <row r="1040017" spans="54:54" ht="15.75" customHeight="1" x14ac:dyDescent="0.3">
      <c r="BB1040017" s="38"/>
    </row>
    <row r="1040018" spans="54:54" ht="15.75" customHeight="1" x14ac:dyDescent="0.3">
      <c r="BB1040018" s="38"/>
    </row>
    <row r="1040019" spans="54:54" ht="15.75" customHeight="1" x14ac:dyDescent="0.3">
      <c r="BB1040019" s="38"/>
    </row>
    <row r="1040020" spans="54:54" ht="15.75" customHeight="1" x14ac:dyDescent="0.3">
      <c r="BB1040020" s="38"/>
    </row>
    <row r="1040021" spans="54:54" ht="15.75" customHeight="1" x14ac:dyDescent="0.3">
      <c r="BB1040021" s="38"/>
    </row>
    <row r="1040022" spans="54:54" ht="15.75" customHeight="1" x14ac:dyDescent="0.3">
      <c r="BB1040022" s="38"/>
    </row>
    <row r="1040023" spans="54:54" ht="15.75" customHeight="1" x14ac:dyDescent="0.3">
      <c r="BB1040023" s="38"/>
    </row>
    <row r="1040024" spans="54:54" ht="15.75" customHeight="1" x14ac:dyDescent="0.3">
      <c r="BB1040024" s="38"/>
    </row>
    <row r="1040025" spans="54:54" ht="15.75" customHeight="1" x14ac:dyDescent="0.3">
      <c r="BB1040025" s="38"/>
    </row>
    <row r="1040026" spans="54:54" ht="15.75" customHeight="1" x14ac:dyDescent="0.3">
      <c r="BB1040026" s="38"/>
    </row>
    <row r="1040027" spans="54:54" ht="15.75" customHeight="1" x14ac:dyDescent="0.3">
      <c r="BB1040027" s="38"/>
    </row>
    <row r="1040028" spans="54:54" ht="15.75" customHeight="1" x14ac:dyDescent="0.3">
      <c r="BB1040028" s="38"/>
    </row>
    <row r="1040029" spans="54:54" ht="15.75" customHeight="1" x14ac:dyDescent="0.3">
      <c r="BB1040029" s="38"/>
    </row>
    <row r="1040030" spans="54:54" ht="15.75" customHeight="1" x14ac:dyDescent="0.3">
      <c r="BB1040030" s="38"/>
    </row>
    <row r="1040031" spans="54:54" ht="15.75" customHeight="1" x14ac:dyDescent="0.3">
      <c r="BB1040031" s="38"/>
    </row>
    <row r="1040032" spans="54:54" ht="15.75" customHeight="1" x14ac:dyDescent="0.3">
      <c r="BB1040032" s="38"/>
    </row>
    <row r="1040033" spans="54:54" ht="15.75" customHeight="1" x14ac:dyDescent="0.3">
      <c r="BB1040033" s="38"/>
    </row>
    <row r="1040034" spans="54:54" ht="15.75" customHeight="1" x14ac:dyDescent="0.3">
      <c r="BB1040034" s="38"/>
    </row>
    <row r="1040035" spans="54:54" ht="15.75" customHeight="1" x14ac:dyDescent="0.3">
      <c r="BB1040035" s="38"/>
    </row>
    <row r="1040036" spans="54:54" ht="15.75" customHeight="1" x14ac:dyDescent="0.3">
      <c r="BB1040036" s="38"/>
    </row>
    <row r="1040037" spans="54:54" ht="15.75" customHeight="1" x14ac:dyDescent="0.3">
      <c r="BB1040037" s="38"/>
    </row>
    <row r="1040038" spans="54:54" ht="15.75" customHeight="1" x14ac:dyDescent="0.3">
      <c r="BB1040038" s="38"/>
    </row>
    <row r="1040039" spans="54:54" ht="15.75" customHeight="1" x14ac:dyDescent="0.3">
      <c r="BB1040039" s="38"/>
    </row>
    <row r="1040040" spans="54:54" ht="15.75" customHeight="1" x14ac:dyDescent="0.3">
      <c r="BB1040040" s="38"/>
    </row>
    <row r="1040041" spans="54:54" ht="15.75" customHeight="1" x14ac:dyDescent="0.3">
      <c r="BB1040041" s="38"/>
    </row>
    <row r="1040042" spans="54:54" ht="15.75" customHeight="1" x14ac:dyDescent="0.3">
      <c r="BB1040042" s="38"/>
    </row>
    <row r="1040043" spans="54:54" ht="15.75" customHeight="1" x14ac:dyDescent="0.3">
      <c r="BB1040043" s="38"/>
    </row>
    <row r="1040044" spans="54:54" ht="15.75" customHeight="1" x14ac:dyDescent="0.3">
      <c r="BB1040044" s="38"/>
    </row>
    <row r="1040045" spans="54:54" ht="15.75" customHeight="1" x14ac:dyDescent="0.3">
      <c r="BB1040045" s="38"/>
    </row>
    <row r="1040046" spans="54:54" ht="15.75" customHeight="1" x14ac:dyDescent="0.3">
      <c r="BB1040046" s="38"/>
    </row>
    <row r="1040047" spans="54:54" ht="15.75" customHeight="1" x14ac:dyDescent="0.3">
      <c r="BB1040047" s="38"/>
    </row>
    <row r="1040048" spans="54:54" ht="15.75" customHeight="1" x14ac:dyDescent="0.3">
      <c r="BB1040048" s="38"/>
    </row>
    <row r="1040049" spans="54:54" ht="15.75" customHeight="1" x14ac:dyDescent="0.3">
      <c r="BB1040049" s="38"/>
    </row>
    <row r="1040050" spans="54:54" ht="15.75" customHeight="1" x14ac:dyDescent="0.3">
      <c r="BB1040050" s="38"/>
    </row>
    <row r="1040051" spans="54:54" ht="15.75" customHeight="1" x14ac:dyDescent="0.3">
      <c r="BB1040051" s="38"/>
    </row>
    <row r="1040052" spans="54:54" ht="15.75" customHeight="1" x14ac:dyDescent="0.3">
      <c r="BB1040052" s="38"/>
    </row>
    <row r="1040053" spans="54:54" ht="15.75" customHeight="1" x14ac:dyDescent="0.3">
      <c r="BB1040053" s="38"/>
    </row>
    <row r="1040054" spans="54:54" ht="15.75" customHeight="1" x14ac:dyDescent="0.3">
      <c r="BB1040054" s="38"/>
    </row>
    <row r="1040055" spans="54:54" ht="15.75" customHeight="1" x14ac:dyDescent="0.3">
      <c r="BB1040055" s="38"/>
    </row>
    <row r="1040056" spans="54:54" ht="15.75" customHeight="1" x14ac:dyDescent="0.3">
      <c r="BB1040056" s="38"/>
    </row>
    <row r="1040057" spans="54:54" ht="15.75" customHeight="1" x14ac:dyDescent="0.3">
      <c r="BB1040057" s="38"/>
    </row>
    <row r="1040058" spans="54:54" ht="15.75" customHeight="1" x14ac:dyDescent="0.3">
      <c r="BB1040058" s="38"/>
    </row>
    <row r="1040059" spans="54:54" ht="15.75" customHeight="1" x14ac:dyDescent="0.3">
      <c r="BB1040059" s="38"/>
    </row>
    <row r="1040060" spans="54:54" ht="15.75" customHeight="1" x14ac:dyDescent="0.3">
      <c r="BB1040060" s="38"/>
    </row>
    <row r="1040061" spans="54:54" ht="15.75" customHeight="1" x14ac:dyDescent="0.3">
      <c r="BB1040061" s="38"/>
    </row>
    <row r="1040062" spans="54:54" ht="15.75" customHeight="1" x14ac:dyDescent="0.3">
      <c r="BB1040062" s="38"/>
    </row>
    <row r="1040063" spans="54:54" ht="15.75" customHeight="1" x14ac:dyDescent="0.3">
      <c r="BB1040063" s="38"/>
    </row>
    <row r="1040064" spans="54:54" ht="15.75" customHeight="1" x14ac:dyDescent="0.3">
      <c r="BB1040064" s="38"/>
    </row>
    <row r="1040065" spans="54:54" ht="15.75" customHeight="1" x14ac:dyDescent="0.3">
      <c r="BB1040065" s="38"/>
    </row>
    <row r="1040066" spans="54:54" ht="15.75" customHeight="1" x14ac:dyDescent="0.3">
      <c r="BB1040066" s="38"/>
    </row>
    <row r="1040067" spans="54:54" ht="15.75" customHeight="1" x14ac:dyDescent="0.3">
      <c r="BB1040067" s="38"/>
    </row>
    <row r="1040068" spans="54:54" ht="15.75" customHeight="1" x14ac:dyDescent="0.3">
      <c r="BB1040068" s="38"/>
    </row>
    <row r="1040069" spans="54:54" ht="15.75" customHeight="1" x14ac:dyDescent="0.3">
      <c r="BB1040069" s="38"/>
    </row>
    <row r="1040070" spans="54:54" ht="15.75" customHeight="1" x14ac:dyDescent="0.3">
      <c r="BB1040070" s="38"/>
    </row>
    <row r="1040071" spans="54:54" ht="15.75" customHeight="1" x14ac:dyDescent="0.3">
      <c r="BB1040071" s="38"/>
    </row>
    <row r="1040072" spans="54:54" ht="15.75" customHeight="1" x14ac:dyDescent="0.3">
      <c r="BB1040072" s="38"/>
    </row>
    <row r="1040073" spans="54:54" ht="15.75" customHeight="1" x14ac:dyDescent="0.3">
      <c r="BB1040073" s="38"/>
    </row>
    <row r="1040074" spans="54:54" ht="15.75" customHeight="1" x14ac:dyDescent="0.3">
      <c r="BB1040074" s="38"/>
    </row>
    <row r="1040075" spans="54:54" ht="15.75" customHeight="1" x14ac:dyDescent="0.3">
      <c r="BB1040075" s="38"/>
    </row>
    <row r="1040076" spans="54:54" ht="15.75" customHeight="1" x14ac:dyDescent="0.3">
      <c r="BB1040076" s="38"/>
    </row>
    <row r="1040077" spans="54:54" ht="15.75" customHeight="1" x14ac:dyDescent="0.3">
      <c r="BB1040077" s="38"/>
    </row>
    <row r="1040078" spans="54:54" ht="15.75" customHeight="1" x14ac:dyDescent="0.3">
      <c r="BB1040078" s="38"/>
    </row>
    <row r="1040079" spans="54:54" ht="15.75" customHeight="1" x14ac:dyDescent="0.3">
      <c r="BB1040079" s="38"/>
    </row>
    <row r="1040080" spans="54:54" ht="15.75" customHeight="1" x14ac:dyDescent="0.3">
      <c r="BB1040080" s="38"/>
    </row>
    <row r="1040081" spans="54:54" ht="15.75" customHeight="1" x14ac:dyDescent="0.3">
      <c r="BB1040081" s="38"/>
    </row>
    <row r="1040082" spans="54:54" ht="15.75" customHeight="1" x14ac:dyDescent="0.3">
      <c r="BB1040082" s="38"/>
    </row>
    <row r="1040083" spans="54:54" ht="15.75" customHeight="1" x14ac:dyDescent="0.3">
      <c r="BB1040083" s="38"/>
    </row>
    <row r="1040084" spans="54:54" ht="15.75" customHeight="1" x14ac:dyDescent="0.3">
      <c r="BB1040084" s="38"/>
    </row>
    <row r="1040085" spans="54:54" ht="15.75" customHeight="1" x14ac:dyDescent="0.3">
      <c r="BB1040085" s="38"/>
    </row>
    <row r="1040086" spans="54:54" ht="15.75" customHeight="1" x14ac:dyDescent="0.3">
      <c r="BB1040086" s="38"/>
    </row>
    <row r="1040087" spans="54:54" ht="15.75" customHeight="1" x14ac:dyDescent="0.3">
      <c r="BB1040087" s="38"/>
    </row>
    <row r="1040088" spans="54:54" ht="15.75" customHeight="1" x14ac:dyDescent="0.3">
      <c r="BB1040088" s="38"/>
    </row>
    <row r="1040089" spans="54:54" ht="15.75" customHeight="1" x14ac:dyDescent="0.3">
      <c r="BB1040089" s="38"/>
    </row>
    <row r="1040090" spans="54:54" ht="15.75" customHeight="1" x14ac:dyDescent="0.3">
      <c r="BB1040090" s="38"/>
    </row>
    <row r="1040091" spans="54:54" ht="15.75" customHeight="1" x14ac:dyDescent="0.3">
      <c r="BB1040091" s="38"/>
    </row>
    <row r="1040092" spans="54:54" ht="15.75" customHeight="1" x14ac:dyDescent="0.3">
      <c r="BB1040092" s="38"/>
    </row>
    <row r="1040093" spans="54:54" ht="15.75" customHeight="1" x14ac:dyDescent="0.3">
      <c r="BB1040093" s="38"/>
    </row>
    <row r="1040094" spans="54:54" ht="15.75" customHeight="1" x14ac:dyDescent="0.3">
      <c r="BB1040094" s="38"/>
    </row>
    <row r="1040095" spans="54:54" ht="15.75" customHeight="1" x14ac:dyDescent="0.3">
      <c r="BB1040095" s="38"/>
    </row>
    <row r="1040096" spans="54:54" ht="15.75" customHeight="1" x14ac:dyDescent="0.3">
      <c r="BB1040096" s="38"/>
    </row>
    <row r="1040097" spans="54:54" ht="15.75" customHeight="1" x14ac:dyDescent="0.3">
      <c r="BB1040097" s="38"/>
    </row>
    <row r="1040098" spans="54:54" ht="15.75" customHeight="1" x14ac:dyDescent="0.3">
      <c r="BB1040098" s="38"/>
    </row>
    <row r="1040099" spans="54:54" ht="15.75" customHeight="1" x14ac:dyDescent="0.3">
      <c r="BB1040099" s="38"/>
    </row>
    <row r="1040100" spans="54:54" ht="15.75" customHeight="1" x14ac:dyDescent="0.3">
      <c r="BB1040100" s="38"/>
    </row>
    <row r="1040101" spans="54:54" ht="15.75" customHeight="1" x14ac:dyDescent="0.3">
      <c r="BB1040101" s="38"/>
    </row>
    <row r="1040102" spans="54:54" ht="15.75" customHeight="1" x14ac:dyDescent="0.3">
      <c r="BB1040102" s="38"/>
    </row>
    <row r="1040103" spans="54:54" ht="15.75" customHeight="1" x14ac:dyDescent="0.3">
      <c r="BB1040103" s="38"/>
    </row>
    <row r="1040104" spans="54:54" ht="15.75" customHeight="1" x14ac:dyDescent="0.3">
      <c r="BB1040104" s="38"/>
    </row>
    <row r="1040105" spans="54:54" ht="15.75" customHeight="1" x14ac:dyDescent="0.3">
      <c r="BB1040105" s="38"/>
    </row>
    <row r="1040106" spans="54:54" ht="15.75" customHeight="1" x14ac:dyDescent="0.3">
      <c r="BB1040106" s="38"/>
    </row>
    <row r="1040107" spans="54:54" ht="15.75" customHeight="1" x14ac:dyDescent="0.3">
      <c r="BB1040107" s="38"/>
    </row>
    <row r="1040108" spans="54:54" ht="15.75" customHeight="1" x14ac:dyDescent="0.3">
      <c r="BB1040108" s="38"/>
    </row>
    <row r="1040109" spans="54:54" ht="15.75" customHeight="1" x14ac:dyDescent="0.3">
      <c r="BB1040109" s="38"/>
    </row>
    <row r="1040110" spans="54:54" ht="15.75" customHeight="1" x14ac:dyDescent="0.3">
      <c r="BB1040110" s="38"/>
    </row>
    <row r="1040111" spans="54:54" ht="15.75" customHeight="1" x14ac:dyDescent="0.3">
      <c r="BB1040111" s="38"/>
    </row>
    <row r="1040112" spans="54:54" ht="15.75" customHeight="1" x14ac:dyDescent="0.3">
      <c r="BB1040112" s="38"/>
    </row>
    <row r="1040113" spans="54:54" ht="15.75" customHeight="1" x14ac:dyDescent="0.3">
      <c r="BB1040113" s="38"/>
    </row>
    <row r="1040114" spans="54:54" ht="15.75" customHeight="1" x14ac:dyDescent="0.3">
      <c r="BB1040114" s="38"/>
    </row>
    <row r="1040115" spans="54:54" ht="15.75" customHeight="1" x14ac:dyDescent="0.3">
      <c r="BB1040115" s="38"/>
    </row>
    <row r="1040116" spans="54:54" ht="15.75" customHeight="1" x14ac:dyDescent="0.3">
      <c r="BB1040116" s="38"/>
    </row>
    <row r="1040117" spans="54:54" ht="15.75" customHeight="1" x14ac:dyDescent="0.3">
      <c r="BB1040117" s="38"/>
    </row>
    <row r="1040118" spans="54:54" ht="15.75" customHeight="1" x14ac:dyDescent="0.3">
      <c r="BB1040118" s="38"/>
    </row>
    <row r="1040119" spans="54:54" ht="15.75" customHeight="1" x14ac:dyDescent="0.3">
      <c r="BB1040119" s="38"/>
    </row>
    <row r="1040120" spans="54:54" ht="15.75" customHeight="1" x14ac:dyDescent="0.3">
      <c r="BB1040120" s="38"/>
    </row>
    <row r="1040121" spans="54:54" ht="15.75" customHeight="1" x14ac:dyDescent="0.3">
      <c r="BB1040121" s="38"/>
    </row>
    <row r="1040122" spans="54:54" ht="15.75" customHeight="1" x14ac:dyDescent="0.3">
      <c r="BB1040122" s="38"/>
    </row>
    <row r="1040123" spans="54:54" ht="15.75" customHeight="1" x14ac:dyDescent="0.3">
      <c r="BB1040123" s="38"/>
    </row>
    <row r="1040124" spans="54:54" ht="15.75" customHeight="1" x14ac:dyDescent="0.3">
      <c r="BB1040124" s="38"/>
    </row>
    <row r="1040125" spans="54:54" ht="15.75" customHeight="1" x14ac:dyDescent="0.3">
      <c r="BB1040125" s="38"/>
    </row>
    <row r="1040126" spans="54:54" ht="15.75" customHeight="1" x14ac:dyDescent="0.3">
      <c r="BB1040126" s="38"/>
    </row>
    <row r="1040127" spans="54:54" ht="15.75" customHeight="1" x14ac:dyDescent="0.3">
      <c r="BB1040127" s="38"/>
    </row>
    <row r="1040128" spans="54:54" ht="15.75" customHeight="1" x14ac:dyDescent="0.3">
      <c r="BB1040128" s="38"/>
    </row>
    <row r="1040129" spans="54:54" ht="15.75" customHeight="1" x14ac:dyDescent="0.3">
      <c r="BB1040129" s="38"/>
    </row>
    <row r="1040130" spans="54:54" ht="15.75" customHeight="1" x14ac:dyDescent="0.3">
      <c r="BB1040130" s="38"/>
    </row>
    <row r="1040131" spans="54:54" ht="15.75" customHeight="1" x14ac:dyDescent="0.3">
      <c r="BB1040131" s="38"/>
    </row>
    <row r="1040132" spans="54:54" ht="15.75" customHeight="1" x14ac:dyDescent="0.3">
      <c r="BB1040132" s="38"/>
    </row>
    <row r="1040133" spans="54:54" ht="15.75" customHeight="1" x14ac:dyDescent="0.3">
      <c r="BB1040133" s="38"/>
    </row>
    <row r="1040134" spans="54:54" ht="15.75" customHeight="1" x14ac:dyDescent="0.3">
      <c r="BB1040134" s="38"/>
    </row>
    <row r="1040135" spans="54:54" ht="15.75" customHeight="1" x14ac:dyDescent="0.3">
      <c r="BB1040135" s="38"/>
    </row>
    <row r="1040136" spans="54:54" ht="15.75" customHeight="1" x14ac:dyDescent="0.3">
      <c r="BB1040136" s="38"/>
    </row>
    <row r="1040137" spans="54:54" ht="15.75" customHeight="1" x14ac:dyDescent="0.3">
      <c r="BB1040137" s="38"/>
    </row>
    <row r="1040138" spans="54:54" ht="15.75" customHeight="1" x14ac:dyDescent="0.3">
      <c r="BB1040138" s="38"/>
    </row>
    <row r="1040139" spans="54:54" ht="15.75" customHeight="1" x14ac:dyDescent="0.3">
      <c r="BB1040139" s="38"/>
    </row>
    <row r="1040140" spans="54:54" ht="15.75" customHeight="1" x14ac:dyDescent="0.3">
      <c r="BB1040140" s="38"/>
    </row>
    <row r="1040141" spans="54:54" ht="15.75" customHeight="1" x14ac:dyDescent="0.3">
      <c r="BB1040141" s="38"/>
    </row>
    <row r="1040142" spans="54:54" ht="15.75" customHeight="1" x14ac:dyDescent="0.3">
      <c r="BB1040142" s="38"/>
    </row>
    <row r="1040143" spans="54:54" ht="15.75" customHeight="1" x14ac:dyDescent="0.3">
      <c r="BB1040143" s="38"/>
    </row>
    <row r="1040144" spans="54:54" ht="15.75" customHeight="1" x14ac:dyDescent="0.3">
      <c r="BB1040144" s="38"/>
    </row>
    <row r="1040145" spans="54:54" ht="15.75" customHeight="1" x14ac:dyDescent="0.3">
      <c r="BB1040145" s="38"/>
    </row>
    <row r="1040146" spans="54:54" ht="15.75" customHeight="1" x14ac:dyDescent="0.3">
      <c r="BB1040146" s="38"/>
    </row>
    <row r="1040147" spans="54:54" ht="15.75" customHeight="1" x14ac:dyDescent="0.3">
      <c r="BB1040147" s="38"/>
    </row>
    <row r="1040148" spans="54:54" ht="15.75" customHeight="1" x14ac:dyDescent="0.3">
      <c r="BB1040148" s="38"/>
    </row>
    <row r="1040149" spans="54:54" ht="15.75" customHeight="1" x14ac:dyDescent="0.3">
      <c r="BB1040149" s="38"/>
    </row>
    <row r="1040150" spans="54:54" ht="15.75" customHeight="1" x14ac:dyDescent="0.3">
      <c r="BB1040150" s="38"/>
    </row>
    <row r="1040151" spans="54:54" ht="15.75" customHeight="1" x14ac:dyDescent="0.3">
      <c r="BB1040151" s="38"/>
    </row>
    <row r="1040152" spans="54:54" ht="15.75" customHeight="1" x14ac:dyDescent="0.3">
      <c r="BB1040152" s="38"/>
    </row>
    <row r="1040153" spans="54:54" ht="15.75" customHeight="1" x14ac:dyDescent="0.3">
      <c r="BB1040153" s="38"/>
    </row>
    <row r="1040154" spans="54:54" ht="15.75" customHeight="1" x14ac:dyDescent="0.3">
      <c r="BB1040154" s="38"/>
    </row>
    <row r="1040155" spans="54:54" ht="15.75" customHeight="1" x14ac:dyDescent="0.3">
      <c r="BB1040155" s="38"/>
    </row>
    <row r="1040156" spans="54:54" ht="15.75" customHeight="1" x14ac:dyDescent="0.3">
      <c r="BB1040156" s="38"/>
    </row>
    <row r="1040157" spans="54:54" ht="15.75" customHeight="1" x14ac:dyDescent="0.3">
      <c r="BB1040157" s="38"/>
    </row>
    <row r="1040158" spans="54:54" ht="15.75" customHeight="1" x14ac:dyDescent="0.3">
      <c r="BB1040158" s="38"/>
    </row>
    <row r="1040159" spans="54:54" ht="15.75" customHeight="1" x14ac:dyDescent="0.3">
      <c r="BB1040159" s="38"/>
    </row>
    <row r="1040160" spans="54:54" ht="15.75" customHeight="1" x14ac:dyDescent="0.3">
      <c r="BB1040160" s="38"/>
    </row>
    <row r="1040161" spans="54:54" ht="15.75" customHeight="1" x14ac:dyDescent="0.3">
      <c r="BB1040161" s="38"/>
    </row>
    <row r="1040162" spans="54:54" ht="15.75" customHeight="1" x14ac:dyDescent="0.3">
      <c r="BB1040162" s="38"/>
    </row>
    <row r="1040163" spans="54:54" ht="15.75" customHeight="1" x14ac:dyDescent="0.3">
      <c r="BB1040163" s="38"/>
    </row>
    <row r="1040164" spans="54:54" ht="15.75" customHeight="1" x14ac:dyDescent="0.3">
      <c r="BB1040164" s="38"/>
    </row>
    <row r="1040165" spans="54:54" ht="15.75" customHeight="1" x14ac:dyDescent="0.3">
      <c r="BB1040165" s="38"/>
    </row>
    <row r="1040166" spans="54:54" ht="15.75" customHeight="1" x14ac:dyDescent="0.3">
      <c r="BB1040166" s="38"/>
    </row>
    <row r="1040167" spans="54:54" ht="15.75" customHeight="1" x14ac:dyDescent="0.3">
      <c r="BB1040167" s="38"/>
    </row>
    <row r="1040168" spans="54:54" ht="15.75" customHeight="1" x14ac:dyDescent="0.3">
      <c r="BB1040168" s="38"/>
    </row>
    <row r="1040169" spans="54:54" ht="15.75" customHeight="1" x14ac:dyDescent="0.3">
      <c r="BB1040169" s="38"/>
    </row>
    <row r="1040170" spans="54:54" ht="15.75" customHeight="1" x14ac:dyDescent="0.3">
      <c r="BB1040170" s="38"/>
    </row>
    <row r="1040171" spans="54:54" ht="15.75" customHeight="1" x14ac:dyDescent="0.3">
      <c r="BB1040171" s="38"/>
    </row>
    <row r="1040172" spans="54:54" ht="15.75" customHeight="1" x14ac:dyDescent="0.3">
      <c r="BB1040172" s="38"/>
    </row>
    <row r="1040173" spans="54:54" ht="15.75" customHeight="1" x14ac:dyDescent="0.3">
      <c r="BB1040173" s="38"/>
    </row>
    <row r="1040174" spans="54:54" ht="15.75" customHeight="1" x14ac:dyDescent="0.3">
      <c r="BB1040174" s="38"/>
    </row>
    <row r="1040175" spans="54:54" ht="15.75" customHeight="1" x14ac:dyDescent="0.3">
      <c r="BB1040175" s="38"/>
    </row>
    <row r="1040176" spans="54:54" ht="15.75" customHeight="1" x14ac:dyDescent="0.3">
      <c r="BB1040176" s="38"/>
    </row>
    <row r="1040177" spans="54:54" ht="15.75" customHeight="1" x14ac:dyDescent="0.3">
      <c r="BB1040177" s="38"/>
    </row>
    <row r="1040178" spans="54:54" ht="15.75" customHeight="1" x14ac:dyDescent="0.3">
      <c r="BB1040178" s="38"/>
    </row>
    <row r="1040179" spans="54:54" ht="15.75" customHeight="1" x14ac:dyDescent="0.3">
      <c r="BB1040179" s="38"/>
    </row>
    <row r="1040180" spans="54:54" ht="15.75" customHeight="1" x14ac:dyDescent="0.3">
      <c r="BB1040180" s="38"/>
    </row>
    <row r="1040181" spans="54:54" ht="15.75" customHeight="1" x14ac:dyDescent="0.3">
      <c r="BB1040181" s="38"/>
    </row>
    <row r="1040182" spans="54:54" ht="15.75" customHeight="1" x14ac:dyDescent="0.3">
      <c r="BB1040182" s="38"/>
    </row>
    <row r="1040183" spans="54:54" ht="15.75" customHeight="1" x14ac:dyDescent="0.3">
      <c r="BB1040183" s="38"/>
    </row>
    <row r="1040184" spans="54:54" ht="15.75" customHeight="1" x14ac:dyDescent="0.3">
      <c r="BB1040184" s="38"/>
    </row>
    <row r="1040185" spans="54:54" ht="15.75" customHeight="1" x14ac:dyDescent="0.3">
      <c r="BB1040185" s="38"/>
    </row>
    <row r="1040186" spans="54:54" ht="15.75" customHeight="1" x14ac:dyDescent="0.3">
      <c r="BB1040186" s="38"/>
    </row>
    <row r="1040187" spans="54:54" ht="15.75" customHeight="1" x14ac:dyDescent="0.3">
      <c r="BB1040187" s="38"/>
    </row>
    <row r="1040188" spans="54:54" ht="15.75" customHeight="1" x14ac:dyDescent="0.3">
      <c r="BB1040188" s="38"/>
    </row>
    <row r="1040189" spans="54:54" ht="15.75" customHeight="1" x14ac:dyDescent="0.3">
      <c r="BB1040189" s="38"/>
    </row>
    <row r="1040190" spans="54:54" ht="15.75" customHeight="1" x14ac:dyDescent="0.3">
      <c r="BB1040190" s="38"/>
    </row>
    <row r="1040191" spans="54:54" ht="15.75" customHeight="1" x14ac:dyDescent="0.3">
      <c r="BB1040191" s="38"/>
    </row>
    <row r="1040192" spans="54:54" ht="15.75" customHeight="1" x14ac:dyDescent="0.3">
      <c r="BB1040192" s="38"/>
    </row>
    <row r="1040193" spans="54:54" ht="15.75" customHeight="1" x14ac:dyDescent="0.3">
      <c r="BB1040193" s="38"/>
    </row>
    <row r="1040194" spans="54:54" ht="15.75" customHeight="1" x14ac:dyDescent="0.3">
      <c r="BB1040194" s="38"/>
    </row>
    <row r="1040195" spans="54:54" ht="15.75" customHeight="1" x14ac:dyDescent="0.3">
      <c r="BB1040195" s="38"/>
    </row>
    <row r="1040196" spans="54:54" ht="15.75" customHeight="1" x14ac:dyDescent="0.3">
      <c r="BB1040196" s="38"/>
    </row>
    <row r="1040197" spans="54:54" ht="15.75" customHeight="1" x14ac:dyDescent="0.3">
      <c r="BB1040197" s="38"/>
    </row>
    <row r="1040198" spans="54:54" ht="15.75" customHeight="1" x14ac:dyDescent="0.3">
      <c r="BB1040198" s="38"/>
    </row>
    <row r="1040199" spans="54:54" ht="15.75" customHeight="1" x14ac:dyDescent="0.3">
      <c r="BB1040199" s="38"/>
    </row>
    <row r="1040200" spans="54:54" ht="15.75" customHeight="1" x14ac:dyDescent="0.3">
      <c r="BB1040200" s="38"/>
    </row>
    <row r="1040201" spans="54:54" ht="15.75" customHeight="1" x14ac:dyDescent="0.3">
      <c r="BB1040201" s="38"/>
    </row>
    <row r="1040202" spans="54:54" ht="15.75" customHeight="1" x14ac:dyDescent="0.3">
      <c r="BB1040202" s="38"/>
    </row>
    <row r="1040203" spans="54:54" ht="15.75" customHeight="1" x14ac:dyDescent="0.3">
      <c r="BB1040203" s="38"/>
    </row>
    <row r="1040204" spans="54:54" ht="15.75" customHeight="1" x14ac:dyDescent="0.3">
      <c r="BB1040204" s="38"/>
    </row>
    <row r="1040205" spans="54:54" ht="15.75" customHeight="1" x14ac:dyDescent="0.3">
      <c r="BB1040205" s="38"/>
    </row>
    <row r="1040206" spans="54:54" ht="15.75" customHeight="1" x14ac:dyDescent="0.3">
      <c r="BB1040206" s="38"/>
    </row>
    <row r="1040207" spans="54:54" ht="15.75" customHeight="1" x14ac:dyDescent="0.3">
      <c r="BB1040207" s="38"/>
    </row>
    <row r="1040208" spans="54:54" ht="15.75" customHeight="1" x14ac:dyDescent="0.3">
      <c r="BB1040208" s="38"/>
    </row>
    <row r="1040209" spans="54:54" ht="15.75" customHeight="1" x14ac:dyDescent="0.3">
      <c r="BB1040209" s="38"/>
    </row>
    <row r="1040210" spans="54:54" ht="15.75" customHeight="1" x14ac:dyDescent="0.3">
      <c r="BB1040210" s="38"/>
    </row>
    <row r="1040211" spans="54:54" ht="15.75" customHeight="1" x14ac:dyDescent="0.3">
      <c r="BB1040211" s="38"/>
    </row>
    <row r="1040212" spans="54:54" ht="15.75" customHeight="1" x14ac:dyDescent="0.3">
      <c r="BB1040212" s="38"/>
    </row>
    <row r="1040213" spans="54:54" ht="15.75" customHeight="1" x14ac:dyDescent="0.3">
      <c r="BB1040213" s="38"/>
    </row>
    <row r="1040214" spans="54:54" ht="15.75" customHeight="1" x14ac:dyDescent="0.3">
      <c r="BB1040214" s="38"/>
    </row>
    <row r="1040215" spans="54:54" ht="15.75" customHeight="1" x14ac:dyDescent="0.3">
      <c r="BB1040215" s="38"/>
    </row>
    <row r="1040216" spans="54:54" ht="15.75" customHeight="1" x14ac:dyDescent="0.3">
      <c r="BB1040216" s="38"/>
    </row>
    <row r="1040217" spans="54:54" ht="15.75" customHeight="1" x14ac:dyDescent="0.3">
      <c r="BB1040217" s="38"/>
    </row>
    <row r="1040218" spans="54:54" ht="15.75" customHeight="1" x14ac:dyDescent="0.3">
      <c r="BB1040218" s="38"/>
    </row>
    <row r="1040219" spans="54:54" ht="15.75" customHeight="1" x14ac:dyDescent="0.3">
      <c r="BB1040219" s="38"/>
    </row>
    <row r="1040220" spans="54:54" ht="15.75" customHeight="1" x14ac:dyDescent="0.3">
      <c r="BB1040220" s="38"/>
    </row>
    <row r="1040221" spans="54:54" ht="15.75" customHeight="1" x14ac:dyDescent="0.3">
      <c r="BB1040221" s="38"/>
    </row>
    <row r="1040222" spans="54:54" ht="15.75" customHeight="1" x14ac:dyDescent="0.3">
      <c r="BB1040222" s="38"/>
    </row>
    <row r="1040223" spans="54:54" ht="15.75" customHeight="1" x14ac:dyDescent="0.3">
      <c r="BB1040223" s="38"/>
    </row>
    <row r="1040224" spans="54:54" ht="15.75" customHeight="1" x14ac:dyDescent="0.3">
      <c r="BB1040224" s="38"/>
    </row>
    <row r="1040225" spans="54:54" ht="15.75" customHeight="1" x14ac:dyDescent="0.3">
      <c r="BB1040225" s="38"/>
    </row>
    <row r="1040226" spans="54:54" ht="15.75" customHeight="1" x14ac:dyDescent="0.3">
      <c r="BB1040226" s="38"/>
    </row>
    <row r="1040227" spans="54:54" ht="15.75" customHeight="1" x14ac:dyDescent="0.3">
      <c r="BB1040227" s="38"/>
    </row>
    <row r="1040228" spans="54:54" ht="15.75" customHeight="1" x14ac:dyDescent="0.3">
      <c r="BB1040228" s="38"/>
    </row>
    <row r="1040229" spans="54:54" ht="15.75" customHeight="1" x14ac:dyDescent="0.3">
      <c r="BB1040229" s="38"/>
    </row>
    <row r="1040230" spans="54:54" ht="15.75" customHeight="1" x14ac:dyDescent="0.3">
      <c r="BB1040230" s="38"/>
    </row>
    <row r="1040231" spans="54:54" ht="15.75" customHeight="1" x14ac:dyDescent="0.3">
      <c r="BB1040231" s="38"/>
    </row>
    <row r="1040232" spans="54:54" ht="15.75" customHeight="1" x14ac:dyDescent="0.3">
      <c r="BB1040232" s="38"/>
    </row>
    <row r="1040233" spans="54:54" ht="15.75" customHeight="1" x14ac:dyDescent="0.3">
      <c r="BB1040233" s="38"/>
    </row>
    <row r="1040234" spans="54:54" ht="15.75" customHeight="1" x14ac:dyDescent="0.3">
      <c r="BB1040234" s="38"/>
    </row>
    <row r="1040235" spans="54:54" ht="15.75" customHeight="1" x14ac:dyDescent="0.3">
      <c r="BB1040235" s="38"/>
    </row>
    <row r="1040236" spans="54:54" ht="15.75" customHeight="1" x14ac:dyDescent="0.3">
      <c r="BB1040236" s="38"/>
    </row>
    <row r="1040237" spans="54:54" ht="15.75" customHeight="1" x14ac:dyDescent="0.3">
      <c r="BB1040237" s="38"/>
    </row>
    <row r="1040238" spans="54:54" ht="15.75" customHeight="1" x14ac:dyDescent="0.3">
      <c r="BB1040238" s="38"/>
    </row>
    <row r="1040239" spans="54:54" ht="15.75" customHeight="1" x14ac:dyDescent="0.3">
      <c r="BB1040239" s="38"/>
    </row>
    <row r="1040240" spans="54:54" ht="15.75" customHeight="1" x14ac:dyDescent="0.3">
      <c r="BB1040240" s="38"/>
    </row>
    <row r="1040241" spans="54:54" ht="15.75" customHeight="1" x14ac:dyDescent="0.3">
      <c r="BB1040241" s="38"/>
    </row>
    <row r="1040242" spans="54:54" ht="15.75" customHeight="1" x14ac:dyDescent="0.3">
      <c r="BB1040242" s="38"/>
    </row>
    <row r="1040243" spans="54:54" ht="15.75" customHeight="1" x14ac:dyDescent="0.3">
      <c r="BB1040243" s="38"/>
    </row>
    <row r="1040244" spans="54:54" ht="15.75" customHeight="1" x14ac:dyDescent="0.3">
      <c r="BB1040244" s="38"/>
    </row>
    <row r="1040245" spans="54:54" ht="15.75" customHeight="1" x14ac:dyDescent="0.3">
      <c r="BB1040245" s="38"/>
    </row>
    <row r="1040246" spans="54:54" ht="15.75" customHeight="1" x14ac:dyDescent="0.3">
      <c r="BB1040246" s="38"/>
    </row>
    <row r="1040247" spans="54:54" ht="15.75" customHeight="1" x14ac:dyDescent="0.3">
      <c r="BB1040247" s="38"/>
    </row>
    <row r="1040248" spans="54:54" ht="15.75" customHeight="1" x14ac:dyDescent="0.3">
      <c r="BB1040248" s="38"/>
    </row>
    <row r="1040249" spans="54:54" ht="15.75" customHeight="1" x14ac:dyDescent="0.3">
      <c r="BB1040249" s="38"/>
    </row>
    <row r="1040250" spans="54:54" ht="15.75" customHeight="1" x14ac:dyDescent="0.3">
      <c r="BB1040250" s="38"/>
    </row>
    <row r="1040251" spans="54:54" ht="15.75" customHeight="1" x14ac:dyDescent="0.3">
      <c r="BB1040251" s="38"/>
    </row>
    <row r="1040252" spans="54:54" ht="15.75" customHeight="1" x14ac:dyDescent="0.3">
      <c r="BB1040252" s="38"/>
    </row>
    <row r="1040253" spans="54:54" ht="15.75" customHeight="1" x14ac:dyDescent="0.3">
      <c r="BB1040253" s="38"/>
    </row>
    <row r="1040254" spans="54:54" ht="15.75" customHeight="1" x14ac:dyDescent="0.3">
      <c r="BB1040254" s="38"/>
    </row>
    <row r="1040255" spans="54:54" ht="15.75" customHeight="1" x14ac:dyDescent="0.3">
      <c r="BB1040255" s="38"/>
    </row>
    <row r="1040256" spans="54:54" ht="15.75" customHeight="1" x14ac:dyDescent="0.3">
      <c r="BB1040256" s="38"/>
    </row>
    <row r="1040257" spans="54:54" ht="15.75" customHeight="1" x14ac:dyDescent="0.3">
      <c r="BB1040257" s="38"/>
    </row>
    <row r="1040258" spans="54:54" ht="15.75" customHeight="1" x14ac:dyDescent="0.3">
      <c r="BB1040258" s="38"/>
    </row>
    <row r="1040259" spans="54:54" ht="15.75" customHeight="1" x14ac:dyDescent="0.3">
      <c r="BB1040259" s="38"/>
    </row>
    <row r="1040260" spans="54:54" ht="15.75" customHeight="1" x14ac:dyDescent="0.3">
      <c r="BB1040260" s="38"/>
    </row>
    <row r="1040261" spans="54:54" ht="15.75" customHeight="1" x14ac:dyDescent="0.3">
      <c r="BB1040261" s="38"/>
    </row>
    <row r="1040262" spans="54:54" ht="15.75" customHeight="1" x14ac:dyDescent="0.3">
      <c r="BB1040262" s="38"/>
    </row>
    <row r="1040263" spans="54:54" ht="15.75" customHeight="1" x14ac:dyDescent="0.3">
      <c r="BB1040263" s="38"/>
    </row>
    <row r="1040264" spans="54:54" ht="15.75" customHeight="1" x14ac:dyDescent="0.3">
      <c r="BB1040264" s="38"/>
    </row>
    <row r="1040265" spans="54:54" ht="15.75" customHeight="1" x14ac:dyDescent="0.3">
      <c r="BB1040265" s="38"/>
    </row>
    <row r="1040266" spans="54:54" ht="15.75" customHeight="1" x14ac:dyDescent="0.3">
      <c r="BB1040266" s="38"/>
    </row>
    <row r="1040267" spans="54:54" ht="15.75" customHeight="1" x14ac:dyDescent="0.3">
      <c r="BB1040267" s="38"/>
    </row>
    <row r="1040268" spans="54:54" ht="15.75" customHeight="1" x14ac:dyDescent="0.3">
      <c r="BB1040268" s="38"/>
    </row>
    <row r="1040269" spans="54:54" ht="15.75" customHeight="1" x14ac:dyDescent="0.3">
      <c r="BB1040269" s="38"/>
    </row>
    <row r="1040270" spans="54:54" ht="15.75" customHeight="1" x14ac:dyDescent="0.3">
      <c r="BB1040270" s="38"/>
    </row>
    <row r="1040271" spans="54:54" ht="15.75" customHeight="1" x14ac:dyDescent="0.3">
      <c r="BB1040271" s="38"/>
    </row>
    <row r="1040272" spans="54:54" ht="15.75" customHeight="1" x14ac:dyDescent="0.3">
      <c r="BB1040272" s="38"/>
    </row>
    <row r="1040273" spans="54:54" ht="15.75" customHeight="1" x14ac:dyDescent="0.3">
      <c r="BB1040273" s="38"/>
    </row>
    <row r="1040274" spans="54:54" ht="15.75" customHeight="1" x14ac:dyDescent="0.3">
      <c r="BB1040274" s="38"/>
    </row>
    <row r="1040275" spans="54:54" ht="15.75" customHeight="1" x14ac:dyDescent="0.3">
      <c r="BB1040275" s="38"/>
    </row>
    <row r="1040276" spans="54:54" ht="15.75" customHeight="1" x14ac:dyDescent="0.3">
      <c r="BB1040276" s="38"/>
    </row>
    <row r="1040277" spans="54:54" ht="15.75" customHeight="1" x14ac:dyDescent="0.3">
      <c r="BB1040277" s="38"/>
    </row>
    <row r="1040278" spans="54:54" ht="15.75" customHeight="1" x14ac:dyDescent="0.3">
      <c r="BB1040278" s="38"/>
    </row>
    <row r="1040279" spans="54:54" ht="15.75" customHeight="1" x14ac:dyDescent="0.3">
      <c r="BB1040279" s="38"/>
    </row>
    <row r="1040280" spans="54:54" ht="15.75" customHeight="1" x14ac:dyDescent="0.3">
      <c r="BB1040280" s="38"/>
    </row>
    <row r="1040281" spans="54:54" ht="15.75" customHeight="1" x14ac:dyDescent="0.3">
      <c r="BB1040281" s="38"/>
    </row>
    <row r="1040282" spans="54:54" ht="15.75" customHeight="1" x14ac:dyDescent="0.3">
      <c r="BB1040282" s="38"/>
    </row>
    <row r="1040283" spans="54:54" ht="15.75" customHeight="1" x14ac:dyDescent="0.3">
      <c r="BB1040283" s="38"/>
    </row>
    <row r="1040284" spans="54:54" ht="15.75" customHeight="1" x14ac:dyDescent="0.3">
      <c r="BB1040284" s="38"/>
    </row>
    <row r="1040285" spans="54:54" ht="15.75" customHeight="1" x14ac:dyDescent="0.3">
      <c r="BB1040285" s="38"/>
    </row>
    <row r="1040286" spans="54:54" ht="15.75" customHeight="1" x14ac:dyDescent="0.3">
      <c r="BB1040286" s="38"/>
    </row>
    <row r="1040287" spans="54:54" ht="15.75" customHeight="1" x14ac:dyDescent="0.3">
      <c r="BB1040287" s="38"/>
    </row>
    <row r="1040288" spans="54:54" ht="15.75" customHeight="1" x14ac:dyDescent="0.3">
      <c r="BB1040288" s="38"/>
    </row>
    <row r="1040289" spans="54:54" ht="15.75" customHeight="1" x14ac:dyDescent="0.3">
      <c r="BB1040289" s="38"/>
    </row>
    <row r="1040290" spans="54:54" ht="15.75" customHeight="1" x14ac:dyDescent="0.3">
      <c r="BB1040290" s="38"/>
    </row>
    <row r="1040291" spans="54:54" ht="15.75" customHeight="1" x14ac:dyDescent="0.3">
      <c r="BB1040291" s="38"/>
    </row>
    <row r="1040292" spans="54:54" ht="15.75" customHeight="1" x14ac:dyDescent="0.3">
      <c r="BB1040292" s="38"/>
    </row>
    <row r="1040293" spans="54:54" ht="15.75" customHeight="1" x14ac:dyDescent="0.3">
      <c r="BB1040293" s="38"/>
    </row>
    <row r="1040294" spans="54:54" ht="15.75" customHeight="1" x14ac:dyDescent="0.3">
      <c r="BB1040294" s="38"/>
    </row>
    <row r="1040295" spans="54:54" ht="15.75" customHeight="1" x14ac:dyDescent="0.3">
      <c r="BB1040295" s="38"/>
    </row>
    <row r="1040296" spans="54:54" ht="15.75" customHeight="1" x14ac:dyDescent="0.3">
      <c r="BB1040296" s="38"/>
    </row>
    <row r="1040297" spans="54:54" ht="15.75" customHeight="1" x14ac:dyDescent="0.3">
      <c r="BB1040297" s="38"/>
    </row>
    <row r="1040298" spans="54:54" ht="15.75" customHeight="1" x14ac:dyDescent="0.3">
      <c r="BB1040298" s="38"/>
    </row>
    <row r="1040299" spans="54:54" ht="15.75" customHeight="1" x14ac:dyDescent="0.3">
      <c r="BB1040299" s="38"/>
    </row>
    <row r="1040300" spans="54:54" ht="15.75" customHeight="1" x14ac:dyDescent="0.3">
      <c r="BB1040300" s="38"/>
    </row>
    <row r="1040301" spans="54:54" ht="15.75" customHeight="1" x14ac:dyDescent="0.3">
      <c r="BB1040301" s="38"/>
    </row>
    <row r="1040302" spans="54:54" ht="15.75" customHeight="1" x14ac:dyDescent="0.3">
      <c r="BB1040302" s="38"/>
    </row>
    <row r="1040303" spans="54:54" ht="15.75" customHeight="1" x14ac:dyDescent="0.3">
      <c r="BB1040303" s="38"/>
    </row>
    <row r="1040304" spans="54:54" ht="15.75" customHeight="1" x14ac:dyDescent="0.3">
      <c r="BB1040304" s="38"/>
    </row>
    <row r="1040305" spans="54:54" ht="15.75" customHeight="1" x14ac:dyDescent="0.3">
      <c r="BB1040305" s="38"/>
    </row>
    <row r="1040306" spans="54:54" ht="15.75" customHeight="1" x14ac:dyDescent="0.3">
      <c r="BB1040306" s="38"/>
    </row>
    <row r="1040307" spans="54:54" ht="15.75" customHeight="1" x14ac:dyDescent="0.3">
      <c r="BB1040307" s="38"/>
    </row>
    <row r="1040308" spans="54:54" ht="15.75" customHeight="1" x14ac:dyDescent="0.3">
      <c r="BB1040308" s="38"/>
    </row>
    <row r="1040309" spans="54:54" ht="15.75" customHeight="1" x14ac:dyDescent="0.3">
      <c r="BB1040309" s="38"/>
    </row>
    <row r="1040310" spans="54:54" ht="15.75" customHeight="1" x14ac:dyDescent="0.3">
      <c r="BB1040310" s="38"/>
    </row>
    <row r="1040311" spans="54:54" ht="15.75" customHeight="1" x14ac:dyDescent="0.3">
      <c r="BB1040311" s="38"/>
    </row>
    <row r="1040312" spans="54:54" ht="15.75" customHeight="1" x14ac:dyDescent="0.3">
      <c r="BB1040312" s="38"/>
    </row>
    <row r="1040313" spans="54:54" ht="15.75" customHeight="1" x14ac:dyDescent="0.3">
      <c r="BB1040313" s="38"/>
    </row>
    <row r="1040314" spans="54:54" ht="15.75" customHeight="1" x14ac:dyDescent="0.3">
      <c r="BB1040314" s="38"/>
    </row>
    <row r="1040315" spans="54:54" ht="15.75" customHeight="1" x14ac:dyDescent="0.3">
      <c r="BB1040315" s="38"/>
    </row>
    <row r="1040316" spans="54:54" ht="15.75" customHeight="1" x14ac:dyDescent="0.3">
      <c r="BB1040316" s="38"/>
    </row>
    <row r="1040317" spans="54:54" ht="15.75" customHeight="1" x14ac:dyDescent="0.3">
      <c r="BB1040317" s="38"/>
    </row>
    <row r="1040318" spans="54:54" ht="15.75" customHeight="1" x14ac:dyDescent="0.3">
      <c r="BB1040318" s="38"/>
    </row>
    <row r="1040319" spans="54:54" ht="15.75" customHeight="1" x14ac:dyDescent="0.3">
      <c r="BB1040319" s="38"/>
    </row>
    <row r="1040320" spans="54:54" ht="15.75" customHeight="1" x14ac:dyDescent="0.3">
      <c r="BB1040320" s="38"/>
    </row>
    <row r="1040321" spans="54:54" ht="15.75" customHeight="1" x14ac:dyDescent="0.3">
      <c r="BB1040321" s="38"/>
    </row>
    <row r="1040322" spans="54:54" ht="15.75" customHeight="1" x14ac:dyDescent="0.3">
      <c r="BB1040322" s="38"/>
    </row>
    <row r="1040323" spans="54:54" ht="15.75" customHeight="1" x14ac:dyDescent="0.3">
      <c r="BB1040323" s="38"/>
    </row>
    <row r="1040324" spans="54:54" ht="15.75" customHeight="1" x14ac:dyDescent="0.3">
      <c r="BB1040324" s="38"/>
    </row>
    <row r="1040325" spans="54:54" ht="15.75" customHeight="1" x14ac:dyDescent="0.3">
      <c r="BB1040325" s="38"/>
    </row>
    <row r="1040326" spans="54:54" ht="15.75" customHeight="1" x14ac:dyDescent="0.3">
      <c r="BB1040326" s="38"/>
    </row>
    <row r="1040327" spans="54:54" ht="15.75" customHeight="1" x14ac:dyDescent="0.3">
      <c r="BB1040327" s="38"/>
    </row>
    <row r="1040328" spans="54:54" ht="15.75" customHeight="1" x14ac:dyDescent="0.3">
      <c r="BB1040328" s="38"/>
    </row>
    <row r="1040329" spans="54:54" ht="15.75" customHeight="1" x14ac:dyDescent="0.3">
      <c r="BB1040329" s="38"/>
    </row>
    <row r="1040330" spans="54:54" ht="15.75" customHeight="1" x14ac:dyDescent="0.3">
      <c r="BB1040330" s="38"/>
    </row>
    <row r="1040331" spans="54:54" ht="15.75" customHeight="1" x14ac:dyDescent="0.3">
      <c r="BB1040331" s="38"/>
    </row>
    <row r="1040332" spans="54:54" ht="15.75" customHeight="1" x14ac:dyDescent="0.3">
      <c r="BB1040332" s="38"/>
    </row>
    <row r="1040333" spans="54:54" ht="15.75" customHeight="1" x14ac:dyDescent="0.3">
      <c r="BB1040333" s="38"/>
    </row>
    <row r="1040334" spans="54:54" ht="15.75" customHeight="1" x14ac:dyDescent="0.3">
      <c r="BB1040334" s="38"/>
    </row>
    <row r="1040335" spans="54:54" ht="15.75" customHeight="1" x14ac:dyDescent="0.3">
      <c r="BB1040335" s="38"/>
    </row>
    <row r="1040336" spans="54:54" ht="15.75" customHeight="1" x14ac:dyDescent="0.3">
      <c r="BB1040336" s="38"/>
    </row>
    <row r="1040337" spans="54:54" ht="15.75" customHeight="1" x14ac:dyDescent="0.3">
      <c r="BB1040337" s="38"/>
    </row>
    <row r="1040338" spans="54:54" ht="15.75" customHeight="1" x14ac:dyDescent="0.3">
      <c r="BB1040338" s="38"/>
    </row>
    <row r="1040339" spans="54:54" ht="15.75" customHeight="1" x14ac:dyDescent="0.3">
      <c r="BB1040339" s="38"/>
    </row>
    <row r="1040340" spans="54:54" ht="15.75" customHeight="1" x14ac:dyDescent="0.3">
      <c r="BB1040340" s="38"/>
    </row>
    <row r="1040341" spans="54:54" ht="15.75" customHeight="1" x14ac:dyDescent="0.3">
      <c r="BB1040341" s="38"/>
    </row>
    <row r="1040342" spans="54:54" ht="15.75" customHeight="1" x14ac:dyDescent="0.3">
      <c r="BB1040342" s="38"/>
    </row>
    <row r="1040343" spans="54:54" ht="15.75" customHeight="1" x14ac:dyDescent="0.3">
      <c r="BB1040343" s="38"/>
    </row>
    <row r="1040344" spans="54:54" ht="15.75" customHeight="1" x14ac:dyDescent="0.3">
      <c r="BB1040344" s="38"/>
    </row>
    <row r="1040345" spans="54:54" ht="15.75" customHeight="1" x14ac:dyDescent="0.3">
      <c r="BB1040345" s="38"/>
    </row>
    <row r="1040346" spans="54:54" ht="15.75" customHeight="1" x14ac:dyDescent="0.3">
      <c r="BB1040346" s="38"/>
    </row>
    <row r="1040347" spans="54:54" ht="15.75" customHeight="1" x14ac:dyDescent="0.3">
      <c r="BB1040347" s="38"/>
    </row>
    <row r="1040348" spans="54:54" ht="15.75" customHeight="1" x14ac:dyDescent="0.3">
      <c r="BB1040348" s="38"/>
    </row>
    <row r="1040349" spans="54:54" ht="15.75" customHeight="1" x14ac:dyDescent="0.3">
      <c r="BB1040349" s="38"/>
    </row>
    <row r="1040350" spans="54:54" ht="15.75" customHeight="1" x14ac:dyDescent="0.3">
      <c r="BB1040350" s="38"/>
    </row>
    <row r="1040351" spans="54:54" ht="15.75" customHeight="1" x14ac:dyDescent="0.3">
      <c r="BB1040351" s="38"/>
    </row>
    <row r="1040352" spans="54:54" ht="15.75" customHeight="1" x14ac:dyDescent="0.3">
      <c r="BB1040352" s="38"/>
    </row>
    <row r="1040353" spans="54:54" ht="15.75" customHeight="1" x14ac:dyDescent="0.3">
      <c r="BB1040353" s="38"/>
    </row>
    <row r="1040354" spans="54:54" ht="15.75" customHeight="1" x14ac:dyDescent="0.3">
      <c r="BB1040354" s="38"/>
    </row>
    <row r="1040355" spans="54:54" ht="15.75" customHeight="1" x14ac:dyDescent="0.3">
      <c r="BB1040355" s="38"/>
    </row>
    <row r="1040356" spans="54:54" ht="15.75" customHeight="1" x14ac:dyDescent="0.3">
      <c r="BB1040356" s="38"/>
    </row>
    <row r="1040357" spans="54:54" ht="15.75" customHeight="1" x14ac:dyDescent="0.3">
      <c r="BB1040357" s="38"/>
    </row>
    <row r="1040358" spans="54:54" ht="15.75" customHeight="1" x14ac:dyDescent="0.3">
      <c r="BB1040358" s="38"/>
    </row>
    <row r="1040359" spans="54:54" ht="15.75" customHeight="1" x14ac:dyDescent="0.3">
      <c r="BB1040359" s="38"/>
    </row>
    <row r="1040360" spans="54:54" ht="15.75" customHeight="1" x14ac:dyDescent="0.3">
      <c r="BB1040360" s="38"/>
    </row>
    <row r="1040361" spans="54:54" ht="15.75" customHeight="1" x14ac:dyDescent="0.3">
      <c r="BB1040361" s="38"/>
    </row>
    <row r="1040362" spans="54:54" ht="15.75" customHeight="1" x14ac:dyDescent="0.3">
      <c r="BB1040362" s="38"/>
    </row>
    <row r="1040363" spans="54:54" ht="15.75" customHeight="1" x14ac:dyDescent="0.3">
      <c r="BB1040363" s="38"/>
    </row>
    <row r="1040364" spans="54:54" ht="15.75" customHeight="1" x14ac:dyDescent="0.3">
      <c r="BB1040364" s="38"/>
    </row>
    <row r="1040365" spans="54:54" ht="15.75" customHeight="1" x14ac:dyDescent="0.3">
      <c r="BB1040365" s="38"/>
    </row>
    <row r="1040366" spans="54:54" ht="15.75" customHeight="1" x14ac:dyDescent="0.3">
      <c r="BB1040366" s="38"/>
    </row>
    <row r="1040367" spans="54:54" ht="15.75" customHeight="1" x14ac:dyDescent="0.3">
      <c r="BB1040367" s="38"/>
    </row>
    <row r="1040368" spans="54:54" ht="15.75" customHeight="1" x14ac:dyDescent="0.3">
      <c r="BB1040368" s="38"/>
    </row>
    <row r="1040369" spans="54:54" ht="15.75" customHeight="1" x14ac:dyDescent="0.3">
      <c r="BB1040369" s="38"/>
    </row>
    <row r="1040370" spans="54:54" ht="15.75" customHeight="1" x14ac:dyDescent="0.3">
      <c r="BB1040370" s="38"/>
    </row>
    <row r="1040371" spans="54:54" ht="15.75" customHeight="1" x14ac:dyDescent="0.3">
      <c r="BB1040371" s="38"/>
    </row>
    <row r="1040372" spans="54:54" ht="15.75" customHeight="1" x14ac:dyDescent="0.3">
      <c r="BB1040372" s="38"/>
    </row>
    <row r="1040373" spans="54:54" ht="15.75" customHeight="1" x14ac:dyDescent="0.3">
      <c r="BB1040373" s="38"/>
    </row>
    <row r="1040374" spans="54:54" ht="15.75" customHeight="1" x14ac:dyDescent="0.3">
      <c r="BB1040374" s="38"/>
    </row>
    <row r="1040375" spans="54:54" ht="15.75" customHeight="1" x14ac:dyDescent="0.3">
      <c r="BB1040375" s="38"/>
    </row>
    <row r="1040376" spans="54:54" ht="15.75" customHeight="1" x14ac:dyDescent="0.3">
      <c r="BB1040376" s="38"/>
    </row>
    <row r="1040377" spans="54:54" ht="15.75" customHeight="1" x14ac:dyDescent="0.3">
      <c r="BB1040377" s="38"/>
    </row>
    <row r="1040378" spans="54:54" ht="15.75" customHeight="1" x14ac:dyDescent="0.3">
      <c r="BB1040378" s="38"/>
    </row>
    <row r="1040379" spans="54:54" ht="15.75" customHeight="1" x14ac:dyDescent="0.3">
      <c r="BB1040379" s="38"/>
    </row>
    <row r="1040380" spans="54:54" ht="15.75" customHeight="1" x14ac:dyDescent="0.3">
      <c r="BB1040380" s="38"/>
    </row>
    <row r="1040381" spans="54:54" ht="15.75" customHeight="1" x14ac:dyDescent="0.3">
      <c r="BB1040381" s="38"/>
    </row>
    <row r="1040382" spans="54:54" ht="15.75" customHeight="1" x14ac:dyDescent="0.3">
      <c r="BB1040382" s="38"/>
    </row>
    <row r="1040383" spans="54:54" ht="15.75" customHeight="1" x14ac:dyDescent="0.3">
      <c r="BB1040383" s="38"/>
    </row>
    <row r="1040384" spans="54:54" ht="15.75" customHeight="1" x14ac:dyDescent="0.3">
      <c r="BB1040384" s="38"/>
    </row>
    <row r="1040385" spans="54:54" ht="15.75" customHeight="1" x14ac:dyDescent="0.3">
      <c r="BB1040385" s="38"/>
    </row>
    <row r="1040386" spans="54:54" ht="15.75" customHeight="1" x14ac:dyDescent="0.3">
      <c r="BB1040386" s="38"/>
    </row>
    <row r="1040387" spans="54:54" ht="15.75" customHeight="1" x14ac:dyDescent="0.3">
      <c r="BB1040387" s="38"/>
    </row>
    <row r="1040388" spans="54:54" ht="15.75" customHeight="1" x14ac:dyDescent="0.3">
      <c r="BB1040388" s="38"/>
    </row>
    <row r="1040389" spans="54:54" ht="15.75" customHeight="1" x14ac:dyDescent="0.3">
      <c r="BB1040389" s="38"/>
    </row>
    <row r="1040390" spans="54:54" ht="15.75" customHeight="1" x14ac:dyDescent="0.3">
      <c r="BB1040390" s="38"/>
    </row>
    <row r="1040391" spans="54:54" ht="15.75" customHeight="1" x14ac:dyDescent="0.3">
      <c r="BB1040391" s="38"/>
    </row>
    <row r="1040392" spans="54:54" ht="15.75" customHeight="1" x14ac:dyDescent="0.3">
      <c r="BB1040392" s="38"/>
    </row>
    <row r="1040393" spans="54:54" ht="15.75" customHeight="1" x14ac:dyDescent="0.3">
      <c r="BB1040393" s="38"/>
    </row>
    <row r="1040394" spans="54:54" ht="15.75" customHeight="1" x14ac:dyDescent="0.3">
      <c r="BB1040394" s="38"/>
    </row>
    <row r="1040395" spans="54:54" ht="15.75" customHeight="1" x14ac:dyDescent="0.3">
      <c r="BB1040395" s="38"/>
    </row>
    <row r="1040396" spans="54:54" ht="15.75" customHeight="1" x14ac:dyDescent="0.3">
      <c r="BB1040396" s="38"/>
    </row>
    <row r="1040397" spans="54:54" ht="15.75" customHeight="1" x14ac:dyDescent="0.3">
      <c r="BB1040397" s="38"/>
    </row>
    <row r="1040398" spans="54:54" ht="15.75" customHeight="1" x14ac:dyDescent="0.3">
      <c r="BB1040398" s="38"/>
    </row>
    <row r="1040399" spans="54:54" ht="15.75" customHeight="1" x14ac:dyDescent="0.3">
      <c r="BB1040399" s="38"/>
    </row>
    <row r="1040400" spans="54:54" ht="15.75" customHeight="1" x14ac:dyDescent="0.3">
      <c r="BB1040400" s="38"/>
    </row>
    <row r="1040401" spans="54:54" ht="15.75" customHeight="1" x14ac:dyDescent="0.3">
      <c r="BB1040401" s="38"/>
    </row>
    <row r="1040402" spans="54:54" ht="15.75" customHeight="1" x14ac:dyDescent="0.3">
      <c r="BB1040402" s="38"/>
    </row>
    <row r="1040403" spans="54:54" ht="15.75" customHeight="1" x14ac:dyDescent="0.3">
      <c r="BB1040403" s="38"/>
    </row>
    <row r="1040404" spans="54:54" ht="15.75" customHeight="1" x14ac:dyDescent="0.3">
      <c r="BB1040404" s="38"/>
    </row>
    <row r="1040405" spans="54:54" ht="15.75" customHeight="1" x14ac:dyDescent="0.3">
      <c r="BB1040405" s="38"/>
    </row>
    <row r="1040406" spans="54:54" ht="15.75" customHeight="1" x14ac:dyDescent="0.3">
      <c r="BB1040406" s="38"/>
    </row>
    <row r="1040407" spans="54:54" ht="15.75" customHeight="1" x14ac:dyDescent="0.3">
      <c r="BB1040407" s="38"/>
    </row>
    <row r="1040408" spans="54:54" ht="15.75" customHeight="1" x14ac:dyDescent="0.3">
      <c r="BB1040408" s="38"/>
    </row>
    <row r="1040409" spans="54:54" ht="15.75" customHeight="1" x14ac:dyDescent="0.3">
      <c r="BB1040409" s="38"/>
    </row>
    <row r="1040410" spans="54:54" ht="15.75" customHeight="1" x14ac:dyDescent="0.3">
      <c r="BB1040410" s="38"/>
    </row>
    <row r="1040411" spans="54:54" ht="15.75" customHeight="1" x14ac:dyDescent="0.3">
      <c r="BB1040411" s="38"/>
    </row>
    <row r="1040412" spans="54:54" ht="15.75" customHeight="1" x14ac:dyDescent="0.3">
      <c r="BB1040412" s="38"/>
    </row>
    <row r="1040413" spans="54:54" ht="15.75" customHeight="1" x14ac:dyDescent="0.3">
      <c r="BB1040413" s="38"/>
    </row>
    <row r="1040414" spans="54:54" ht="15.75" customHeight="1" x14ac:dyDescent="0.3">
      <c r="BB1040414" s="38"/>
    </row>
    <row r="1040415" spans="54:54" ht="15.75" customHeight="1" x14ac:dyDescent="0.3">
      <c r="BB1040415" s="38"/>
    </row>
    <row r="1040416" spans="54:54" ht="15.75" customHeight="1" x14ac:dyDescent="0.3">
      <c r="BB1040416" s="38"/>
    </row>
    <row r="1040417" spans="54:54" ht="15.75" customHeight="1" x14ac:dyDescent="0.3">
      <c r="BB1040417" s="38"/>
    </row>
    <row r="1040418" spans="54:54" ht="15.75" customHeight="1" x14ac:dyDescent="0.3">
      <c r="BB1040418" s="38"/>
    </row>
    <row r="1040419" spans="54:54" ht="15.75" customHeight="1" x14ac:dyDescent="0.3">
      <c r="BB1040419" s="38"/>
    </row>
    <row r="1040420" spans="54:54" ht="15.75" customHeight="1" x14ac:dyDescent="0.3">
      <c r="BB1040420" s="38"/>
    </row>
    <row r="1040421" spans="54:54" ht="15.75" customHeight="1" x14ac:dyDescent="0.3">
      <c r="BB1040421" s="38"/>
    </row>
    <row r="1040422" spans="54:54" ht="15.75" customHeight="1" x14ac:dyDescent="0.3">
      <c r="BB1040422" s="38"/>
    </row>
    <row r="1040423" spans="54:54" ht="15.75" customHeight="1" x14ac:dyDescent="0.3">
      <c r="BB1040423" s="38"/>
    </row>
    <row r="1040424" spans="54:54" ht="15.75" customHeight="1" x14ac:dyDescent="0.3">
      <c r="BB1040424" s="38"/>
    </row>
    <row r="1040425" spans="54:54" ht="15.75" customHeight="1" x14ac:dyDescent="0.3">
      <c r="BB1040425" s="38"/>
    </row>
    <row r="1040426" spans="54:54" ht="15.75" customHeight="1" x14ac:dyDescent="0.3">
      <c r="BB1040426" s="38"/>
    </row>
    <row r="1040427" spans="54:54" ht="15.75" customHeight="1" x14ac:dyDescent="0.3">
      <c r="BB1040427" s="38"/>
    </row>
    <row r="1040428" spans="54:54" ht="15.75" customHeight="1" x14ac:dyDescent="0.3">
      <c r="BB1040428" s="38"/>
    </row>
    <row r="1040429" spans="54:54" ht="15.75" customHeight="1" x14ac:dyDescent="0.3">
      <c r="BB1040429" s="38"/>
    </row>
    <row r="1040430" spans="54:54" ht="15.75" customHeight="1" x14ac:dyDescent="0.3">
      <c r="BB1040430" s="38"/>
    </row>
    <row r="1040431" spans="54:54" ht="15.75" customHeight="1" x14ac:dyDescent="0.3">
      <c r="BB1040431" s="38"/>
    </row>
    <row r="1040432" spans="54:54" ht="15.75" customHeight="1" x14ac:dyDescent="0.3">
      <c r="BB1040432" s="38"/>
    </row>
    <row r="1040433" spans="54:54" ht="15.75" customHeight="1" x14ac:dyDescent="0.3">
      <c r="BB1040433" s="38"/>
    </row>
    <row r="1040434" spans="54:54" ht="15.75" customHeight="1" x14ac:dyDescent="0.3">
      <c r="BB1040434" s="38"/>
    </row>
    <row r="1040435" spans="54:54" ht="15.75" customHeight="1" x14ac:dyDescent="0.3">
      <c r="BB1040435" s="38"/>
    </row>
    <row r="1040436" spans="54:54" ht="15.75" customHeight="1" x14ac:dyDescent="0.3">
      <c r="BB1040436" s="38"/>
    </row>
    <row r="1040437" spans="54:54" ht="15.75" customHeight="1" x14ac:dyDescent="0.3">
      <c r="BB1040437" s="38"/>
    </row>
    <row r="1040438" spans="54:54" ht="15.75" customHeight="1" x14ac:dyDescent="0.3">
      <c r="BB1040438" s="38"/>
    </row>
    <row r="1040439" spans="54:54" ht="15.75" customHeight="1" x14ac:dyDescent="0.3">
      <c r="BB1040439" s="38"/>
    </row>
    <row r="1040440" spans="54:54" ht="15.75" customHeight="1" x14ac:dyDescent="0.3">
      <c r="BB1040440" s="38"/>
    </row>
    <row r="1040441" spans="54:54" ht="15.75" customHeight="1" x14ac:dyDescent="0.3">
      <c r="BB1040441" s="38"/>
    </row>
    <row r="1040442" spans="54:54" ht="15.75" customHeight="1" x14ac:dyDescent="0.3">
      <c r="BB1040442" s="38"/>
    </row>
    <row r="1040443" spans="54:54" ht="15.75" customHeight="1" x14ac:dyDescent="0.3">
      <c r="BB1040443" s="38"/>
    </row>
    <row r="1040444" spans="54:54" ht="15.75" customHeight="1" x14ac:dyDescent="0.3">
      <c r="BB1040444" s="38"/>
    </row>
    <row r="1040445" spans="54:54" ht="15.75" customHeight="1" x14ac:dyDescent="0.3">
      <c r="BB1040445" s="38"/>
    </row>
    <row r="1040446" spans="54:54" ht="15.75" customHeight="1" x14ac:dyDescent="0.3">
      <c r="BB1040446" s="38"/>
    </row>
    <row r="1040447" spans="54:54" ht="15.75" customHeight="1" x14ac:dyDescent="0.3">
      <c r="BB1040447" s="38"/>
    </row>
    <row r="1040448" spans="54:54" ht="15.75" customHeight="1" x14ac:dyDescent="0.3">
      <c r="BB1040448" s="38"/>
    </row>
    <row r="1040449" spans="54:54" ht="15.75" customHeight="1" x14ac:dyDescent="0.3">
      <c r="BB1040449" s="38"/>
    </row>
    <row r="1040450" spans="54:54" ht="15.75" customHeight="1" x14ac:dyDescent="0.3">
      <c r="BB1040450" s="38"/>
    </row>
    <row r="1040451" spans="54:54" ht="15.75" customHeight="1" x14ac:dyDescent="0.3">
      <c r="BB1040451" s="38"/>
    </row>
    <row r="1040452" spans="54:54" ht="15.75" customHeight="1" x14ac:dyDescent="0.3">
      <c r="BB1040452" s="38"/>
    </row>
    <row r="1040453" spans="54:54" ht="15.75" customHeight="1" x14ac:dyDescent="0.3">
      <c r="BB1040453" s="38"/>
    </row>
    <row r="1040454" spans="54:54" ht="15.75" customHeight="1" x14ac:dyDescent="0.3">
      <c r="BB1040454" s="38"/>
    </row>
    <row r="1040455" spans="54:54" ht="15.75" customHeight="1" x14ac:dyDescent="0.3">
      <c r="BB1040455" s="38"/>
    </row>
    <row r="1040456" spans="54:54" ht="15.75" customHeight="1" x14ac:dyDescent="0.3">
      <c r="BB1040456" s="38"/>
    </row>
    <row r="1040457" spans="54:54" ht="15.75" customHeight="1" x14ac:dyDescent="0.3">
      <c r="BB1040457" s="38"/>
    </row>
    <row r="1040458" spans="54:54" ht="15.75" customHeight="1" x14ac:dyDescent="0.3">
      <c r="BB1040458" s="38"/>
    </row>
    <row r="1040459" spans="54:54" ht="15.75" customHeight="1" x14ac:dyDescent="0.3">
      <c r="BB1040459" s="38"/>
    </row>
    <row r="1040460" spans="54:54" ht="15.75" customHeight="1" x14ac:dyDescent="0.3">
      <c r="BB1040460" s="38"/>
    </row>
    <row r="1040461" spans="54:54" ht="15.75" customHeight="1" x14ac:dyDescent="0.3">
      <c r="BB1040461" s="38"/>
    </row>
    <row r="1040462" spans="54:54" ht="15.75" customHeight="1" x14ac:dyDescent="0.3">
      <c r="BB1040462" s="38"/>
    </row>
    <row r="1040463" spans="54:54" ht="15.75" customHeight="1" x14ac:dyDescent="0.3">
      <c r="BB1040463" s="38"/>
    </row>
    <row r="1040464" spans="54:54" ht="15.75" customHeight="1" x14ac:dyDescent="0.3">
      <c r="BB1040464" s="38"/>
    </row>
    <row r="1040465" spans="54:54" ht="15.75" customHeight="1" x14ac:dyDescent="0.3">
      <c r="BB1040465" s="38"/>
    </row>
    <row r="1040466" spans="54:54" ht="15.75" customHeight="1" x14ac:dyDescent="0.3">
      <c r="BB1040466" s="38"/>
    </row>
    <row r="1040467" spans="54:54" ht="15.75" customHeight="1" x14ac:dyDescent="0.3">
      <c r="BB1040467" s="38"/>
    </row>
    <row r="1040468" spans="54:54" ht="15.75" customHeight="1" x14ac:dyDescent="0.3">
      <c r="BB1040468" s="38"/>
    </row>
    <row r="1040469" spans="54:54" ht="15.75" customHeight="1" x14ac:dyDescent="0.3">
      <c r="BB1040469" s="38"/>
    </row>
    <row r="1040470" spans="54:54" ht="15.75" customHeight="1" x14ac:dyDescent="0.3">
      <c r="BB1040470" s="38"/>
    </row>
    <row r="1040471" spans="54:54" ht="15.75" customHeight="1" x14ac:dyDescent="0.3">
      <c r="BB1040471" s="38"/>
    </row>
    <row r="1040472" spans="54:54" ht="15.75" customHeight="1" x14ac:dyDescent="0.3">
      <c r="BB1040472" s="38"/>
    </row>
    <row r="1040473" spans="54:54" ht="15.75" customHeight="1" x14ac:dyDescent="0.3">
      <c r="BB1040473" s="38"/>
    </row>
    <row r="1040474" spans="54:54" ht="15.75" customHeight="1" x14ac:dyDescent="0.3">
      <c r="BB1040474" s="38"/>
    </row>
    <row r="1040475" spans="54:54" ht="15.75" customHeight="1" x14ac:dyDescent="0.3">
      <c r="BB1040475" s="38"/>
    </row>
    <row r="1040476" spans="54:54" ht="15.75" customHeight="1" x14ac:dyDescent="0.3">
      <c r="BB1040476" s="38"/>
    </row>
    <row r="1040477" spans="54:54" ht="15.75" customHeight="1" x14ac:dyDescent="0.3">
      <c r="BB1040477" s="38"/>
    </row>
    <row r="1040478" spans="54:54" ht="15.75" customHeight="1" x14ac:dyDescent="0.3">
      <c r="BB1040478" s="38"/>
    </row>
    <row r="1040479" spans="54:54" ht="15.75" customHeight="1" x14ac:dyDescent="0.3">
      <c r="BB1040479" s="38"/>
    </row>
    <row r="1040480" spans="54:54" ht="15.75" customHeight="1" x14ac:dyDescent="0.3">
      <c r="BB1040480" s="38"/>
    </row>
    <row r="1040481" spans="54:54" ht="15.75" customHeight="1" x14ac:dyDescent="0.3">
      <c r="BB1040481" s="38"/>
    </row>
    <row r="1040482" spans="54:54" ht="15.75" customHeight="1" x14ac:dyDescent="0.3">
      <c r="BB1040482" s="38"/>
    </row>
    <row r="1040483" spans="54:54" ht="15.75" customHeight="1" x14ac:dyDescent="0.3">
      <c r="BB1040483" s="38"/>
    </row>
    <row r="1040484" spans="54:54" ht="15.75" customHeight="1" x14ac:dyDescent="0.3">
      <c r="BB1040484" s="38"/>
    </row>
    <row r="1040485" spans="54:54" ht="15.75" customHeight="1" x14ac:dyDescent="0.3">
      <c r="BB1040485" s="38"/>
    </row>
    <row r="1040486" spans="54:54" ht="15.75" customHeight="1" x14ac:dyDescent="0.3">
      <c r="BB1040486" s="38"/>
    </row>
    <row r="1040487" spans="54:54" ht="15.75" customHeight="1" x14ac:dyDescent="0.3">
      <c r="BB1040487" s="38"/>
    </row>
    <row r="1040488" spans="54:54" ht="15.75" customHeight="1" x14ac:dyDescent="0.3">
      <c r="BB1040488" s="38"/>
    </row>
    <row r="1040489" spans="54:54" ht="15.75" customHeight="1" x14ac:dyDescent="0.3">
      <c r="BB1040489" s="38"/>
    </row>
    <row r="1040490" spans="54:54" ht="15.75" customHeight="1" x14ac:dyDescent="0.3">
      <c r="BB1040490" s="38"/>
    </row>
    <row r="1040491" spans="54:54" ht="15.75" customHeight="1" x14ac:dyDescent="0.3">
      <c r="BB1040491" s="38"/>
    </row>
    <row r="1040492" spans="54:54" ht="15.75" customHeight="1" x14ac:dyDescent="0.3">
      <c r="BB1040492" s="38"/>
    </row>
    <row r="1040493" spans="54:54" ht="15.75" customHeight="1" x14ac:dyDescent="0.3">
      <c r="BB1040493" s="38"/>
    </row>
    <row r="1040494" spans="54:54" ht="15.75" customHeight="1" x14ac:dyDescent="0.3">
      <c r="BB1040494" s="38"/>
    </row>
    <row r="1040495" spans="54:54" ht="15.75" customHeight="1" x14ac:dyDescent="0.3">
      <c r="BB1040495" s="38"/>
    </row>
    <row r="1040496" spans="54:54" ht="15.75" customHeight="1" x14ac:dyDescent="0.3">
      <c r="BB1040496" s="38"/>
    </row>
    <row r="1040497" spans="54:54" ht="15.75" customHeight="1" x14ac:dyDescent="0.3">
      <c r="BB1040497" s="38"/>
    </row>
    <row r="1040498" spans="54:54" ht="15.75" customHeight="1" x14ac:dyDescent="0.3">
      <c r="BB1040498" s="38"/>
    </row>
    <row r="1040499" spans="54:54" ht="15.75" customHeight="1" x14ac:dyDescent="0.3">
      <c r="BB1040499" s="38"/>
    </row>
    <row r="1040500" spans="54:54" ht="15.75" customHeight="1" x14ac:dyDescent="0.3">
      <c r="BB1040500" s="38"/>
    </row>
    <row r="1040501" spans="54:54" ht="15.75" customHeight="1" x14ac:dyDescent="0.3">
      <c r="BB1040501" s="38"/>
    </row>
    <row r="1040502" spans="54:54" ht="15.75" customHeight="1" x14ac:dyDescent="0.3">
      <c r="BB1040502" s="38"/>
    </row>
    <row r="1040503" spans="54:54" ht="15.75" customHeight="1" x14ac:dyDescent="0.3">
      <c r="BB1040503" s="38"/>
    </row>
    <row r="1040504" spans="54:54" ht="15.75" customHeight="1" x14ac:dyDescent="0.3">
      <c r="BB1040504" s="38"/>
    </row>
    <row r="1040505" spans="54:54" ht="15.75" customHeight="1" x14ac:dyDescent="0.3">
      <c r="BB1040505" s="38"/>
    </row>
    <row r="1040506" spans="54:54" ht="15.75" customHeight="1" x14ac:dyDescent="0.3">
      <c r="BB1040506" s="38"/>
    </row>
    <row r="1040507" spans="54:54" ht="15.75" customHeight="1" x14ac:dyDescent="0.3">
      <c r="BB1040507" s="38"/>
    </row>
    <row r="1040508" spans="54:54" ht="15.75" customHeight="1" x14ac:dyDescent="0.3">
      <c r="BB1040508" s="38"/>
    </row>
    <row r="1040509" spans="54:54" ht="15.75" customHeight="1" x14ac:dyDescent="0.3">
      <c r="BB1040509" s="38"/>
    </row>
    <row r="1040510" spans="54:54" ht="15.75" customHeight="1" x14ac:dyDescent="0.3">
      <c r="BB1040510" s="38"/>
    </row>
    <row r="1040511" spans="54:54" ht="15.75" customHeight="1" x14ac:dyDescent="0.3">
      <c r="BB1040511" s="38"/>
    </row>
    <row r="1040512" spans="54:54" ht="15.75" customHeight="1" x14ac:dyDescent="0.3">
      <c r="BB1040512" s="38"/>
    </row>
    <row r="1040513" spans="54:54" ht="15.75" customHeight="1" x14ac:dyDescent="0.3">
      <c r="BB1040513" s="38"/>
    </row>
    <row r="1040514" spans="54:54" ht="15.75" customHeight="1" x14ac:dyDescent="0.3">
      <c r="BB1040514" s="38"/>
    </row>
    <row r="1040515" spans="54:54" ht="15.75" customHeight="1" x14ac:dyDescent="0.3">
      <c r="BB1040515" s="38"/>
    </row>
    <row r="1040516" spans="54:54" ht="15.75" customHeight="1" x14ac:dyDescent="0.3">
      <c r="BB1040516" s="38"/>
    </row>
    <row r="1040517" spans="54:54" ht="15.75" customHeight="1" x14ac:dyDescent="0.3">
      <c r="BB1040517" s="38"/>
    </row>
    <row r="1040518" spans="54:54" ht="15.75" customHeight="1" x14ac:dyDescent="0.3">
      <c r="BB1040518" s="38"/>
    </row>
    <row r="1040519" spans="54:54" ht="15.75" customHeight="1" x14ac:dyDescent="0.3">
      <c r="BB1040519" s="38"/>
    </row>
    <row r="1040520" spans="54:54" ht="15.75" customHeight="1" x14ac:dyDescent="0.3">
      <c r="BB1040520" s="38"/>
    </row>
    <row r="1040521" spans="54:54" ht="15.75" customHeight="1" x14ac:dyDescent="0.3">
      <c r="BB1040521" s="38"/>
    </row>
    <row r="1040522" spans="54:54" ht="15.75" customHeight="1" x14ac:dyDescent="0.3">
      <c r="BB1040522" s="38"/>
    </row>
    <row r="1040523" spans="54:54" ht="15.75" customHeight="1" x14ac:dyDescent="0.3">
      <c r="BB1040523" s="38"/>
    </row>
    <row r="1040524" spans="54:54" ht="15.75" customHeight="1" x14ac:dyDescent="0.3">
      <c r="BB1040524" s="38"/>
    </row>
    <row r="1040525" spans="54:54" ht="15.75" customHeight="1" x14ac:dyDescent="0.3">
      <c r="BB1040525" s="38"/>
    </row>
    <row r="1040526" spans="54:54" ht="15.75" customHeight="1" x14ac:dyDescent="0.3">
      <c r="BB1040526" s="38"/>
    </row>
    <row r="1040527" spans="54:54" ht="15.75" customHeight="1" x14ac:dyDescent="0.3">
      <c r="BB1040527" s="38"/>
    </row>
    <row r="1040528" spans="54:54" ht="15.75" customHeight="1" x14ac:dyDescent="0.3">
      <c r="BB1040528" s="38"/>
    </row>
    <row r="1040529" spans="54:54" ht="15.75" customHeight="1" x14ac:dyDescent="0.3">
      <c r="BB1040529" s="38"/>
    </row>
    <row r="1040530" spans="54:54" ht="15.75" customHeight="1" x14ac:dyDescent="0.3">
      <c r="BB1040530" s="38"/>
    </row>
    <row r="1040531" spans="54:54" ht="15.75" customHeight="1" x14ac:dyDescent="0.3">
      <c r="BB1040531" s="38"/>
    </row>
    <row r="1040532" spans="54:54" ht="15.75" customHeight="1" x14ac:dyDescent="0.3">
      <c r="BB1040532" s="38"/>
    </row>
    <row r="1040533" spans="54:54" ht="15.75" customHeight="1" x14ac:dyDescent="0.3">
      <c r="BB1040533" s="38"/>
    </row>
    <row r="1040534" spans="54:54" ht="15.75" customHeight="1" x14ac:dyDescent="0.3">
      <c r="BB1040534" s="38"/>
    </row>
    <row r="1040535" spans="54:54" ht="15.75" customHeight="1" x14ac:dyDescent="0.3">
      <c r="BB1040535" s="38"/>
    </row>
    <row r="1040536" spans="54:54" ht="15.75" customHeight="1" x14ac:dyDescent="0.3">
      <c r="BB1040536" s="38"/>
    </row>
    <row r="1040537" spans="54:54" ht="15.75" customHeight="1" x14ac:dyDescent="0.3">
      <c r="BB1040537" s="38"/>
    </row>
    <row r="1040538" spans="54:54" ht="15.75" customHeight="1" x14ac:dyDescent="0.3">
      <c r="BB1040538" s="38"/>
    </row>
    <row r="1040539" spans="54:54" ht="15.75" customHeight="1" x14ac:dyDescent="0.3">
      <c r="BB1040539" s="38"/>
    </row>
    <row r="1040540" spans="54:54" ht="15.75" customHeight="1" x14ac:dyDescent="0.3">
      <c r="BB1040540" s="38"/>
    </row>
    <row r="1040541" spans="54:54" ht="15.75" customHeight="1" x14ac:dyDescent="0.3">
      <c r="BB1040541" s="38"/>
    </row>
    <row r="1040542" spans="54:54" ht="15.75" customHeight="1" x14ac:dyDescent="0.3">
      <c r="BB1040542" s="38"/>
    </row>
    <row r="1040543" spans="54:54" ht="15.75" customHeight="1" x14ac:dyDescent="0.3">
      <c r="BB1040543" s="38"/>
    </row>
    <row r="1040544" spans="54:54" ht="15.75" customHeight="1" x14ac:dyDescent="0.3">
      <c r="BB1040544" s="38"/>
    </row>
    <row r="1040545" spans="54:54" ht="15.75" customHeight="1" x14ac:dyDescent="0.3">
      <c r="BB1040545" s="38"/>
    </row>
    <row r="1040546" spans="54:54" ht="15.75" customHeight="1" x14ac:dyDescent="0.3">
      <c r="BB1040546" s="38"/>
    </row>
    <row r="1040547" spans="54:54" ht="15.75" customHeight="1" x14ac:dyDescent="0.3">
      <c r="BB1040547" s="38"/>
    </row>
    <row r="1040548" spans="54:54" ht="15.75" customHeight="1" x14ac:dyDescent="0.3">
      <c r="BB1040548" s="38"/>
    </row>
    <row r="1040549" spans="54:54" ht="15.75" customHeight="1" x14ac:dyDescent="0.3">
      <c r="BB1040549" s="38"/>
    </row>
    <row r="1040550" spans="54:54" ht="15.75" customHeight="1" x14ac:dyDescent="0.3">
      <c r="BB1040550" s="38"/>
    </row>
    <row r="1040551" spans="54:54" ht="15.75" customHeight="1" x14ac:dyDescent="0.3">
      <c r="BB1040551" s="38"/>
    </row>
    <row r="1040552" spans="54:54" ht="15.75" customHeight="1" x14ac:dyDescent="0.3">
      <c r="BB1040552" s="38"/>
    </row>
    <row r="1040553" spans="54:54" ht="15.75" customHeight="1" x14ac:dyDescent="0.3">
      <c r="BB1040553" s="38"/>
    </row>
    <row r="1040554" spans="54:54" ht="15.75" customHeight="1" x14ac:dyDescent="0.3">
      <c r="BB1040554" s="38"/>
    </row>
    <row r="1040555" spans="54:54" ht="15.75" customHeight="1" x14ac:dyDescent="0.3">
      <c r="BB1040555" s="38"/>
    </row>
    <row r="1040556" spans="54:54" ht="15.75" customHeight="1" x14ac:dyDescent="0.3">
      <c r="BB1040556" s="38"/>
    </row>
    <row r="1040557" spans="54:54" ht="15.75" customHeight="1" x14ac:dyDescent="0.3">
      <c r="BB1040557" s="38"/>
    </row>
    <row r="1040558" spans="54:54" ht="15.75" customHeight="1" x14ac:dyDescent="0.3">
      <c r="BB1040558" s="38"/>
    </row>
    <row r="1040559" spans="54:54" ht="15.75" customHeight="1" x14ac:dyDescent="0.3">
      <c r="BB1040559" s="38"/>
    </row>
    <row r="1040560" spans="54:54" ht="15.75" customHeight="1" x14ac:dyDescent="0.3">
      <c r="BB1040560" s="38"/>
    </row>
    <row r="1040561" spans="54:54" ht="15.75" customHeight="1" x14ac:dyDescent="0.3">
      <c r="BB1040561" s="38"/>
    </row>
    <row r="1040562" spans="54:54" ht="15.75" customHeight="1" x14ac:dyDescent="0.3">
      <c r="BB1040562" s="38"/>
    </row>
    <row r="1040563" spans="54:54" ht="15.75" customHeight="1" x14ac:dyDescent="0.3">
      <c r="BB1040563" s="38"/>
    </row>
    <row r="1040564" spans="54:54" ht="15.75" customHeight="1" x14ac:dyDescent="0.3">
      <c r="BB1040564" s="38"/>
    </row>
    <row r="1040565" spans="54:54" ht="15.75" customHeight="1" x14ac:dyDescent="0.3">
      <c r="BB1040565" s="38"/>
    </row>
    <row r="1040566" spans="54:54" ht="15.75" customHeight="1" x14ac:dyDescent="0.3">
      <c r="BB1040566" s="38"/>
    </row>
    <row r="1040567" spans="54:54" ht="15.75" customHeight="1" x14ac:dyDescent="0.3">
      <c r="BB1040567" s="38"/>
    </row>
    <row r="1040568" spans="54:54" ht="15.75" customHeight="1" x14ac:dyDescent="0.3">
      <c r="BB1040568" s="38"/>
    </row>
    <row r="1040569" spans="54:54" ht="15.75" customHeight="1" x14ac:dyDescent="0.3">
      <c r="BB1040569" s="38"/>
    </row>
    <row r="1040570" spans="54:54" ht="15.75" customHeight="1" x14ac:dyDescent="0.3">
      <c r="BB1040570" s="38"/>
    </row>
    <row r="1040571" spans="54:54" ht="15.75" customHeight="1" x14ac:dyDescent="0.3">
      <c r="BB1040571" s="38"/>
    </row>
    <row r="1040572" spans="54:54" ht="15.75" customHeight="1" x14ac:dyDescent="0.3">
      <c r="BB1040572" s="38"/>
    </row>
    <row r="1040573" spans="54:54" ht="15.75" customHeight="1" x14ac:dyDescent="0.3">
      <c r="BB1040573" s="38"/>
    </row>
    <row r="1040574" spans="54:54" ht="15.75" customHeight="1" x14ac:dyDescent="0.3">
      <c r="BB1040574" s="38"/>
    </row>
    <row r="1040575" spans="54:54" ht="15.75" customHeight="1" x14ac:dyDescent="0.3">
      <c r="BB1040575" s="38"/>
    </row>
    <row r="1040576" spans="54:54" ht="15.75" customHeight="1" x14ac:dyDescent="0.3">
      <c r="BB1040576" s="38"/>
    </row>
    <row r="1040577" spans="54:54" ht="15.75" customHeight="1" x14ac:dyDescent="0.3">
      <c r="BB1040577" s="38"/>
    </row>
    <row r="1040578" spans="54:54" ht="15.75" customHeight="1" x14ac:dyDescent="0.3">
      <c r="BB1040578" s="38"/>
    </row>
    <row r="1040579" spans="54:54" ht="15.75" customHeight="1" x14ac:dyDescent="0.3">
      <c r="BB1040579" s="38"/>
    </row>
    <row r="1040580" spans="54:54" ht="15.75" customHeight="1" x14ac:dyDescent="0.3">
      <c r="BB1040580" s="38"/>
    </row>
    <row r="1040581" spans="54:54" ht="15.75" customHeight="1" x14ac:dyDescent="0.3">
      <c r="BB1040581" s="38"/>
    </row>
    <row r="1040582" spans="54:54" ht="15.75" customHeight="1" x14ac:dyDescent="0.3">
      <c r="BB1040582" s="38"/>
    </row>
    <row r="1040583" spans="54:54" ht="15.75" customHeight="1" x14ac:dyDescent="0.3">
      <c r="BB1040583" s="38"/>
    </row>
    <row r="1040584" spans="54:54" ht="15.75" customHeight="1" x14ac:dyDescent="0.3">
      <c r="BB1040584" s="38"/>
    </row>
    <row r="1040585" spans="54:54" ht="15.75" customHeight="1" x14ac:dyDescent="0.3">
      <c r="BB1040585" s="38"/>
    </row>
    <row r="1040586" spans="54:54" ht="15.75" customHeight="1" x14ac:dyDescent="0.3">
      <c r="BB1040586" s="38"/>
    </row>
    <row r="1040587" spans="54:54" ht="15.75" customHeight="1" x14ac:dyDescent="0.3">
      <c r="BB1040587" s="38"/>
    </row>
    <row r="1040588" spans="54:54" ht="15.75" customHeight="1" x14ac:dyDescent="0.3">
      <c r="BB1040588" s="38"/>
    </row>
    <row r="1040589" spans="54:54" ht="15.75" customHeight="1" x14ac:dyDescent="0.3">
      <c r="BB1040589" s="38"/>
    </row>
    <row r="1040590" spans="54:54" ht="15.75" customHeight="1" x14ac:dyDescent="0.3">
      <c r="BB1040590" s="38"/>
    </row>
    <row r="1040591" spans="54:54" ht="15.75" customHeight="1" x14ac:dyDescent="0.3">
      <c r="BB1040591" s="38"/>
    </row>
    <row r="1040592" spans="54:54" ht="15.75" customHeight="1" x14ac:dyDescent="0.3">
      <c r="BB1040592" s="38"/>
    </row>
    <row r="1040593" spans="54:54" ht="15.75" customHeight="1" x14ac:dyDescent="0.3">
      <c r="BB1040593" s="38"/>
    </row>
    <row r="1040594" spans="54:54" ht="15.75" customHeight="1" x14ac:dyDescent="0.3">
      <c r="BB1040594" s="38"/>
    </row>
    <row r="1040595" spans="54:54" ht="15.75" customHeight="1" x14ac:dyDescent="0.3">
      <c r="BB1040595" s="38"/>
    </row>
    <row r="1040596" spans="54:54" ht="15.75" customHeight="1" x14ac:dyDescent="0.3">
      <c r="BB1040596" s="38"/>
    </row>
    <row r="1040597" spans="54:54" ht="15.75" customHeight="1" x14ac:dyDescent="0.3">
      <c r="BB1040597" s="38"/>
    </row>
    <row r="1040598" spans="54:54" ht="15.75" customHeight="1" x14ac:dyDescent="0.3">
      <c r="BB1040598" s="38"/>
    </row>
    <row r="1040599" spans="54:54" ht="15.75" customHeight="1" x14ac:dyDescent="0.3">
      <c r="BB1040599" s="38"/>
    </row>
    <row r="1040600" spans="54:54" ht="15.75" customHeight="1" x14ac:dyDescent="0.3">
      <c r="BB1040600" s="38"/>
    </row>
    <row r="1040601" spans="54:54" ht="15.75" customHeight="1" x14ac:dyDescent="0.3">
      <c r="BB1040601" s="38"/>
    </row>
    <row r="1040602" spans="54:54" ht="15.75" customHeight="1" x14ac:dyDescent="0.3">
      <c r="BB1040602" s="38"/>
    </row>
    <row r="1040603" spans="54:54" ht="15.75" customHeight="1" x14ac:dyDescent="0.3">
      <c r="BB1040603" s="38"/>
    </row>
    <row r="1040604" spans="54:54" ht="15.75" customHeight="1" x14ac:dyDescent="0.3">
      <c r="BB1040604" s="38"/>
    </row>
    <row r="1040605" spans="54:54" ht="15.75" customHeight="1" x14ac:dyDescent="0.3">
      <c r="BB1040605" s="38"/>
    </row>
    <row r="1040606" spans="54:54" ht="15.75" customHeight="1" x14ac:dyDescent="0.3">
      <c r="BB1040606" s="38"/>
    </row>
    <row r="1040607" spans="54:54" ht="15.75" customHeight="1" x14ac:dyDescent="0.3">
      <c r="BB1040607" s="38"/>
    </row>
    <row r="1040608" spans="54:54" ht="15.75" customHeight="1" x14ac:dyDescent="0.3">
      <c r="BB1040608" s="38"/>
    </row>
    <row r="1040609" spans="54:54" ht="15.75" customHeight="1" x14ac:dyDescent="0.3">
      <c r="BB1040609" s="38"/>
    </row>
    <row r="1040610" spans="54:54" ht="15.75" customHeight="1" x14ac:dyDescent="0.3">
      <c r="BB1040610" s="38"/>
    </row>
    <row r="1040611" spans="54:54" ht="15.75" customHeight="1" x14ac:dyDescent="0.3">
      <c r="BB1040611" s="38"/>
    </row>
    <row r="1040612" spans="54:54" ht="15.75" customHeight="1" x14ac:dyDescent="0.3">
      <c r="BB1040612" s="38"/>
    </row>
    <row r="1040613" spans="54:54" ht="15.75" customHeight="1" x14ac:dyDescent="0.3">
      <c r="BB1040613" s="38"/>
    </row>
    <row r="1040614" spans="54:54" ht="15.75" customHeight="1" x14ac:dyDescent="0.3">
      <c r="BB1040614" s="38"/>
    </row>
    <row r="1040615" spans="54:54" ht="15.75" customHeight="1" x14ac:dyDescent="0.3">
      <c r="BB1040615" s="38"/>
    </row>
    <row r="1040616" spans="54:54" ht="15.75" customHeight="1" x14ac:dyDescent="0.3">
      <c r="BB1040616" s="38"/>
    </row>
    <row r="1040617" spans="54:54" ht="15.75" customHeight="1" x14ac:dyDescent="0.3">
      <c r="BB1040617" s="38"/>
    </row>
    <row r="1040618" spans="54:54" ht="15.75" customHeight="1" x14ac:dyDescent="0.3">
      <c r="BB1040618" s="38"/>
    </row>
    <row r="1040619" spans="54:54" ht="15.75" customHeight="1" x14ac:dyDescent="0.3">
      <c r="BB1040619" s="38"/>
    </row>
    <row r="1040620" spans="54:54" ht="15.75" customHeight="1" x14ac:dyDescent="0.3">
      <c r="BB1040620" s="38"/>
    </row>
    <row r="1040621" spans="54:54" ht="15.75" customHeight="1" x14ac:dyDescent="0.3">
      <c r="BB1040621" s="38"/>
    </row>
    <row r="1040622" spans="54:54" ht="15.75" customHeight="1" x14ac:dyDescent="0.3">
      <c r="BB1040622" s="38"/>
    </row>
    <row r="1040623" spans="54:54" ht="15.75" customHeight="1" x14ac:dyDescent="0.3">
      <c r="BB1040623" s="38"/>
    </row>
    <row r="1040624" spans="54:54" ht="15.75" customHeight="1" x14ac:dyDescent="0.3">
      <c r="BB1040624" s="38"/>
    </row>
    <row r="1040625" spans="54:54" ht="15.75" customHeight="1" x14ac:dyDescent="0.3">
      <c r="BB1040625" s="38"/>
    </row>
    <row r="1040626" spans="54:54" ht="15.75" customHeight="1" x14ac:dyDescent="0.3">
      <c r="BB1040626" s="38"/>
    </row>
    <row r="1040627" spans="54:54" ht="15.75" customHeight="1" x14ac:dyDescent="0.3">
      <c r="BB1040627" s="38"/>
    </row>
    <row r="1040628" spans="54:54" ht="15.75" customHeight="1" x14ac:dyDescent="0.3">
      <c r="BB1040628" s="38"/>
    </row>
    <row r="1040629" spans="54:54" ht="15.75" customHeight="1" x14ac:dyDescent="0.3">
      <c r="BB1040629" s="38"/>
    </row>
    <row r="1040630" spans="54:54" ht="15.75" customHeight="1" x14ac:dyDescent="0.3">
      <c r="BB1040630" s="38"/>
    </row>
    <row r="1040631" spans="54:54" ht="15.75" customHeight="1" x14ac:dyDescent="0.3">
      <c r="BB1040631" s="38"/>
    </row>
    <row r="1040632" spans="54:54" ht="15.75" customHeight="1" x14ac:dyDescent="0.3">
      <c r="BB1040632" s="38"/>
    </row>
    <row r="1040633" spans="54:54" ht="15.75" customHeight="1" x14ac:dyDescent="0.3">
      <c r="BB1040633" s="38"/>
    </row>
    <row r="1040634" spans="54:54" ht="15.75" customHeight="1" x14ac:dyDescent="0.3">
      <c r="BB1040634" s="38"/>
    </row>
    <row r="1040635" spans="54:54" ht="15.75" customHeight="1" x14ac:dyDescent="0.3">
      <c r="BB1040635" s="38"/>
    </row>
    <row r="1040636" spans="54:54" ht="15.75" customHeight="1" x14ac:dyDescent="0.3">
      <c r="BB1040636" s="38"/>
    </row>
    <row r="1040637" spans="54:54" ht="15.75" customHeight="1" x14ac:dyDescent="0.3">
      <c r="BB1040637" s="38"/>
    </row>
    <row r="1040638" spans="54:54" ht="15.75" customHeight="1" x14ac:dyDescent="0.3">
      <c r="BB1040638" s="38"/>
    </row>
    <row r="1040639" spans="54:54" ht="15.75" customHeight="1" x14ac:dyDescent="0.3">
      <c r="BB1040639" s="38"/>
    </row>
    <row r="1040640" spans="54:54" ht="15.75" customHeight="1" x14ac:dyDescent="0.3">
      <c r="BB1040640" s="38"/>
    </row>
    <row r="1040641" spans="54:54" ht="15.75" customHeight="1" x14ac:dyDescent="0.3">
      <c r="BB1040641" s="38"/>
    </row>
    <row r="1040642" spans="54:54" ht="15.75" customHeight="1" x14ac:dyDescent="0.3">
      <c r="BB1040642" s="38"/>
    </row>
    <row r="1040643" spans="54:54" ht="15.75" customHeight="1" x14ac:dyDescent="0.3">
      <c r="BB1040643" s="38"/>
    </row>
    <row r="1040644" spans="54:54" ht="15.75" customHeight="1" x14ac:dyDescent="0.3">
      <c r="BB1040644" s="38"/>
    </row>
    <row r="1040645" spans="54:54" ht="15.75" customHeight="1" x14ac:dyDescent="0.3">
      <c r="BB1040645" s="38"/>
    </row>
    <row r="1040646" spans="54:54" ht="15.75" customHeight="1" x14ac:dyDescent="0.3">
      <c r="BB1040646" s="38"/>
    </row>
    <row r="1040647" spans="54:54" ht="15.75" customHeight="1" x14ac:dyDescent="0.3">
      <c r="BB1040647" s="38"/>
    </row>
    <row r="1040648" spans="54:54" ht="15.75" customHeight="1" x14ac:dyDescent="0.3">
      <c r="BB1040648" s="38"/>
    </row>
    <row r="1040649" spans="54:54" ht="15.75" customHeight="1" x14ac:dyDescent="0.3">
      <c r="BB1040649" s="38"/>
    </row>
    <row r="1040650" spans="54:54" ht="15.75" customHeight="1" x14ac:dyDescent="0.3">
      <c r="BB1040650" s="38"/>
    </row>
    <row r="1040651" spans="54:54" ht="15.75" customHeight="1" x14ac:dyDescent="0.3">
      <c r="BB1040651" s="38"/>
    </row>
    <row r="1040652" spans="54:54" ht="15.75" customHeight="1" x14ac:dyDescent="0.3">
      <c r="BB1040652" s="38"/>
    </row>
    <row r="1040653" spans="54:54" ht="15.75" customHeight="1" x14ac:dyDescent="0.3">
      <c r="BB1040653" s="38"/>
    </row>
    <row r="1040654" spans="54:54" ht="15.75" customHeight="1" x14ac:dyDescent="0.3">
      <c r="BB1040654" s="38"/>
    </row>
    <row r="1040655" spans="54:54" ht="15.75" customHeight="1" x14ac:dyDescent="0.3">
      <c r="BB1040655" s="38"/>
    </row>
    <row r="1040656" spans="54:54" ht="15.75" customHeight="1" x14ac:dyDescent="0.3">
      <c r="BB1040656" s="38"/>
    </row>
    <row r="1040657" spans="54:54" ht="15.75" customHeight="1" x14ac:dyDescent="0.3">
      <c r="BB1040657" s="38"/>
    </row>
    <row r="1040658" spans="54:54" ht="15.75" customHeight="1" x14ac:dyDescent="0.3">
      <c r="BB1040658" s="38"/>
    </row>
    <row r="1040659" spans="54:54" ht="15.75" customHeight="1" x14ac:dyDescent="0.3">
      <c r="BB1040659" s="38"/>
    </row>
    <row r="1040660" spans="54:54" ht="15.75" customHeight="1" x14ac:dyDescent="0.3">
      <c r="BB1040660" s="38"/>
    </row>
    <row r="1040661" spans="54:54" ht="15.75" customHeight="1" x14ac:dyDescent="0.3">
      <c r="BB1040661" s="38"/>
    </row>
    <row r="1040662" spans="54:54" ht="15.75" customHeight="1" x14ac:dyDescent="0.3">
      <c r="BB1040662" s="38"/>
    </row>
    <row r="1040663" spans="54:54" ht="15.75" customHeight="1" x14ac:dyDescent="0.3">
      <c r="BB1040663" s="38"/>
    </row>
    <row r="1040664" spans="54:54" ht="15.75" customHeight="1" x14ac:dyDescent="0.3">
      <c r="BB1040664" s="38"/>
    </row>
    <row r="1040665" spans="54:54" ht="15.75" customHeight="1" x14ac:dyDescent="0.3">
      <c r="BB1040665" s="38"/>
    </row>
    <row r="1040666" spans="54:54" ht="15.75" customHeight="1" x14ac:dyDescent="0.3">
      <c r="BB1040666" s="38"/>
    </row>
    <row r="1040667" spans="54:54" ht="15.75" customHeight="1" x14ac:dyDescent="0.3">
      <c r="BB1040667" s="38"/>
    </row>
    <row r="1040668" spans="54:54" ht="15.75" customHeight="1" x14ac:dyDescent="0.3">
      <c r="BB1040668" s="38"/>
    </row>
    <row r="1040669" spans="54:54" ht="15.75" customHeight="1" x14ac:dyDescent="0.3">
      <c r="BB1040669" s="38"/>
    </row>
    <row r="1040670" spans="54:54" ht="15.75" customHeight="1" x14ac:dyDescent="0.3">
      <c r="BB1040670" s="38"/>
    </row>
    <row r="1040671" spans="54:54" ht="15.75" customHeight="1" x14ac:dyDescent="0.3">
      <c r="BB1040671" s="38"/>
    </row>
    <row r="1040672" spans="54:54" ht="15.75" customHeight="1" x14ac:dyDescent="0.3">
      <c r="BB1040672" s="38"/>
    </row>
    <row r="1040673" spans="54:54" ht="15.75" customHeight="1" x14ac:dyDescent="0.3">
      <c r="BB1040673" s="38"/>
    </row>
    <row r="1040674" spans="54:54" ht="15.75" customHeight="1" x14ac:dyDescent="0.3">
      <c r="BB1040674" s="38"/>
    </row>
    <row r="1040675" spans="54:54" ht="15.75" customHeight="1" x14ac:dyDescent="0.3">
      <c r="BB1040675" s="38"/>
    </row>
    <row r="1040676" spans="54:54" ht="15.75" customHeight="1" x14ac:dyDescent="0.3">
      <c r="BB1040676" s="38"/>
    </row>
    <row r="1040677" spans="54:54" ht="15.75" customHeight="1" x14ac:dyDescent="0.3">
      <c r="BB1040677" s="38"/>
    </row>
    <row r="1040678" spans="54:54" ht="15.75" customHeight="1" x14ac:dyDescent="0.3">
      <c r="BB1040678" s="38"/>
    </row>
    <row r="1040679" spans="54:54" ht="15.75" customHeight="1" x14ac:dyDescent="0.3">
      <c r="BB1040679" s="38"/>
    </row>
    <row r="1040680" spans="54:54" ht="15.75" customHeight="1" x14ac:dyDescent="0.3">
      <c r="BB1040680" s="38"/>
    </row>
    <row r="1040681" spans="54:54" ht="15.75" customHeight="1" x14ac:dyDescent="0.3">
      <c r="BB1040681" s="38"/>
    </row>
    <row r="1040682" spans="54:54" ht="15.75" customHeight="1" x14ac:dyDescent="0.3">
      <c r="BB1040682" s="38"/>
    </row>
    <row r="1040683" spans="54:54" ht="15.75" customHeight="1" x14ac:dyDescent="0.3">
      <c r="BB1040683" s="38"/>
    </row>
    <row r="1040684" spans="54:54" ht="15.75" customHeight="1" x14ac:dyDescent="0.3">
      <c r="BB1040684" s="38"/>
    </row>
    <row r="1040685" spans="54:54" ht="15.75" customHeight="1" x14ac:dyDescent="0.3">
      <c r="BB1040685" s="38"/>
    </row>
    <row r="1040686" spans="54:54" ht="15.75" customHeight="1" x14ac:dyDescent="0.3">
      <c r="BB1040686" s="38"/>
    </row>
    <row r="1040687" spans="54:54" ht="15.75" customHeight="1" x14ac:dyDescent="0.3">
      <c r="BB1040687" s="38"/>
    </row>
    <row r="1040688" spans="54:54" ht="15.75" customHeight="1" x14ac:dyDescent="0.3">
      <c r="BB1040688" s="38"/>
    </row>
    <row r="1040689" spans="54:54" ht="15.75" customHeight="1" x14ac:dyDescent="0.3">
      <c r="BB1040689" s="38"/>
    </row>
    <row r="1040690" spans="54:54" ht="15.75" customHeight="1" x14ac:dyDescent="0.3">
      <c r="BB1040690" s="38"/>
    </row>
    <row r="1040691" spans="54:54" ht="15.75" customHeight="1" x14ac:dyDescent="0.3">
      <c r="BB1040691" s="38"/>
    </row>
    <row r="1040692" spans="54:54" ht="15.75" customHeight="1" x14ac:dyDescent="0.3">
      <c r="BB1040692" s="38"/>
    </row>
    <row r="1040693" spans="54:54" ht="15.75" customHeight="1" x14ac:dyDescent="0.3">
      <c r="BB1040693" s="38"/>
    </row>
    <row r="1040694" spans="54:54" ht="15.75" customHeight="1" x14ac:dyDescent="0.3">
      <c r="BB1040694" s="38"/>
    </row>
    <row r="1040695" spans="54:54" ht="15.75" customHeight="1" x14ac:dyDescent="0.3">
      <c r="BB1040695" s="38"/>
    </row>
    <row r="1040696" spans="54:54" ht="15.75" customHeight="1" x14ac:dyDescent="0.3">
      <c r="BB1040696" s="38"/>
    </row>
    <row r="1040697" spans="54:54" ht="15.75" customHeight="1" x14ac:dyDescent="0.3">
      <c r="BB1040697" s="38"/>
    </row>
    <row r="1040698" spans="54:54" ht="15.75" customHeight="1" x14ac:dyDescent="0.3">
      <c r="BB1040698" s="38"/>
    </row>
    <row r="1040699" spans="54:54" ht="15.75" customHeight="1" x14ac:dyDescent="0.3">
      <c r="BB1040699" s="38"/>
    </row>
    <row r="1040700" spans="54:54" ht="15.75" customHeight="1" x14ac:dyDescent="0.3">
      <c r="BB1040700" s="38"/>
    </row>
    <row r="1040701" spans="54:54" ht="15.75" customHeight="1" x14ac:dyDescent="0.3">
      <c r="BB1040701" s="38"/>
    </row>
    <row r="1040702" spans="54:54" ht="15.75" customHeight="1" x14ac:dyDescent="0.3">
      <c r="BB1040702" s="38"/>
    </row>
    <row r="1040703" spans="54:54" ht="15.75" customHeight="1" x14ac:dyDescent="0.3">
      <c r="BB1040703" s="38"/>
    </row>
    <row r="1040704" spans="54:54" ht="15.75" customHeight="1" x14ac:dyDescent="0.3">
      <c r="BB1040704" s="38"/>
    </row>
    <row r="1040705" spans="54:54" ht="15.75" customHeight="1" x14ac:dyDescent="0.3">
      <c r="BB1040705" s="38"/>
    </row>
    <row r="1040706" spans="54:54" ht="15.75" customHeight="1" x14ac:dyDescent="0.3">
      <c r="BB1040706" s="38"/>
    </row>
    <row r="1040707" spans="54:54" ht="15.75" customHeight="1" x14ac:dyDescent="0.3">
      <c r="BB1040707" s="38"/>
    </row>
    <row r="1040708" spans="54:54" ht="15.75" customHeight="1" x14ac:dyDescent="0.3">
      <c r="BB1040708" s="38"/>
    </row>
    <row r="1040709" spans="54:54" ht="15.75" customHeight="1" x14ac:dyDescent="0.3">
      <c r="BB1040709" s="38"/>
    </row>
    <row r="1040710" spans="54:54" ht="15.75" customHeight="1" x14ac:dyDescent="0.3">
      <c r="BB1040710" s="38"/>
    </row>
    <row r="1040711" spans="54:54" ht="15.75" customHeight="1" x14ac:dyDescent="0.3">
      <c r="BB1040711" s="38"/>
    </row>
    <row r="1040712" spans="54:54" ht="15.75" customHeight="1" x14ac:dyDescent="0.3">
      <c r="BB1040712" s="38"/>
    </row>
    <row r="1040713" spans="54:54" ht="15.75" customHeight="1" x14ac:dyDescent="0.3">
      <c r="BB1040713" s="38"/>
    </row>
    <row r="1040714" spans="54:54" ht="15.75" customHeight="1" x14ac:dyDescent="0.3">
      <c r="BB1040714" s="38"/>
    </row>
    <row r="1040715" spans="54:54" ht="15.75" customHeight="1" x14ac:dyDescent="0.3">
      <c r="BB1040715" s="38"/>
    </row>
    <row r="1040716" spans="54:54" ht="15.75" customHeight="1" x14ac:dyDescent="0.3">
      <c r="BB1040716" s="38"/>
    </row>
    <row r="1040717" spans="54:54" ht="15.75" customHeight="1" x14ac:dyDescent="0.3">
      <c r="BB1040717" s="38"/>
    </row>
    <row r="1040718" spans="54:54" ht="15.75" customHeight="1" x14ac:dyDescent="0.3">
      <c r="BB1040718" s="38"/>
    </row>
    <row r="1040719" spans="54:54" ht="15.75" customHeight="1" x14ac:dyDescent="0.3">
      <c r="BB1040719" s="38"/>
    </row>
    <row r="1040720" spans="54:54" ht="15.75" customHeight="1" x14ac:dyDescent="0.3">
      <c r="BB1040720" s="38"/>
    </row>
    <row r="1040721" spans="54:54" ht="15.75" customHeight="1" x14ac:dyDescent="0.3">
      <c r="BB1040721" s="38"/>
    </row>
    <row r="1040722" spans="54:54" ht="15.75" customHeight="1" x14ac:dyDescent="0.3">
      <c r="BB1040722" s="38"/>
    </row>
    <row r="1040723" spans="54:54" ht="15.75" customHeight="1" x14ac:dyDescent="0.3">
      <c r="BB1040723" s="38"/>
    </row>
    <row r="1040724" spans="54:54" ht="15.75" customHeight="1" x14ac:dyDescent="0.3">
      <c r="BB1040724" s="38"/>
    </row>
    <row r="1040725" spans="54:54" ht="15.75" customHeight="1" x14ac:dyDescent="0.3">
      <c r="BB1040725" s="38"/>
    </row>
    <row r="1040726" spans="54:54" ht="15.75" customHeight="1" x14ac:dyDescent="0.3">
      <c r="BB1040726" s="38"/>
    </row>
    <row r="1040727" spans="54:54" ht="15.75" customHeight="1" x14ac:dyDescent="0.3">
      <c r="BB1040727" s="38"/>
    </row>
    <row r="1040728" spans="54:54" ht="15.75" customHeight="1" x14ac:dyDescent="0.3">
      <c r="BB1040728" s="38"/>
    </row>
    <row r="1040729" spans="54:54" ht="15.75" customHeight="1" x14ac:dyDescent="0.3">
      <c r="BB1040729" s="38"/>
    </row>
    <row r="1040730" spans="54:54" ht="15.75" customHeight="1" x14ac:dyDescent="0.3">
      <c r="BB1040730" s="38"/>
    </row>
    <row r="1040731" spans="54:54" ht="15.75" customHeight="1" x14ac:dyDescent="0.3">
      <c r="BB1040731" s="38"/>
    </row>
    <row r="1040732" spans="54:54" ht="15.75" customHeight="1" x14ac:dyDescent="0.3">
      <c r="BB1040732" s="38"/>
    </row>
    <row r="1040733" spans="54:54" ht="15.75" customHeight="1" x14ac:dyDescent="0.3">
      <c r="BB1040733" s="38"/>
    </row>
    <row r="1040734" spans="54:54" ht="15.75" customHeight="1" x14ac:dyDescent="0.3">
      <c r="BB1040734" s="38"/>
    </row>
    <row r="1040735" spans="54:54" ht="15.75" customHeight="1" x14ac:dyDescent="0.3">
      <c r="BB1040735" s="38"/>
    </row>
    <row r="1040736" spans="54:54" ht="15.75" customHeight="1" x14ac:dyDescent="0.3">
      <c r="BB1040736" s="38"/>
    </row>
    <row r="1040737" spans="54:54" ht="15.75" customHeight="1" x14ac:dyDescent="0.3">
      <c r="BB1040737" s="38"/>
    </row>
    <row r="1040738" spans="54:54" ht="15.75" customHeight="1" x14ac:dyDescent="0.3">
      <c r="BB1040738" s="38"/>
    </row>
    <row r="1040739" spans="54:54" ht="15.75" customHeight="1" x14ac:dyDescent="0.3">
      <c r="BB1040739" s="38"/>
    </row>
    <row r="1040740" spans="54:54" ht="15.75" customHeight="1" x14ac:dyDescent="0.3">
      <c r="BB1040740" s="38"/>
    </row>
    <row r="1040741" spans="54:54" ht="15.75" customHeight="1" x14ac:dyDescent="0.3">
      <c r="BB1040741" s="38"/>
    </row>
    <row r="1040742" spans="54:54" ht="15.75" customHeight="1" x14ac:dyDescent="0.3">
      <c r="BB1040742" s="38"/>
    </row>
    <row r="1040743" spans="54:54" ht="15.75" customHeight="1" x14ac:dyDescent="0.3">
      <c r="BB1040743" s="38"/>
    </row>
    <row r="1040744" spans="54:54" ht="15.75" customHeight="1" x14ac:dyDescent="0.3">
      <c r="BB1040744" s="38"/>
    </row>
    <row r="1040745" spans="54:54" ht="15.75" customHeight="1" x14ac:dyDescent="0.3">
      <c r="BB1040745" s="38"/>
    </row>
    <row r="1040746" spans="54:54" ht="15.75" customHeight="1" x14ac:dyDescent="0.3">
      <c r="BB1040746" s="38"/>
    </row>
    <row r="1040747" spans="54:54" ht="15.75" customHeight="1" x14ac:dyDescent="0.3">
      <c r="BB1040747" s="38"/>
    </row>
    <row r="1040748" spans="54:54" ht="15.75" customHeight="1" x14ac:dyDescent="0.3">
      <c r="BB1040748" s="38"/>
    </row>
    <row r="1040749" spans="54:54" ht="15.75" customHeight="1" x14ac:dyDescent="0.3">
      <c r="BB1040749" s="38"/>
    </row>
    <row r="1040750" spans="54:54" ht="15.75" customHeight="1" x14ac:dyDescent="0.3">
      <c r="BB1040750" s="38"/>
    </row>
    <row r="1040751" spans="54:54" ht="15.75" customHeight="1" x14ac:dyDescent="0.3">
      <c r="BB1040751" s="38"/>
    </row>
    <row r="1040752" spans="54:54" ht="15.75" customHeight="1" x14ac:dyDescent="0.3">
      <c r="BB1040752" s="38"/>
    </row>
    <row r="1040753" spans="54:54" ht="15.75" customHeight="1" x14ac:dyDescent="0.3">
      <c r="BB1040753" s="38"/>
    </row>
    <row r="1040754" spans="54:54" ht="15.75" customHeight="1" x14ac:dyDescent="0.3">
      <c r="BB1040754" s="38"/>
    </row>
    <row r="1040755" spans="54:54" ht="15.75" customHeight="1" x14ac:dyDescent="0.3">
      <c r="BB1040755" s="38"/>
    </row>
    <row r="1040756" spans="54:54" ht="15.75" customHeight="1" x14ac:dyDescent="0.3">
      <c r="BB1040756" s="38"/>
    </row>
    <row r="1040757" spans="54:54" ht="15.75" customHeight="1" x14ac:dyDescent="0.3">
      <c r="BB1040757" s="38"/>
    </row>
    <row r="1040758" spans="54:54" ht="15.75" customHeight="1" x14ac:dyDescent="0.3">
      <c r="BB1040758" s="38"/>
    </row>
    <row r="1040759" spans="54:54" ht="15.75" customHeight="1" x14ac:dyDescent="0.3">
      <c r="BB1040759" s="38"/>
    </row>
    <row r="1040760" spans="54:54" ht="15.75" customHeight="1" x14ac:dyDescent="0.3">
      <c r="BB1040760" s="38"/>
    </row>
    <row r="1040761" spans="54:54" ht="15.75" customHeight="1" x14ac:dyDescent="0.3">
      <c r="BB1040761" s="38"/>
    </row>
    <row r="1040762" spans="54:54" ht="15.75" customHeight="1" x14ac:dyDescent="0.3">
      <c r="BB1040762" s="38"/>
    </row>
    <row r="1040763" spans="54:54" ht="15.75" customHeight="1" x14ac:dyDescent="0.3">
      <c r="BB1040763" s="38"/>
    </row>
    <row r="1040764" spans="54:54" ht="15.75" customHeight="1" x14ac:dyDescent="0.3">
      <c r="BB1040764" s="38"/>
    </row>
    <row r="1040765" spans="54:54" ht="15.75" customHeight="1" x14ac:dyDescent="0.3">
      <c r="BB1040765" s="38"/>
    </row>
    <row r="1040766" spans="54:54" ht="15.75" customHeight="1" x14ac:dyDescent="0.3">
      <c r="BB1040766" s="38"/>
    </row>
    <row r="1040767" spans="54:54" ht="15.75" customHeight="1" x14ac:dyDescent="0.3">
      <c r="BB1040767" s="38"/>
    </row>
    <row r="1040768" spans="54:54" ht="15.75" customHeight="1" x14ac:dyDescent="0.3">
      <c r="BB1040768" s="38"/>
    </row>
    <row r="1040769" spans="54:54" ht="15.75" customHeight="1" x14ac:dyDescent="0.3">
      <c r="BB1040769" s="38"/>
    </row>
    <row r="1040770" spans="54:54" ht="15.75" customHeight="1" x14ac:dyDescent="0.3">
      <c r="BB1040770" s="38"/>
    </row>
    <row r="1040771" spans="54:54" ht="15.75" customHeight="1" x14ac:dyDescent="0.3">
      <c r="BB1040771" s="38"/>
    </row>
    <row r="1040772" spans="54:54" ht="15.75" customHeight="1" x14ac:dyDescent="0.3">
      <c r="BB1040772" s="38"/>
    </row>
    <row r="1040773" spans="54:54" ht="15.75" customHeight="1" x14ac:dyDescent="0.3">
      <c r="BB1040773" s="38"/>
    </row>
    <row r="1040774" spans="54:54" ht="15.75" customHeight="1" x14ac:dyDescent="0.3">
      <c r="BB1040774" s="38"/>
    </row>
    <row r="1040775" spans="54:54" ht="15.75" customHeight="1" x14ac:dyDescent="0.3">
      <c r="BB1040775" s="38"/>
    </row>
    <row r="1040776" spans="54:54" ht="15.75" customHeight="1" x14ac:dyDescent="0.3">
      <c r="BB1040776" s="38"/>
    </row>
    <row r="1040777" spans="54:54" ht="15.75" customHeight="1" x14ac:dyDescent="0.3">
      <c r="BB1040777" s="38"/>
    </row>
    <row r="1040778" spans="54:54" ht="15.75" customHeight="1" x14ac:dyDescent="0.3">
      <c r="BB1040778" s="38"/>
    </row>
    <row r="1040779" spans="54:54" ht="15.75" customHeight="1" x14ac:dyDescent="0.3">
      <c r="BB1040779" s="38"/>
    </row>
    <row r="1040780" spans="54:54" ht="15.75" customHeight="1" x14ac:dyDescent="0.3">
      <c r="BB1040780" s="38"/>
    </row>
    <row r="1040781" spans="54:54" ht="15.75" customHeight="1" x14ac:dyDescent="0.3">
      <c r="BB1040781" s="38"/>
    </row>
    <row r="1040782" spans="54:54" ht="15.75" customHeight="1" x14ac:dyDescent="0.3">
      <c r="BB1040782" s="38"/>
    </row>
    <row r="1040783" spans="54:54" ht="15.75" customHeight="1" x14ac:dyDescent="0.3">
      <c r="BB1040783" s="38"/>
    </row>
    <row r="1040784" spans="54:54" ht="15.75" customHeight="1" x14ac:dyDescent="0.3">
      <c r="BB1040784" s="38"/>
    </row>
    <row r="1040785" spans="54:54" ht="15.75" customHeight="1" x14ac:dyDescent="0.3">
      <c r="BB1040785" s="38"/>
    </row>
    <row r="1040786" spans="54:54" ht="15.75" customHeight="1" x14ac:dyDescent="0.3">
      <c r="BB1040786" s="38"/>
    </row>
    <row r="1040787" spans="54:54" ht="15.75" customHeight="1" x14ac:dyDescent="0.3">
      <c r="BB1040787" s="38"/>
    </row>
    <row r="1040788" spans="54:54" ht="15.75" customHeight="1" x14ac:dyDescent="0.3">
      <c r="BB1040788" s="38"/>
    </row>
    <row r="1040789" spans="54:54" ht="15.75" customHeight="1" x14ac:dyDescent="0.3">
      <c r="BB1040789" s="38"/>
    </row>
    <row r="1040790" spans="54:54" ht="15.75" customHeight="1" x14ac:dyDescent="0.3">
      <c r="BB1040790" s="38"/>
    </row>
    <row r="1040791" spans="54:54" ht="15.75" customHeight="1" x14ac:dyDescent="0.3">
      <c r="BB1040791" s="38"/>
    </row>
    <row r="1040792" spans="54:54" ht="15.75" customHeight="1" x14ac:dyDescent="0.3">
      <c r="BB1040792" s="38"/>
    </row>
    <row r="1040793" spans="54:54" ht="15.75" customHeight="1" x14ac:dyDescent="0.3">
      <c r="BB1040793" s="38"/>
    </row>
    <row r="1040794" spans="54:54" ht="15.75" customHeight="1" x14ac:dyDescent="0.3">
      <c r="BB1040794" s="38"/>
    </row>
    <row r="1040795" spans="54:54" ht="15.75" customHeight="1" x14ac:dyDescent="0.3">
      <c r="BB1040795" s="38"/>
    </row>
    <row r="1040796" spans="54:54" ht="15.75" customHeight="1" x14ac:dyDescent="0.3">
      <c r="BB1040796" s="38"/>
    </row>
    <row r="1040797" spans="54:54" ht="15.75" customHeight="1" x14ac:dyDescent="0.3">
      <c r="BB1040797" s="38"/>
    </row>
    <row r="1040798" spans="54:54" ht="15.75" customHeight="1" x14ac:dyDescent="0.3">
      <c r="BB1040798" s="38"/>
    </row>
    <row r="1040799" spans="54:54" ht="15.75" customHeight="1" x14ac:dyDescent="0.3">
      <c r="BB1040799" s="38"/>
    </row>
    <row r="1040800" spans="54:54" ht="15.75" customHeight="1" x14ac:dyDescent="0.3">
      <c r="BB1040800" s="38"/>
    </row>
    <row r="1040801" spans="54:54" ht="15.75" customHeight="1" x14ac:dyDescent="0.3">
      <c r="BB1040801" s="38"/>
    </row>
    <row r="1040802" spans="54:54" ht="15.75" customHeight="1" x14ac:dyDescent="0.3">
      <c r="BB1040802" s="38"/>
    </row>
    <row r="1040803" spans="54:54" ht="15.75" customHeight="1" x14ac:dyDescent="0.3">
      <c r="BB1040803" s="38"/>
    </row>
    <row r="1040804" spans="54:54" ht="15.75" customHeight="1" x14ac:dyDescent="0.3">
      <c r="BB1040804" s="38"/>
    </row>
    <row r="1040805" spans="54:54" ht="15.75" customHeight="1" x14ac:dyDescent="0.3">
      <c r="BB1040805" s="38"/>
    </row>
    <row r="1040806" spans="54:54" ht="15.75" customHeight="1" x14ac:dyDescent="0.3">
      <c r="BB1040806" s="38"/>
    </row>
    <row r="1040807" spans="54:54" ht="15.75" customHeight="1" x14ac:dyDescent="0.3">
      <c r="BB1040807" s="38"/>
    </row>
    <row r="1040808" spans="54:54" ht="15.75" customHeight="1" x14ac:dyDescent="0.3">
      <c r="BB1040808" s="38"/>
    </row>
    <row r="1040809" spans="54:54" ht="15.75" customHeight="1" x14ac:dyDescent="0.3">
      <c r="BB1040809" s="38"/>
    </row>
    <row r="1040810" spans="54:54" ht="15.75" customHeight="1" x14ac:dyDescent="0.3">
      <c r="BB1040810" s="38"/>
    </row>
    <row r="1040811" spans="54:54" ht="15.75" customHeight="1" x14ac:dyDescent="0.3">
      <c r="BB1040811" s="38"/>
    </row>
    <row r="1040812" spans="54:54" ht="15.75" customHeight="1" x14ac:dyDescent="0.3">
      <c r="BB1040812" s="38"/>
    </row>
    <row r="1040813" spans="54:54" ht="15.75" customHeight="1" x14ac:dyDescent="0.3">
      <c r="BB1040813" s="38"/>
    </row>
    <row r="1040814" spans="54:54" ht="15.75" customHeight="1" x14ac:dyDescent="0.3">
      <c r="BB1040814" s="38"/>
    </row>
    <row r="1040815" spans="54:54" ht="15.75" customHeight="1" x14ac:dyDescent="0.3">
      <c r="BB1040815" s="38"/>
    </row>
    <row r="1040816" spans="54:54" ht="15.75" customHeight="1" x14ac:dyDescent="0.3">
      <c r="BB1040816" s="38"/>
    </row>
    <row r="1040817" spans="54:54" ht="15.75" customHeight="1" x14ac:dyDescent="0.3">
      <c r="BB1040817" s="38"/>
    </row>
    <row r="1040818" spans="54:54" ht="15.75" customHeight="1" x14ac:dyDescent="0.3">
      <c r="BB1040818" s="38"/>
    </row>
    <row r="1040819" spans="54:54" ht="15.75" customHeight="1" x14ac:dyDescent="0.3">
      <c r="BB1040819" s="38"/>
    </row>
    <row r="1040820" spans="54:54" ht="15.75" customHeight="1" x14ac:dyDescent="0.3">
      <c r="BB1040820" s="38"/>
    </row>
    <row r="1040821" spans="54:54" ht="15.75" customHeight="1" x14ac:dyDescent="0.3">
      <c r="BB1040821" s="38"/>
    </row>
    <row r="1040822" spans="54:54" ht="15.75" customHeight="1" x14ac:dyDescent="0.3">
      <c r="BB1040822" s="38"/>
    </row>
    <row r="1040823" spans="54:54" ht="15.75" customHeight="1" x14ac:dyDescent="0.3">
      <c r="BB1040823" s="38"/>
    </row>
    <row r="1040824" spans="54:54" ht="15.75" customHeight="1" x14ac:dyDescent="0.3">
      <c r="BB1040824" s="38"/>
    </row>
    <row r="1040825" spans="54:54" ht="15.75" customHeight="1" x14ac:dyDescent="0.3">
      <c r="BB1040825" s="38"/>
    </row>
    <row r="1040826" spans="54:54" ht="15.75" customHeight="1" x14ac:dyDescent="0.3">
      <c r="BB1040826" s="38"/>
    </row>
    <row r="1040827" spans="54:54" ht="15.75" customHeight="1" x14ac:dyDescent="0.3">
      <c r="BB1040827" s="38"/>
    </row>
    <row r="1040828" spans="54:54" ht="15.75" customHeight="1" x14ac:dyDescent="0.3">
      <c r="BB1040828" s="38"/>
    </row>
    <row r="1040829" spans="54:54" ht="15.75" customHeight="1" x14ac:dyDescent="0.3">
      <c r="BB1040829" s="38"/>
    </row>
    <row r="1040830" spans="54:54" ht="15.75" customHeight="1" x14ac:dyDescent="0.3">
      <c r="BB1040830" s="38"/>
    </row>
    <row r="1040831" spans="54:54" ht="15.75" customHeight="1" x14ac:dyDescent="0.3">
      <c r="BB1040831" s="38"/>
    </row>
    <row r="1040832" spans="54:54" ht="15.75" customHeight="1" x14ac:dyDescent="0.3">
      <c r="BB1040832" s="38"/>
    </row>
    <row r="1040833" spans="54:54" ht="15.75" customHeight="1" x14ac:dyDescent="0.3">
      <c r="BB1040833" s="38"/>
    </row>
    <row r="1040834" spans="54:54" ht="15.75" customHeight="1" x14ac:dyDescent="0.3">
      <c r="BB1040834" s="38"/>
    </row>
    <row r="1040835" spans="54:54" ht="15.75" customHeight="1" x14ac:dyDescent="0.3">
      <c r="BB1040835" s="38"/>
    </row>
    <row r="1040836" spans="54:54" ht="15.75" customHeight="1" x14ac:dyDescent="0.3">
      <c r="BB1040836" s="38"/>
    </row>
    <row r="1040837" spans="54:54" ht="15.75" customHeight="1" x14ac:dyDescent="0.3">
      <c r="BB1040837" s="38"/>
    </row>
    <row r="1040838" spans="54:54" ht="15.75" customHeight="1" x14ac:dyDescent="0.3">
      <c r="BB1040838" s="38"/>
    </row>
    <row r="1040839" spans="54:54" ht="15.75" customHeight="1" x14ac:dyDescent="0.3">
      <c r="BB1040839" s="38"/>
    </row>
    <row r="1040840" spans="54:54" ht="15.75" customHeight="1" x14ac:dyDescent="0.3">
      <c r="BB1040840" s="38"/>
    </row>
    <row r="1040841" spans="54:54" ht="15.75" customHeight="1" x14ac:dyDescent="0.3">
      <c r="BB1040841" s="38"/>
    </row>
    <row r="1040842" spans="54:54" ht="15.75" customHeight="1" x14ac:dyDescent="0.3">
      <c r="BB1040842" s="38"/>
    </row>
    <row r="1040843" spans="54:54" ht="15.75" customHeight="1" x14ac:dyDescent="0.3">
      <c r="BB1040843" s="38"/>
    </row>
    <row r="1040844" spans="54:54" ht="15.75" customHeight="1" x14ac:dyDescent="0.3">
      <c r="BB1040844" s="38"/>
    </row>
    <row r="1040845" spans="54:54" ht="15.75" customHeight="1" x14ac:dyDescent="0.3">
      <c r="BB1040845" s="38"/>
    </row>
    <row r="1040846" spans="54:54" ht="15.75" customHeight="1" x14ac:dyDescent="0.3">
      <c r="BB1040846" s="38"/>
    </row>
    <row r="1040847" spans="54:54" ht="15.75" customHeight="1" x14ac:dyDescent="0.3">
      <c r="BB1040847" s="38"/>
    </row>
    <row r="1040848" spans="54:54" ht="15.75" customHeight="1" x14ac:dyDescent="0.3">
      <c r="BB1040848" s="38"/>
    </row>
    <row r="1040849" spans="54:54" ht="15.75" customHeight="1" x14ac:dyDescent="0.3">
      <c r="BB1040849" s="38"/>
    </row>
    <row r="1040850" spans="54:54" ht="15.75" customHeight="1" x14ac:dyDescent="0.3">
      <c r="BB1040850" s="38"/>
    </row>
    <row r="1040851" spans="54:54" ht="15.75" customHeight="1" x14ac:dyDescent="0.3">
      <c r="BB1040851" s="38"/>
    </row>
    <row r="1040852" spans="54:54" ht="15.75" customHeight="1" x14ac:dyDescent="0.3">
      <c r="BB1040852" s="38"/>
    </row>
    <row r="1040853" spans="54:54" ht="15.75" customHeight="1" x14ac:dyDescent="0.3">
      <c r="BB1040853" s="38"/>
    </row>
    <row r="1040854" spans="54:54" ht="15.75" customHeight="1" x14ac:dyDescent="0.3">
      <c r="BB1040854" s="38"/>
    </row>
    <row r="1040855" spans="54:54" ht="15.75" customHeight="1" x14ac:dyDescent="0.3">
      <c r="BB1040855" s="38"/>
    </row>
    <row r="1040856" spans="54:54" ht="15.75" customHeight="1" x14ac:dyDescent="0.3">
      <c r="BB1040856" s="38"/>
    </row>
    <row r="1040857" spans="54:54" ht="15.75" customHeight="1" x14ac:dyDescent="0.3">
      <c r="BB1040857" s="38"/>
    </row>
    <row r="1040858" spans="54:54" ht="15.75" customHeight="1" x14ac:dyDescent="0.3">
      <c r="BB1040858" s="38"/>
    </row>
    <row r="1040859" spans="54:54" ht="15.75" customHeight="1" x14ac:dyDescent="0.3">
      <c r="BB1040859" s="38"/>
    </row>
    <row r="1040860" spans="54:54" ht="15.75" customHeight="1" x14ac:dyDescent="0.3">
      <c r="BB1040860" s="38"/>
    </row>
    <row r="1040861" spans="54:54" ht="15.75" customHeight="1" x14ac:dyDescent="0.3">
      <c r="BB1040861" s="38"/>
    </row>
    <row r="1040862" spans="54:54" ht="15.75" customHeight="1" x14ac:dyDescent="0.3">
      <c r="BB1040862" s="38"/>
    </row>
    <row r="1040863" spans="54:54" ht="15.75" customHeight="1" x14ac:dyDescent="0.3">
      <c r="BB1040863" s="38"/>
    </row>
    <row r="1040864" spans="54:54" ht="15.75" customHeight="1" x14ac:dyDescent="0.3">
      <c r="BB1040864" s="38"/>
    </row>
    <row r="1040865" spans="54:54" ht="15.75" customHeight="1" x14ac:dyDescent="0.3">
      <c r="BB1040865" s="38"/>
    </row>
    <row r="1040866" spans="54:54" ht="15.75" customHeight="1" x14ac:dyDescent="0.3">
      <c r="BB1040866" s="38"/>
    </row>
    <row r="1040867" spans="54:54" ht="15.75" customHeight="1" x14ac:dyDescent="0.3">
      <c r="BB1040867" s="38"/>
    </row>
    <row r="1040868" spans="54:54" ht="15.75" customHeight="1" x14ac:dyDescent="0.3">
      <c r="BB1040868" s="38"/>
    </row>
    <row r="1040869" spans="54:54" ht="15.75" customHeight="1" x14ac:dyDescent="0.3">
      <c r="BB1040869" s="38"/>
    </row>
    <row r="1040870" spans="54:54" ht="15.75" customHeight="1" x14ac:dyDescent="0.3">
      <c r="BB1040870" s="38"/>
    </row>
    <row r="1040871" spans="54:54" ht="15.75" customHeight="1" x14ac:dyDescent="0.3">
      <c r="BB1040871" s="38"/>
    </row>
    <row r="1040872" spans="54:54" ht="15.75" customHeight="1" x14ac:dyDescent="0.3">
      <c r="BB1040872" s="38"/>
    </row>
    <row r="1040873" spans="54:54" ht="15.75" customHeight="1" x14ac:dyDescent="0.3">
      <c r="BB1040873" s="38"/>
    </row>
    <row r="1040874" spans="54:54" ht="15.75" customHeight="1" x14ac:dyDescent="0.3">
      <c r="BB1040874" s="38"/>
    </row>
    <row r="1040875" spans="54:54" ht="15.75" customHeight="1" x14ac:dyDescent="0.3">
      <c r="BB1040875" s="38"/>
    </row>
    <row r="1040876" spans="54:54" ht="15.75" customHeight="1" x14ac:dyDescent="0.3">
      <c r="BB1040876" s="38"/>
    </row>
    <row r="1040877" spans="54:54" ht="15.75" customHeight="1" x14ac:dyDescent="0.3">
      <c r="BB1040877" s="38"/>
    </row>
    <row r="1040878" spans="54:54" ht="15.75" customHeight="1" x14ac:dyDescent="0.3">
      <c r="BB1040878" s="38"/>
    </row>
    <row r="1040879" spans="54:54" ht="15.75" customHeight="1" x14ac:dyDescent="0.3">
      <c r="BB1040879" s="38"/>
    </row>
    <row r="1040880" spans="54:54" ht="15.75" customHeight="1" x14ac:dyDescent="0.3">
      <c r="BB1040880" s="38"/>
    </row>
    <row r="1040881" spans="54:54" ht="15.75" customHeight="1" x14ac:dyDescent="0.3">
      <c r="BB1040881" s="38"/>
    </row>
    <row r="1040882" spans="54:54" ht="15.75" customHeight="1" x14ac:dyDescent="0.3">
      <c r="BB1040882" s="38"/>
    </row>
    <row r="1040883" spans="54:54" ht="15.75" customHeight="1" x14ac:dyDescent="0.3">
      <c r="BB1040883" s="38"/>
    </row>
    <row r="1040884" spans="54:54" ht="15.75" customHeight="1" x14ac:dyDescent="0.3">
      <c r="BB1040884" s="38"/>
    </row>
    <row r="1040885" spans="54:54" ht="15.75" customHeight="1" x14ac:dyDescent="0.3">
      <c r="BB1040885" s="38"/>
    </row>
    <row r="1040886" spans="54:54" ht="15.75" customHeight="1" x14ac:dyDescent="0.3">
      <c r="BB1040886" s="38"/>
    </row>
    <row r="1040887" spans="54:54" ht="15.75" customHeight="1" x14ac:dyDescent="0.3">
      <c r="BB1040887" s="38"/>
    </row>
    <row r="1040888" spans="54:54" ht="15.75" customHeight="1" x14ac:dyDescent="0.3">
      <c r="BB1040888" s="38"/>
    </row>
    <row r="1040889" spans="54:54" ht="15.75" customHeight="1" x14ac:dyDescent="0.3">
      <c r="BB1040889" s="38"/>
    </row>
    <row r="1040890" spans="54:54" ht="15.75" customHeight="1" x14ac:dyDescent="0.3">
      <c r="BB1040890" s="38"/>
    </row>
    <row r="1040891" spans="54:54" ht="15.75" customHeight="1" x14ac:dyDescent="0.3">
      <c r="BB1040891" s="38"/>
    </row>
    <row r="1040892" spans="54:54" ht="15.75" customHeight="1" x14ac:dyDescent="0.3">
      <c r="BB1040892" s="38"/>
    </row>
    <row r="1040893" spans="54:54" ht="15.75" customHeight="1" x14ac:dyDescent="0.3">
      <c r="BB1040893" s="38"/>
    </row>
    <row r="1040894" spans="54:54" ht="15.75" customHeight="1" x14ac:dyDescent="0.3">
      <c r="BB1040894" s="38"/>
    </row>
    <row r="1040895" spans="54:54" ht="15.75" customHeight="1" x14ac:dyDescent="0.3">
      <c r="BB1040895" s="38"/>
    </row>
    <row r="1040896" spans="54:54" ht="15.75" customHeight="1" x14ac:dyDescent="0.3">
      <c r="BB1040896" s="38"/>
    </row>
    <row r="1040897" spans="54:54" ht="15.75" customHeight="1" x14ac:dyDescent="0.3">
      <c r="BB1040897" s="38"/>
    </row>
    <row r="1040898" spans="54:54" ht="15.75" customHeight="1" x14ac:dyDescent="0.3">
      <c r="BB1040898" s="38"/>
    </row>
    <row r="1040899" spans="54:54" ht="15.75" customHeight="1" x14ac:dyDescent="0.3">
      <c r="BB1040899" s="38"/>
    </row>
    <row r="1040900" spans="54:54" ht="15.75" customHeight="1" x14ac:dyDescent="0.3">
      <c r="BB1040900" s="38"/>
    </row>
    <row r="1040901" spans="54:54" ht="15.75" customHeight="1" x14ac:dyDescent="0.3">
      <c r="BB1040901" s="38"/>
    </row>
    <row r="1040902" spans="54:54" ht="15.75" customHeight="1" x14ac:dyDescent="0.3">
      <c r="BB1040902" s="38"/>
    </row>
    <row r="1040903" spans="54:54" ht="15.75" customHeight="1" x14ac:dyDescent="0.3">
      <c r="BB1040903" s="38"/>
    </row>
    <row r="1040904" spans="54:54" ht="15.75" customHeight="1" x14ac:dyDescent="0.3">
      <c r="BB1040904" s="38"/>
    </row>
    <row r="1040905" spans="54:54" ht="15.75" customHeight="1" x14ac:dyDescent="0.3">
      <c r="BB1040905" s="38"/>
    </row>
    <row r="1040906" spans="54:54" ht="15.75" customHeight="1" x14ac:dyDescent="0.3">
      <c r="BB1040906" s="38"/>
    </row>
    <row r="1040907" spans="54:54" ht="15.75" customHeight="1" x14ac:dyDescent="0.3">
      <c r="BB1040907" s="38"/>
    </row>
    <row r="1040908" spans="54:54" ht="15.75" customHeight="1" x14ac:dyDescent="0.3">
      <c r="BB1040908" s="38"/>
    </row>
    <row r="1040909" spans="54:54" ht="15.75" customHeight="1" x14ac:dyDescent="0.3">
      <c r="BB1040909" s="38"/>
    </row>
    <row r="1040910" spans="54:54" ht="15.75" customHeight="1" x14ac:dyDescent="0.3">
      <c r="BB1040910" s="38"/>
    </row>
    <row r="1040911" spans="54:54" ht="15.75" customHeight="1" x14ac:dyDescent="0.3">
      <c r="BB1040911" s="38"/>
    </row>
    <row r="1040912" spans="54:54" ht="15.75" customHeight="1" x14ac:dyDescent="0.3">
      <c r="BB1040912" s="38"/>
    </row>
    <row r="1040913" spans="54:54" ht="15.75" customHeight="1" x14ac:dyDescent="0.3">
      <c r="BB1040913" s="38"/>
    </row>
    <row r="1040914" spans="54:54" ht="15.75" customHeight="1" x14ac:dyDescent="0.3">
      <c r="BB1040914" s="38"/>
    </row>
    <row r="1040915" spans="54:54" ht="15.75" customHeight="1" x14ac:dyDescent="0.3">
      <c r="BB1040915" s="38"/>
    </row>
    <row r="1040916" spans="54:54" ht="15.75" customHeight="1" x14ac:dyDescent="0.3">
      <c r="BB1040916" s="38"/>
    </row>
    <row r="1040917" spans="54:54" ht="15.75" customHeight="1" x14ac:dyDescent="0.3">
      <c r="BB1040917" s="38"/>
    </row>
    <row r="1040918" spans="54:54" ht="15.75" customHeight="1" x14ac:dyDescent="0.3">
      <c r="BB1040918" s="38"/>
    </row>
    <row r="1040919" spans="54:54" ht="15.75" customHeight="1" x14ac:dyDescent="0.3">
      <c r="BB1040919" s="38"/>
    </row>
    <row r="1040920" spans="54:54" ht="15.75" customHeight="1" x14ac:dyDescent="0.3">
      <c r="BB1040920" s="38"/>
    </row>
    <row r="1040921" spans="54:54" ht="15.75" customHeight="1" x14ac:dyDescent="0.3">
      <c r="BB1040921" s="38"/>
    </row>
    <row r="1040922" spans="54:54" ht="15.75" customHeight="1" x14ac:dyDescent="0.3">
      <c r="BB1040922" s="38"/>
    </row>
    <row r="1040923" spans="54:54" ht="15.75" customHeight="1" x14ac:dyDescent="0.3">
      <c r="BB1040923" s="38"/>
    </row>
    <row r="1040924" spans="54:54" ht="15.75" customHeight="1" x14ac:dyDescent="0.3">
      <c r="BB1040924" s="38"/>
    </row>
    <row r="1040925" spans="54:54" ht="15.75" customHeight="1" x14ac:dyDescent="0.3">
      <c r="BB1040925" s="38"/>
    </row>
    <row r="1040926" spans="54:54" ht="15.75" customHeight="1" x14ac:dyDescent="0.3">
      <c r="BB1040926" s="38"/>
    </row>
    <row r="1040927" spans="54:54" ht="15.75" customHeight="1" x14ac:dyDescent="0.3">
      <c r="BB1040927" s="38"/>
    </row>
    <row r="1040928" spans="54:54" ht="15.75" customHeight="1" x14ac:dyDescent="0.3">
      <c r="BB1040928" s="38"/>
    </row>
    <row r="1040929" spans="54:54" ht="15.75" customHeight="1" x14ac:dyDescent="0.3">
      <c r="BB1040929" s="38"/>
    </row>
    <row r="1040930" spans="54:54" ht="15.75" customHeight="1" x14ac:dyDescent="0.3">
      <c r="BB1040930" s="38"/>
    </row>
    <row r="1040931" spans="54:54" ht="15.75" customHeight="1" x14ac:dyDescent="0.3">
      <c r="BB1040931" s="38"/>
    </row>
    <row r="1040932" spans="54:54" ht="15.75" customHeight="1" x14ac:dyDescent="0.3">
      <c r="BB1040932" s="38"/>
    </row>
    <row r="1040933" spans="54:54" ht="15.75" customHeight="1" x14ac:dyDescent="0.3">
      <c r="BB1040933" s="38"/>
    </row>
    <row r="1040934" spans="54:54" ht="15.75" customHeight="1" x14ac:dyDescent="0.3">
      <c r="BB1040934" s="38"/>
    </row>
    <row r="1040935" spans="54:54" ht="15.75" customHeight="1" x14ac:dyDescent="0.3">
      <c r="BB1040935" s="38"/>
    </row>
    <row r="1040936" spans="54:54" ht="15.75" customHeight="1" x14ac:dyDescent="0.3">
      <c r="BB1040936" s="38"/>
    </row>
    <row r="1040937" spans="54:54" ht="15.75" customHeight="1" x14ac:dyDescent="0.3">
      <c r="BB1040937" s="38"/>
    </row>
    <row r="1040938" spans="54:54" ht="15.75" customHeight="1" x14ac:dyDescent="0.3">
      <c r="BB1040938" s="38"/>
    </row>
    <row r="1040939" spans="54:54" ht="15.75" customHeight="1" x14ac:dyDescent="0.3">
      <c r="BB1040939" s="38"/>
    </row>
    <row r="1040940" spans="54:54" ht="15.75" customHeight="1" x14ac:dyDescent="0.3">
      <c r="BB1040940" s="38"/>
    </row>
    <row r="1040941" spans="54:54" ht="15.75" customHeight="1" x14ac:dyDescent="0.3">
      <c r="BB1040941" s="38"/>
    </row>
    <row r="1040942" spans="54:54" ht="15.75" customHeight="1" x14ac:dyDescent="0.3">
      <c r="BB1040942" s="38"/>
    </row>
    <row r="1040943" spans="54:54" ht="15.75" customHeight="1" x14ac:dyDescent="0.3">
      <c r="BB1040943" s="38"/>
    </row>
    <row r="1040944" spans="54:54" ht="15.75" customHeight="1" x14ac:dyDescent="0.3">
      <c r="BB1040944" s="38"/>
    </row>
    <row r="1040945" spans="54:54" ht="15.75" customHeight="1" x14ac:dyDescent="0.3">
      <c r="BB1040945" s="38"/>
    </row>
    <row r="1040946" spans="54:54" ht="15.75" customHeight="1" x14ac:dyDescent="0.3">
      <c r="BB1040946" s="38"/>
    </row>
    <row r="1040947" spans="54:54" ht="15.75" customHeight="1" x14ac:dyDescent="0.3">
      <c r="BB1040947" s="38"/>
    </row>
    <row r="1040948" spans="54:54" ht="15.75" customHeight="1" x14ac:dyDescent="0.3">
      <c r="BB1040948" s="38"/>
    </row>
    <row r="1040949" spans="54:54" ht="15.75" customHeight="1" x14ac:dyDescent="0.3">
      <c r="BB1040949" s="38"/>
    </row>
    <row r="1040950" spans="54:54" ht="15.75" customHeight="1" x14ac:dyDescent="0.3">
      <c r="BB1040950" s="38"/>
    </row>
    <row r="1040951" spans="54:54" ht="15.75" customHeight="1" x14ac:dyDescent="0.3">
      <c r="BB1040951" s="38"/>
    </row>
    <row r="1040952" spans="54:54" ht="15.75" customHeight="1" x14ac:dyDescent="0.3">
      <c r="BB1040952" s="38"/>
    </row>
    <row r="1040953" spans="54:54" ht="15.75" customHeight="1" x14ac:dyDescent="0.3">
      <c r="BB1040953" s="38"/>
    </row>
    <row r="1040954" spans="54:54" ht="15.75" customHeight="1" x14ac:dyDescent="0.3">
      <c r="BB1040954" s="38"/>
    </row>
    <row r="1040955" spans="54:54" ht="15.75" customHeight="1" x14ac:dyDescent="0.3">
      <c r="BB1040955" s="38"/>
    </row>
    <row r="1040956" spans="54:54" ht="15.75" customHeight="1" x14ac:dyDescent="0.3">
      <c r="BB1040956" s="38"/>
    </row>
    <row r="1040957" spans="54:54" ht="15.75" customHeight="1" x14ac:dyDescent="0.3">
      <c r="BB1040957" s="38"/>
    </row>
    <row r="1040958" spans="54:54" ht="15.75" customHeight="1" x14ac:dyDescent="0.3">
      <c r="BB1040958" s="38"/>
    </row>
    <row r="1040959" spans="54:54" ht="15.75" customHeight="1" x14ac:dyDescent="0.3">
      <c r="BB1040959" s="38"/>
    </row>
    <row r="1040960" spans="54:54" ht="15.75" customHeight="1" x14ac:dyDescent="0.3">
      <c r="BB1040960" s="38"/>
    </row>
    <row r="1040961" spans="54:54" ht="15.75" customHeight="1" x14ac:dyDescent="0.3">
      <c r="BB1040961" s="38"/>
    </row>
    <row r="1040962" spans="54:54" ht="15.75" customHeight="1" x14ac:dyDescent="0.3">
      <c r="BB1040962" s="38"/>
    </row>
    <row r="1040963" spans="54:54" ht="15.75" customHeight="1" x14ac:dyDescent="0.3">
      <c r="BB1040963" s="38"/>
    </row>
    <row r="1040964" spans="54:54" ht="15.75" customHeight="1" x14ac:dyDescent="0.3">
      <c r="BB1040964" s="38"/>
    </row>
    <row r="1040965" spans="54:54" ht="15.75" customHeight="1" x14ac:dyDescent="0.3">
      <c r="BB1040965" s="38"/>
    </row>
    <row r="1040966" spans="54:54" ht="15.75" customHeight="1" x14ac:dyDescent="0.3">
      <c r="BB1040966" s="38"/>
    </row>
    <row r="1040967" spans="54:54" ht="15.75" customHeight="1" x14ac:dyDescent="0.3">
      <c r="BB1040967" s="38"/>
    </row>
    <row r="1040968" spans="54:54" ht="15.75" customHeight="1" x14ac:dyDescent="0.3">
      <c r="BB1040968" s="38"/>
    </row>
    <row r="1040969" spans="54:54" ht="15.75" customHeight="1" x14ac:dyDescent="0.3">
      <c r="BB1040969" s="38"/>
    </row>
    <row r="1040970" spans="54:54" ht="15.75" customHeight="1" x14ac:dyDescent="0.3">
      <c r="BB1040970" s="38"/>
    </row>
    <row r="1040971" spans="54:54" ht="15.75" customHeight="1" x14ac:dyDescent="0.3">
      <c r="BB1040971" s="38"/>
    </row>
    <row r="1040972" spans="54:54" ht="15.75" customHeight="1" x14ac:dyDescent="0.3">
      <c r="BB1040972" s="38"/>
    </row>
    <row r="1040973" spans="54:54" ht="15.75" customHeight="1" x14ac:dyDescent="0.3">
      <c r="BB1040973" s="38"/>
    </row>
    <row r="1040974" spans="54:54" ht="15.75" customHeight="1" x14ac:dyDescent="0.3">
      <c r="BB1040974" s="38"/>
    </row>
    <row r="1040975" spans="54:54" ht="15.75" customHeight="1" x14ac:dyDescent="0.3">
      <c r="BB1040975" s="38"/>
    </row>
    <row r="1040976" spans="54:54" ht="15.75" customHeight="1" x14ac:dyDescent="0.3">
      <c r="BB1040976" s="38"/>
    </row>
    <row r="1040977" spans="54:54" ht="15.75" customHeight="1" x14ac:dyDescent="0.3">
      <c r="BB1040977" s="38"/>
    </row>
    <row r="1040978" spans="54:54" ht="15.75" customHeight="1" x14ac:dyDescent="0.3">
      <c r="BB1040978" s="38"/>
    </row>
    <row r="1040979" spans="54:54" ht="15.75" customHeight="1" x14ac:dyDescent="0.3">
      <c r="BB1040979" s="38"/>
    </row>
    <row r="1040980" spans="54:54" ht="15.75" customHeight="1" x14ac:dyDescent="0.3">
      <c r="BB1040980" s="38"/>
    </row>
    <row r="1040981" spans="54:54" ht="15.75" customHeight="1" x14ac:dyDescent="0.3">
      <c r="BB1040981" s="38"/>
    </row>
    <row r="1040982" spans="54:54" ht="15.75" customHeight="1" x14ac:dyDescent="0.3">
      <c r="BB1040982" s="38"/>
    </row>
    <row r="1040983" spans="54:54" ht="15.75" customHeight="1" x14ac:dyDescent="0.3">
      <c r="BB1040983" s="38"/>
    </row>
    <row r="1040984" spans="54:54" ht="15.75" customHeight="1" x14ac:dyDescent="0.3">
      <c r="BB1040984" s="38"/>
    </row>
    <row r="1040985" spans="54:54" ht="15.75" customHeight="1" x14ac:dyDescent="0.3">
      <c r="BB1040985" s="38"/>
    </row>
    <row r="1040986" spans="54:54" ht="15.75" customHeight="1" x14ac:dyDescent="0.3">
      <c r="BB1040986" s="38"/>
    </row>
    <row r="1040987" spans="54:54" ht="15.75" customHeight="1" x14ac:dyDescent="0.3">
      <c r="BB1040987" s="38"/>
    </row>
    <row r="1040988" spans="54:54" ht="15.75" customHeight="1" x14ac:dyDescent="0.3">
      <c r="BB1040988" s="38"/>
    </row>
    <row r="1040989" spans="54:54" ht="15.75" customHeight="1" x14ac:dyDescent="0.3">
      <c r="BB1040989" s="38"/>
    </row>
    <row r="1040990" spans="54:54" ht="15.75" customHeight="1" x14ac:dyDescent="0.3">
      <c r="BB1040990" s="38"/>
    </row>
    <row r="1040991" spans="54:54" ht="15.75" customHeight="1" x14ac:dyDescent="0.3">
      <c r="BB1040991" s="38"/>
    </row>
    <row r="1040992" spans="54:54" ht="15.75" customHeight="1" x14ac:dyDescent="0.3">
      <c r="BB1040992" s="38"/>
    </row>
    <row r="1040993" spans="54:54" ht="15.75" customHeight="1" x14ac:dyDescent="0.3">
      <c r="BB1040993" s="38"/>
    </row>
    <row r="1040994" spans="54:54" ht="15.75" customHeight="1" x14ac:dyDescent="0.3">
      <c r="BB1040994" s="38"/>
    </row>
    <row r="1040995" spans="54:54" ht="15.75" customHeight="1" x14ac:dyDescent="0.3">
      <c r="BB1040995" s="38"/>
    </row>
    <row r="1040996" spans="54:54" ht="15.75" customHeight="1" x14ac:dyDescent="0.3">
      <c r="BB1040996" s="38"/>
    </row>
    <row r="1040997" spans="54:54" ht="15.75" customHeight="1" x14ac:dyDescent="0.3">
      <c r="BB1040997" s="38"/>
    </row>
    <row r="1040998" spans="54:54" ht="15.75" customHeight="1" x14ac:dyDescent="0.3">
      <c r="BB1040998" s="38"/>
    </row>
    <row r="1040999" spans="54:54" ht="15.75" customHeight="1" x14ac:dyDescent="0.3">
      <c r="BB1040999" s="38"/>
    </row>
    <row r="1041000" spans="54:54" ht="15.75" customHeight="1" x14ac:dyDescent="0.3">
      <c r="BB1041000" s="38"/>
    </row>
    <row r="1041001" spans="54:54" ht="15.75" customHeight="1" x14ac:dyDescent="0.3">
      <c r="BB1041001" s="38"/>
    </row>
    <row r="1041002" spans="54:54" ht="15.75" customHeight="1" x14ac:dyDescent="0.3">
      <c r="BB1041002" s="38"/>
    </row>
    <row r="1041003" spans="54:54" ht="15.75" customHeight="1" x14ac:dyDescent="0.3">
      <c r="BB1041003" s="38"/>
    </row>
    <row r="1041004" spans="54:54" ht="15.75" customHeight="1" x14ac:dyDescent="0.3">
      <c r="BB1041004" s="38"/>
    </row>
    <row r="1041005" spans="54:54" ht="15.75" customHeight="1" x14ac:dyDescent="0.3">
      <c r="BB1041005" s="38"/>
    </row>
    <row r="1041006" spans="54:54" ht="15.75" customHeight="1" x14ac:dyDescent="0.3">
      <c r="BB1041006" s="38"/>
    </row>
    <row r="1041007" spans="54:54" ht="15.75" customHeight="1" x14ac:dyDescent="0.3">
      <c r="BB1041007" s="38"/>
    </row>
    <row r="1041008" spans="54:54" ht="15.75" customHeight="1" x14ac:dyDescent="0.3">
      <c r="BB1041008" s="38"/>
    </row>
    <row r="1041009" spans="54:54" ht="15.75" customHeight="1" x14ac:dyDescent="0.3">
      <c r="BB1041009" s="38"/>
    </row>
    <row r="1041010" spans="54:54" ht="15.75" customHeight="1" x14ac:dyDescent="0.3">
      <c r="BB1041010" s="38"/>
    </row>
    <row r="1041011" spans="54:54" ht="15.75" customHeight="1" x14ac:dyDescent="0.3">
      <c r="BB1041011" s="38"/>
    </row>
    <row r="1041012" spans="54:54" ht="15.75" customHeight="1" x14ac:dyDescent="0.3">
      <c r="BB1041012" s="38"/>
    </row>
    <row r="1041013" spans="54:54" ht="15.75" customHeight="1" x14ac:dyDescent="0.3">
      <c r="BB1041013" s="38"/>
    </row>
    <row r="1041014" spans="54:54" ht="15.75" customHeight="1" x14ac:dyDescent="0.3">
      <c r="BB1041014" s="38"/>
    </row>
    <row r="1041015" spans="54:54" ht="15.75" customHeight="1" x14ac:dyDescent="0.3">
      <c r="BB1041015" s="38"/>
    </row>
    <row r="1041016" spans="54:54" ht="15.75" customHeight="1" x14ac:dyDescent="0.3">
      <c r="BB1041016" s="38"/>
    </row>
    <row r="1041017" spans="54:54" ht="15.75" customHeight="1" x14ac:dyDescent="0.3">
      <c r="BB1041017" s="38"/>
    </row>
    <row r="1041018" spans="54:54" ht="15.75" customHeight="1" x14ac:dyDescent="0.3">
      <c r="BB1041018" s="38"/>
    </row>
    <row r="1041019" spans="54:54" ht="15.75" customHeight="1" x14ac:dyDescent="0.3">
      <c r="BB1041019" s="38"/>
    </row>
    <row r="1041020" spans="54:54" ht="15.75" customHeight="1" x14ac:dyDescent="0.3">
      <c r="BB1041020" s="38"/>
    </row>
    <row r="1041021" spans="54:54" ht="15.75" customHeight="1" x14ac:dyDescent="0.3">
      <c r="BB1041021" s="38"/>
    </row>
    <row r="1041022" spans="54:54" ht="15.75" customHeight="1" x14ac:dyDescent="0.3">
      <c r="BB1041022" s="38"/>
    </row>
    <row r="1041023" spans="54:54" ht="15.75" customHeight="1" x14ac:dyDescent="0.3">
      <c r="BB1041023" s="38"/>
    </row>
    <row r="1041024" spans="54:54" ht="15.75" customHeight="1" x14ac:dyDescent="0.3">
      <c r="BB1041024" s="38"/>
    </row>
    <row r="1041025" spans="54:54" ht="15.75" customHeight="1" x14ac:dyDescent="0.3">
      <c r="BB1041025" s="38"/>
    </row>
    <row r="1041026" spans="54:54" ht="15.75" customHeight="1" x14ac:dyDescent="0.3">
      <c r="BB1041026" s="38"/>
    </row>
    <row r="1041027" spans="54:54" ht="15.75" customHeight="1" x14ac:dyDescent="0.3">
      <c r="BB1041027" s="38"/>
    </row>
    <row r="1041028" spans="54:54" ht="15.75" customHeight="1" x14ac:dyDescent="0.3">
      <c r="BB1041028" s="38"/>
    </row>
    <row r="1041029" spans="54:54" ht="15.75" customHeight="1" x14ac:dyDescent="0.3">
      <c r="BB1041029" s="38"/>
    </row>
    <row r="1041030" spans="54:54" ht="15.75" customHeight="1" x14ac:dyDescent="0.3">
      <c r="BB1041030" s="38"/>
    </row>
    <row r="1041031" spans="54:54" ht="15.75" customHeight="1" x14ac:dyDescent="0.3">
      <c r="BB1041031" s="38"/>
    </row>
    <row r="1041032" spans="54:54" ht="15.75" customHeight="1" x14ac:dyDescent="0.3">
      <c r="BB1041032" s="38"/>
    </row>
    <row r="1041033" spans="54:54" ht="15.75" customHeight="1" x14ac:dyDescent="0.3">
      <c r="BB1041033" s="38"/>
    </row>
    <row r="1041034" spans="54:54" ht="15.75" customHeight="1" x14ac:dyDescent="0.3">
      <c r="BB1041034" s="38"/>
    </row>
    <row r="1041035" spans="54:54" ht="15.75" customHeight="1" x14ac:dyDescent="0.3">
      <c r="BB1041035" s="38"/>
    </row>
    <row r="1041036" spans="54:54" ht="15.75" customHeight="1" x14ac:dyDescent="0.3">
      <c r="BB1041036" s="38"/>
    </row>
    <row r="1041037" spans="54:54" ht="15.75" customHeight="1" x14ac:dyDescent="0.3">
      <c r="BB1041037" s="38"/>
    </row>
    <row r="1041038" spans="54:54" ht="15.75" customHeight="1" x14ac:dyDescent="0.3">
      <c r="BB1041038" s="38"/>
    </row>
    <row r="1041039" spans="54:54" ht="15.75" customHeight="1" x14ac:dyDescent="0.3">
      <c r="BB1041039" s="38"/>
    </row>
    <row r="1041040" spans="54:54" ht="15.75" customHeight="1" x14ac:dyDescent="0.3">
      <c r="BB1041040" s="38"/>
    </row>
    <row r="1041041" spans="54:54" ht="15.75" customHeight="1" x14ac:dyDescent="0.3">
      <c r="BB1041041" s="38"/>
    </row>
    <row r="1041042" spans="54:54" ht="15.75" customHeight="1" x14ac:dyDescent="0.3">
      <c r="BB1041042" s="38"/>
    </row>
    <row r="1041043" spans="54:54" ht="15.75" customHeight="1" x14ac:dyDescent="0.3">
      <c r="BB1041043" s="38"/>
    </row>
    <row r="1041044" spans="54:54" ht="15.75" customHeight="1" x14ac:dyDescent="0.3">
      <c r="BB1041044" s="38"/>
    </row>
    <row r="1041045" spans="54:54" ht="15.75" customHeight="1" x14ac:dyDescent="0.3">
      <c r="BB1041045" s="38"/>
    </row>
    <row r="1041046" spans="54:54" ht="15.75" customHeight="1" x14ac:dyDescent="0.3">
      <c r="BB1041046" s="38"/>
    </row>
    <row r="1041047" spans="54:54" ht="15.75" customHeight="1" x14ac:dyDescent="0.3">
      <c r="BB1041047" s="38"/>
    </row>
    <row r="1041048" spans="54:54" ht="15.75" customHeight="1" x14ac:dyDescent="0.3">
      <c r="BB1041048" s="38"/>
    </row>
    <row r="1041049" spans="54:54" ht="15.75" customHeight="1" x14ac:dyDescent="0.3">
      <c r="BB1041049" s="38"/>
    </row>
    <row r="1041050" spans="54:54" ht="15.75" customHeight="1" x14ac:dyDescent="0.3">
      <c r="BB1041050" s="38"/>
    </row>
    <row r="1041051" spans="54:54" ht="15.75" customHeight="1" x14ac:dyDescent="0.3">
      <c r="BB1041051" s="38"/>
    </row>
    <row r="1041052" spans="54:54" ht="15.75" customHeight="1" x14ac:dyDescent="0.3">
      <c r="BB1041052" s="38"/>
    </row>
    <row r="1041053" spans="54:54" ht="15.75" customHeight="1" x14ac:dyDescent="0.3">
      <c r="BB1041053" s="38"/>
    </row>
    <row r="1041054" spans="54:54" ht="15.75" customHeight="1" x14ac:dyDescent="0.3">
      <c r="BB1041054" s="38"/>
    </row>
    <row r="1041055" spans="54:54" ht="15.75" customHeight="1" x14ac:dyDescent="0.3">
      <c r="BB1041055" s="38"/>
    </row>
    <row r="1041056" spans="54:54" ht="15.75" customHeight="1" x14ac:dyDescent="0.3">
      <c r="BB1041056" s="38"/>
    </row>
    <row r="1041057" spans="54:54" ht="15.75" customHeight="1" x14ac:dyDescent="0.3">
      <c r="BB1041057" s="38"/>
    </row>
    <row r="1041058" spans="54:54" ht="15.75" customHeight="1" x14ac:dyDescent="0.3">
      <c r="BB1041058" s="38"/>
    </row>
    <row r="1041059" spans="54:54" ht="15.75" customHeight="1" x14ac:dyDescent="0.3">
      <c r="BB1041059" s="38"/>
    </row>
    <row r="1041060" spans="54:54" ht="15.75" customHeight="1" x14ac:dyDescent="0.3">
      <c r="BB1041060" s="38"/>
    </row>
    <row r="1041061" spans="54:54" ht="15.75" customHeight="1" x14ac:dyDescent="0.3">
      <c r="BB1041061" s="38"/>
    </row>
    <row r="1041062" spans="54:54" ht="15.75" customHeight="1" x14ac:dyDescent="0.3">
      <c r="BB1041062" s="38"/>
    </row>
    <row r="1041063" spans="54:54" ht="15.75" customHeight="1" x14ac:dyDescent="0.3">
      <c r="BB1041063" s="38"/>
    </row>
    <row r="1041064" spans="54:54" ht="15.75" customHeight="1" x14ac:dyDescent="0.3">
      <c r="BB1041064" s="38"/>
    </row>
    <row r="1041065" spans="54:54" ht="15.75" customHeight="1" x14ac:dyDescent="0.3">
      <c r="BB1041065" s="38"/>
    </row>
    <row r="1041066" spans="54:54" ht="15.75" customHeight="1" x14ac:dyDescent="0.3">
      <c r="BB1041066" s="38"/>
    </row>
    <row r="1041067" spans="54:54" ht="15.75" customHeight="1" x14ac:dyDescent="0.3">
      <c r="BB1041067" s="38"/>
    </row>
    <row r="1041068" spans="54:54" ht="15.75" customHeight="1" x14ac:dyDescent="0.3">
      <c r="BB1041068" s="38"/>
    </row>
    <row r="1041069" spans="54:54" ht="15.75" customHeight="1" x14ac:dyDescent="0.3">
      <c r="BB1041069" s="38"/>
    </row>
    <row r="1041070" spans="54:54" ht="15.75" customHeight="1" x14ac:dyDescent="0.3">
      <c r="BB1041070" s="38"/>
    </row>
    <row r="1041071" spans="54:54" ht="15.75" customHeight="1" x14ac:dyDescent="0.3">
      <c r="BB1041071" s="38"/>
    </row>
    <row r="1041072" spans="54:54" ht="15.75" customHeight="1" x14ac:dyDescent="0.3">
      <c r="BB1041072" s="38"/>
    </row>
    <row r="1041073" spans="54:54" ht="15.75" customHeight="1" x14ac:dyDescent="0.3">
      <c r="BB1041073" s="38"/>
    </row>
    <row r="1041074" spans="54:54" ht="15.75" customHeight="1" x14ac:dyDescent="0.3">
      <c r="BB1041074" s="38"/>
    </row>
    <row r="1041075" spans="54:54" ht="15.75" customHeight="1" x14ac:dyDescent="0.3">
      <c r="BB1041075" s="38"/>
    </row>
    <row r="1041076" spans="54:54" ht="15.75" customHeight="1" x14ac:dyDescent="0.3">
      <c r="BB1041076" s="38"/>
    </row>
    <row r="1041077" spans="54:54" ht="15.75" customHeight="1" x14ac:dyDescent="0.3">
      <c r="BB1041077" s="38"/>
    </row>
    <row r="1041078" spans="54:54" ht="15.75" customHeight="1" x14ac:dyDescent="0.3">
      <c r="BB1041078" s="38"/>
    </row>
    <row r="1041079" spans="54:54" ht="15.75" customHeight="1" x14ac:dyDescent="0.3">
      <c r="BB1041079" s="38"/>
    </row>
    <row r="1041080" spans="54:54" ht="15.75" customHeight="1" x14ac:dyDescent="0.3">
      <c r="BB1041080" s="38"/>
    </row>
    <row r="1041081" spans="54:54" ht="15.75" customHeight="1" x14ac:dyDescent="0.3">
      <c r="BB1041081" s="38"/>
    </row>
    <row r="1041082" spans="54:54" ht="15.75" customHeight="1" x14ac:dyDescent="0.3">
      <c r="BB1041082" s="38"/>
    </row>
    <row r="1041083" spans="54:54" ht="15.75" customHeight="1" x14ac:dyDescent="0.3">
      <c r="BB1041083" s="38"/>
    </row>
    <row r="1041084" spans="54:54" ht="15.75" customHeight="1" x14ac:dyDescent="0.3">
      <c r="BB1041084" s="38"/>
    </row>
    <row r="1041085" spans="54:54" ht="15.75" customHeight="1" x14ac:dyDescent="0.3">
      <c r="BB1041085" s="38"/>
    </row>
    <row r="1041086" spans="54:54" ht="15.75" customHeight="1" x14ac:dyDescent="0.3">
      <c r="BB1041086" s="38"/>
    </row>
    <row r="1041087" spans="54:54" ht="15.75" customHeight="1" x14ac:dyDescent="0.3">
      <c r="BB1041087" s="38"/>
    </row>
    <row r="1041088" spans="54:54" ht="15.75" customHeight="1" x14ac:dyDescent="0.3">
      <c r="BB1041088" s="38"/>
    </row>
    <row r="1041089" spans="54:54" ht="15.75" customHeight="1" x14ac:dyDescent="0.3">
      <c r="BB1041089" s="38"/>
    </row>
    <row r="1041090" spans="54:54" ht="15.75" customHeight="1" x14ac:dyDescent="0.3">
      <c r="BB1041090" s="38"/>
    </row>
    <row r="1041091" spans="54:54" ht="15.75" customHeight="1" x14ac:dyDescent="0.3">
      <c r="BB1041091" s="38"/>
    </row>
    <row r="1041092" spans="54:54" ht="15.75" customHeight="1" x14ac:dyDescent="0.3">
      <c r="BB1041092" s="38"/>
    </row>
    <row r="1041093" spans="54:54" ht="15.75" customHeight="1" x14ac:dyDescent="0.3">
      <c r="BB1041093" s="38"/>
    </row>
    <row r="1041094" spans="54:54" ht="15.75" customHeight="1" x14ac:dyDescent="0.3">
      <c r="BB1041094" s="38"/>
    </row>
    <row r="1041095" spans="54:54" ht="15.75" customHeight="1" x14ac:dyDescent="0.3">
      <c r="BB1041095" s="38"/>
    </row>
    <row r="1041096" spans="54:54" ht="15.75" customHeight="1" x14ac:dyDescent="0.3">
      <c r="BB1041096" s="38"/>
    </row>
    <row r="1041097" spans="54:54" ht="15.75" customHeight="1" x14ac:dyDescent="0.3">
      <c r="BB1041097" s="38"/>
    </row>
    <row r="1041098" spans="54:54" ht="15.75" customHeight="1" x14ac:dyDescent="0.3">
      <c r="BB1041098" s="38"/>
    </row>
    <row r="1041099" spans="54:54" ht="15.75" customHeight="1" x14ac:dyDescent="0.3">
      <c r="BB1041099" s="38"/>
    </row>
    <row r="1041100" spans="54:54" ht="15.75" customHeight="1" x14ac:dyDescent="0.3">
      <c r="BB1041100" s="38"/>
    </row>
    <row r="1041101" spans="54:54" ht="15.75" customHeight="1" x14ac:dyDescent="0.3">
      <c r="BB1041101" s="38"/>
    </row>
    <row r="1041102" spans="54:54" ht="15.75" customHeight="1" x14ac:dyDescent="0.3">
      <c r="BB1041102" s="38"/>
    </row>
    <row r="1041103" spans="54:54" ht="15.75" customHeight="1" x14ac:dyDescent="0.3">
      <c r="BB1041103" s="38"/>
    </row>
    <row r="1041104" spans="54:54" ht="15.75" customHeight="1" x14ac:dyDescent="0.3">
      <c r="BB1041104" s="38"/>
    </row>
    <row r="1041105" spans="54:54" ht="15.75" customHeight="1" x14ac:dyDescent="0.3">
      <c r="BB1041105" s="38"/>
    </row>
    <row r="1041106" spans="54:54" ht="15.75" customHeight="1" x14ac:dyDescent="0.3">
      <c r="BB1041106" s="38"/>
    </row>
    <row r="1041107" spans="54:54" ht="15.75" customHeight="1" x14ac:dyDescent="0.3">
      <c r="BB1041107" s="38"/>
    </row>
    <row r="1041108" spans="54:54" ht="15.75" customHeight="1" x14ac:dyDescent="0.3">
      <c r="BB1041108" s="38"/>
    </row>
    <row r="1041109" spans="54:54" ht="15.75" customHeight="1" x14ac:dyDescent="0.3">
      <c r="BB1041109" s="38"/>
    </row>
    <row r="1041110" spans="54:54" ht="15.75" customHeight="1" x14ac:dyDescent="0.3">
      <c r="BB1041110" s="38"/>
    </row>
    <row r="1041111" spans="54:54" ht="15.75" customHeight="1" x14ac:dyDescent="0.3">
      <c r="BB1041111" s="38"/>
    </row>
    <row r="1041112" spans="54:54" ht="15.75" customHeight="1" x14ac:dyDescent="0.3">
      <c r="BB1041112" s="38"/>
    </row>
    <row r="1041113" spans="54:54" ht="15.75" customHeight="1" x14ac:dyDescent="0.3">
      <c r="BB1041113" s="38"/>
    </row>
    <row r="1041114" spans="54:54" ht="15.75" customHeight="1" x14ac:dyDescent="0.3">
      <c r="BB1041114" s="38"/>
    </row>
    <row r="1041115" spans="54:54" ht="15.75" customHeight="1" x14ac:dyDescent="0.3">
      <c r="BB1041115" s="38"/>
    </row>
    <row r="1041116" spans="54:54" ht="15.75" customHeight="1" x14ac:dyDescent="0.3">
      <c r="BB1041116" s="38"/>
    </row>
    <row r="1041117" spans="54:54" ht="15.75" customHeight="1" x14ac:dyDescent="0.3">
      <c r="BB1041117" s="38"/>
    </row>
    <row r="1041118" spans="54:54" ht="15.75" customHeight="1" x14ac:dyDescent="0.3">
      <c r="BB1041118" s="38"/>
    </row>
    <row r="1041119" spans="54:54" ht="15.75" customHeight="1" x14ac:dyDescent="0.3">
      <c r="BB1041119" s="38"/>
    </row>
    <row r="1041120" spans="54:54" ht="15.75" customHeight="1" x14ac:dyDescent="0.3">
      <c r="BB1041120" s="38"/>
    </row>
    <row r="1041121" spans="54:54" ht="15.75" customHeight="1" x14ac:dyDescent="0.3">
      <c r="BB1041121" s="38"/>
    </row>
    <row r="1041122" spans="54:54" ht="15.75" customHeight="1" x14ac:dyDescent="0.3">
      <c r="BB1041122" s="38"/>
    </row>
    <row r="1041123" spans="54:54" ht="15.75" customHeight="1" x14ac:dyDescent="0.3">
      <c r="BB1041123" s="38"/>
    </row>
    <row r="1041124" spans="54:54" ht="15.75" customHeight="1" x14ac:dyDescent="0.3">
      <c r="BB1041124" s="38"/>
    </row>
    <row r="1041125" spans="54:54" ht="15.75" customHeight="1" x14ac:dyDescent="0.3">
      <c r="BB1041125" s="38"/>
    </row>
    <row r="1041126" spans="54:54" ht="15.75" customHeight="1" x14ac:dyDescent="0.3">
      <c r="BB1041126" s="38"/>
    </row>
    <row r="1041127" spans="54:54" ht="15.75" customHeight="1" x14ac:dyDescent="0.3">
      <c r="BB1041127" s="38"/>
    </row>
    <row r="1041128" spans="54:54" ht="15.75" customHeight="1" x14ac:dyDescent="0.3">
      <c r="BB1041128" s="38"/>
    </row>
    <row r="1041129" spans="54:54" ht="15.75" customHeight="1" x14ac:dyDescent="0.3">
      <c r="BB1041129" s="38"/>
    </row>
    <row r="1041130" spans="54:54" ht="15.75" customHeight="1" x14ac:dyDescent="0.3">
      <c r="BB1041130" s="38"/>
    </row>
    <row r="1041131" spans="54:54" ht="15.75" customHeight="1" x14ac:dyDescent="0.3">
      <c r="BB1041131" s="38"/>
    </row>
    <row r="1041132" spans="54:54" ht="15.75" customHeight="1" x14ac:dyDescent="0.3">
      <c r="BB1041132" s="38"/>
    </row>
    <row r="1041133" spans="54:54" ht="15.75" customHeight="1" x14ac:dyDescent="0.3">
      <c r="BB1041133" s="38"/>
    </row>
    <row r="1041134" spans="54:54" ht="15.75" customHeight="1" x14ac:dyDescent="0.3">
      <c r="BB1041134" s="38"/>
    </row>
    <row r="1041135" spans="54:54" ht="15.75" customHeight="1" x14ac:dyDescent="0.3">
      <c r="BB1041135" s="38"/>
    </row>
    <row r="1041136" spans="54:54" ht="15.75" customHeight="1" x14ac:dyDescent="0.3">
      <c r="BB1041136" s="38"/>
    </row>
    <row r="1041137" spans="54:54" ht="15.75" customHeight="1" x14ac:dyDescent="0.3">
      <c r="BB1041137" s="38"/>
    </row>
    <row r="1041138" spans="54:54" ht="15.75" customHeight="1" x14ac:dyDescent="0.3">
      <c r="BB1041138" s="38"/>
    </row>
    <row r="1041139" spans="54:54" ht="15.75" customHeight="1" x14ac:dyDescent="0.3">
      <c r="BB1041139" s="38"/>
    </row>
    <row r="1041140" spans="54:54" ht="15.75" customHeight="1" x14ac:dyDescent="0.3">
      <c r="BB1041140" s="38"/>
    </row>
    <row r="1041141" spans="54:54" ht="15.75" customHeight="1" x14ac:dyDescent="0.3">
      <c r="BB1041141" s="38"/>
    </row>
    <row r="1041142" spans="54:54" ht="15.75" customHeight="1" x14ac:dyDescent="0.3">
      <c r="BB1041142" s="38"/>
    </row>
    <row r="1041143" spans="54:54" ht="15.75" customHeight="1" x14ac:dyDescent="0.3">
      <c r="BB1041143" s="38"/>
    </row>
    <row r="1041144" spans="54:54" ht="15.75" customHeight="1" x14ac:dyDescent="0.3">
      <c r="BB1041144" s="38"/>
    </row>
    <row r="1041145" spans="54:54" ht="15.75" customHeight="1" x14ac:dyDescent="0.3">
      <c r="BB1041145" s="38"/>
    </row>
    <row r="1041146" spans="54:54" ht="15.75" customHeight="1" x14ac:dyDescent="0.3">
      <c r="BB1041146" s="38"/>
    </row>
    <row r="1041147" spans="54:54" ht="15.75" customHeight="1" x14ac:dyDescent="0.3">
      <c r="BB1041147" s="38"/>
    </row>
    <row r="1041148" spans="54:54" ht="15.75" customHeight="1" x14ac:dyDescent="0.3">
      <c r="BB1041148" s="38"/>
    </row>
    <row r="1041149" spans="54:54" ht="15.75" customHeight="1" x14ac:dyDescent="0.3">
      <c r="BB1041149" s="38"/>
    </row>
    <row r="1041150" spans="54:54" ht="15.75" customHeight="1" x14ac:dyDescent="0.3">
      <c r="BB1041150" s="38"/>
    </row>
    <row r="1041151" spans="54:54" ht="15.75" customHeight="1" x14ac:dyDescent="0.3">
      <c r="BB1041151" s="38"/>
    </row>
    <row r="1041152" spans="54:54" ht="15.75" customHeight="1" x14ac:dyDescent="0.3">
      <c r="BB1041152" s="38"/>
    </row>
    <row r="1041153" spans="54:54" ht="15.75" customHeight="1" x14ac:dyDescent="0.3">
      <c r="BB1041153" s="38"/>
    </row>
    <row r="1041154" spans="54:54" ht="15.75" customHeight="1" x14ac:dyDescent="0.3">
      <c r="BB1041154" s="38"/>
    </row>
    <row r="1041155" spans="54:54" ht="15.75" customHeight="1" x14ac:dyDescent="0.3">
      <c r="BB1041155" s="38"/>
    </row>
    <row r="1041156" spans="54:54" ht="15.75" customHeight="1" x14ac:dyDescent="0.3">
      <c r="BB1041156" s="38"/>
    </row>
    <row r="1041157" spans="54:54" ht="15.75" customHeight="1" x14ac:dyDescent="0.3">
      <c r="BB1041157" s="38"/>
    </row>
    <row r="1041158" spans="54:54" ht="15.75" customHeight="1" x14ac:dyDescent="0.3">
      <c r="BB1041158" s="38"/>
    </row>
    <row r="1041159" spans="54:54" ht="15.75" customHeight="1" x14ac:dyDescent="0.3">
      <c r="BB1041159" s="38"/>
    </row>
    <row r="1041160" spans="54:54" ht="15.75" customHeight="1" x14ac:dyDescent="0.3">
      <c r="BB1041160" s="38"/>
    </row>
    <row r="1041161" spans="54:54" ht="15.75" customHeight="1" x14ac:dyDescent="0.3">
      <c r="BB1041161" s="38"/>
    </row>
    <row r="1041162" spans="54:54" ht="15.75" customHeight="1" x14ac:dyDescent="0.3">
      <c r="BB1041162" s="38"/>
    </row>
    <row r="1041163" spans="54:54" ht="15.75" customHeight="1" x14ac:dyDescent="0.3">
      <c r="BB1041163" s="38"/>
    </row>
    <row r="1041164" spans="54:54" ht="15.75" customHeight="1" x14ac:dyDescent="0.3">
      <c r="BB1041164" s="38"/>
    </row>
    <row r="1041165" spans="54:54" ht="15.75" customHeight="1" x14ac:dyDescent="0.3">
      <c r="BB1041165" s="38"/>
    </row>
    <row r="1041166" spans="54:54" ht="15.75" customHeight="1" x14ac:dyDescent="0.3">
      <c r="BB1041166" s="38"/>
    </row>
    <row r="1041167" spans="54:54" ht="15.75" customHeight="1" x14ac:dyDescent="0.3">
      <c r="BB1041167" s="38"/>
    </row>
    <row r="1041168" spans="54:54" ht="15.75" customHeight="1" x14ac:dyDescent="0.3">
      <c r="BB1041168" s="38"/>
    </row>
    <row r="1041169" spans="54:54" ht="15.75" customHeight="1" x14ac:dyDescent="0.3">
      <c r="BB1041169" s="38"/>
    </row>
    <row r="1041170" spans="54:54" ht="15.75" customHeight="1" x14ac:dyDescent="0.3">
      <c r="BB1041170" s="38"/>
    </row>
    <row r="1041171" spans="54:54" ht="15.75" customHeight="1" x14ac:dyDescent="0.3">
      <c r="BB1041171" s="38"/>
    </row>
    <row r="1041172" spans="54:54" ht="15.75" customHeight="1" x14ac:dyDescent="0.3">
      <c r="BB1041172" s="38"/>
    </row>
    <row r="1041173" spans="54:54" ht="15.75" customHeight="1" x14ac:dyDescent="0.3">
      <c r="BB1041173" s="38"/>
    </row>
    <row r="1041174" spans="54:54" ht="15.75" customHeight="1" x14ac:dyDescent="0.3">
      <c r="BB1041174" s="38"/>
    </row>
    <row r="1041175" spans="54:54" ht="15.75" customHeight="1" x14ac:dyDescent="0.3">
      <c r="BB1041175" s="38"/>
    </row>
    <row r="1041176" spans="54:54" ht="15.75" customHeight="1" x14ac:dyDescent="0.3">
      <c r="BB1041176" s="38"/>
    </row>
    <row r="1041177" spans="54:54" ht="15.75" customHeight="1" x14ac:dyDescent="0.3">
      <c r="BB1041177" s="38"/>
    </row>
    <row r="1041178" spans="54:54" ht="15.75" customHeight="1" x14ac:dyDescent="0.3">
      <c r="BB1041178" s="38"/>
    </row>
    <row r="1041179" spans="54:54" ht="15.75" customHeight="1" x14ac:dyDescent="0.3">
      <c r="BB1041179" s="38"/>
    </row>
    <row r="1041180" spans="54:54" ht="15.75" customHeight="1" x14ac:dyDescent="0.3">
      <c r="BB1041180" s="38"/>
    </row>
    <row r="1041181" spans="54:54" ht="15.75" customHeight="1" x14ac:dyDescent="0.3">
      <c r="BB1041181" s="38"/>
    </row>
    <row r="1041182" spans="54:54" ht="15.75" customHeight="1" x14ac:dyDescent="0.3">
      <c r="BB1041182" s="38"/>
    </row>
    <row r="1041183" spans="54:54" ht="15.75" customHeight="1" x14ac:dyDescent="0.3">
      <c r="BB1041183" s="38"/>
    </row>
    <row r="1041184" spans="54:54" ht="15.75" customHeight="1" x14ac:dyDescent="0.3">
      <c r="BB1041184" s="38"/>
    </row>
    <row r="1041185" spans="54:54" ht="15.75" customHeight="1" x14ac:dyDescent="0.3">
      <c r="BB1041185" s="38"/>
    </row>
    <row r="1041186" spans="54:54" ht="15.75" customHeight="1" x14ac:dyDescent="0.3">
      <c r="BB1041186" s="38"/>
    </row>
    <row r="1041187" spans="54:54" ht="15.75" customHeight="1" x14ac:dyDescent="0.3">
      <c r="BB1041187" s="38"/>
    </row>
    <row r="1041188" spans="54:54" ht="15.75" customHeight="1" x14ac:dyDescent="0.3">
      <c r="BB1041188" s="38"/>
    </row>
    <row r="1041189" spans="54:54" ht="15.75" customHeight="1" x14ac:dyDescent="0.3">
      <c r="BB1041189" s="38"/>
    </row>
    <row r="1041190" spans="54:54" ht="15.75" customHeight="1" x14ac:dyDescent="0.3">
      <c r="BB1041190" s="38"/>
    </row>
    <row r="1041191" spans="54:54" ht="15.75" customHeight="1" x14ac:dyDescent="0.3">
      <c r="BB1041191" s="38"/>
    </row>
    <row r="1041192" spans="54:54" ht="15.75" customHeight="1" x14ac:dyDescent="0.3">
      <c r="BB1041192" s="38"/>
    </row>
    <row r="1041193" spans="54:54" ht="15.75" customHeight="1" x14ac:dyDescent="0.3">
      <c r="BB1041193" s="38"/>
    </row>
    <row r="1041194" spans="54:54" ht="15.75" customHeight="1" x14ac:dyDescent="0.3">
      <c r="BB1041194" s="38"/>
    </row>
    <row r="1041195" spans="54:54" ht="15.75" customHeight="1" x14ac:dyDescent="0.3">
      <c r="BB1041195" s="38"/>
    </row>
    <row r="1041196" spans="54:54" ht="15.75" customHeight="1" x14ac:dyDescent="0.3">
      <c r="BB1041196" s="38"/>
    </row>
    <row r="1041197" spans="54:54" ht="15.75" customHeight="1" x14ac:dyDescent="0.3">
      <c r="BB1041197" s="38"/>
    </row>
    <row r="1041198" spans="54:54" ht="15.75" customHeight="1" x14ac:dyDescent="0.3">
      <c r="BB1041198" s="38"/>
    </row>
    <row r="1041199" spans="54:54" ht="15.75" customHeight="1" x14ac:dyDescent="0.3">
      <c r="BB1041199" s="38"/>
    </row>
    <row r="1041200" spans="54:54" ht="15.75" customHeight="1" x14ac:dyDescent="0.3">
      <c r="BB1041200" s="38"/>
    </row>
    <row r="1041201" spans="54:54" ht="15.75" customHeight="1" x14ac:dyDescent="0.3">
      <c r="BB1041201" s="38"/>
    </row>
    <row r="1041202" spans="54:54" ht="15.75" customHeight="1" x14ac:dyDescent="0.3">
      <c r="BB1041202" s="38"/>
    </row>
    <row r="1041203" spans="54:54" ht="15.75" customHeight="1" x14ac:dyDescent="0.3">
      <c r="BB1041203" s="38"/>
    </row>
    <row r="1041204" spans="54:54" ht="15.75" customHeight="1" x14ac:dyDescent="0.3">
      <c r="BB1041204" s="38"/>
    </row>
    <row r="1041205" spans="54:54" ht="15.75" customHeight="1" x14ac:dyDescent="0.3">
      <c r="BB1041205" s="38"/>
    </row>
    <row r="1041206" spans="54:54" ht="15.75" customHeight="1" x14ac:dyDescent="0.3">
      <c r="BB1041206" s="38"/>
    </row>
    <row r="1041207" spans="54:54" ht="15.75" customHeight="1" x14ac:dyDescent="0.3">
      <c r="BB1041207" s="38"/>
    </row>
    <row r="1041208" spans="54:54" ht="15.75" customHeight="1" x14ac:dyDescent="0.3">
      <c r="BB1041208" s="38"/>
    </row>
    <row r="1041209" spans="54:54" ht="15.75" customHeight="1" x14ac:dyDescent="0.3">
      <c r="BB1041209" s="38"/>
    </row>
    <row r="1041210" spans="54:54" ht="15.75" customHeight="1" x14ac:dyDescent="0.3">
      <c r="BB1041210" s="38"/>
    </row>
    <row r="1041211" spans="54:54" ht="15.75" customHeight="1" x14ac:dyDescent="0.3">
      <c r="BB1041211" s="38"/>
    </row>
    <row r="1041212" spans="54:54" ht="15.75" customHeight="1" x14ac:dyDescent="0.3">
      <c r="BB1041212" s="38"/>
    </row>
    <row r="1041213" spans="54:54" ht="15.75" customHeight="1" x14ac:dyDescent="0.3">
      <c r="BB1041213" s="38"/>
    </row>
    <row r="1041214" spans="54:54" ht="15.75" customHeight="1" x14ac:dyDescent="0.3">
      <c r="BB1041214" s="38"/>
    </row>
    <row r="1041215" spans="54:54" ht="15.75" customHeight="1" x14ac:dyDescent="0.3">
      <c r="BB1041215" s="38"/>
    </row>
    <row r="1041216" spans="54:54" ht="15.75" customHeight="1" x14ac:dyDescent="0.3">
      <c r="BB1041216" s="38"/>
    </row>
    <row r="1041217" spans="54:54" ht="15.75" customHeight="1" x14ac:dyDescent="0.3">
      <c r="BB1041217" s="38"/>
    </row>
    <row r="1041218" spans="54:54" ht="15.75" customHeight="1" x14ac:dyDescent="0.3">
      <c r="BB1041218" s="38"/>
    </row>
    <row r="1041219" spans="54:54" ht="15.75" customHeight="1" x14ac:dyDescent="0.3">
      <c r="BB1041219" s="38"/>
    </row>
    <row r="1041220" spans="54:54" ht="15.75" customHeight="1" x14ac:dyDescent="0.3">
      <c r="BB1041220" s="38"/>
    </row>
    <row r="1041221" spans="54:54" ht="15.75" customHeight="1" x14ac:dyDescent="0.3">
      <c r="BB1041221" s="38"/>
    </row>
    <row r="1041222" spans="54:54" ht="15.75" customHeight="1" x14ac:dyDescent="0.3">
      <c r="BB1041222" s="38"/>
    </row>
    <row r="1041223" spans="54:54" ht="15.75" customHeight="1" x14ac:dyDescent="0.3">
      <c r="BB1041223" s="38"/>
    </row>
    <row r="1041224" spans="54:54" ht="15.75" customHeight="1" x14ac:dyDescent="0.3">
      <c r="BB1041224" s="38"/>
    </row>
    <row r="1041225" spans="54:54" ht="15.75" customHeight="1" x14ac:dyDescent="0.3">
      <c r="BB1041225" s="38"/>
    </row>
    <row r="1041226" spans="54:54" ht="15.75" customHeight="1" x14ac:dyDescent="0.3">
      <c r="BB1041226" s="38"/>
    </row>
    <row r="1041227" spans="54:54" ht="15.75" customHeight="1" x14ac:dyDescent="0.3">
      <c r="BB1041227" s="38"/>
    </row>
    <row r="1041228" spans="54:54" ht="15.75" customHeight="1" x14ac:dyDescent="0.3">
      <c r="BB1041228" s="38"/>
    </row>
    <row r="1041229" spans="54:54" ht="15.75" customHeight="1" x14ac:dyDescent="0.3">
      <c r="BB1041229" s="38"/>
    </row>
    <row r="1041230" spans="54:54" ht="15.75" customHeight="1" x14ac:dyDescent="0.3">
      <c r="BB1041230" s="38"/>
    </row>
    <row r="1041231" spans="54:54" ht="15.75" customHeight="1" x14ac:dyDescent="0.3">
      <c r="BB1041231" s="38"/>
    </row>
    <row r="1041232" spans="54:54" ht="15.75" customHeight="1" x14ac:dyDescent="0.3">
      <c r="BB1041232" s="38"/>
    </row>
    <row r="1041233" spans="54:54" ht="15.75" customHeight="1" x14ac:dyDescent="0.3">
      <c r="BB1041233" s="38"/>
    </row>
    <row r="1041234" spans="54:54" ht="15.75" customHeight="1" x14ac:dyDescent="0.3">
      <c r="BB1041234" s="38"/>
    </row>
    <row r="1041235" spans="54:54" ht="15.75" customHeight="1" x14ac:dyDescent="0.3">
      <c r="BB1041235" s="38"/>
    </row>
    <row r="1041236" spans="54:54" ht="15.75" customHeight="1" x14ac:dyDescent="0.3">
      <c r="BB1041236" s="38"/>
    </row>
    <row r="1041237" spans="54:54" ht="15.75" customHeight="1" x14ac:dyDescent="0.3">
      <c r="BB1041237" s="38"/>
    </row>
    <row r="1041238" spans="54:54" ht="15.75" customHeight="1" x14ac:dyDescent="0.3">
      <c r="BB1041238" s="38"/>
    </row>
    <row r="1041239" spans="54:54" ht="15.75" customHeight="1" x14ac:dyDescent="0.3">
      <c r="BB1041239" s="38"/>
    </row>
    <row r="1041240" spans="54:54" ht="15.75" customHeight="1" x14ac:dyDescent="0.3">
      <c r="BB1041240" s="38"/>
    </row>
    <row r="1041241" spans="54:54" ht="15.75" customHeight="1" x14ac:dyDescent="0.3">
      <c r="BB1041241" s="38"/>
    </row>
    <row r="1041242" spans="54:54" ht="15.75" customHeight="1" x14ac:dyDescent="0.3">
      <c r="BB1041242" s="38"/>
    </row>
    <row r="1041243" spans="54:54" ht="15.75" customHeight="1" x14ac:dyDescent="0.3">
      <c r="BB1041243" s="38"/>
    </row>
    <row r="1041244" spans="54:54" ht="15.75" customHeight="1" x14ac:dyDescent="0.3">
      <c r="BB1041244" s="38"/>
    </row>
    <row r="1041245" spans="54:54" ht="15.75" customHeight="1" x14ac:dyDescent="0.3">
      <c r="BB1041245" s="38"/>
    </row>
    <row r="1041246" spans="54:54" ht="15.75" customHeight="1" x14ac:dyDescent="0.3">
      <c r="BB1041246" s="38"/>
    </row>
    <row r="1041247" spans="54:54" ht="15.75" customHeight="1" x14ac:dyDescent="0.3">
      <c r="BB1041247" s="38"/>
    </row>
    <row r="1041248" spans="54:54" ht="15.75" customHeight="1" x14ac:dyDescent="0.3">
      <c r="BB1041248" s="38"/>
    </row>
    <row r="1041249" spans="54:54" ht="15.75" customHeight="1" x14ac:dyDescent="0.3">
      <c r="BB1041249" s="38"/>
    </row>
    <row r="1041250" spans="54:54" ht="15.75" customHeight="1" x14ac:dyDescent="0.3">
      <c r="BB1041250" s="38"/>
    </row>
    <row r="1041251" spans="54:54" ht="15.75" customHeight="1" x14ac:dyDescent="0.3">
      <c r="BB1041251" s="38"/>
    </row>
    <row r="1041252" spans="54:54" ht="15.75" customHeight="1" x14ac:dyDescent="0.3">
      <c r="BB1041252" s="38"/>
    </row>
    <row r="1041253" spans="54:54" ht="15.75" customHeight="1" x14ac:dyDescent="0.3">
      <c r="BB1041253" s="38"/>
    </row>
    <row r="1041254" spans="54:54" ht="15.75" customHeight="1" x14ac:dyDescent="0.3">
      <c r="BB1041254" s="38"/>
    </row>
    <row r="1041255" spans="54:54" ht="15.75" customHeight="1" x14ac:dyDescent="0.3">
      <c r="BB1041255" s="38"/>
    </row>
    <row r="1041256" spans="54:54" ht="15.75" customHeight="1" x14ac:dyDescent="0.3">
      <c r="BB1041256" s="38"/>
    </row>
    <row r="1041257" spans="54:54" ht="15.75" customHeight="1" x14ac:dyDescent="0.3">
      <c r="BB1041257" s="38"/>
    </row>
    <row r="1041258" spans="54:54" ht="15.75" customHeight="1" x14ac:dyDescent="0.3">
      <c r="BB1041258" s="38"/>
    </row>
    <row r="1041259" spans="54:54" ht="15.75" customHeight="1" x14ac:dyDescent="0.3">
      <c r="BB1041259" s="38"/>
    </row>
    <row r="1041260" spans="54:54" ht="15.75" customHeight="1" x14ac:dyDescent="0.3">
      <c r="BB1041260" s="38"/>
    </row>
    <row r="1041261" spans="54:54" ht="15.75" customHeight="1" x14ac:dyDescent="0.3">
      <c r="BB1041261" s="38"/>
    </row>
    <row r="1041262" spans="54:54" ht="15.75" customHeight="1" x14ac:dyDescent="0.3">
      <c r="BB1041262" s="38"/>
    </row>
    <row r="1041263" spans="54:54" ht="15.75" customHeight="1" x14ac:dyDescent="0.3">
      <c r="BB1041263" s="38"/>
    </row>
    <row r="1041264" spans="54:54" ht="15.75" customHeight="1" x14ac:dyDescent="0.3">
      <c r="BB1041264" s="38"/>
    </row>
    <row r="1041265" spans="54:54" ht="15.75" customHeight="1" x14ac:dyDescent="0.3">
      <c r="BB1041265" s="38"/>
    </row>
    <row r="1041266" spans="54:54" ht="15.75" customHeight="1" x14ac:dyDescent="0.3">
      <c r="BB1041266" s="38"/>
    </row>
    <row r="1041267" spans="54:54" ht="15.75" customHeight="1" x14ac:dyDescent="0.3">
      <c r="BB1041267" s="38"/>
    </row>
    <row r="1041268" spans="54:54" ht="15.75" customHeight="1" x14ac:dyDescent="0.3">
      <c r="BB1041268" s="38"/>
    </row>
    <row r="1041269" spans="54:54" ht="15.75" customHeight="1" x14ac:dyDescent="0.3">
      <c r="BB1041269" s="38"/>
    </row>
    <row r="1041270" spans="54:54" ht="15.75" customHeight="1" x14ac:dyDescent="0.3">
      <c r="BB1041270" s="38"/>
    </row>
    <row r="1041271" spans="54:54" ht="15.75" customHeight="1" x14ac:dyDescent="0.3">
      <c r="BB1041271" s="38"/>
    </row>
    <row r="1041272" spans="54:54" ht="15.75" customHeight="1" x14ac:dyDescent="0.3">
      <c r="BB1041272" s="38"/>
    </row>
    <row r="1041273" spans="54:54" ht="15.75" customHeight="1" x14ac:dyDescent="0.3">
      <c r="BB1041273" s="38"/>
    </row>
    <row r="1041274" spans="54:54" ht="15.75" customHeight="1" x14ac:dyDescent="0.3">
      <c r="BB1041274" s="38"/>
    </row>
    <row r="1041275" spans="54:54" ht="15.75" customHeight="1" x14ac:dyDescent="0.3">
      <c r="BB1041275" s="38"/>
    </row>
    <row r="1041276" spans="54:54" ht="15.75" customHeight="1" x14ac:dyDescent="0.3">
      <c r="BB1041276" s="38"/>
    </row>
    <row r="1041277" spans="54:54" ht="15.75" customHeight="1" x14ac:dyDescent="0.3">
      <c r="BB1041277" s="38"/>
    </row>
    <row r="1041278" spans="54:54" ht="15.75" customHeight="1" x14ac:dyDescent="0.3">
      <c r="BB1041278" s="38"/>
    </row>
    <row r="1041279" spans="54:54" ht="15.75" customHeight="1" x14ac:dyDescent="0.3">
      <c r="BB1041279" s="38"/>
    </row>
    <row r="1041280" spans="54:54" ht="15.75" customHeight="1" x14ac:dyDescent="0.3">
      <c r="BB1041280" s="38"/>
    </row>
    <row r="1041281" spans="54:54" ht="15.75" customHeight="1" x14ac:dyDescent="0.3">
      <c r="BB1041281" s="38"/>
    </row>
    <row r="1041282" spans="54:54" ht="15.75" customHeight="1" x14ac:dyDescent="0.3">
      <c r="BB1041282" s="38"/>
    </row>
    <row r="1041283" spans="54:54" ht="15.75" customHeight="1" x14ac:dyDescent="0.3">
      <c r="BB1041283" s="38"/>
    </row>
    <row r="1041284" spans="54:54" ht="15.75" customHeight="1" x14ac:dyDescent="0.3">
      <c r="BB1041284" s="38"/>
    </row>
    <row r="1041285" spans="54:54" ht="15.75" customHeight="1" x14ac:dyDescent="0.3">
      <c r="BB1041285" s="38"/>
    </row>
    <row r="1041286" spans="54:54" ht="15.75" customHeight="1" x14ac:dyDescent="0.3">
      <c r="BB1041286" s="38"/>
    </row>
    <row r="1041287" spans="54:54" ht="15.75" customHeight="1" x14ac:dyDescent="0.3">
      <c r="BB1041287" s="38"/>
    </row>
    <row r="1041288" spans="54:54" ht="15.75" customHeight="1" x14ac:dyDescent="0.3">
      <c r="BB1041288" s="38"/>
    </row>
    <row r="1041289" spans="54:54" ht="15.75" customHeight="1" x14ac:dyDescent="0.3">
      <c r="BB1041289" s="38"/>
    </row>
    <row r="1041290" spans="54:54" ht="15.75" customHeight="1" x14ac:dyDescent="0.3">
      <c r="BB1041290" s="38"/>
    </row>
    <row r="1041291" spans="54:54" ht="15.75" customHeight="1" x14ac:dyDescent="0.3">
      <c r="BB1041291" s="38"/>
    </row>
    <row r="1041292" spans="54:54" ht="15.75" customHeight="1" x14ac:dyDescent="0.3">
      <c r="BB1041292" s="38"/>
    </row>
    <row r="1041293" spans="54:54" ht="15.75" customHeight="1" x14ac:dyDescent="0.3">
      <c r="BB1041293" s="38"/>
    </row>
    <row r="1041294" spans="54:54" ht="15.75" customHeight="1" x14ac:dyDescent="0.3">
      <c r="BB1041294" s="38"/>
    </row>
    <row r="1041295" spans="54:54" ht="15.75" customHeight="1" x14ac:dyDescent="0.3">
      <c r="BB1041295" s="38"/>
    </row>
    <row r="1041296" spans="54:54" ht="15.75" customHeight="1" x14ac:dyDescent="0.3">
      <c r="BB1041296" s="38"/>
    </row>
    <row r="1041297" spans="54:54" ht="15.75" customHeight="1" x14ac:dyDescent="0.3">
      <c r="BB1041297" s="38"/>
    </row>
    <row r="1041298" spans="54:54" ht="15.75" customHeight="1" x14ac:dyDescent="0.3">
      <c r="BB1041298" s="38"/>
    </row>
    <row r="1041299" spans="54:54" ht="15.75" customHeight="1" x14ac:dyDescent="0.3">
      <c r="BB1041299" s="38"/>
    </row>
    <row r="1041300" spans="54:54" ht="15.75" customHeight="1" x14ac:dyDescent="0.3">
      <c r="BB1041300" s="38"/>
    </row>
    <row r="1041301" spans="54:54" ht="15.75" customHeight="1" x14ac:dyDescent="0.3">
      <c r="BB1041301" s="38"/>
    </row>
    <row r="1041302" spans="54:54" ht="15.75" customHeight="1" x14ac:dyDescent="0.3">
      <c r="BB1041302" s="38"/>
    </row>
    <row r="1041303" spans="54:54" ht="15.75" customHeight="1" x14ac:dyDescent="0.3">
      <c r="BB1041303" s="38"/>
    </row>
    <row r="1041304" spans="54:54" ht="15.75" customHeight="1" x14ac:dyDescent="0.3">
      <c r="BB1041304" s="38"/>
    </row>
    <row r="1041305" spans="54:54" ht="15.75" customHeight="1" x14ac:dyDescent="0.3">
      <c r="BB1041305" s="38"/>
    </row>
    <row r="1041306" spans="54:54" ht="15.75" customHeight="1" x14ac:dyDescent="0.3">
      <c r="BB1041306" s="38"/>
    </row>
    <row r="1041307" spans="54:54" ht="15.75" customHeight="1" x14ac:dyDescent="0.3">
      <c r="BB1041307" s="38"/>
    </row>
    <row r="1041308" spans="54:54" ht="15.75" customHeight="1" x14ac:dyDescent="0.3">
      <c r="BB1041308" s="38"/>
    </row>
    <row r="1041309" spans="54:54" ht="15.75" customHeight="1" x14ac:dyDescent="0.3">
      <c r="BB1041309" s="38"/>
    </row>
    <row r="1041310" spans="54:54" ht="15.75" customHeight="1" x14ac:dyDescent="0.3">
      <c r="BB1041310" s="38"/>
    </row>
    <row r="1041311" spans="54:54" ht="15.75" customHeight="1" x14ac:dyDescent="0.3">
      <c r="BB1041311" s="38"/>
    </row>
    <row r="1041312" spans="54:54" ht="15.75" customHeight="1" x14ac:dyDescent="0.3">
      <c r="BB1041312" s="38"/>
    </row>
    <row r="1041313" spans="54:54" ht="15.75" customHeight="1" x14ac:dyDescent="0.3">
      <c r="BB1041313" s="38"/>
    </row>
    <row r="1041314" spans="54:54" ht="15.75" customHeight="1" x14ac:dyDescent="0.3">
      <c r="BB1041314" s="38"/>
    </row>
    <row r="1041315" spans="54:54" ht="15.75" customHeight="1" x14ac:dyDescent="0.3">
      <c r="BB1041315" s="38"/>
    </row>
    <row r="1041316" spans="54:54" ht="15.75" customHeight="1" x14ac:dyDescent="0.3">
      <c r="BB1041316" s="38"/>
    </row>
    <row r="1041317" spans="54:54" ht="15.75" customHeight="1" x14ac:dyDescent="0.3">
      <c r="BB1041317" s="38"/>
    </row>
    <row r="1041318" spans="54:54" ht="15.75" customHeight="1" x14ac:dyDescent="0.3">
      <c r="BB1041318" s="38"/>
    </row>
    <row r="1041319" spans="54:54" ht="15.75" customHeight="1" x14ac:dyDescent="0.3">
      <c r="BB1041319" s="38"/>
    </row>
    <row r="1041320" spans="54:54" ht="15.75" customHeight="1" x14ac:dyDescent="0.3">
      <c r="BB1041320" s="38"/>
    </row>
    <row r="1041321" spans="54:54" ht="15.75" customHeight="1" x14ac:dyDescent="0.3">
      <c r="BB1041321" s="38"/>
    </row>
    <row r="1041322" spans="54:54" ht="15.75" customHeight="1" x14ac:dyDescent="0.3">
      <c r="BB1041322" s="38"/>
    </row>
    <row r="1041323" spans="54:54" ht="15.75" customHeight="1" x14ac:dyDescent="0.3">
      <c r="BB1041323" s="38"/>
    </row>
    <row r="1041324" spans="54:54" ht="15.75" customHeight="1" x14ac:dyDescent="0.3">
      <c r="BB1041324" s="38"/>
    </row>
    <row r="1041325" spans="54:54" ht="15.75" customHeight="1" x14ac:dyDescent="0.3">
      <c r="BB1041325" s="38"/>
    </row>
    <row r="1041326" spans="54:54" ht="15.75" customHeight="1" x14ac:dyDescent="0.3">
      <c r="BB1041326" s="38"/>
    </row>
    <row r="1041327" spans="54:54" ht="15.75" customHeight="1" x14ac:dyDescent="0.3">
      <c r="BB1041327" s="38"/>
    </row>
    <row r="1041328" spans="54:54" ht="15.75" customHeight="1" x14ac:dyDescent="0.3">
      <c r="BB1041328" s="38"/>
    </row>
    <row r="1041329" spans="54:54" ht="15.75" customHeight="1" x14ac:dyDescent="0.3">
      <c r="BB1041329" s="38"/>
    </row>
    <row r="1041330" spans="54:54" ht="15.75" customHeight="1" x14ac:dyDescent="0.3">
      <c r="BB1041330" s="38"/>
    </row>
    <row r="1041331" spans="54:54" ht="15.75" customHeight="1" x14ac:dyDescent="0.3">
      <c r="BB1041331" s="38"/>
    </row>
    <row r="1041332" spans="54:54" ht="15.75" customHeight="1" x14ac:dyDescent="0.3">
      <c r="BB1041332" s="38"/>
    </row>
    <row r="1041333" spans="54:54" ht="15.75" customHeight="1" x14ac:dyDescent="0.3">
      <c r="BB1041333" s="38"/>
    </row>
    <row r="1041334" spans="54:54" ht="15.75" customHeight="1" x14ac:dyDescent="0.3">
      <c r="BB1041334" s="38"/>
    </row>
    <row r="1041335" spans="54:54" ht="15.75" customHeight="1" x14ac:dyDescent="0.3">
      <c r="BB1041335" s="38"/>
    </row>
    <row r="1041336" spans="54:54" ht="15.75" customHeight="1" x14ac:dyDescent="0.3">
      <c r="BB1041336" s="38"/>
    </row>
    <row r="1041337" spans="54:54" ht="15.75" customHeight="1" x14ac:dyDescent="0.3">
      <c r="BB1041337" s="38"/>
    </row>
    <row r="1041338" spans="54:54" ht="15.75" customHeight="1" x14ac:dyDescent="0.3">
      <c r="BB1041338" s="38"/>
    </row>
    <row r="1041339" spans="54:54" ht="15.75" customHeight="1" x14ac:dyDescent="0.3">
      <c r="BB1041339" s="38"/>
    </row>
    <row r="1041340" spans="54:54" ht="15.75" customHeight="1" x14ac:dyDescent="0.3">
      <c r="BB1041340" s="38"/>
    </row>
    <row r="1041341" spans="54:54" ht="15.75" customHeight="1" x14ac:dyDescent="0.3">
      <c r="BB1041341" s="38"/>
    </row>
    <row r="1041342" spans="54:54" ht="15.75" customHeight="1" x14ac:dyDescent="0.3">
      <c r="BB1041342" s="38"/>
    </row>
    <row r="1041343" spans="54:54" ht="15.75" customHeight="1" x14ac:dyDescent="0.3">
      <c r="BB1041343" s="38"/>
    </row>
    <row r="1041344" spans="54:54" ht="15.75" customHeight="1" x14ac:dyDescent="0.3">
      <c r="BB1041344" s="38"/>
    </row>
    <row r="1041345" spans="54:54" ht="15.75" customHeight="1" x14ac:dyDescent="0.3">
      <c r="BB1041345" s="38"/>
    </row>
    <row r="1041346" spans="54:54" ht="15.75" customHeight="1" x14ac:dyDescent="0.3">
      <c r="BB1041346" s="38"/>
    </row>
    <row r="1041347" spans="54:54" ht="15.75" customHeight="1" x14ac:dyDescent="0.3">
      <c r="BB1041347" s="38"/>
    </row>
    <row r="1041348" spans="54:54" ht="15.75" customHeight="1" x14ac:dyDescent="0.3">
      <c r="BB1041348" s="38"/>
    </row>
    <row r="1041349" spans="54:54" ht="15.75" customHeight="1" x14ac:dyDescent="0.3">
      <c r="BB1041349" s="38"/>
    </row>
    <row r="1041350" spans="54:54" ht="15.75" customHeight="1" x14ac:dyDescent="0.3">
      <c r="BB1041350" s="38"/>
    </row>
    <row r="1041351" spans="54:54" ht="15.75" customHeight="1" x14ac:dyDescent="0.3">
      <c r="BB1041351" s="38"/>
    </row>
    <row r="1041352" spans="54:54" ht="15.75" customHeight="1" x14ac:dyDescent="0.3">
      <c r="BB1041352" s="38"/>
    </row>
    <row r="1041353" spans="54:54" ht="15.75" customHeight="1" x14ac:dyDescent="0.3">
      <c r="BB1041353" s="38"/>
    </row>
    <row r="1041354" spans="54:54" ht="15.75" customHeight="1" x14ac:dyDescent="0.3">
      <c r="BB1041354" s="38"/>
    </row>
    <row r="1041355" spans="54:54" ht="15.75" customHeight="1" x14ac:dyDescent="0.3">
      <c r="BB1041355" s="38"/>
    </row>
    <row r="1041356" spans="54:54" ht="15.75" customHeight="1" x14ac:dyDescent="0.3">
      <c r="BB1041356" s="38"/>
    </row>
    <row r="1041357" spans="54:54" ht="15.75" customHeight="1" x14ac:dyDescent="0.3">
      <c r="BB1041357" s="38"/>
    </row>
    <row r="1041358" spans="54:54" ht="15.75" customHeight="1" x14ac:dyDescent="0.3">
      <c r="BB1041358" s="38"/>
    </row>
    <row r="1041359" spans="54:54" ht="15.75" customHeight="1" x14ac:dyDescent="0.3">
      <c r="BB1041359" s="38"/>
    </row>
    <row r="1041360" spans="54:54" ht="15.75" customHeight="1" x14ac:dyDescent="0.3">
      <c r="BB1041360" s="38"/>
    </row>
    <row r="1041361" spans="54:54" ht="15.75" customHeight="1" x14ac:dyDescent="0.3">
      <c r="BB1041361" s="38"/>
    </row>
    <row r="1041362" spans="54:54" ht="15.75" customHeight="1" x14ac:dyDescent="0.3">
      <c r="BB1041362" s="38"/>
    </row>
    <row r="1041363" spans="54:54" ht="15.75" customHeight="1" x14ac:dyDescent="0.3">
      <c r="BB1041363" s="38"/>
    </row>
    <row r="1041364" spans="54:54" ht="15.75" customHeight="1" x14ac:dyDescent="0.3">
      <c r="BB1041364" s="38"/>
    </row>
    <row r="1041365" spans="54:54" ht="15.75" customHeight="1" x14ac:dyDescent="0.3">
      <c r="BB1041365" s="38"/>
    </row>
    <row r="1041366" spans="54:54" ht="15.75" customHeight="1" x14ac:dyDescent="0.3">
      <c r="BB1041366" s="38"/>
    </row>
    <row r="1041367" spans="54:54" ht="15.75" customHeight="1" x14ac:dyDescent="0.3">
      <c r="BB1041367" s="38"/>
    </row>
    <row r="1041368" spans="54:54" ht="15.75" customHeight="1" x14ac:dyDescent="0.3">
      <c r="BB1041368" s="38"/>
    </row>
    <row r="1041369" spans="54:54" ht="15.75" customHeight="1" x14ac:dyDescent="0.3">
      <c r="BB1041369" s="38"/>
    </row>
    <row r="1041370" spans="54:54" ht="15.75" customHeight="1" x14ac:dyDescent="0.3">
      <c r="BB1041370" s="38"/>
    </row>
    <row r="1041371" spans="54:54" ht="15.75" customHeight="1" x14ac:dyDescent="0.3">
      <c r="BB1041371" s="38"/>
    </row>
    <row r="1041372" spans="54:54" ht="15.75" customHeight="1" x14ac:dyDescent="0.3">
      <c r="BB1041372" s="38"/>
    </row>
    <row r="1041373" spans="54:54" ht="15.75" customHeight="1" x14ac:dyDescent="0.3">
      <c r="BB1041373" s="38"/>
    </row>
    <row r="1041374" spans="54:54" ht="15.75" customHeight="1" x14ac:dyDescent="0.3">
      <c r="BB1041374" s="38"/>
    </row>
    <row r="1041375" spans="54:54" ht="15.75" customHeight="1" x14ac:dyDescent="0.3">
      <c r="BB1041375" s="38"/>
    </row>
    <row r="1041376" spans="54:54" ht="15.75" customHeight="1" x14ac:dyDescent="0.3">
      <c r="BB1041376" s="38"/>
    </row>
    <row r="1041377" spans="54:54" ht="15.75" customHeight="1" x14ac:dyDescent="0.3">
      <c r="BB1041377" s="38"/>
    </row>
    <row r="1041378" spans="54:54" ht="15.75" customHeight="1" x14ac:dyDescent="0.3">
      <c r="BB1041378" s="38"/>
    </row>
    <row r="1041379" spans="54:54" ht="15.75" customHeight="1" x14ac:dyDescent="0.3">
      <c r="BB1041379" s="38"/>
    </row>
    <row r="1041380" spans="54:54" ht="15.75" customHeight="1" x14ac:dyDescent="0.3">
      <c r="BB1041380" s="38"/>
    </row>
    <row r="1041381" spans="54:54" ht="15.75" customHeight="1" x14ac:dyDescent="0.3">
      <c r="BB1041381" s="38"/>
    </row>
    <row r="1041382" spans="54:54" ht="15.75" customHeight="1" x14ac:dyDescent="0.3">
      <c r="BB1041382" s="38"/>
    </row>
    <row r="1041383" spans="54:54" ht="15.75" customHeight="1" x14ac:dyDescent="0.3">
      <c r="BB1041383" s="38"/>
    </row>
    <row r="1041384" spans="54:54" ht="15.75" customHeight="1" x14ac:dyDescent="0.3">
      <c r="BB1041384" s="38"/>
    </row>
    <row r="1041385" spans="54:54" ht="15.75" customHeight="1" x14ac:dyDescent="0.3">
      <c r="BB1041385" s="38"/>
    </row>
    <row r="1041386" spans="54:54" ht="15.75" customHeight="1" x14ac:dyDescent="0.3">
      <c r="BB1041386" s="38"/>
    </row>
    <row r="1041387" spans="54:54" ht="15.75" customHeight="1" x14ac:dyDescent="0.3">
      <c r="BB1041387" s="38"/>
    </row>
    <row r="1041388" spans="54:54" ht="15.75" customHeight="1" x14ac:dyDescent="0.3">
      <c r="BB1041388" s="38"/>
    </row>
    <row r="1041389" spans="54:54" ht="15.75" customHeight="1" x14ac:dyDescent="0.3">
      <c r="BB1041389" s="38"/>
    </row>
    <row r="1041390" spans="54:54" ht="15.75" customHeight="1" x14ac:dyDescent="0.3">
      <c r="BB1041390" s="38"/>
    </row>
    <row r="1041391" spans="54:54" ht="15.75" customHeight="1" x14ac:dyDescent="0.3">
      <c r="BB1041391" s="38"/>
    </row>
    <row r="1041392" spans="54:54" ht="15.75" customHeight="1" x14ac:dyDescent="0.3">
      <c r="BB1041392" s="38"/>
    </row>
    <row r="1041393" spans="54:54" ht="15.75" customHeight="1" x14ac:dyDescent="0.3">
      <c r="BB1041393" s="38"/>
    </row>
    <row r="1041394" spans="54:54" ht="15.75" customHeight="1" x14ac:dyDescent="0.3">
      <c r="BB1041394" s="38"/>
    </row>
    <row r="1041395" spans="54:54" ht="15.75" customHeight="1" x14ac:dyDescent="0.3">
      <c r="BB1041395" s="38"/>
    </row>
    <row r="1041396" spans="54:54" ht="15.75" customHeight="1" x14ac:dyDescent="0.3">
      <c r="BB1041396" s="38"/>
    </row>
    <row r="1041397" spans="54:54" ht="15.75" customHeight="1" x14ac:dyDescent="0.3">
      <c r="BB1041397" s="38"/>
    </row>
    <row r="1041398" spans="54:54" ht="15.75" customHeight="1" x14ac:dyDescent="0.3">
      <c r="BB1041398" s="38"/>
    </row>
    <row r="1041399" spans="54:54" ht="15.75" customHeight="1" x14ac:dyDescent="0.3">
      <c r="BB1041399" s="38"/>
    </row>
    <row r="1041400" spans="54:54" ht="15.75" customHeight="1" x14ac:dyDescent="0.3">
      <c r="BB1041400" s="38"/>
    </row>
    <row r="1041401" spans="54:54" ht="15.75" customHeight="1" x14ac:dyDescent="0.3">
      <c r="BB1041401" s="38"/>
    </row>
    <row r="1041402" spans="54:54" ht="15.75" customHeight="1" x14ac:dyDescent="0.3">
      <c r="BB1041402" s="38"/>
    </row>
    <row r="1041403" spans="54:54" ht="15.75" customHeight="1" x14ac:dyDescent="0.3">
      <c r="BB1041403" s="38"/>
    </row>
    <row r="1041404" spans="54:54" ht="15.75" customHeight="1" x14ac:dyDescent="0.3">
      <c r="BB1041404" s="38"/>
    </row>
    <row r="1041405" spans="54:54" ht="15.75" customHeight="1" x14ac:dyDescent="0.3">
      <c r="BB1041405" s="38"/>
    </row>
    <row r="1041406" spans="54:54" ht="15.75" customHeight="1" x14ac:dyDescent="0.3">
      <c r="BB1041406" s="38"/>
    </row>
    <row r="1041407" spans="54:54" ht="15.75" customHeight="1" x14ac:dyDescent="0.3">
      <c r="BB1041407" s="38"/>
    </row>
    <row r="1041408" spans="54:54" ht="15.75" customHeight="1" x14ac:dyDescent="0.3">
      <c r="BB1041408" s="38"/>
    </row>
    <row r="1041409" spans="54:54" ht="15.75" customHeight="1" x14ac:dyDescent="0.3">
      <c r="BB1041409" s="38"/>
    </row>
    <row r="1041410" spans="54:54" ht="15.75" customHeight="1" x14ac:dyDescent="0.3">
      <c r="BB1041410" s="38"/>
    </row>
    <row r="1041411" spans="54:54" ht="15.75" customHeight="1" x14ac:dyDescent="0.3">
      <c r="BB1041411" s="38"/>
    </row>
    <row r="1041412" spans="54:54" ht="15.75" customHeight="1" x14ac:dyDescent="0.3">
      <c r="BB1041412" s="38"/>
    </row>
    <row r="1041413" spans="54:54" ht="15.75" customHeight="1" x14ac:dyDescent="0.3">
      <c r="BB1041413" s="38"/>
    </row>
    <row r="1041414" spans="54:54" ht="15.75" customHeight="1" x14ac:dyDescent="0.3">
      <c r="BB1041414" s="38"/>
    </row>
    <row r="1041415" spans="54:54" ht="15.75" customHeight="1" x14ac:dyDescent="0.3">
      <c r="BB1041415" s="38"/>
    </row>
    <row r="1041416" spans="54:54" ht="15.75" customHeight="1" x14ac:dyDescent="0.3">
      <c r="BB1041416" s="38"/>
    </row>
    <row r="1041417" spans="54:54" ht="15.75" customHeight="1" x14ac:dyDescent="0.3">
      <c r="BB1041417" s="38"/>
    </row>
    <row r="1041418" spans="54:54" ht="15.75" customHeight="1" x14ac:dyDescent="0.3">
      <c r="BB1041418" s="38"/>
    </row>
    <row r="1041419" spans="54:54" ht="15.75" customHeight="1" x14ac:dyDescent="0.3">
      <c r="BB1041419" s="38"/>
    </row>
    <row r="1041420" spans="54:54" ht="15.75" customHeight="1" x14ac:dyDescent="0.3">
      <c r="BB1041420" s="38"/>
    </row>
    <row r="1041421" spans="54:54" ht="15.75" customHeight="1" x14ac:dyDescent="0.3">
      <c r="BB1041421" s="38"/>
    </row>
    <row r="1041422" spans="54:54" ht="15.75" customHeight="1" x14ac:dyDescent="0.3">
      <c r="BB1041422" s="38"/>
    </row>
    <row r="1041423" spans="54:54" ht="15.75" customHeight="1" x14ac:dyDescent="0.3">
      <c r="BB1041423" s="38"/>
    </row>
    <row r="1041424" spans="54:54" ht="15.75" customHeight="1" x14ac:dyDescent="0.3">
      <c r="BB1041424" s="38"/>
    </row>
    <row r="1041425" spans="54:54" ht="15.75" customHeight="1" x14ac:dyDescent="0.3">
      <c r="BB1041425" s="38"/>
    </row>
    <row r="1041426" spans="54:54" ht="15.75" customHeight="1" x14ac:dyDescent="0.3">
      <c r="BB1041426" s="38"/>
    </row>
    <row r="1041427" spans="54:54" ht="15.75" customHeight="1" x14ac:dyDescent="0.3">
      <c r="BB1041427" s="38"/>
    </row>
    <row r="1041428" spans="54:54" ht="15.75" customHeight="1" x14ac:dyDescent="0.3">
      <c r="BB1041428" s="38"/>
    </row>
    <row r="1041429" spans="54:54" ht="15.75" customHeight="1" x14ac:dyDescent="0.3">
      <c r="BB1041429" s="38"/>
    </row>
    <row r="1041430" spans="54:54" ht="15.75" customHeight="1" x14ac:dyDescent="0.3">
      <c r="BB1041430" s="38"/>
    </row>
    <row r="1041431" spans="54:54" ht="15.75" customHeight="1" x14ac:dyDescent="0.3">
      <c r="BB1041431" s="38"/>
    </row>
    <row r="1041432" spans="54:54" ht="15.75" customHeight="1" x14ac:dyDescent="0.3">
      <c r="BB1041432" s="38"/>
    </row>
    <row r="1041433" spans="54:54" ht="15.75" customHeight="1" x14ac:dyDescent="0.3">
      <c r="BB1041433" s="38"/>
    </row>
    <row r="1041434" spans="54:54" ht="15.75" customHeight="1" x14ac:dyDescent="0.3">
      <c r="BB1041434" s="38"/>
    </row>
    <row r="1041435" spans="54:54" ht="15.75" customHeight="1" x14ac:dyDescent="0.3">
      <c r="BB1041435" s="38"/>
    </row>
    <row r="1041436" spans="54:54" ht="15.75" customHeight="1" x14ac:dyDescent="0.3">
      <c r="BB1041436" s="38"/>
    </row>
    <row r="1041437" spans="54:54" ht="15.75" customHeight="1" x14ac:dyDescent="0.3">
      <c r="BB1041437" s="38"/>
    </row>
    <row r="1041438" spans="54:54" ht="15.75" customHeight="1" x14ac:dyDescent="0.3">
      <c r="BB1041438" s="38"/>
    </row>
    <row r="1041439" spans="54:54" ht="15.75" customHeight="1" x14ac:dyDescent="0.3">
      <c r="BB1041439" s="38"/>
    </row>
    <row r="1041440" spans="54:54" ht="15.75" customHeight="1" x14ac:dyDescent="0.3">
      <c r="BB1041440" s="38"/>
    </row>
    <row r="1041441" spans="54:54" ht="15.75" customHeight="1" x14ac:dyDescent="0.3">
      <c r="BB1041441" s="38"/>
    </row>
    <row r="1041442" spans="54:54" ht="15.75" customHeight="1" x14ac:dyDescent="0.3">
      <c r="BB1041442" s="38"/>
    </row>
    <row r="1041443" spans="54:54" ht="15.75" customHeight="1" x14ac:dyDescent="0.3">
      <c r="BB1041443" s="38"/>
    </row>
    <row r="1041444" spans="54:54" ht="15.75" customHeight="1" x14ac:dyDescent="0.3">
      <c r="BB1041444" s="38"/>
    </row>
    <row r="1041445" spans="54:54" ht="15.75" customHeight="1" x14ac:dyDescent="0.3">
      <c r="BB1041445" s="38"/>
    </row>
    <row r="1041446" spans="54:54" ht="15.75" customHeight="1" x14ac:dyDescent="0.3">
      <c r="BB1041446" s="38"/>
    </row>
    <row r="1041447" spans="54:54" ht="15.75" customHeight="1" x14ac:dyDescent="0.3">
      <c r="BB1041447" s="38"/>
    </row>
    <row r="1041448" spans="54:54" ht="15.75" customHeight="1" x14ac:dyDescent="0.3">
      <c r="BB1041448" s="38"/>
    </row>
    <row r="1041449" spans="54:54" ht="15.75" customHeight="1" x14ac:dyDescent="0.3">
      <c r="BB1041449" s="38"/>
    </row>
    <row r="1041450" spans="54:54" ht="15.75" customHeight="1" x14ac:dyDescent="0.3">
      <c r="BB1041450" s="38"/>
    </row>
    <row r="1041451" spans="54:54" ht="15.75" customHeight="1" x14ac:dyDescent="0.3">
      <c r="BB1041451" s="38"/>
    </row>
    <row r="1041452" spans="54:54" ht="15.75" customHeight="1" x14ac:dyDescent="0.3">
      <c r="BB1041452" s="38"/>
    </row>
    <row r="1041453" spans="54:54" ht="15.75" customHeight="1" x14ac:dyDescent="0.3">
      <c r="BB1041453" s="38"/>
    </row>
    <row r="1041454" spans="54:54" ht="15.75" customHeight="1" x14ac:dyDescent="0.3">
      <c r="BB1041454" s="38"/>
    </row>
    <row r="1041455" spans="54:54" ht="15.75" customHeight="1" x14ac:dyDescent="0.3">
      <c r="BB1041455" s="38"/>
    </row>
    <row r="1041456" spans="54:54" ht="15.75" customHeight="1" x14ac:dyDescent="0.3">
      <c r="BB1041456" s="38"/>
    </row>
    <row r="1041457" spans="54:54" ht="15.75" customHeight="1" x14ac:dyDescent="0.3">
      <c r="BB1041457" s="38"/>
    </row>
    <row r="1041458" spans="54:54" ht="15.75" customHeight="1" x14ac:dyDescent="0.3">
      <c r="BB1041458" s="38"/>
    </row>
    <row r="1041459" spans="54:54" ht="15.75" customHeight="1" x14ac:dyDescent="0.3">
      <c r="BB1041459" s="38"/>
    </row>
    <row r="1041460" spans="54:54" ht="15.75" customHeight="1" x14ac:dyDescent="0.3">
      <c r="BB1041460" s="38"/>
    </row>
    <row r="1041461" spans="54:54" ht="15.75" customHeight="1" x14ac:dyDescent="0.3">
      <c r="BB1041461" s="38"/>
    </row>
    <row r="1041462" spans="54:54" ht="15.75" customHeight="1" x14ac:dyDescent="0.3">
      <c r="BB1041462" s="38"/>
    </row>
    <row r="1041463" spans="54:54" ht="15.75" customHeight="1" x14ac:dyDescent="0.3">
      <c r="BB1041463" s="38"/>
    </row>
    <row r="1041464" spans="54:54" ht="15.75" customHeight="1" x14ac:dyDescent="0.3">
      <c r="BB1041464" s="38"/>
    </row>
    <row r="1041465" spans="54:54" ht="15.75" customHeight="1" x14ac:dyDescent="0.3">
      <c r="BB1041465" s="38"/>
    </row>
    <row r="1041466" spans="54:54" ht="15.75" customHeight="1" x14ac:dyDescent="0.3">
      <c r="BB1041466" s="38"/>
    </row>
    <row r="1041467" spans="54:54" ht="15.75" customHeight="1" x14ac:dyDescent="0.3">
      <c r="BB1041467" s="38"/>
    </row>
    <row r="1041468" spans="54:54" ht="15.75" customHeight="1" x14ac:dyDescent="0.3">
      <c r="BB1041468" s="38"/>
    </row>
    <row r="1041469" spans="54:54" ht="15.75" customHeight="1" x14ac:dyDescent="0.3">
      <c r="BB1041469" s="38"/>
    </row>
    <row r="1041470" spans="54:54" ht="15.75" customHeight="1" x14ac:dyDescent="0.3">
      <c r="BB1041470" s="38"/>
    </row>
    <row r="1041471" spans="54:54" ht="15.75" customHeight="1" x14ac:dyDescent="0.3">
      <c r="BB1041471" s="38"/>
    </row>
    <row r="1041472" spans="54:54" ht="15.75" customHeight="1" x14ac:dyDescent="0.3">
      <c r="BB1041472" s="38"/>
    </row>
    <row r="1041473" spans="54:54" ht="15.75" customHeight="1" x14ac:dyDescent="0.3">
      <c r="BB1041473" s="38"/>
    </row>
    <row r="1041474" spans="54:54" ht="15.75" customHeight="1" x14ac:dyDescent="0.3">
      <c r="BB1041474" s="38"/>
    </row>
    <row r="1041475" spans="54:54" ht="15.75" customHeight="1" x14ac:dyDescent="0.3">
      <c r="BB1041475" s="38"/>
    </row>
    <row r="1041476" spans="54:54" ht="15.75" customHeight="1" x14ac:dyDescent="0.3">
      <c r="BB1041476" s="38"/>
    </row>
    <row r="1041477" spans="54:54" ht="15.75" customHeight="1" x14ac:dyDescent="0.3">
      <c r="BB1041477" s="38"/>
    </row>
    <row r="1041478" spans="54:54" ht="15.75" customHeight="1" x14ac:dyDescent="0.3">
      <c r="BB1041478" s="38"/>
    </row>
    <row r="1041479" spans="54:54" ht="15.75" customHeight="1" x14ac:dyDescent="0.3">
      <c r="BB1041479" s="38"/>
    </row>
    <row r="1041480" spans="54:54" ht="15.75" customHeight="1" x14ac:dyDescent="0.3">
      <c r="BB1041480" s="38"/>
    </row>
    <row r="1041481" spans="54:54" ht="15.75" customHeight="1" x14ac:dyDescent="0.3">
      <c r="BB1041481" s="38"/>
    </row>
    <row r="1041482" spans="54:54" ht="15.75" customHeight="1" x14ac:dyDescent="0.3">
      <c r="BB1041482" s="38"/>
    </row>
    <row r="1041483" spans="54:54" ht="15.75" customHeight="1" x14ac:dyDescent="0.3">
      <c r="BB1041483" s="38"/>
    </row>
    <row r="1041484" spans="54:54" ht="15.75" customHeight="1" x14ac:dyDescent="0.3">
      <c r="BB1041484" s="38"/>
    </row>
    <row r="1041485" spans="54:54" ht="15.75" customHeight="1" x14ac:dyDescent="0.3">
      <c r="BB1041485" s="38"/>
    </row>
    <row r="1041486" spans="54:54" ht="15.75" customHeight="1" x14ac:dyDescent="0.3">
      <c r="BB1041486" s="38"/>
    </row>
    <row r="1041487" spans="54:54" ht="15.75" customHeight="1" x14ac:dyDescent="0.3">
      <c r="BB1041487" s="38"/>
    </row>
    <row r="1041488" spans="54:54" ht="15.75" customHeight="1" x14ac:dyDescent="0.3">
      <c r="BB1041488" s="38"/>
    </row>
    <row r="1041489" spans="54:54" ht="15.75" customHeight="1" x14ac:dyDescent="0.3">
      <c r="BB1041489" s="38"/>
    </row>
    <row r="1041490" spans="54:54" ht="15.75" customHeight="1" x14ac:dyDescent="0.3">
      <c r="BB1041490" s="38"/>
    </row>
    <row r="1041491" spans="54:54" ht="15.75" customHeight="1" x14ac:dyDescent="0.3">
      <c r="BB1041491" s="38"/>
    </row>
    <row r="1041492" spans="54:54" ht="15.75" customHeight="1" x14ac:dyDescent="0.3">
      <c r="BB1041492" s="38"/>
    </row>
    <row r="1041493" spans="54:54" ht="15.75" customHeight="1" x14ac:dyDescent="0.3">
      <c r="BB1041493" s="38"/>
    </row>
    <row r="1041494" spans="54:54" ht="15.75" customHeight="1" x14ac:dyDescent="0.3">
      <c r="BB1041494" s="38"/>
    </row>
    <row r="1041495" spans="54:54" ht="15.75" customHeight="1" x14ac:dyDescent="0.3">
      <c r="BB1041495" s="38"/>
    </row>
    <row r="1041496" spans="54:54" ht="15.75" customHeight="1" x14ac:dyDescent="0.3">
      <c r="BB1041496" s="38"/>
    </row>
    <row r="1041497" spans="54:54" ht="15.75" customHeight="1" x14ac:dyDescent="0.3">
      <c r="BB1041497" s="38"/>
    </row>
    <row r="1041498" spans="54:54" ht="15.75" customHeight="1" x14ac:dyDescent="0.3">
      <c r="BB1041498" s="38"/>
    </row>
    <row r="1041499" spans="54:54" ht="15.75" customHeight="1" x14ac:dyDescent="0.3">
      <c r="BB1041499" s="38"/>
    </row>
    <row r="1041500" spans="54:54" ht="15.75" customHeight="1" x14ac:dyDescent="0.3">
      <c r="BB1041500" s="38"/>
    </row>
    <row r="1041501" spans="54:54" ht="15.75" customHeight="1" x14ac:dyDescent="0.3">
      <c r="BB1041501" s="38"/>
    </row>
    <row r="1041502" spans="54:54" ht="15.75" customHeight="1" x14ac:dyDescent="0.3">
      <c r="BB1041502" s="38"/>
    </row>
    <row r="1041503" spans="54:54" ht="15.75" customHeight="1" x14ac:dyDescent="0.3">
      <c r="BB1041503" s="38"/>
    </row>
    <row r="1041504" spans="54:54" ht="15.75" customHeight="1" x14ac:dyDescent="0.3">
      <c r="BB1041504" s="38"/>
    </row>
    <row r="1041505" spans="54:54" ht="15.75" customHeight="1" x14ac:dyDescent="0.3">
      <c r="BB1041505" s="38"/>
    </row>
    <row r="1041506" spans="54:54" ht="15.75" customHeight="1" x14ac:dyDescent="0.3">
      <c r="BB1041506" s="38"/>
    </row>
    <row r="1041507" spans="54:54" ht="15.75" customHeight="1" x14ac:dyDescent="0.3">
      <c r="BB1041507" s="38"/>
    </row>
    <row r="1041508" spans="54:54" ht="15.75" customHeight="1" x14ac:dyDescent="0.3">
      <c r="BB1041508" s="38"/>
    </row>
    <row r="1041509" spans="54:54" ht="15.75" customHeight="1" x14ac:dyDescent="0.3">
      <c r="BB1041509" s="38"/>
    </row>
    <row r="1041510" spans="54:54" ht="15.75" customHeight="1" x14ac:dyDescent="0.3">
      <c r="BB1041510" s="38"/>
    </row>
    <row r="1041511" spans="54:54" ht="15.75" customHeight="1" x14ac:dyDescent="0.3">
      <c r="BB1041511" s="38"/>
    </row>
    <row r="1041512" spans="54:54" ht="15.75" customHeight="1" x14ac:dyDescent="0.3">
      <c r="BB1041512" s="38"/>
    </row>
    <row r="1041513" spans="54:54" ht="15.75" customHeight="1" x14ac:dyDescent="0.3">
      <c r="BB1041513" s="38"/>
    </row>
    <row r="1041514" spans="54:54" ht="15.75" customHeight="1" x14ac:dyDescent="0.3">
      <c r="BB1041514" s="38"/>
    </row>
    <row r="1041515" spans="54:54" ht="15.75" customHeight="1" x14ac:dyDescent="0.3">
      <c r="BB1041515" s="38"/>
    </row>
    <row r="1041516" spans="54:54" ht="15.75" customHeight="1" x14ac:dyDescent="0.3">
      <c r="BB1041516" s="38"/>
    </row>
    <row r="1041517" spans="54:54" ht="15.75" customHeight="1" x14ac:dyDescent="0.3">
      <c r="BB1041517" s="38"/>
    </row>
    <row r="1041518" spans="54:54" ht="15.75" customHeight="1" x14ac:dyDescent="0.3">
      <c r="BB1041518" s="38"/>
    </row>
    <row r="1041519" spans="54:54" ht="15.75" customHeight="1" x14ac:dyDescent="0.3">
      <c r="BB1041519" s="38"/>
    </row>
    <row r="1041520" spans="54:54" ht="15.75" customHeight="1" x14ac:dyDescent="0.3">
      <c r="BB1041520" s="38"/>
    </row>
    <row r="1041521" spans="54:54" ht="15.75" customHeight="1" x14ac:dyDescent="0.3">
      <c r="BB1041521" s="38"/>
    </row>
    <row r="1041522" spans="54:54" ht="15.75" customHeight="1" x14ac:dyDescent="0.3">
      <c r="BB1041522" s="38"/>
    </row>
    <row r="1041523" spans="54:54" ht="15.75" customHeight="1" x14ac:dyDescent="0.3">
      <c r="BB1041523" s="38"/>
    </row>
    <row r="1041524" spans="54:54" ht="15.75" customHeight="1" x14ac:dyDescent="0.3">
      <c r="BB1041524" s="38"/>
    </row>
    <row r="1041525" spans="54:54" ht="15.75" customHeight="1" x14ac:dyDescent="0.3">
      <c r="BB1041525" s="38"/>
    </row>
    <row r="1041526" spans="54:54" ht="15.75" customHeight="1" x14ac:dyDescent="0.3">
      <c r="BB1041526" s="38"/>
    </row>
    <row r="1041527" spans="54:54" ht="15.75" customHeight="1" x14ac:dyDescent="0.3">
      <c r="BB1041527" s="38"/>
    </row>
    <row r="1041528" spans="54:54" ht="15.75" customHeight="1" x14ac:dyDescent="0.3">
      <c r="BB1041528" s="38"/>
    </row>
    <row r="1041529" spans="54:54" ht="15.75" customHeight="1" x14ac:dyDescent="0.3">
      <c r="BB1041529" s="38"/>
    </row>
    <row r="1041530" spans="54:54" ht="15.75" customHeight="1" x14ac:dyDescent="0.3">
      <c r="BB1041530" s="38"/>
    </row>
    <row r="1041531" spans="54:54" ht="15.75" customHeight="1" x14ac:dyDescent="0.3">
      <c r="BB1041531" s="38"/>
    </row>
    <row r="1041532" spans="54:54" ht="15.75" customHeight="1" x14ac:dyDescent="0.3">
      <c r="BB1041532" s="38"/>
    </row>
    <row r="1041533" spans="54:54" ht="15.75" customHeight="1" x14ac:dyDescent="0.3">
      <c r="BB1041533" s="38"/>
    </row>
    <row r="1041534" spans="54:54" ht="15.75" customHeight="1" x14ac:dyDescent="0.3">
      <c r="BB1041534" s="38"/>
    </row>
    <row r="1041535" spans="54:54" ht="15.75" customHeight="1" x14ac:dyDescent="0.3">
      <c r="BB1041535" s="38"/>
    </row>
    <row r="1041536" spans="54:54" ht="15.75" customHeight="1" x14ac:dyDescent="0.3">
      <c r="BB1041536" s="38"/>
    </row>
    <row r="1041537" spans="54:54" ht="15.75" customHeight="1" x14ac:dyDescent="0.3">
      <c r="BB1041537" s="38"/>
    </row>
    <row r="1041538" spans="54:54" ht="15.75" customHeight="1" x14ac:dyDescent="0.3">
      <c r="BB1041538" s="38"/>
    </row>
    <row r="1041539" spans="54:54" ht="15.75" customHeight="1" x14ac:dyDescent="0.3">
      <c r="BB1041539" s="38"/>
    </row>
    <row r="1041540" spans="54:54" ht="15.75" customHeight="1" x14ac:dyDescent="0.3">
      <c r="BB1041540" s="38"/>
    </row>
    <row r="1041541" spans="54:54" ht="15.75" customHeight="1" x14ac:dyDescent="0.3">
      <c r="BB1041541" s="38"/>
    </row>
    <row r="1041542" spans="54:54" ht="15.75" customHeight="1" x14ac:dyDescent="0.3">
      <c r="BB1041542" s="38"/>
    </row>
    <row r="1041543" spans="54:54" ht="15.75" customHeight="1" x14ac:dyDescent="0.3">
      <c r="BB1041543" s="38"/>
    </row>
    <row r="1041544" spans="54:54" ht="15.75" customHeight="1" x14ac:dyDescent="0.3">
      <c r="BB1041544" s="38"/>
    </row>
    <row r="1041545" spans="54:54" ht="15.75" customHeight="1" x14ac:dyDescent="0.3">
      <c r="BB1041545" s="38"/>
    </row>
    <row r="1041546" spans="54:54" ht="15.75" customHeight="1" x14ac:dyDescent="0.3">
      <c r="BB1041546" s="38"/>
    </row>
    <row r="1041547" spans="54:54" ht="15.75" customHeight="1" x14ac:dyDescent="0.3">
      <c r="BB1041547" s="38"/>
    </row>
    <row r="1041548" spans="54:54" ht="15.75" customHeight="1" x14ac:dyDescent="0.3">
      <c r="BB1041548" s="38"/>
    </row>
    <row r="1041549" spans="54:54" ht="15.75" customHeight="1" x14ac:dyDescent="0.3">
      <c r="BB1041549" s="38"/>
    </row>
    <row r="1041550" spans="54:54" ht="15.75" customHeight="1" x14ac:dyDescent="0.3">
      <c r="BB1041550" s="38"/>
    </row>
    <row r="1041551" spans="54:54" ht="15.75" customHeight="1" x14ac:dyDescent="0.3">
      <c r="BB1041551" s="38"/>
    </row>
    <row r="1041552" spans="54:54" ht="15.75" customHeight="1" x14ac:dyDescent="0.3">
      <c r="BB1041552" s="38"/>
    </row>
    <row r="1041553" spans="54:54" ht="15.75" customHeight="1" x14ac:dyDescent="0.3">
      <c r="BB1041553" s="38"/>
    </row>
    <row r="1041554" spans="54:54" ht="15.75" customHeight="1" x14ac:dyDescent="0.3">
      <c r="BB1041554" s="38"/>
    </row>
    <row r="1041555" spans="54:54" ht="15.75" customHeight="1" x14ac:dyDescent="0.3">
      <c r="BB1041555" s="38"/>
    </row>
    <row r="1041556" spans="54:54" ht="15.75" customHeight="1" x14ac:dyDescent="0.3">
      <c r="BB1041556" s="38"/>
    </row>
    <row r="1041557" spans="54:54" ht="15.75" customHeight="1" x14ac:dyDescent="0.3">
      <c r="BB1041557" s="38"/>
    </row>
    <row r="1041558" spans="54:54" ht="15.75" customHeight="1" x14ac:dyDescent="0.3">
      <c r="BB1041558" s="38"/>
    </row>
    <row r="1041559" spans="54:54" ht="15.75" customHeight="1" x14ac:dyDescent="0.3">
      <c r="BB1041559" s="38"/>
    </row>
    <row r="1041560" spans="54:54" ht="15.75" customHeight="1" x14ac:dyDescent="0.3">
      <c r="BB1041560" s="38"/>
    </row>
    <row r="1041561" spans="54:54" ht="15.75" customHeight="1" x14ac:dyDescent="0.3">
      <c r="BB1041561" s="38"/>
    </row>
    <row r="1041562" spans="54:54" ht="15.75" customHeight="1" x14ac:dyDescent="0.3">
      <c r="BB1041562" s="38"/>
    </row>
    <row r="1041563" spans="54:54" ht="15.75" customHeight="1" x14ac:dyDescent="0.3">
      <c r="BB1041563" s="38"/>
    </row>
    <row r="1041564" spans="54:54" ht="15.75" customHeight="1" x14ac:dyDescent="0.3">
      <c r="BB1041564" s="38"/>
    </row>
    <row r="1041565" spans="54:54" ht="15.75" customHeight="1" x14ac:dyDescent="0.3">
      <c r="BB1041565" s="38"/>
    </row>
    <row r="1041566" spans="54:54" ht="15.75" customHeight="1" x14ac:dyDescent="0.3">
      <c r="BB1041566" s="38"/>
    </row>
    <row r="1041567" spans="54:54" ht="15.75" customHeight="1" x14ac:dyDescent="0.3">
      <c r="BB1041567" s="38"/>
    </row>
    <row r="1041568" spans="54:54" ht="15.75" customHeight="1" x14ac:dyDescent="0.3">
      <c r="BB1041568" s="38"/>
    </row>
    <row r="1041569" spans="54:54" ht="15.75" customHeight="1" x14ac:dyDescent="0.3">
      <c r="BB1041569" s="38"/>
    </row>
    <row r="1041570" spans="54:54" ht="15.75" customHeight="1" x14ac:dyDescent="0.3">
      <c r="BB1041570" s="38"/>
    </row>
    <row r="1041571" spans="54:54" ht="15.75" customHeight="1" x14ac:dyDescent="0.3">
      <c r="BB1041571" s="38"/>
    </row>
    <row r="1041572" spans="54:54" ht="15.75" customHeight="1" x14ac:dyDescent="0.3">
      <c r="BB1041572" s="38"/>
    </row>
    <row r="1041573" spans="54:54" ht="15.75" customHeight="1" x14ac:dyDescent="0.3">
      <c r="BB1041573" s="38"/>
    </row>
    <row r="1041574" spans="54:54" ht="15.75" customHeight="1" x14ac:dyDescent="0.3">
      <c r="BB1041574" s="38"/>
    </row>
    <row r="1041575" spans="54:54" ht="15.75" customHeight="1" x14ac:dyDescent="0.3">
      <c r="BB1041575" s="38"/>
    </row>
    <row r="1041576" spans="54:54" ht="15.75" customHeight="1" x14ac:dyDescent="0.3">
      <c r="BB1041576" s="38"/>
    </row>
    <row r="1041577" spans="54:54" ht="15.75" customHeight="1" x14ac:dyDescent="0.3">
      <c r="BB1041577" s="38"/>
    </row>
    <row r="1041578" spans="54:54" ht="15.75" customHeight="1" x14ac:dyDescent="0.3">
      <c r="BB1041578" s="38"/>
    </row>
    <row r="1041579" spans="54:54" ht="15.75" customHeight="1" x14ac:dyDescent="0.3">
      <c r="BB1041579" s="38"/>
    </row>
    <row r="1041580" spans="54:54" ht="15.75" customHeight="1" x14ac:dyDescent="0.3">
      <c r="BB1041580" s="38"/>
    </row>
    <row r="1041581" spans="54:54" ht="15.75" customHeight="1" x14ac:dyDescent="0.3">
      <c r="BB1041581" s="38"/>
    </row>
    <row r="1041582" spans="54:54" ht="15.75" customHeight="1" x14ac:dyDescent="0.3">
      <c r="BB1041582" s="38"/>
    </row>
    <row r="1041583" spans="54:54" ht="15.75" customHeight="1" x14ac:dyDescent="0.3">
      <c r="BB1041583" s="38"/>
    </row>
    <row r="1041584" spans="54:54" ht="15.75" customHeight="1" x14ac:dyDescent="0.3">
      <c r="BB1041584" s="38"/>
    </row>
    <row r="1041585" spans="54:54" ht="15.75" customHeight="1" x14ac:dyDescent="0.3">
      <c r="BB1041585" s="38"/>
    </row>
    <row r="1041586" spans="54:54" ht="15.75" customHeight="1" x14ac:dyDescent="0.3">
      <c r="BB1041586" s="38"/>
    </row>
    <row r="1041587" spans="54:54" ht="15.75" customHeight="1" x14ac:dyDescent="0.3">
      <c r="BB1041587" s="38"/>
    </row>
    <row r="1041588" spans="54:54" ht="15.75" customHeight="1" x14ac:dyDescent="0.3">
      <c r="BB1041588" s="38"/>
    </row>
    <row r="1041589" spans="54:54" ht="15.75" customHeight="1" x14ac:dyDescent="0.3">
      <c r="BB1041589" s="38"/>
    </row>
    <row r="1041590" spans="54:54" ht="15.75" customHeight="1" x14ac:dyDescent="0.3">
      <c r="BB1041590" s="38"/>
    </row>
    <row r="1041591" spans="54:54" ht="15.75" customHeight="1" x14ac:dyDescent="0.3">
      <c r="BB1041591" s="38"/>
    </row>
    <row r="1041592" spans="54:54" ht="15.75" customHeight="1" x14ac:dyDescent="0.3">
      <c r="BB1041592" s="38"/>
    </row>
    <row r="1041593" spans="54:54" ht="15.75" customHeight="1" x14ac:dyDescent="0.3">
      <c r="BB1041593" s="38"/>
    </row>
    <row r="1041594" spans="54:54" ht="15.75" customHeight="1" x14ac:dyDescent="0.3">
      <c r="BB1041594" s="38"/>
    </row>
    <row r="1041595" spans="54:54" ht="15.75" customHeight="1" x14ac:dyDescent="0.3">
      <c r="BB1041595" s="38"/>
    </row>
    <row r="1041596" spans="54:54" ht="15.75" customHeight="1" x14ac:dyDescent="0.3">
      <c r="BB1041596" s="38"/>
    </row>
    <row r="1041597" spans="54:54" ht="15.75" customHeight="1" x14ac:dyDescent="0.3">
      <c r="BB1041597" s="38"/>
    </row>
    <row r="1041598" spans="54:54" ht="15.75" customHeight="1" x14ac:dyDescent="0.3">
      <c r="BB1041598" s="38"/>
    </row>
    <row r="1041599" spans="54:54" ht="15.75" customHeight="1" x14ac:dyDescent="0.3">
      <c r="BB1041599" s="38"/>
    </row>
    <row r="1041600" spans="54:54" ht="15.75" customHeight="1" x14ac:dyDescent="0.3">
      <c r="BB1041600" s="38"/>
    </row>
    <row r="1041601" spans="54:54" ht="15.75" customHeight="1" x14ac:dyDescent="0.3">
      <c r="BB1041601" s="38"/>
    </row>
    <row r="1041602" spans="54:54" ht="15.75" customHeight="1" x14ac:dyDescent="0.3">
      <c r="BB1041602" s="38"/>
    </row>
    <row r="1041603" spans="54:54" ht="15.75" customHeight="1" x14ac:dyDescent="0.3">
      <c r="BB1041603" s="38"/>
    </row>
    <row r="1041604" spans="54:54" ht="15.75" customHeight="1" x14ac:dyDescent="0.3">
      <c r="BB1041604" s="38"/>
    </row>
    <row r="1041605" spans="54:54" ht="15.75" customHeight="1" x14ac:dyDescent="0.3">
      <c r="BB1041605" s="38"/>
    </row>
    <row r="1041606" spans="54:54" ht="15.75" customHeight="1" x14ac:dyDescent="0.3">
      <c r="BB1041606" s="38"/>
    </row>
    <row r="1041607" spans="54:54" ht="15.75" customHeight="1" x14ac:dyDescent="0.3">
      <c r="BB1041607" s="38"/>
    </row>
    <row r="1041608" spans="54:54" ht="15.75" customHeight="1" x14ac:dyDescent="0.3">
      <c r="BB1041608" s="38"/>
    </row>
    <row r="1041609" spans="54:54" ht="15.75" customHeight="1" x14ac:dyDescent="0.3">
      <c r="BB1041609" s="38"/>
    </row>
    <row r="1041610" spans="54:54" ht="15.75" customHeight="1" x14ac:dyDescent="0.3">
      <c r="BB1041610" s="38"/>
    </row>
    <row r="1041611" spans="54:54" ht="15.75" customHeight="1" x14ac:dyDescent="0.3">
      <c r="BB1041611" s="38"/>
    </row>
    <row r="1041612" spans="54:54" ht="15.75" customHeight="1" x14ac:dyDescent="0.3">
      <c r="BB1041612" s="38"/>
    </row>
    <row r="1041613" spans="54:54" ht="15.75" customHeight="1" x14ac:dyDescent="0.3">
      <c r="BB1041613" s="38"/>
    </row>
    <row r="1041614" spans="54:54" ht="15.75" customHeight="1" x14ac:dyDescent="0.3">
      <c r="BB1041614" s="38"/>
    </row>
    <row r="1041615" spans="54:54" ht="15.75" customHeight="1" x14ac:dyDescent="0.3">
      <c r="BB1041615" s="38"/>
    </row>
    <row r="1041616" spans="54:54" ht="15.75" customHeight="1" x14ac:dyDescent="0.3">
      <c r="BB1041616" s="38"/>
    </row>
    <row r="1041617" spans="54:54" ht="15.75" customHeight="1" x14ac:dyDescent="0.3">
      <c r="BB1041617" s="38"/>
    </row>
    <row r="1041618" spans="54:54" ht="15.75" customHeight="1" x14ac:dyDescent="0.3">
      <c r="BB1041618" s="38"/>
    </row>
    <row r="1041619" spans="54:54" ht="15.75" customHeight="1" x14ac:dyDescent="0.3">
      <c r="BB1041619" s="38"/>
    </row>
    <row r="1041620" spans="54:54" ht="15.75" customHeight="1" x14ac:dyDescent="0.3">
      <c r="BB1041620" s="38"/>
    </row>
    <row r="1041621" spans="54:54" ht="15.75" customHeight="1" x14ac:dyDescent="0.3">
      <c r="BB1041621" s="38"/>
    </row>
    <row r="1041622" spans="54:54" ht="15.75" customHeight="1" x14ac:dyDescent="0.3">
      <c r="BB1041622" s="38"/>
    </row>
    <row r="1041623" spans="54:54" ht="15.75" customHeight="1" x14ac:dyDescent="0.3">
      <c r="BB1041623" s="38"/>
    </row>
    <row r="1041624" spans="54:54" ht="15.75" customHeight="1" x14ac:dyDescent="0.3">
      <c r="BB1041624" s="38"/>
    </row>
    <row r="1041625" spans="54:54" ht="15.75" customHeight="1" x14ac:dyDescent="0.3">
      <c r="BB1041625" s="38"/>
    </row>
    <row r="1041626" spans="54:54" ht="15.75" customHeight="1" x14ac:dyDescent="0.3">
      <c r="BB1041626" s="38"/>
    </row>
    <row r="1041627" spans="54:54" ht="15.75" customHeight="1" x14ac:dyDescent="0.3">
      <c r="BB1041627" s="38"/>
    </row>
    <row r="1041628" spans="54:54" ht="15.75" customHeight="1" x14ac:dyDescent="0.3">
      <c r="BB1041628" s="38"/>
    </row>
    <row r="1041629" spans="54:54" ht="15.75" customHeight="1" x14ac:dyDescent="0.3">
      <c r="BB1041629" s="38"/>
    </row>
    <row r="1041630" spans="54:54" ht="15.75" customHeight="1" x14ac:dyDescent="0.3">
      <c r="BB1041630" s="38"/>
    </row>
    <row r="1041631" spans="54:54" ht="15.75" customHeight="1" x14ac:dyDescent="0.3">
      <c r="BB1041631" s="38"/>
    </row>
    <row r="1041632" spans="54:54" ht="15.75" customHeight="1" x14ac:dyDescent="0.3">
      <c r="BB1041632" s="38"/>
    </row>
    <row r="1041633" spans="54:54" ht="15.75" customHeight="1" x14ac:dyDescent="0.3">
      <c r="BB1041633" s="38"/>
    </row>
    <row r="1041634" spans="54:54" ht="15.75" customHeight="1" x14ac:dyDescent="0.3">
      <c r="BB1041634" s="38"/>
    </row>
    <row r="1041635" spans="54:54" ht="15.75" customHeight="1" x14ac:dyDescent="0.3">
      <c r="BB1041635" s="38"/>
    </row>
    <row r="1041636" spans="54:54" ht="15.75" customHeight="1" x14ac:dyDescent="0.3">
      <c r="BB1041636" s="38"/>
    </row>
    <row r="1041637" spans="54:54" ht="15.75" customHeight="1" x14ac:dyDescent="0.3">
      <c r="BB1041637" s="38"/>
    </row>
    <row r="1041638" spans="54:54" ht="15.75" customHeight="1" x14ac:dyDescent="0.3">
      <c r="BB1041638" s="38"/>
    </row>
    <row r="1041639" spans="54:54" ht="15.75" customHeight="1" x14ac:dyDescent="0.3">
      <c r="BB1041639" s="38"/>
    </row>
    <row r="1041640" spans="54:54" ht="15.75" customHeight="1" x14ac:dyDescent="0.3">
      <c r="BB1041640" s="38"/>
    </row>
    <row r="1041641" spans="54:54" ht="15.75" customHeight="1" x14ac:dyDescent="0.3">
      <c r="BB1041641" s="38"/>
    </row>
    <row r="1041642" spans="54:54" ht="15.75" customHeight="1" x14ac:dyDescent="0.3">
      <c r="BB1041642" s="38"/>
    </row>
    <row r="1041643" spans="54:54" ht="15.75" customHeight="1" x14ac:dyDescent="0.3">
      <c r="BB1041643" s="38"/>
    </row>
    <row r="1041644" spans="54:54" ht="15.75" customHeight="1" x14ac:dyDescent="0.3">
      <c r="BB1041644" s="38"/>
    </row>
    <row r="1041645" spans="54:54" ht="15.75" customHeight="1" x14ac:dyDescent="0.3">
      <c r="BB1041645" s="38"/>
    </row>
    <row r="1041646" spans="54:54" ht="15.75" customHeight="1" x14ac:dyDescent="0.3">
      <c r="BB1041646" s="38"/>
    </row>
    <row r="1041647" spans="54:54" ht="15.75" customHeight="1" x14ac:dyDescent="0.3">
      <c r="BB1041647" s="38"/>
    </row>
    <row r="1041648" spans="54:54" ht="15.75" customHeight="1" x14ac:dyDescent="0.3">
      <c r="BB1041648" s="38"/>
    </row>
    <row r="1041649" spans="54:54" ht="15.75" customHeight="1" x14ac:dyDescent="0.3">
      <c r="BB1041649" s="38"/>
    </row>
    <row r="1041650" spans="54:54" ht="15.75" customHeight="1" x14ac:dyDescent="0.3">
      <c r="BB1041650" s="38"/>
    </row>
    <row r="1041651" spans="54:54" ht="15.75" customHeight="1" x14ac:dyDescent="0.3">
      <c r="BB1041651" s="38"/>
    </row>
    <row r="1041652" spans="54:54" ht="15.75" customHeight="1" x14ac:dyDescent="0.3">
      <c r="BB1041652" s="38"/>
    </row>
    <row r="1041653" spans="54:54" ht="15.75" customHeight="1" x14ac:dyDescent="0.3">
      <c r="BB1041653" s="38"/>
    </row>
    <row r="1041654" spans="54:54" ht="15.75" customHeight="1" x14ac:dyDescent="0.3">
      <c r="BB1041654" s="38"/>
    </row>
    <row r="1041655" spans="54:54" ht="15.75" customHeight="1" x14ac:dyDescent="0.3">
      <c r="BB1041655" s="38"/>
    </row>
    <row r="1041656" spans="54:54" ht="15.75" customHeight="1" x14ac:dyDescent="0.3">
      <c r="BB1041656" s="38"/>
    </row>
    <row r="1041657" spans="54:54" ht="15.75" customHeight="1" x14ac:dyDescent="0.3">
      <c r="BB1041657" s="38"/>
    </row>
    <row r="1041658" spans="54:54" ht="15.75" customHeight="1" x14ac:dyDescent="0.3">
      <c r="BB1041658" s="38"/>
    </row>
    <row r="1041659" spans="54:54" ht="15.75" customHeight="1" x14ac:dyDescent="0.3">
      <c r="BB1041659" s="38"/>
    </row>
    <row r="1041660" spans="54:54" ht="15.75" customHeight="1" x14ac:dyDescent="0.3">
      <c r="BB1041660" s="38"/>
    </row>
    <row r="1041661" spans="54:54" ht="15.75" customHeight="1" x14ac:dyDescent="0.3">
      <c r="BB1041661" s="38"/>
    </row>
    <row r="1041662" spans="54:54" ht="15.75" customHeight="1" x14ac:dyDescent="0.3">
      <c r="BB1041662" s="38"/>
    </row>
    <row r="1041663" spans="54:54" ht="15.75" customHeight="1" x14ac:dyDescent="0.3">
      <c r="BB1041663" s="38"/>
    </row>
    <row r="1041664" spans="54:54" ht="15.75" customHeight="1" x14ac:dyDescent="0.3">
      <c r="BB1041664" s="38"/>
    </row>
    <row r="1041665" spans="54:54" ht="15.75" customHeight="1" x14ac:dyDescent="0.3">
      <c r="BB1041665" s="38"/>
    </row>
    <row r="1041666" spans="54:54" ht="15.75" customHeight="1" x14ac:dyDescent="0.3">
      <c r="BB1041666" s="38"/>
    </row>
    <row r="1041667" spans="54:54" ht="15.75" customHeight="1" x14ac:dyDescent="0.3">
      <c r="BB1041667" s="38"/>
    </row>
    <row r="1041668" spans="54:54" ht="15.75" customHeight="1" x14ac:dyDescent="0.3">
      <c r="BB1041668" s="38"/>
    </row>
    <row r="1041669" spans="54:54" ht="15.75" customHeight="1" x14ac:dyDescent="0.3">
      <c r="BB1041669" s="38"/>
    </row>
    <row r="1041670" spans="54:54" ht="15.75" customHeight="1" x14ac:dyDescent="0.3">
      <c r="BB1041670" s="38"/>
    </row>
    <row r="1041671" spans="54:54" ht="15.75" customHeight="1" x14ac:dyDescent="0.3">
      <c r="BB1041671" s="38"/>
    </row>
    <row r="1041672" spans="54:54" ht="15.75" customHeight="1" x14ac:dyDescent="0.3">
      <c r="BB1041672" s="38"/>
    </row>
    <row r="1041673" spans="54:54" ht="15.75" customHeight="1" x14ac:dyDescent="0.3">
      <c r="BB1041673" s="38"/>
    </row>
    <row r="1041674" spans="54:54" ht="15.75" customHeight="1" x14ac:dyDescent="0.3">
      <c r="BB1041674" s="38"/>
    </row>
    <row r="1041675" spans="54:54" ht="15.75" customHeight="1" x14ac:dyDescent="0.3">
      <c r="BB1041675" s="38"/>
    </row>
    <row r="1041676" spans="54:54" ht="15.75" customHeight="1" x14ac:dyDescent="0.3">
      <c r="BB1041676" s="38"/>
    </row>
    <row r="1041677" spans="54:54" ht="15.75" customHeight="1" x14ac:dyDescent="0.3">
      <c r="BB1041677" s="38"/>
    </row>
    <row r="1041678" spans="54:54" ht="15.75" customHeight="1" x14ac:dyDescent="0.3">
      <c r="BB1041678" s="38"/>
    </row>
    <row r="1041679" spans="54:54" ht="15.75" customHeight="1" x14ac:dyDescent="0.3">
      <c r="BB1041679" s="38"/>
    </row>
    <row r="1041680" spans="54:54" ht="15.75" customHeight="1" x14ac:dyDescent="0.3">
      <c r="BB1041680" s="38"/>
    </row>
    <row r="1041681" spans="54:54" ht="15.75" customHeight="1" x14ac:dyDescent="0.3">
      <c r="BB1041681" s="38"/>
    </row>
    <row r="1041682" spans="54:54" ht="15.75" customHeight="1" x14ac:dyDescent="0.3">
      <c r="BB1041682" s="38"/>
    </row>
    <row r="1041683" spans="54:54" ht="15.75" customHeight="1" x14ac:dyDescent="0.3">
      <c r="BB1041683" s="38"/>
    </row>
    <row r="1041684" spans="54:54" ht="15.75" customHeight="1" x14ac:dyDescent="0.3">
      <c r="BB1041684" s="38"/>
    </row>
    <row r="1041685" spans="54:54" ht="15.75" customHeight="1" x14ac:dyDescent="0.3">
      <c r="BB1041685" s="38"/>
    </row>
    <row r="1041686" spans="54:54" ht="15.75" customHeight="1" x14ac:dyDescent="0.3">
      <c r="BB1041686" s="38"/>
    </row>
    <row r="1041687" spans="54:54" ht="15.75" customHeight="1" x14ac:dyDescent="0.3">
      <c r="BB1041687" s="38"/>
    </row>
    <row r="1041688" spans="54:54" ht="15.75" customHeight="1" x14ac:dyDescent="0.3">
      <c r="BB1041688" s="38"/>
    </row>
    <row r="1041689" spans="54:54" ht="15.75" customHeight="1" x14ac:dyDescent="0.3">
      <c r="BB1041689" s="38"/>
    </row>
    <row r="1041690" spans="54:54" ht="15.75" customHeight="1" x14ac:dyDescent="0.3">
      <c r="BB1041690" s="38"/>
    </row>
    <row r="1041691" spans="54:54" ht="15.75" customHeight="1" x14ac:dyDescent="0.3">
      <c r="BB1041691" s="38"/>
    </row>
    <row r="1041692" spans="54:54" ht="15.75" customHeight="1" x14ac:dyDescent="0.3">
      <c r="BB1041692" s="38"/>
    </row>
    <row r="1041693" spans="54:54" ht="15.75" customHeight="1" x14ac:dyDescent="0.3">
      <c r="BB1041693" s="38"/>
    </row>
    <row r="1041694" spans="54:54" ht="15.75" customHeight="1" x14ac:dyDescent="0.3">
      <c r="BB1041694" s="38"/>
    </row>
    <row r="1041695" spans="54:54" ht="15.75" customHeight="1" x14ac:dyDescent="0.3">
      <c r="BB1041695" s="38"/>
    </row>
    <row r="1041696" spans="54:54" ht="15.75" customHeight="1" x14ac:dyDescent="0.3">
      <c r="BB1041696" s="38"/>
    </row>
    <row r="1041697" spans="54:54" ht="15.75" customHeight="1" x14ac:dyDescent="0.3">
      <c r="BB1041697" s="38"/>
    </row>
    <row r="1041698" spans="54:54" ht="15.75" customHeight="1" x14ac:dyDescent="0.3">
      <c r="BB1041698" s="38"/>
    </row>
    <row r="1041699" spans="54:54" ht="15.75" customHeight="1" x14ac:dyDescent="0.3">
      <c r="BB1041699" s="38"/>
    </row>
    <row r="1041700" spans="54:54" ht="15.75" customHeight="1" x14ac:dyDescent="0.3">
      <c r="BB1041700" s="38"/>
    </row>
    <row r="1041701" spans="54:54" ht="15.75" customHeight="1" x14ac:dyDescent="0.3">
      <c r="BB1041701" s="38"/>
    </row>
    <row r="1041702" spans="54:54" ht="15.75" customHeight="1" x14ac:dyDescent="0.3">
      <c r="BB1041702" s="38"/>
    </row>
    <row r="1041703" spans="54:54" ht="15.75" customHeight="1" x14ac:dyDescent="0.3">
      <c r="BB1041703" s="38"/>
    </row>
    <row r="1041704" spans="54:54" ht="15.75" customHeight="1" x14ac:dyDescent="0.3">
      <c r="BB1041704" s="38"/>
    </row>
    <row r="1041705" spans="54:54" ht="15.75" customHeight="1" x14ac:dyDescent="0.3">
      <c r="BB1041705" s="38"/>
    </row>
    <row r="1041706" spans="54:54" ht="15.75" customHeight="1" x14ac:dyDescent="0.3">
      <c r="BB1041706" s="38"/>
    </row>
    <row r="1041707" spans="54:54" ht="15.75" customHeight="1" x14ac:dyDescent="0.3">
      <c r="BB1041707" s="38"/>
    </row>
    <row r="1041708" spans="54:54" ht="15.75" customHeight="1" x14ac:dyDescent="0.3">
      <c r="BB1041708" s="38"/>
    </row>
    <row r="1041709" spans="54:54" ht="15.75" customHeight="1" x14ac:dyDescent="0.3">
      <c r="BB1041709" s="38"/>
    </row>
    <row r="1041710" spans="54:54" ht="15.75" customHeight="1" x14ac:dyDescent="0.3">
      <c r="BB1041710" s="38"/>
    </row>
    <row r="1041711" spans="54:54" ht="15.75" customHeight="1" x14ac:dyDescent="0.3">
      <c r="BB1041711" s="38"/>
    </row>
    <row r="1041712" spans="54:54" ht="15.75" customHeight="1" x14ac:dyDescent="0.3">
      <c r="BB1041712" s="38"/>
    </row>
    <row r="1041713" spans="54:54" ht="15.75" customHeight="1" x14ac:dyDescent="0.3">
      <c r="BB1041713" s="38"/>
    </row>
    <row r="1041714" spans="54:54" ht="15.75" customHeight="1" x14ac:dyDescent="0.3">
      <c r="BB1041714" s="38"/>
    </row>
    <row r="1041715" spans="54:54" ht="15.75" customHeight="1" x14ac:dyDescent="0.3">
      <c r="BB1041715" s="38"/>
    </row>
    <row r="1041716" spans="54:54" ht="15.75" customHeight="1" x14ac:dyDescent="0.3">
      <c r="BB1041716" s="38"/>
    </row>
    <row r="1041717" spans="54:54" ht="15.75" customHeight="1" x14ac:dyDescent="0.3">
      <c r="BB1041717" s="38"/>
    </row>
    <row r="1041718" spans="54:54" ht="15.75" customHeight="1" x14ac:dyDescent="0.3">
      <c r="BB1041718" s="38"/>
    </row>
    <row r="1041719" spans="54:54" ht="15.75" customHeight="1" x14ac:dyDescent="0.3">
      <c r="BB1041719" s="38"/>
    </row>
    <row r="1041720" spans="54:54" ht="15.75" customHeight="1" x14ac:dyDescent="0.3">
      <c r="BB1041720" s="38"/>
    </row>
    <row r="1041721" spans="54:54" ht="15.75" customHeight="1" x14ac:dyDescent="0.3">
      <c r="BB1041721" s="38"/>
    </row>
    <row r="1041722" spans="54:54" ht="15.75" customHeight="1" x14ac:dyDescent="0.3">
      <c r="BB1041722" s="38"/>
    </row>
    <row r="1041723" spans="54:54" ht="15.75" customHeight="1" x14ac:dyDescent="0.3">
      <c r="BB1041723" s="38"/>
    </row>
    <row r="1041724" spans="54:54" ht="15.75" customHeight="1" x14ac:dyDescent="0.3">
      <c r="BB1041724" s="38"/>
    </row>
    <row r="1041725" spans="54:54" ht="15.75" customHeight="1" x14ac:dyDescent="0.3">
      <c r="BB1041725" s="38"/>
    </row>
    <row r="1041726" spans="54:54" ht="15.75" customHeight="1" x14ac:dyDescent="0.3">
      <c r="BB1041726" s="38"/>
    </row>
    <row r="1041727" spans="54:54" ht="15.75" customHeight="1" x14ac:dyDescent="0.3">
      <c r="BB1041727" s="38"/>
    </row>
    <row r="1041728" spans="54:54" ht="15.75" customHeight="1" x14ac:dyDescent="0.3">
      <c r="BB1041728" s="38"/>
    </row>
    <row r="1041729" spans="54:54" ht="15.75" customHeight="1" x14ac:dyDescent="0.3">
      <c r="BB1041729" s="38"/>
    </row>
    <row r="1041730" spans="54:54" ht="15.75" customHeight="1" x14ac:dyDescent="0.3">
      <c r="BB1041730" s="38"/>
    </row>
    <row r="1041731" spans="54:54" ht="15.75" customHeight="1" x14ac:dyDescent="0.3">
      <c r="BB1041731" s="38"/>
    </row>
    <row r="1041732" spans="54:54" ht="15.75" customHeight="1" x14ac:dyDescent="0.3">
      <c r="BB1041732" s="38"/>
    </row>
    <row r="1041733" spans="54:54" ht="15.75" customHeight="1" x14ac:dyDescent="0.3">
      <c r="BB1041733" s="38"/>
    </row>
    <row r="1041734" spans="54:54" ht="15.75" customHeight="1" x14ac:dyDescent="0.3">
      <c r="BB1041734" s="38"/>
    </row>
    <row r="1041735" spans="54:54" ht="15.75" customHeight="1" x14ac:dyDescent="0.3">
      <c r="BB1041735" s="38"/>
    </row>
    <row r="1041736" spans="54:54" ht="15.75" customHeight="1" x14ac:dyDescent="0.3">
      <c r="BB1041736" s="38"/>
    </row>
    <row r="1041737" spans="54:54" ht="15.75" customHeight="1" x14ac:dyDescent="0.3">
      <c r="BB1041737" s="38"/>
    </row>
    <row r="1041738" spans="54:54" ht="15.75" customHeight="1" x14ac:dyDescent="0.3">
      <c r="BB1041738" s="38"/>
    </row>
    <row r="1041739" spans="54:54" ht="15.75" customHeight="1" x14ac:dyDescent="0.3">
      <c r="BB1041739" s="38"/>
    </row>
    <row r="1041740" spans="54:54" ht="15.75" customHeight="1" x14ac:dyDescent="0.3">
      <c r="BB1041740" s="38"/>
    </row>
    <row r="1041741" spans="54:54" ht="15.75" customHeight="1" x14ac:dyDescent="0.3">
      <c r="BB1041741" s="38"/>
    </row>
    <row r="1041742" spans="54:54" ht="15.75" customHeight="1" x14ac:dyDescent="0.3">
      <c r="BB1041742" s="38"/>
    </row>
    <row r="1041743" spans="54:54" ht="15.75" customHeight="1" x14ac:dyDescent="0.3">
      <c r="BB1041743" s="38"/>
    </row>
    <row r="1041744" spans="54:54" ht="15.75" customHeight="1" x14ac:dyDescent="0.3">
      <c r="BB1041744" s="38"/>
    </row>
    <row r="1041745" spans="54:54" ht="15.75" customHeight="1" x14ac:dyDescent="0.3">
      <c r="BB1041745" s="38"/>
    </row>
    <row r="1041746" spans="54:54" ht="15.75" customHeight="1" x14ac:dyDescent="0.3">
      <c r="BB1041746" s="38"/>
    </row>
    <row r="1041747" spans="54:54" ht="15.75" customHeight="1" x14ac:dyDescent="0.3">
      <c r="BB1041747" s="38"/>
    </row>
    <row r="1041748" spans="54:54" ht="15.75" customHeight="1" x14ac:dyDescent="0.3">
      <c r="BB1041748" s="38"/>
    </row>
    <row r="1041749" spans="54:54" ht="15.75" customHeight="1" x14ac:dyDescent="0.3">
      <c r="BB1041749" s="38"/>
    </row>
    <row r="1041750" spans="54:54" ht="15.75" customHeight="1" x14ac:dyDescent="0.3">
      <c r="BB1041750" s="38"/>
    </row>
    <row r="1041751" spans="54:54" ht="15.75" customHeight="1" x14ac:dyDescent="0.3">
      <c r="BB1041751" s="38"/>
    </row>
    <row r="1041752" spans="54:54" ht="15.75" customHeight="1" x14ac:dyDescent="0.3">
      <c r="BB1041752" s="38"/>
    </row>
    <row r="1041753" spans="54:54" ht="15.75" customHeight="1" x14ac:dyDescent="0.3">
      <c r="BB1041753" s="38"/>
    </row>
    <row r="1041754" spans="54:54" ht="15.75" customHeight="1" x14ac:dyDescent="0.3">
      <c r="BB1041754" s="38"/>
    </row>
    <row r="1041755" spans="54:54" ht="15.75" customHeight="1" x14ac:dyDescent="0.3">
      <c r="BB1041755" s="38"/>
    </row>
    <row r="1041756" spans="54:54" ht="15.75" customHeight="1" x14ac:dyDescent="0.3">
      <c r="BB1041756" s="38"/>
    </row>
    <row r="1041757" spans="54:54" ht="15.75" customHeight="1" x14ac:dyDescent="0.3">
      <c r="BB1041757" s="38"/>
    </row>
    <row r="1041758" spans="54:54" ht="15.75" customHeight="1" x14ac:dyDescent="0.3">
      <c r="BB1041758" s="38"/>
    </row>
    <row r="1041759" spans="54:54" ht="15.75" customHeight="1" x14ac:dyDescent="0.3">
      <c r="BB1041759" s="38"/>
    </row>
    <row r="1041760" spans="54:54" ht="15.75" customHeight="1" x14ac:dyDescent="0.3">
      <c r="BB1041760" s="38"/>
    </row>
    <row r="1041761" spans="54:54" ht="15.75" customHeight="1" x14ac:dyDescent="0.3">
      <c r="BB1041761" s="38"/>
    </row>
    <row r="1041762" spans="54:54" ht="15.75" customHeight="1" x14ac:dyDescent="0.3">
      <c r="BB1041762" s="38"/>
    </row>
    <row r="1041763" spans="54:54" ht="15.75" customHeight="1" x14ac:dyDescent="0.3">
      <c r="BB1041763" s="38"/>
    </row>
    <row r="1041764" spans="54:54" ht="15.75" customHeight="1" x14ac:dyDescent="0.3">
      <c r="BB1041764" s="38"/>
    </row>
    <row r="1041765" spans="54:54" ht="15.75" customHeight="1" x14ac:dyDescent="0.3">
      <c r="BB1041765" s="38"/>
    </row>
    <row r="1041766" spans="54:54" ht="15.75" customHeight="1" x14ac:dyDescent="0.3">
      <c r="BB1041766" s="38"/>
    </row>
    <row r="1041767" spans="54:54" ht="15.75" customHeight="1" x14ac:dyDescent="0.3">
      <c r="BB1041767" s="38"/>
    </row>
    <row r="1041768" spans="54:54" ht="15.75" customHeight="1" x14ac:dyDescent="0.3">
      <c r="BB1041768" s="38"/>
    </row>
    <row r="1041769" spans="54:54" ht="15.75" customHeight="1" x14ac:dyDescent="0.3">
      <c r="BB1041769" s="38"/>
    </row>
    <row r="1041770" spans="54:54" ht="15.75" customHeight="1" x14ac:dyDescent="0.3">
      <c r="BB1041770" s="38"/>
    </row>
    <row r="1041771" spans="54:54" ht="15.75" customHeight="1" x14ac:dyDescent="0.3">
      <c r="BB1041771" s="38"/>
    </row>
    <row r="1041772" spans="54:54" ht="15.75" customHeight="1" x14ac:dyDescent="0.3">
      <c r="BB1041772" s="38"/>
    </row>
    <row r="1041773" spans="54:54" ht="15.75" customHeight="1" x14ac:dyDescent="0.3">
      <c r="BB1041773" s="38"/>
    </row>
    <row r="1041774" spans="54:54" ht="15.75" customHeight="1" x14ac:dyDescent="0.3">
      <c r="BB1041774" s="38"/>
    </row>
    <row r="1041775" spans="54:54" ht="15.75" customHeight="1" x14ac:dyDescent="0.3">
      <c r="BB1041775" s="38"/>
    </row>
    <row r="1041776" spans="54:54" ht="15.75" customHeight="1" x14ac:dyDescent="0.3">
      <c r="BB1041776" s="38"/>
    </row>
    <row r="1041777" spans="54:54" ht="15.75" customHeight="1" x14ac:dyDescent="0.3">
      <c r="BB1041777" s="38"/>
    </row>
    <row r="1041778" spans="54:54" ht="15.75" customHeight="1" x14ac:dyDescent="0.3">
      <c r="BB1041778" s="38"/>
    </row>
    <row r="1041779" spans="54:54" ht="15.75" customHeight="1" x14ac:dyDescent="0.3">
      <c r="BB1041779" s="38"/>
    </row>
    <row r="1041780" spans="54:54" ht="15.75" customHeight="1" x14ac:dyDescent="0.3">
      <c r="BB1041780" s="38"/>
    </row>
    <row r="1041781" spans="54:54" ht="15.75" customHeight="1" x14ac:dyDescent="0.3">
      <c r="BB1041781" s="38"/>
    </row>
    <row r="1041782" spans="54:54" ht="15.75" customHeight="1" x14ac:dyDescent="0.3">
      <c r="BB1041782" s="38"/>
    </row>
    <row r="1041783" spans="54:54" ht="15.75" customHeight="1" x14ac:dyDescent="0.3">
      <c r="BB1041783" s="38"/>
    </row>
    <row r="1041784" spans="54:54" ht="15.75" customHeight="1" x14ac:dyDescent="0.3">
      <c r="BB1041784" s="38"/>
    </row>
    <row r="1041785" spans="54:54" ht="15.75" customHeight="1" x14ac:dyDescent="0.3">
      <c r="BB1041785" s="38"/>
    </row>
    <row r="1041786" spans="54:54" ht="15.75" customHeight="1" x14ac:dyDescent="0.3">
      <c r="BB1041786" s="38"/>
    </row>
    <row r="1041787" spans="54:54" ht="15.75" customHeight="1" x14ac:dyDescent="0.3">
      <c r="BB1041787" s="38"/>
    </row>
    <row r="1041788" spans="54:54" ht="15.75" customHeight="1" x14ac:dyDescent="0.3">
      <c r="BB1041788" s="38"/>
    </row>
    <row r="1041789" spans="54:54" ht="15.75" customHeight="1" x14ac:dyDescent="0.3">
      <c r="BB1041789" s="38"/>
    </row>
    <row r="1041790" spans="54:54" ht="15.75" customHeight="1" x14ac:dyDescent="0.3">
      <c r="BB1041790" s="38"/>
    </row>
    <row r="1041791" spans="54:54" ht="15.75" customHeight="1" x14ac:dyDescent="0.3">
      <c r="BB1041791" s="38"/>
    </row>
    <row r="1041792" spans="54:54" ht="15.75" customHeight="1" x14ac:dyDescent="0.3">
      <c r="BB1041792" s="38"/>
    </row>
    <row r="1041793" spans="54:54" ht="15.75" customHeight="1" x14ac:dyDescent="0.3">
      <c r="BB1041793" s="38"/>
    </row>
    <row r="1041794" spans="54:54" ht="15.75" customHeight="1" x14ac:dyDescent="0.3">
      <c r="BB1041794" s="38"/>
    </row>
    <row r="1041795" spans="54:54" ht="15.75" customHeight="1" x14ac:dyDescent="0.3">
      <c r="BB1041795" s="38"/>
    </row>
    <row r="1041796" spans="54:54" ht="15.75" customHeight="1" x14ac:dyDescent="0.3">
      <c r="BB1041796" s="38"/>
    </row>
    <row r="1041797" spans="54:54" ht="15.75" customHeight="1" x14ac:dyDescent="0.3">
      <c r="BB1041797" s="38"/>
    </row>
    <row r="1041798" spans="54:54" ht="15.75" customHeight="1" x14ac:dyDescent="0.3">
      <c r="BB1041798" s="38"/>
    </row>
    <row r="1041799" spans="54:54" ht="15.75" customHeight="1" x14ac:dyDescent="0.3">
      <c r="BB1041799" s="38"/>
    </row>
    <row r="1041800" spans="54:54" ht="15.75" customHeight="1" x14ac:dyDescent="0.3">
      <c r="BB1041800" s="38"/>
    </row>
    <row r="1041801" spans="54:54" ht="15.75" customHeight="1" x14ac:dyDescent="0.3">
      <c r="BB1041801" s="38"/>
    </row>
    <row r="1041802" spans="54:54" ht="15.75" customHeight="1" x14ac:dyDescent="0.3">
      <c r="BB1041802" s="38"/>
    </row>
    <row r="1041803" spans="54:54" ht="15.75" customHeight="1" x14ac:dyDescent="0.3">
      <c r="BB1041803" s="38"/>
    </row>
    <row r="1041804" spans="54:54" ht="15.75" customHeight="1" x14ac:dyDescent="0.3">
      <c r="BB1041804" s="38"/>
    </row>
    <row r="1041805" spans="54:54" ht="15.75" customHeight="1" x14ac:dyDescent="0.3">
      <c r="BB1041805" s="38"/>
    </row>
    <row r="1041806" spans="54:54" ht="15.75" customHeight="1" x14ac:dyDescent="0.3">
      <c r="BB1041806" s="38"/>
    </row>
    <row r="1041807" spans="54:54" ht="15.75" customHeight="1" x14ac:dyDescent="0.3">
      <c r="BB1041807" s="38"/>
    </row>
    <row r="1041808" spans="54:54" ht="15.75" customHeight="1" x14ac:dyDescent="0.3">
      <c r="BB1041808" s="38"/>
    </row>
    <row r="1041809" spans="54:54" ht="15.75" customHeight="1" x14ac:dyDescent="0.3">
      <c r="BB1041809" s="38"/>
    </row>
    <row r="1041810" spans="54:54" ht="15.75" customHeight="1" x14ac:dyDescent="0.3">
      <c r="BB1041810" s="38"/>
    </row>
    <row r="1041811" spans="54:54" ht="15.75" customHeight="1" x14ac:dyDescent="0.3">
      <c r="BB1041811" s="38"/>
    </row>
    <row r="1041812" spans="54:54" ht="15.75" customHeight="1" x14ac:dyDescent="0.3">
      <c r="BB1041812" s="38"/>
    </row>
    <row r="1041813" spans="54:54" ht="15.75" customHeight="1" x14ac:dyDescent="0.3">
      <c r="BB1041813" s="38"/>
    </row>
    <row r="1041814" spans="54:54" ht="15.75" customHeight="1" x14ac:dyDescent="0.3">
      <c r="BB1041814" s="38"/>
    </row>
    <row r="1041815" spans="54:54" ht="15.75" customHeight="1" x14ac:dyDescent="0.3">
      <c r="BB1041815" s="38"/>
    </row>
    <row r="1041816" spans="54:54" ht="15.75" customHeight="1" x14ac:dyDescent="0.3">
      <c r="BB1041816" s="38"/>
    </row>
    <row r="1041817" spans="54:54" ht="15.75" customHeight="1" x14ac:dyDescent="0.3">
      <c r="BB1041817" s="38"/>
    </row>
    <row r="1041818" spans="54:54" ht="15.75" customHeight="1" x14ac:dyDescent="0.3">
      <c r="BB1041818" s="38"/>
    </row>
    <row r="1041819" spans="54:54" ht="15.75" customHeight="1" x14ac:dyDescent="0.3">
      <c r="BB1041819" s="38"/>
    </row>
    <row r="1041820" spans="54:54" ht="15.75" customHeight="1" x14ac:dyDescent="0.3">
      <c r="BB1041820" s="38"/>
    </row>
    <row r="1041821" spans="54:54" ht="15.75" customHeight="1" x14ac:dyDescent="0.3">
      <c r="BB1041821" s="38"/>
    </row>
    <row r="1041822" spans="54:54" ht="15.75" customHeight="1" x14ac:dyDescent="0.3">
      <c r="BB1041822" s="38"/>
    </row>
    <row r="1041823" spans="54:54" ht="15.75" customHeight="1" x14ac:dyDescent="0.3">
      <c r="BB1041823" s="38"/>
    </row>
    <row r="1041824" spans="54:54" ht="15.75" customHeight="1" x14ac:dyDescent="0.3">
      <c r="BB1041824" s="38"/>
    </row>
    <row r="1041825" spans="54:54" ht="15.75" customHeight="1" x14ac:dyDescent="0.3">
      <c r="BB1041825" s="38"/>
    </row>
    <row r="1041826" spans="54:54" ht="15.75" customHeight="1" x14ac:dyDescent="0.3">
      <c r="BB1041826" s="38"/>
    </row>
    <row r="1041827" spans="54:54" ht="15.75" customHeight="1" x14ac:dyDescent="0.3">
      <c r="BB1041827" s="38"/>
    </row>
    <row r="1041828" spans="54:54" ht="15.75" customHeight="1" x14ac:dyDescent="0.3">
      <c r="BB1041828" s="38"/>
    </row>
    <row r="1041829" spans="54:54" ht="15.75" customHeight="1" x14ac:dyDescent="0.3">
      <c r="BB1041829" s="38"/>
    </row>
    <row r="1041830" spans="54:54" ht="15.75" customHeight="1" x14ac:dyDescent="0.3">
      <c r="BB1041830" s="38"/>
    </row>
    <row r="1041831" spans="54:54" ht="15.75" customHeight="1" x14ac:dyDescent="0.3">
      <c r="BB1041831" s="38"/>
    </row>
    <row r="1041832" spans="54:54" ht="15.75" customHeight="1" x14ac:dyDescent="0.3">
      <c r="BB1041832" s="38"/>
    </row>
    <row r="1041833" spans="54:54" ht="15.75" customHeight="1" x14ac:dyDescent="0.3">
      <c r="BB1041833" s="38"/>
    </row>
    <row r="1041834" spans="54:54" ht="15.75" customHeight="1" x14ac:dyDescent="0.3">
      <c r="BB1041834" s="38"/>
    </row>
    <row r="1041835" spans="54:54" ht="15.75" customHeight="1" x14ac:dyDescent="0.3">
      <c r="BB1041835" s="38"/>
    </row>
    <row r="1041836" spans="54:54" ht="15.75" customHeight="1" x14ac:dyDescent="0.3">
      <c r="BB1041836" s="38"/>
    </row>
    <row r="1041837" spans="54:54" ht="15.75" customHeight="1" x14ac:dyDescent="0.3">
      <c r="BB1041837" s="38"/>
    </row>
    <row r="1041838" spans="54:54" ht="15.75" customHeight="1" x14ac:dyDescent="0.3">
      <c r="BB1041838" s="38"/>
    </row>
    <row r="1041839" spans="54:54" ht="15.75" customHeight="1" x14ac:dyDescent="0.3">
      <c r="BB1041839" s="38"/>
    </row>
    <row r="1041840" spans="54:54" ht="15.75" customHeight="1" x14ac:dyDescent="0.3">
      <c r="BB1041840" s="38"/>
    </row>
    <row r="1041841" spans="54:54" ht="15.75" customHeight="1" x14ac:dyDescent="0.3">
      <c r="BB1041841" s="38"/>
    </row>
    <row r="1041842" spans="54:54" ht="15.75" customHeight="1" x14ac:dyDescent="0.3">
      <c r="BB1041842" s="38"/>
    </row>
    <row r="1041843" spans="54:54" ht="15.75" customHeight="1" x14ac:dyDescent="0.3">
      <c r="BB1041843" s="38"/>
    </row>
    <row r="1041844" spans="54:54" ht="15.75" customHeight="1" x14ac:dyDescent="0.3">
      <c r="BB1041844" s="38"/>
    </row>
    <row r="1041845" spans="54:54" ht="15.75" customHeight="1" x14ac:dyDescent="0.3">
      <c r="BB1041845" s="38"/>
    </row>
    <row r="1041846" spans="54:54" ht="15.75" customHeight="1" x14ac:dyDescent="0.3">
      <c r="BB1041846" s="38"/>
    </row>
    <row r="1041847" spans="54:54" ht="15.75" customHeight="1" x14ac:dyDescent="0.3">
      <c r="BB1041847" s="38"/>
    </row>
    <row r="1041848" spans="54:54" ht="15.75" customHeight="1" x14ac:dyDescent="0.3">
      <c r="BB1041848" s="38"/>
    </row>
    <row r="1041849" spans="54:54" ht="15.75" customHeight="1" x14ac:dyDescent="0.3">
      <c r="BB1041849" s="38"/>
    </row>
    <row r="1041850" spans="54:54" ht="15.75" customHeight="1" x14ac:dyDescent="0.3">
      <c r="BB1041850" s="38"/>
    </row>
    <row r="1041851" spans="54:54" ht="15.75" customHeight="1" x14ac:dyDescent="0.3">
      <c r="BB1041851" s="38"/>
    </row>
    <row r="1041852" spans="54:54" ht="15.75" customHeight="1" x14ac:dyDescent="0.3">
      <c r="BB1041852" s="38"/>
    </row>
    <row r="1041853" spans="54:54" ht="15.75" customHeight="1" x14ac:dyDescent="0.3">
      <c r="BB1041853" s="38"/>
    </row>
    <row r="1041854" spans="54:54" ht="15.75" customHeight="1" x14ac:dyDescent="0.3">
      <c r="BB1041854" s="38"/>
    </row>
    <row r="1041855" spans="54:54" ht="15.75" customHeight="1" x14ac:dyDescent="0.3">
      <c r="BB1041855" s="38"/>
    </row>
    <row r="1041856" spans="54:54" ht="15.75" customHeight="1" x14ac:dyDescent="0.3">
      <c r="BB1041856" s="38"/>
    </row>
    <row r="1041857" spans="54:54" ht="15.75" customHeight="1" x14ac:dyDescent="0.3">
      <c r="BB1041857" s="38"/>
    </row>
    <row r="1041858" spans="54:54" ht="15.75" customHeight="1" x14ac:dyDescent="0.3">
      <c r="BB1041858" s="38"/>
    </row>
    <row r="1041859" spans="54:54" ht="15.75" customHeight="1" x14ac:dyDescent="0.3">
      <c r="BB1041859" s="38"/>
    </row>
    <row r="1041860" spans="54:54" ht="15.75" customHeight="1" x14ac:dyDescent="0.3">
      <c r="BB1041860" s="38"/>
    </row>
    <row r="1041861" spans="54:54" ht="15.75" customHeight="1" x14ac:dyDescent="0.3">
      <c r="BB1041861" s="38"/>
    </row>
    <row r="1041862" spans="54:54" ht="15.75" customHeight="1" x14ac:dyDescent="0.3">
      <c r="BB1041862" s="38"/>
    </row>
    <row r="1041863" spans="54:54" ht="15.75" customHeight="1" x14ac:dyDescent="0.3">
      <c r="BB1041863" s="38"/>
    </row>
    <row r="1041864" spans="54:54" ht="15.75" customHeight="1" x14ac:dyDescent="0.3">
      <c r="BB1041864" s="38"/>
    </row>
    <row r="1041865" spans="54:54" ht="15.75" customHeight="1" x14ac:dyDescent="0.3">
      <c r="BB1041865" s="38"/>
    </row>
    <row r="1041866" spans="54:54" ht="15.75" customHeight="1" x14ac:dyDescent="0.3">
      <c r="BB1041866" s="38"/>
    </row>
    <row r="1041867" spans="54:54" ht="15.75" customHeight="1" x14ac:dyDescent="0.3">
      <c r="BB1041867" s="38"/>
    </row>
    <row r="1041868" spans="54:54" ht="15.75" customHeight="1" x14ac:dyDescent="0.3">
      <c r="BB1041868" s="38"/>
    </row>
    <row r="1041869" spans="54:54" ht="15.75" customHeight="1" x14ac:dyDescent="0.3">
      <c r="BB1041869" s="38"/>
    </row>
    <row r="1041870" spans="54:54" ht="15.75" customHeight="1" x14ac:dyDescent="0.3">
      <c r="BB1041870" s="38"/>
    </row>
    <row r="1041871" spans="54:54" ht="15.75" customHeight="1" x14ac:dyDescent="0.3">
      <c r="BB1041871" s="38"/>
    </row>
    <row r="1041872" spans="54:54" ht="15.75" customHeight="1" x14ac:dyDescent="0.3">
      <c r="BB1041872" s="38"/>
    </row>
    <row r="1041873" spans="54:54" ht="15.75" customHeight="1" x14ac:dyDescent="0.3">
      <c r="BB1041873" s="38"/>
    </row>
    <row r="1041874" spans="54:54" ht="15.75" customHeight="1" x14ac:dyDescent="0.3">
      <c r="BB1041874" s="38"/>
    </row>
    <row r="1041875" spans="54:54" ht="15.75" customHeight="1" x14ac:dyDescent="0.3">
      <c r="BB1041875" s="38"/>
    </row>
    <row r="1041876" spans="54:54" ht="15.75" customHeight="1" x14ac:dyDescent="0.3">
      <c r="BB1041876" s="38"/>
    </row>
    <row r="1041877" spans="54:54" ht="15.75" customHeight="1" x14ac:dyDescent="0.3">
      <c r="BB1041877" s="38"/>
    </row>
    <row r="1041878" spans="54:54" ht="15.75" customHeight="1" x14ac:dyDescent="0.3">
      <c r="BB1041878" s="38"/>
    </row>
    <row r="1041879" spans="54:54" ht="15.75" customHeight="1" x14ac:dyDescent="0.3">
      <c r="BB1041879" s="38"/>
    </row>
    <row r="1041880" spans="54:54" ht="15.75" customHeight="1" x14ac:dyDescent="0.3">
      <c r="BB1041880" s="38"/>
    </row>
    <row r="1041881" spans="54:54" ht="15.75" customHeight="1" x14ac:dyDescent="0.3">
      <c r="BB1041881" s="38"/>
    </row>
    <row r="1041882" spans="54:54" ht="15.75" customHeight="1" x14ac:dyDescent="0.3">
      <c r="BB1041882" s="38"/>
    </row>
    <row r="1041883" spans="54:54" ht="15.75" customHeight="1" x14ac:dyDescent="0.3">
      <c r="BB1041883" s="38"/>
    </row>
    <row r="1041884" spans="54:54" ht="15.75" customHeight="1" x14ac:dyDescent="0.3">
      <c r="BB1041884" s="38"/>
    </row>
    <row r="1041885" spans="54:54" ht="15.75" customHeight="1" x14ac:dyDescent="0.3">
      <c r="BB1041885" s="38"/>
    </row>
    <row r="1041886" spans="54:54" ht="15.75" customHeight="1" x14ac:dyDescent="0.3">
      <c r="BB1041886" s="38"/>
    </row>
    <row r="1041887" spans="54:54" ht="15.75" customHeight="1" x14ac:dyDescent="0.3">
      <c r="BB1041887" s="38"/>
    </row>
    <row r="1041888" spans="54:54" ht="15.75" customHeight="1" x14ac:dyDescent="0.3">
      <c r="BB1041888" s="38"/>
    </row>
    <row r="1041889" spans="54:54" ht="15.75" customHeight="1" x14ac:dyDescent="0.3">
      <c r="BB1041889" s="38"/>
    </row>
    <row r="1041890" spans="54:54" ht="15.75" customHeight="1" x14ac:dyDescent="0.3">
      <c r="BB1041890" s="38"/>
    </row>
    <row r="1041891" spans="54:54" ht="15.75" customHeight="1" x14ac:dyDescent="0.3">
      <c r="BB1041891" s="38"/>
    </row>
    <row r="1041892" spans="54:54" ht="15.75" customHeight="1" x14ac:dyDescent="0.3">
      <c r="BB1041892" s="38"/>
    </row>
    <row r="1041893" spans="54:54" ht="15.75" customHeight="1" x14ac:dyDescent="0.3">
      <c r="BB1041893" s="38"/>
    </row>
    <row r="1041894" spans="54:54" ht="15.75" customHeight="1" x14ac:dyDescent="0.3">
      <c r="BB1041894" s="38"/>
    </row>
    <row r="1041895" spans="54:54" ht="15.75" customHeight="1" x14ac:dyDescent="0.3">
      <c r="BB1041895" s="38"/>
    </row>
    <row r="1041896" spans="54:54" ht="15.75" customHeight="1" x14ac:dyDescent="0.3">
      <c r="BB1041896" s="38"/>
    </row>
    <row r="1041897" spans="54:54" ht="15.75" customHeight="1" x14ac:dyDescent="0.3">
      <c r="BB1041897" s="38"/>
    </row>
    <row r="1041898" spans="54:54" ht="15.75" customHeight="1" x14ac:dyDescent="0.3">
      <c r="BB1041898" s="38"/>
    </row>
    <row r="1041899" spans="54:54" ht="15.75" customHeight="1" x14ac:dyDescent="0.3">
      <c r="BB1041899" s="38"/>
    </row>
    <row r="1041900" spans="54:54" ht="15.75" customHeight="1" x14ac:dyDescent="0.3">
      <c r="BB1041900" s="38"/>
    </row>
    <row r="1041901" spans="54:54" ht="15.75" customHeight="1" x14ac:dyDescent="0.3">
      <c r="BB1041901" s="38"/>
    </row>
    <row r="1041902" spans="54:54" ht="15.75" customHeight="1" x14ac:dyDescent="0.3">
      <c r="BB1041902" s="38"/>
    </row>
    <row r="1041903" spans="54:54" ht="15.75" customHeight="1" x14ac:dyDescent="0.3">
      <c r="BB1041903" s="38"/>
    </row>
    <row r="1041904" spans="54:54" ht="15.75" customHeight="1" x14ac:dyDescent="0.3">
      <c r="BB1041904" s="38"/>
    </row>
    <row r="1041905" spans="54:54" ht="15.75" customHeight="1" x14ac:dyDescent="0.3">
      <c r="BB1041905" s="38"/>
    </row>
    <row r="1041906" spans="54:54" ht="15.75" customHeight="1" x14ac:dyDescent="0.3">
      <c r="BB1041906" s="38"/>
    </row>
    <row r="1041907" spans="54:54" ht="15.75" customHeight="1" x14ac:dyDescent="0.3">
      <c r="BB1041907" s="38"/>
    </row>
    <row r="1041908" spans="54:54" ht="15.75" customHeight="1" x14ac:dyDescent="0.3">
      <c r="BB1041908" s="38"/>
    </row>
    <row r="1041909" spans="54:54" ht="15.75" customHeight="1" x14ac:dyDescent="0.3">
      <c r="BB1041909" s="38"/>
    </row>
    <row r="1041910" spans="54:54" ht="15.75" customHeight="1" x14ac:dyDescent="0.3">
      <c r="BB1041910" s="38"/>
    </row>
    <row r="1041911" spans="54:54" ht="15.75" customHeight="1" x14ac:dyDescent="0.3">
      <c r="BB1041911" s="38"/>
    </row>
    <row r="1041912" spans="54:54" ht="15.75" customHeight="1" x14ac:dyDescent="0.3">
      <c r="BB1041912" s="38"/>
    </row>
    <row r="1041913" spans="54:54" ht="15.75" customHeight="1" x14ac:dyDescent="0.3">
      <c r="BB1041913" s="38"/>
    </row>
    <row r="1041914" spans="54:54" ht="15.75" customHeight="1" x14ac:dyDescent="0.3">
      <c r="BB1041914" s="38"/>
    </row>
    <row r="1041915" spans="54:54" ht="15.75" customHeight="1" x14ac:dyDescent="0.3">
      <c r="BB1041915" s="38"/>
    </row>
    <row r="1041916" spans="54:54" ht="15.75" customHeight="1" x14ac:dyDescent="0.3">
      <c r="BB1041916" s="38"/>
    </row>
    <row r="1041917" spans="54:54" ht="15.75" customHeight="1" x14ac:dyDescent="0.3">
      <c r="BB1041917" s="38"/>
    </row>
    <row r="1041918" spans="54:54" ht="15.75" customHeight="1" x14ac:dyDescent="0.3">
      <c r="BB1041918" s="38"/>
    </row>
    <row r="1041919" spans="54:54" ht="15.75" customHeight="1" x14ac:dyDescent="0.3">
      <c r="BB1041919" s="38"/>
    </row>
    <row r="1041920" spans="54:54" ht="15.75" customHeight="1" x14ac:dyDescent="0.3">
      <c r="BB1041920" s="38"/>
    </row>
    <row r="1041921" spans="54:54" ht="15.75" customHeight="1" x14ac:dyDescent="0.3">
      <c r="BB1041921" s="38"/>
    </row>
    <row r="1041922" spans="54:54" ht="15.75" customHeight="1" x14ac:dyDescent="0.3">
      <c r="BB1041922" s="38"/>
    </row>
    <row r="1041923" spans="54:54" ht="15.75" customHeight="1" x14ac:dyDescent="0.3">
      <c r="BB1041923" s="38"/>
    </row>
    <row r="1041924" spans="54:54" ht="15.75" customHeight="1" x14ac:dyDescent="0.3">
      <c r="BB1041924" s="38"/>
    </row>
    <row r="1041925" spans="54:54" ht="15.75" customHeight="1" x14ac:dyDescent="0.3">
      <c r="BB1041925" s="38"/>
    </row>
    <row r="1041926" spans="54:54" ht="15.75" customHeight="1" x14ac:dyDescent="0.3">
      <c r="BB1041926" s="38"/>
    </row>
    <row r="1041927" spans="54:54" ht="15.75" customHeight="1" x14ac:dyDescent="0.3">
      <c r="BB1041927" s="38"/>
    </row>
    <row r="1041928" spans="54:54" ht="15.75" customHeight="1" x14ac:dyDescent="0.3">
      <c r="BB1041928" s="38"/>
    </row>
    <row r="1041929" spans="54:54" ht="15.75" customHeight="1" x14ac:dyDescent="0.3">
      <c r="BB1041929" s="38"/>
    </row>
    <row r="1041930" spans="54:54" ht="15.75" customHeight="1" x14ac:dyDescent="0.3">
      <c r="BB1041930" s="38"/>
    </row>
    <row r="1041931" spans="54:54" ht="15.75" customHeight="1" x14ac:dyDescent="0.3">
      <c r="BB1041931" s="38"/>
    </row>
    <row r="1041932" spans="54:54" ht="15.75" customHeight="1" x14ac:dyDescent="0.3">
      <c r="BB1041932" s="38"/>
    </row>
    <row r="1041933" spans="54:54" ht="15.75" customHeight="1" x14ac:dyDescent="0.3">
      <c r="BB1041933" s="38"/>
    </row>
    <row r="1041934" spans="54:54" ht="15.75" customHeight="1" x14ac:dyDescent="0.3">
      <c r="BB1041934" s="38"/>
    </row>
    <row r="1041935" spans="54:54" ht="15.75" customHeight="1" x14ac:dyDescent="0.3">
      <c r="BB1041935" s="38"/>
    </row>
    <row r="1041936" spans="54:54" ht="15.75" customHeight="1" x14ac:dyDescent="0.3">
      <c r="BB1041936" s="38"/>
    </row>
    <row r="1041937" spans="54:54" ht="15.75" customHeight="1" x14ac:dyDescent="0.3">
      <c r="BB1041937" s="38"/>
    </row>
    <row r="1041938" spans="54:54" ht="15.75" customHeight="1" x14ac:dyDescent="0.3">
      <c r="BB1041938" s="38"/>
    </row>
    <row r="1041939" spans="54:54" ht="15.75" customHeight="1" x14ac:dyDescent="0.3">
      <c r="BB1041939" s="38"/>
    </row>
    <row r="1041940" spans="54:54" ht="15.75" customHeight="1" x14ac:dyDescent="0.3">
      <c r="BB1041940" s="38"/>
    </row>
    <row r="1041941" spans="54:54" ht="15.75" customHeight="1" x14ac:dyDescent="0.3">
      <c r="BB1041941" s="38"/>
    </row>
    <row r="1041942" spans="54:54" ht="15.75" customHeight="1" x14ac:dyDescent="0.3">
      <c r="BB1041942" s="38"/>
    </row>
    <row r="1041943" spans="54:54" ht="15.75" customHeight="1" x14ac:dyDescent="0.3">
      <c r="BB1041943" s="38"/>
    </row>
    <row r="1041944" spans="54:54" ht="15.75" customHeight="1" x14ac:dyDescent="0.3">
      <c r="BB1041944" s="38"/>
    </row>
    <row r="1041945" spans="54:54" ht="15.75" customHeight="1" x14ac:dyDescent="0.3">
      <c r="BB1041945" s="38"/>
    </row>
    <row r="1041946" spans="54:54" ht="15.75" customHeight="1" x14ac:dyDescent="0.3">
      <c r="BB1041946" s="38"/>
    </row>
    <row r="1041947" spans="54:54" ht="15.75" customHeight="1" x14ac:dyDescent="0.3">
      <c r="BB1041947" s="38"/>
    </row>
    <row r="1041948" spans="54:54" ht="15.75" customHeight="1" x14ac:dyDescent="0.3">
      <c r="BB1041948" s="38"/>
    </row>
    <row r="1041949" spans="54:54" ht="15.75" customHeight="1" x14ac:dyDescent="0.3">
      <c r="BB1041949" s="38"/>
    </row>
    <row r="1041950" spans="54:54" ht="15.75" customHeight="1" x14ac:dyDescent="0.3">
      <c r="BB1041950" s="38"/>
    </row>
    <row r="1041951" spans="54:54" ht="15.75" customHeight="1" x14ac:dyDescent="0.3">
      <c r="BB1041951" s="38"/>
    </row>
    <row r="1041952" spans="54:54" ht="15.75" customHeight="1" x14ac:dyDescent="0.3">
      <c r="BB1041952" s="38"/>
    </row>
    <row r="1041953" spans="54:54" ht="15.75" customHeight="1" x14ac:dyDescent="0.3">
      <c r="BB1041953" s="38"/>
    </row>
    <row r="1041954" spans="54:54" ht="15.75" customHeight="1" x14ac:dyDescent="0.3">
      <c r="BB1041954" s="38"/>
    </row>
    <row r="1041955" spans="54:54" ht="15.75" customHeight="1" x14ac:dyDescent="0.3">
      <c r="BB1041955" s="38"/>
    </row>
    <row r="1041956" spans="54:54" ht="15.75" customHeight="1" x14ac:dyDescent="0.3">
      <c r="BB1041956" s="38"/>
    </row>
    <row r="1041957" spans="54:54" ht="15.75" customHeight="1" x14ac:dyDescent="0.3">
      <c r="BB1041957" s="38"/>
    </row>
    <row r="1041958" spans="54:54" ht="15.75" customHeight="1" x14ac:dyDescent="0.3">
      <c r="BB1041958" s="38"/>
    </row>
    <row r="1041959" spans="54:54" ht="15.75" customHeight="1" x14ac:dyDescent="0.3">
      <c r="BB1041959" s="38"/>
    </row>
    <row r="1041960" spans="54:54" ht="15.75" customHeight="1" x14ac:dyDescent="0.3">
      <c r="BB1041960" s="38"/>
    </row>
    <row r="1041961" spans="54:54" ht="15.75" customHeight="1" x14ac:dyDescent="0.3">
      <c r="BB1041961" s="38"/>
    </row>
    <row r="1041962" spans="54:54" ht="15.75" customHeight="1" x14ac:dyDescent="0.3">
      <c r="BB1041962" s="38"/>
    </row>
    <row r="1041963" spans="54:54" ht="15.75" customHeight="1" x14ac:dyDescent="0.3">
      <c r="BB1041963" s="38"/>
    </row>
    <row r="1041964" spans="54:54" ht="15.75" customHeight="1" x14ac:dyDescent="0.3">
      <c r="BB1041964" s="38"/>
    </row>
    <row r="1041965" spans="54:54" ht="15.75" customHeight="1" x14ac:dyDescent="0.3">
      <c r="BB1041965" s="38"/>
    </row>
    <row r="1041966" spans="54:54" ht="15.75" customHeight="1" x14ac:dyDescent="0.3">
      <c r="BB1041966" s="38"/>
    </row>
    <row r="1041967" spans="54:54" ht="15.75" customHeight="1" x14ac:dyDescent="0.3">
      <c r="BB1041967" s="38"/>
    </row>
    <row r="1041968" spans="54:54" ht="15.75" customHeight="1" x14ac:dyDescent="0.3">
      <c r="BB1041968" s="38"/>
    </row>
    <row r="1041969" spans="54:54" ht="15.75" customHeight="1" x14ac:dyDescent="0.3">
      <c r="BB1041969" s="38"/>
    </row>
    <row r="1041970" spans="54:54" ht="15.75" customHeight="1" x14ac:dyDescent="0.3">
      <c r="BB1041970" s="38"/>
    </row>
    <row r="1041971" spans="54:54" ht="15.75" customHeight="1" x14ac:dyDescent="0.3">
      <c r="BB1041971" s="38"/>
    </row>
    <row r="1041972" spans="54:54" ht="15.75" customHeight="1" x14ac:dyDescent="0.3">
      <c r="BB1041972" s="38"/>
    </row>
    <row r="1041973" spans="54:54" ht="15.75" customHeight="1" x14ac:dyDescent="0.3">
      <c r="BB1041973" s="38"/>
    </row>
    <row r="1041974" spans="54:54" ht="15.75" customHeight="1" x14ac:dyDescent="0.3">
      <c r="BB1041974" s="38"/>
    </row>
    <row r="1041975" spans="54:54" ht="15.75" customHeight="1" x14ac:dyDescent="0.3">
      <c r="BB1041975" s="38"/>
    </row>
    <row r="1041976" spans="54:54" ht="15.75" customHeight="1" x14ac:dyDescent="0.3">
      <c r="BB1041976" s="38"/>
    </row>
    <row r="1041977" spans="54:54" ht="15.75" customHeight="1" x14ac:dyDescent="0.3">
      <c r="BB1041977" s="38"/>
    </row>
    <row r="1041978" spans="54:54" ht="15.75" customHeight="1" x14ac:dyDescent="0.3">
      <c r="BB1041978" s="38"/>
    </row>
    <row r="1041979" spans="54:54" ht="15.75" customHeight="1" x14ac:dyDescent="0.3">
      <c r="BB1041979" s="38"/>
    </row>
    <row r="1041980" spans="54:54" ht="15.75" customHeight="1" x14ac:dyDescent="0.3">
      <c r="BB1041980" s="38"/>
    </row>
    <row r="1041981" spans="54:54" ht="15.75" customHeight="1" x14ac:dyDescent="0.3">
      <c r="BB1041981" s="38"/>
    </row>
    <row r="1041982" spans="54:54" ht="15.75" customHeight="1" x14ac:dyDescent="0.3">
      <c r="BB1041982" s="38"/>
    </row>
    <row r="1041983" spans="54:54" ht="15.75" customHeight="1" x14ac:dyDescent="0.3">
      <c r="BB1041983" s="38"/>
    </row>
    <row r="1041984" spans="54:54" ht="15.75" customHeight="1" x14ac:dyDescent="0.3">
      <c r="BB1041984" s="38"/>
    </row>
    <row r="1041985" spans="54:54" ht="15.75" customHeight="1" x14ac:dyDescent="0.3">
      <c r="BB1041985" s="38"/>
    </row>
    <row r="1041986" spans="54:54" ht="15.75" customHeight="1" x14ac:dyDescent="0.3">
      <c r="BB1041986" s="38"/>
    </row>
    <row r="1041987" spans="54:54" ht="15.75" customHeight="1" x14ac:dyDescent="0.3">
      <c r="BB1041987" s="38"/>
    </row>
    <row r="1041988" spans="54:54" ht="15.75" customHeight="1" x14ac:dyDescent="0.3">
      <c r="BB1041988" s="38"/>
    </row>
    <row r="1041989" spans="54:54" ht="15.75" customHeight="1" x14ac:dyDescent="0.3">
      <c r="BB1041989" s="38"/>
    </row>
    <row r="1041990" spans="54:54" ht="15.75" customHeight="1" x14ac:dyDescent="0.3">
      <c r="BB1041990" s="38"/>
    </row>
    <row r="1041991" spans="54:54" ht="15.75" customHeight="1" x14ac:dyDescent="0.3">
      <c r="BB1041991" s="38"/>
    </row>
    <row r="1041992" spans="54:54" ht="15.75" customHeight="1" x14ac:dyDescent="0.3">
      <c r="BB1041992" s="38"/>
    </row>
    <row r="1041993" spans="54:54" ht="15.75" customHeight="1" x14ac:dyDescent="0.3">
      <c r="BB1041993" s="38"/>
    </row>
    <row r="1041994" spans="54:54" ht="15.75" customHeight="1" x14ac:dyDescent="0.3">
      <c r="BB1041994" s="38"/>
    </row>
    <row r="1041995" spans="54:54" ht="15.75" customHeight="1" x14ac:dyDescent="0.3">
      <c r="BB1041995" s="38"/>
    </row>
    <row r="1041996" spans="54:54" ht="15.75" customHeight="1" x14ac:dyDescent="0.3">
      <c r="BB1041996" s="38"/>
    </row>
    <row r="1041997" spans="54:54" ht="15.75" customHeight="1" x14ac:dyDescent="0.3">
      <c r="BB1041997" s="38"/>
    </row>
    <row r="1041998" spans="54:54" ht="15.75" customHeight="1" x14ac:dyDescent="0.3">
      <c r="BB1041998" s="38"/>
    </row>
    <row r="1041999" spans="54:54" ht="15.75" customHeight="1" x14ac:dyDescent="0.3">
      <c r="BB1041999" s="38"/>
    </row>
    <row r="1042000" spans="54:54" ht="15.75" customHeight="1" x14ac:dyDescent="0.3">
      <c r="BB1042000" s="38"/>
    </row>
    <row r="1042001" spans="54:54" ht="15.75" customHeight="1" x14ac:dyDescent="0.3">
      <c r="BB1042001" s="38"/>
    </row>
    <row r="1042002" spans="54:54" ht="15.75" customHeight="1" x14ac:dyDescent="0.3">
      <c r="BB1042002" s="38"/>
    </row>
    <row r="1042003" spans="54:54" ht="15.75" customHeight="1" x14ac:dyDescent="0.3">
      <c r="BB1042003" s="38"/>
    </row>
    <row r="1042004" spans="54:54" ht="15.75" customHeight="1" x14ac:dyDescent="0.3">
      <c r="BB1042004" s="38"/>
    </row>
    <row r="1042005" spans="54:54" ht="15.75" customHeight="1" x14ac:dyDescent="0.3">
      <c r="BB1042005" s="38"/>
    </row>
    <row r="1042006" spans="54:54" ht="15.75" customHeight="1" x14ac:dyDescent="0.3">
      <c r="BB1042006" s="38"/>
    </row>
    <row r="1042007" spans="54:54" ht="15.75" customHeight="1" x14ac:dyDescent="0.3">
      <c r="BB1042007" s="38"/>
    </row>
    <row r="1042008" spans="54:54" ht="15.75" customHeight="1" x14ac:dyDescent="0.3">
      <c r="BB1042008" s="38"/>
    </row>
    <row r="1042009" spans="54:54" ht="15.75" customHeight="1" x14ac:dyDescent="0.3">
      <c r="BB1042009" s="38"/>
    </row>
    <row r="1042010" spans="54:54" ht="15.75" customHeight="1" x14ac:dyDescent="0.3">
      <c r="BB1042010" s="38"/>
    </row>
    <row r="1042011" spans="54:54" ht="15.75" customHeight="1" x14ac:dyDescent="0.3">
      <c r="BB1042011" s="38"/>
    </row>
    <row r="1042012" spans="54:54" ht="15.75" customHeight="1" x14ac:dyDescent="0.3">
      <c r="BB1042012" s="38"/>
    </row>
    <row r="1042013" spans="54:54" ht="15.75" customHeight="1" x14ac:dyDescent="0.3">
      <c r="BB1042013" s="38"/>
    </row>
    <row r="1042014" spans="54:54" ht="15.75" customHeight="1" x14ac:dyDescent="0.3">
      <c r="BB1042014" s="38"/>
    </row>
    <row r="1042015" spans="54:54" ht="15.75" customHeight="1" x14ac:dyDescent="0.3">
      <c r="BB1042015" s="38"/>
    </row>
    <row r="1042016" spans="54:54" ht="15.75" customHeight="1" x14ac:dyDescent="0.3">
      <c r="BB1042016" s="38"/>
    </row>
    <row r="1042017" spans="54:54" ht="15.75" customHeight="1" x14ac:dyDescent="0.3">
      <c r="BB1042017" s="38"/>
    </row>
    <row r="1042018" spans="54:54" ht="15.75" customHeight="1" x14ac:dyDescent="0.3">
      <c r="BB1042018" s="38"/>
    </row>
    <row r="1042019" spans="54:54" ht="15.75" customHeight="1" x14ac:dyDescent="0.3">
      <c r="BB1042019" s="38"/>
    </row>
    <row r="1042020" spans="54:54" ht="15.75" customHeight="1" x14ac:dyDescent="0.3">
      <c r="BB1042020" s="38"/>
    </row>
    <row r="1042021" spans="54:54" ht="15.75" customHeight="1" x14ac:dyDescent="0.3">
      <c r="BB1042021" s="38"/>
    </row>
    <row r="1042022" spans="54:54" ht="15.75" customHeight="1" x14ac:dyDescent="0.3">
      <c r="BB1042022" s="38"/>
    </row>
    <row r="1042023" spans="54:54" ht="15.75" customHeight="1" x14ac:dyDescent="0.3">
      <c r="BB1042023" s="38"/>
    </row>
    <row r="1042024" spans="54:54" ht="15.75" customHeight="1" x14ac:dyDescent="0.3">
      <c r="BB1042024" s="38"/>
    </row>
    <row r="1042025" spans="54:54" ht="15.75" customHeight="1" x14ac:dyDescent="0.3">
      <c r="BB1042025" s="38"/>
    </row>
    <row r="1042026" spans="54:54" ht="15.75" customHeight="1" x14ac:dyDescent="0.3">
      <c r="BB1042026" s="38"/>
    </row>
    <row r="1042027" spans="54:54" ht="15.75" customHeight="1" x14ac:dyDescent="0.3">
      <c r="BB1042027" s="38"/>
    </row>
    <row r="1042028" spans="54:54" ht="15.75" customHeight="1" x14ac:dyDescent="0.3">
      <c r="BB1042028" s="38"/>
    </row>
    <row r="1042029" spans="54:54" ht="15.75" customHeight="1" x14ac:dyDescent="0.3">
      <c r="BB1042029" s="38"/>
    </row>
    <row r="1042030" spans="54:54" ht="15.75" customHeight="1" x14ac:dyDescent="0.3">
      <c r="BB1042030" s="38"/>
    </row>
    <row r="1042031" spans="54:54" ht="15.75" customHeight="1" x14ac:dyDescent="0.3">
      <c r="BB1042031" s="38"/>
    </row>
    <row r="1042032" spans="54:54" ht="15.75" customHeight="1" x14ac:dyDescent="0.3">
      <c r="BB1042032" s="38"/>
    </row>
    <row r="1042033" spans="54:54" ht="15.75" customHeight="1" x14ac:dyDescent="0.3">
      <c r="BB1042033" s="38"/>
    </row>
    <row r="1042034" spans="54:54" ht="15.75" customHeight="1" x14ac:dyDescent="0.3">
      <c r="BB1042034" s="38"/>
    </row>
    <row r="1042035" spans="54:54" ht="15.75" customHeight="1" x14ac:dyDescent="0.3">
      <c r="BB1042035" s="38"/>
    </row>
    <row r="1042036" spans="54:54" ht="15.75" customHeight="1" x14ac:dyDescent="0.3">
      <c r="BB1042036" s="38"/>
    </row>
    <row r="1042037" spans="54:54" ht="15.75" customHeight="1" x14ac:dyDescent="0.3">
      <c r="BB1042037" s="38"/>
    </row>
    <row r="1042038" spans="54:54" ht="15.75" customHeight="1" x14ac:dyDescent="0.3">
      <c r="BB1042038" s="38"/>
    </row>
    <row r="1042039" spans="54:54" ht="15.75" customHeight="1" x14ac:dyDescent="0.3">
      <c r="BB1042039" s="38"/>
    </row>
    <row r="1042040" spans="54:54" ht="15.75" customHeight="1" x14ac:dyDescent="0.3">
      <c r="BB1042040" s="38"/>
    </row>
    <row r="1042041" spans="54:54" ht="15.75" customHeight="1" x14ac:dyDescent="0.3">
      <c r="BB1042041" s="38"/>
    </row>
    <row r="1042042" spans="54:54" ht="15.75" customHeight="1" x14ac:dyDescent="0.3">
      <c r="BB1042042" s="38"/>
    </row>
    <row r="1042043" spans="54:54" ht="15.75" customHeight="1" x14ac:dyDescent="0.3">
      <c r="BB1042043" s="38"/>
    </row>
    <row r="1042044" spans="54:54" ht="15.75" customHeight="1" x14ac:dyDescent="0.3">
      <c r="BB1042044" s="38"/>
    </row>
    <row r="1042045" spans="54:54" ht="15.75" customHeight="1" x14ac:dyDescent="0.3">
      <c r="BB1042045" s="38"/>
    </row>
    <row r="1042046" spans="54:54" ht="15.75" customHeight="1" x14ac:dyDescent="0.3">
      <c r="BB1042046" s="38"/>
    </row>
    <row r="1042047" spans="54:54" ht="15.75" customHeight="1" x14ac:dyDescent="0.3">
      <c r="BB1042047" s="38"/>
    </row>
    <row r="1042048" spans="54:54" ht="15.75" customHeight="1" x14ac:dyDescent="0.3">
      <c r="BB1042048" s="38"/>
    </row>
    <row r="1042049" spans="54:54" ht="15.75" customHeight="1" x14ac:dyDescent="0.3">
      <c r="BB1042049" s="38"/>
    </row>
    <row r="1042050" spans="54:54" ht="15.75" customHeight="1" x14ac:dyDescent="0.3">
      <c r="BB1042050" s="38"/>
    </row>
    <row r="1042051" spans="54:54" ht="15.75" customHeight="1" x14ac:dyDescent="0.3">
      <c r="BB1042051" s="38"/>
    </row>
    <row r="1042052" spans="54:54" ht="15.75" customHeight="1" x14ac:dyDescent="0.3">
      <c r="BB1042052" s="38"/>
    </row>
    <row r="1042053" spans="54:54" ht="15.75" customHeight="1" x14ac:dyDescent="0.3">
      <c r="BB1042053" s="38"/>
    </row>
    <row r="1042054" spans="54:54" ht="15.75" customHeight="1" x14ac:dyDescent="0.3">
      <c r="BB1042054" s="38"/>
    </row>
    <row r="1042055" spans="54:54" ht="15.75" customHeight="1" x14ac:dyDescent="0.3">
      <c r="BB1042055" s="38"/>
    </row>
    <row r="1042056" spans="54:54" ht="15.75" customHeight="1" x14ac:dyDescent="0.3">
      <c r="BB1042056" s="38"/>
    </row>
    <row r="1042057" spans="54:54" ht="15.75" customHeight="1" x14ac:dyDescent="0.3">
      <c r="BB1042057" s="38"/>
    </row>
    <row r="1042058" spans="54:54" ht="15.75" customHeight="1" x14ac:dyDescent="0.3">
      <c r="BB1042058" s="38"/>
    </row>
    <row r="1042059" spans="54:54" ht="15.75" customHeight="1" x14ac:dyDescent="0.3">
      <c r="BB1042059" s="38"/>
    </row>
    <row r="1042060" spans="54:54" ht="15.75" customHeight="1" x14ac:dyDescent="0.3">
      <c r="BB1042060" s="38"/>
    </row>
    <row r="1042061" spans="54:54" ht="15.75" customHeight="1" x14ac:dyDescent="0.3">
      <c r="BB1042061" s="38"/>
    </row>
    <row r="1042062" spans="54:54" ht="15.75" customHeight="1" x14ac:dyDescent="0.3">
      <c r="BB1042062" s="38"/>
    </row>
    <row r="1042063" spans="54:54" ht="15.75" customHeight="1" x14ac:dyDescent="0.3">
      <c r="BB1042063" s="38"/>
    </row>
    <row r="1042064" spans="54:54" ht="15.75" customHeight="1" x14ac:dyDescent="0.3">
      <c r="BB1042064" s="38"/>
    </row>
    <row r="1042065" spans="54:54" ht="15.75" customHeight="1" x14ac:dyDescent="0.3">
      <c r="BB1042065" s="38"/>
    </row>
    <row r="1042066" spans="54:54" ht="15.75" customHeight="1" x14ac:dyDescent="0.3">
      <c r="BB1042066" s="38"/>
    </row>
    <row r="1042067" spans="54:54" ht="15.75" customHeight="1" x14ac:dyDescent="0.3">
      <c r="BB1042067" s="38"/>
    </row>
    <row r="1042068" spans="54:54" ht="15.75" customHeight="1" x14ac:dyDescent="0.3">
      <c r="BB1042068" s="38"/>
    </row>
    <row r="1042069" spans="54:54" ht="15.75" customHeight="1" x14ac:dyDescent="0.3">
      <c r="BB1042069" s="38"/>
    </row>
    <row r="1042070" spans="54:54" ht="15.75" customHeight="1" x14ac:dyDescent="0.3">
      <c r="BB1042070" s="38"/>
    </row>
    <row r="1042071" spans="54:54" ht="15.75" customHeight="1" x14ac:dyDescent="0.3">
      <c r="BB1042071" s="38"/>
    </row>
    <row r="1042072" spans="54:54" ht="15.75" customHeight="1" x14ac:dyDescent="0.3">
      <c r="BB1042072" s="38"/>
    </row>
    <row r="1042073" spans="54:54" ht="15.75" customHeight="1" x14ac:dyDescent="0.3">
      <c r="BB1042073" s="38"/>
    </row>
    <row r="1042074" spans="54:54" ht="15.75" customHeight="1" x14ac:dyDescent="0.3">
      <c r="BB1042074" s="38"/>
    </row>
    <row r="1042075" spans="54:54" ht="15.75" customHeight="1" x14ac:dyDescent="0.3">
      <c r="BB1042075" s="38"/>
    </row>
    <row r="1042076" spans="54:54" ht="15.75" customHeight="1" x14ac:dyDescent="0.3">
      <c r="BB1042076" s="38"/>
    </row>
    <row r="1042077" spans="54:54" ht="15.75" customHeight="1" x14ac:dyDescent="0.3">
      <c r="BB1042077" s="38"/>
    </row>
    <row r="1042078" spans="54:54" ht="15.75" customHeight="1" x14ac:dyDescent="0.3">
      <c r="BB1042078" s="38"/>
    </row>
    <row r="1042079" spans="54:54" ht="15.75" customHeight="1" x14ac:dyDescent="0.3">
      <c r="BB1042079" s="38"/>
    </row>
    <row r="1042080" spans="54:54" ht="15.75" customHeight="1" x14ac:dyDescent="0.3">
      <c r="BB1042080" s="38"/>
    </row>
    <row r="1042081" spans="54:54" ht="15.75" customHeight="1" x14ac:dyDescent="0.3">
      <c r="BB1042081" s="38"/>
    </row>
    <row r="1042082" spans="54:54" ht="15.75" customHeight="1" x14ac:dyDescent="0.3">
      <c r="BB1042082" s="38"/>
    </row>
    <row r="1042083" spans="54:54" ht="15.75" customHeight="1" x14ac:dyDescent="0.3">
      <c r="BB1042083" s="38"/>
    </row>
    <row r="1042084" spans="54:54" ht="15.75" customHeight="1" x14ac:dyDescent="0.3">
      <c r="BB1042084" s="38"/>
    </row>
    <row r="1042085" spans="54:54" ht="15.75" customHeight="1" x14ac:dyDescent="0.3">
      <c r="BB1042085" s="38"/>
    </row>
    <row r="1042086" spans="54:54" ht="15.75" customHeight="1" x14ac:dyDescent="0.3">
      <c r="BB1042086" s="38"/>
    </row>
    <row r="1042087" spans="54:54" ht="15.75" customHeight="1" x14ac:dyDescent="0.3">
      <c r="BB1042087" s="38"/>
    </row>
    <row r="1042088" spans="54:54" ht="15.75" customHeight="1" x14ac:dyDescent="0.3">
      <c r="BB1042088" s="38"/>
    </row>
    <row r="1042089" spans="54:54" ht="15.75" customHeight="1" x14ac:dyDescent="0.3">
      <c r="BB1042089" s="38"/>
    </row>
    <row r="1042090" spans="54:54" ht="15.75" customHeight="1" x14ac:dyDescent="0.3">
      <c r="BB1042090" s="38"/>
    </row>
    <row r="1042091" spans="54:54" ht="15.75" customHeight="1" x14ac:dyDescent="0.3">
      <c r="BB1042091" s="38"/>
    </row>
    <row r="1042092" spans="54:54" ht="15.75" customHeight="1" x14ac:dyDescent="0.3">
      <c r="BB1042092" s="38"/>
    </row>
    <row r="1042093" spans="54:54" ht="15.75" customHeight="1" x14ac:dyDescent="0.3">
      <c r="BB1042093" s="38"/>
    </row>
    <row r="1042094" spans="54:54" ht="15.75" customHeight="1" x14ac:dyDescent="0.3">
      <c r="BB1042094" s="38"/>
    </row>
    <row r="1042095" spans="54:54" ht="15.75" customHeight="1" x14ac:dyDescent="0.3">
      <c r="BB1042095" s="38"/>
    </row>
    <row r="1042096" spans="54:54" ht="15.75" customHeight="1" x14ac:dyDescent="0.3">
      <c r="BB1042096" s="38"/>
    </row>
    <row r="1042097" spans="54:54" ht="15.75" customHeight="1" x14ac:dyDescent="0.3">
      <c r="BB1042097" s="38"/>
    </row>
    <row r="1042098" spans="54:54" ht="15.75" customHeight="1" x14ac:dyDescent="0.3">
      <c r="BB1042098" s="38"/>
    </row>
    <row r="1042099" spans="54:54" ht="15.75" customHeight="1" x14ac:dyDescent="0.3">
      <c r="BB1042099" s="38"/>
    </row>
    <row r="1042100" spans="54:54" ht="15.75" customHeight="1" x14ac:dyDescent="0.3">
      <c r="BB1042100" s="38"/>
    </row>
    <row r="1042101" spans="54:54" ht="15.75" customHeight="1" x14ac:dyDescent="0.3">
      <c r="BB1042101" s="38"/>
    </row>
    <row r="1042102" spans="54:54" ht="15.75" customHeight="1" x14ac:dyDescent="0.3">
      <c r="BB1042102" s="38"/>
    </row>
    <row r="1042103" spans="54:54" ht="15.75" customHeight="1" x14ac:dyDescent="0.3">
      <c r="BB1042103" s="38"/>
    </row>
    <row r="1042104" spans="54:54" ht="15.75" customHeight="1" x14ac:dyDescent="0.3">
      <c r="BB1042104" s="38"/>
    </row>
    <row r="1042105" spans="54:54" ht="15.75" customHeight="1" x14ac:dyDescent="0.3">
      <c r="BB1042105" s="38"/>
    </row>
    <row r="1042106" spans="54:54" ht="15.75" customHeight="1" x14ac:dyDescent="0.3">
      <c r="BB1042106" s="38"/>
    </row>
    <row r="1042107" spans="54:54" ht="15.75" customHeight="1" x14ac:dyDescent="0.3">
      <c r="BB1042107" s="38"/>
    </row>
    <row r="1042108" spans="54:54" ht="15.75" customHeight="1" x14ac:dyDescent="0.3">
      <c r="BB1042108" s="38"/>
    </row>
    <row r="1042109" spans="54:54" ht="15.75" customHeight="1" x14ac:dyDescent="0.3">
      <c r="BB1042109" s="38"/>
    </row>
    <row r="1042110" spans="54:54" ht="15.75" customHeight="1" x14ac:dyDescent="0.3">
      <c r="BB1042110" s="38"/>
    </row>
    <row r="1042111" spans="54:54" ht="15.75" customHeight="1" x14ac:dyDescent="0.3">
      <c r="BB1042111" s="38"/>
    </row>
    <row r="1042112" spans="54:54" ht="15.75" customHeight="1" x14ac:dyDescent="0.3">
      <c r="BB1042112" s="38"/>
    </row>
    <row r="1042113" spans="54:54" ht="15.75" customHeight="1" x14ac:dyDescent="0.3">
      <c r="BB1042113" s="38"/>
    </row>
    <row r="1042114" spans="54:54" ht="15.75" customHeight="1" x14ac:dyDescent="0.3">
      <c r="BB1042114" s="38"/>
    </row>
    <row r="1042115" spans="54:54" ht="15.75" customHeight="1" x14ac:dyDescent="0.3">
      <c r="BB1042115" s="38"/>
    </row>
    <row r="1042116" spans="54:54" ht="15.75" customHeight="1" x14ac:dyDescent="0.3">
      <c r="BB1042116" s="38"/>
    </row>
    <row r="1042117" spans="54:54" ht="15.75" customHeight="1" x14ac:dyDescent="0.3">
      <c r="BB1042117" s="38"/>
    </row>
    <row r="1042118" spans="54:54" ht="15.75" customHeight="1" x14ac:dyDescent="0.3">
      <c r="BB1042118" s="38"/>
    </row>
    <row r="1042119" spans="54:54" ht="15.75" customHeight="1" x14ac:dyDescent="0.3">
      <c r="BB1042119" s="38"/>
    </row>
    <row r="1042120" spans="54:54" ht="15.75" customHeight="1" x14ac:dyDescent="0.3">
      <c r="BB1042120" s="38"/>
    </row>
    <row r="1042121" spans="54:54" ht="15.75" customHeight="1" x14ac:dyDescent="0.3">
      <c r="BB1042121" s="38"/>
    </row>
    <row r="1042122" spans="54:54" ht="15.75" customHeight="1" x14ac:dyDescent="0.3">
      <c r="BB1042122" s="38"/>
    </row>
    <row r="1042123" spans="54:54" ht="15.75" customHeight="1" x14ac:dyDescent="0.3">
      <c r="BB1042123" s="38"/>
    </row>
    <row r="1042124" spans="54:54" ht="15.75" customHeight="1" x14ac:dyDescent="0.3">
      <c r="BB1042124" s="38"/>
    </row>
    <row r="1042125" spans="54:54" ht="15.75" customHeight="1" x14ac:dyDescent="0.3">
      <c r="BB1042125" s="38"/>
    </row>
    <row r="1042126" spans="54:54" ht="15.75" customHeight="1" x14ac:dyDescent="0.3">
      <c r="BB1042126" s="38"/>
    </row>
    <row r="1042127" spans="54:54" ht="15.75" customHeight="1" x14ac:dyDescent="0.3">
      <c r="BB1042127" s="38"/>
    </row>
    <row r="1042128" spans="54:54" ht="15.75" customHeight="1" x14ac:dyDescent="0.3">
      <c r="BB1042128" s="38"/>
    </row>
    <row r="1042129" spans="54:54" ht="15.75" customHeight="1" x14ac:dyDescent="0.3">
      <c r="BB1042129" s="38"/>
    </row>
    <row r="1042130" spans="54:54" ht="15.75" customHeight="1" x14ac:dyDescent="0.3">
      <c r="BB1042130" s="38"/>
    </row>
    <row r="1042131" spans="54:54" ht="15.75" customHeight="1" x14ac:dyDescent="0.3">
      <c r="BB1042131" s="38"/>
    </row>
    <row r="1042132" spans="54:54" ht="15.75" customHeight="1" x14ac:dyDescent="0.3">
      <c r="BB1042132" s="38"/>
    </row>
    <row r="1042133" spans="54:54" ht="15.75" customHeight="1" x14ac:dyDescent="0.3">
      <c r="BB1042133" s="38"/>
    </row>
    <row r="1042134" spans="54:54" ht="15.75" customHeight="1" x14ac:dyDescent="0.3">
      <c r="BB1042134" s="38"/>
    </row>
    <row r="1042135" spans="54:54" ht="15.75" customHeight="1" x14ac:dyDescent="0.3">
      <c r="BB1042135" s="38"/>
    </row>
    <row r="1042136" spans="54:54" ht="15.75" customHeight="1" x14ac:dyDescent="0.3">
      <c r="BB1042136" s="38"/>
    </row>
    <row r="1042137" spans="54:54" ht="15.75" customHeight="1" x14ac:dyDescent="0.3">
      <c r="BB1042137" s="38"/>
    </row>
    <row r="1042138" spans="54:54" ht="15.75" customHeight="1" x14ac:dyDescent="0.3">
      <c r="BB1042138" s="38"/>
    </row>
    <row r="1042139" spans="54:54" ht="15.75" customHeight="1" x14ac:dyDescent="0.3">
      <c r="BB1042139" s="38"/>
    </row>
    <row r="1042140" spans="54:54" ht="15.75" customHeight="1" x14ac:dyDescent="0.3">
      <c r="BB1042140" s="38"/>
    </row>
    <row r="1042141" spans="54:54" ht="15.75" customHeight="1" x14ac:dyDescent="0.3">
      <c r="BB1042141" s="38"/>
    </row>
    <row r="1042142" spans="54:54" ht="15.75" customHeight="1" x14ac:dyDescent="0.3">
      <c r="BB1042142" s="38"/>
    </row>
    <row r="1042143" spans="54:54" ht="15.75" customHeight="1" x14ac:dyDescent="0.3">
      <c r="BB1042143" s="38"/>
    </row>
    <row r="1042144" spans="54:54" ht="15.75" customHeight="1" x14ac:dyDescent="0.3">
      <c r="BB1042144" s="38"/>
    </row>
    <row r="1042145" spans="54:54" ht="15.75" customHeight="1" x14ac:dyDescent="0.3">
      <c r="BB1042145" s="38"/>
    </row>
    <row r="1042146" spans="54:54" ht="15.75" customHeight="1" x14ac:dyDescent="0.3">
      <c r="BB1042146" s="38"/>
    </row>
    <row r="1042147" spans="54:54" ht="15.75" customHeight="1" x14ac:dyDescent="0.3">
      <c r="BB1042147" s="38"/>
    </row>
    <row r="1042148" spans="54:54" ht="15.75" customHeight="1" x14ac:dyDescent="0.3">
      <c r="BB1042148" s="38"/>
    </row>
    <row r="1042149" spans="54:54" ht="15.75" customHeight="1" x14ac:dyDescent="0.3">
      <c r="BB1042149" s="38"/>
    </row>
    <row r="1042150" spans="54:54" ht="15.75" customHeight="1" x14ac:dyDescent="0.3">
      <c r="BB1042150" s="38"/>
    </row>
    <row r="1042151" spans="54:54" ht="15.75" customHeight="1" x14ac:dyDescent="0.3">
      <c r="BB1042151" s="38"/>
    </row>
    <row r="1042152" spans="54:54" ht="15.75" customHeight="1" x14ac:dyDescent="0.3">
      <c r="BB1042152" s="38"/>
    </row>
    <row r="1042153" spans="54:54" ht="15.75" customHeight="1" x14ac:dyDescent="0.3">
      <c r="BB1042153" s="38"/>
    </row>
    <row r="1042154" spans="54:54" ht="15.75" customHeight="1" x14ac:dyDescent="0.3">
      <c r="BB1042154" s="38"/>
    </row>
    <row r="1042155" spans="54:54" ht="15.75" customHeight="1" x14ac:dyDescent="0.3">
      <c r="BB1042155" s="38"/>
    </row>
    <row r="1042156" spans="54:54" ht="15.75" customHeight="1" x14ac:dyDescent="0.3">
      <c r="BB1042156" s="38"/>
    </row>
    <row r="1042157" spans="54:54" ht="15.75" customHeight="1" x14ac:dyDescent="0.3">
      <c r="BB1042157" s="38"/>
    </row>
    <row r="1042158" spans="54:54" ht="15.75" customHeight="1" x14ac:dyDescent="0.3">
      <c r="BB1042158" s="38"/>
    </row>
    <row r="1042159" spans="54:54" ht="15.75" customHeight="1" x14ac:dyDescent="0.3">
      <c r="BB1042159" s="38"/>
    </row>
    <row r="1042160" spans="54:54" ht="15.75" customHeight="1" x14ac:dyDescent="0.3">
      <c r="BB1042160" s="38"/>
    </row>
    <row r="1042161" spans="54:54" ht="15.75" customHeight="1" x14ac:dyDescent="0.3">
      <c r="BB1042161" s="38"/>
    </row>
    <row r="1042162" spans="54:54" ht="15.75" customHeight="1" x14ac:dyDescent="0.3">
      <c r="BB1042162" s="38"/>
    </row>
    <row r="1042163" spans="54:54" ht="15.75" customHeight="1" x14ac:dyDescent="0.3">
      <c r="BB1042163" s="38"/>
    </row>
    <row r="1042164" spans="54:54" ht="15.75" customHeight="1" x14ac:dyDescent="0.3">
      <c r="BB1042164" s="38"/>
    </row>
    <row r="1042165" spans="54:54" ht="15.75" customHeight="1" x14ac:dyDescent="0.3">
      <c r="BB1042165" s="38"/>
    </row>
    <row r="1042166" spans="54:54" ht="15.75" customHeight="1" x14ac:dyDescent="0.3">
      <c r="BB1042166" s="38"/>
    </row>
    <row r="1042167" spans="54:54" ht="15.75" customHeight="1" x14ac:dyDescent="0.3">
      <c r="BB1042167" s="38"/>
    </row>
    <row r="1042168" spans="54:54" ht="15.75" customHeight="1" x14ac:dyDescent="0.3">
      <c r="BB1042168" s="38"/>
    </row>
    <row r="1042169" spans="54:54" ht="15.75" customHeight="1" x14ac:dyDescent="0.3">
      <c r="BB1042169" s="38"/>
    </row>
    <row r="1042170" spans="54:54" ht="15.75" customHeight="1" x14ac:dyDescent="0.3">
      <c r="BB1042170" s="38"/>
    </row>
    <row r="1042171" spans="54:54" ht="15.75" customHeight="1" x14ac:dyDescent="0.3">
      <c r="BB1042171" s="38"/>
    </row>
    <row r="1042172" spans="54:54" ht="15.75" customHeight="1" x14ac:dyDescent="0.3">
      <c r="BB1042172" s="38"/>
    </row>
    <row r="1042173" spans="54:54" ht="15.75" customHeight="1" x14ac:dyDescent="0.3">
      <c r="BB1042173" s="38"/>
    </row>
    <row r="1042174" spans="54:54" ht="15.75" customHeight="1" x14ac:dyDescent="0.3">
      <c r="BB1042174" s="38"/>
    </row>
    <row r="1042175" spans="54:54" ht="15.75" customHeight="1" x14ac:dyDescent="0.3">
      <c r="BB1042175" s="38"/>
    </row>
    <row r="1042176" spans="54:54" ht="15.75" customHeight="1" x14ac:dyDescent="0.3">
      <c r="BB1042176" s="38"/>
    </row>
    <row r="1042177" spans="54:54" ht="15.75" customHeight="1" x14ac:dyDescent="0.3">
      <c r="BB1042177" s="38"/>
    </row>
    <row r="1042178" spans="54:54" ht="15.75" customHeight="1" x14ac:dyDescent="0.3">
      <c r="BB1042178" s="38"/>
    </row>
    <row r="1042179" spans="54:54" ht="15.75" customHeight="1" x14ac:dyDescent="0.3">
      <c r="BB1042179" s="38"/>
    </row>
    <row r="1042180" spans="54:54" ht="15.75" customHeight="1" x14ac:dyDescent="0.3">
      <c r="BB1042180" s="38"/>
    </row>
    <row r="1042181" spans="54:54" ht="15.75" customHeight="1" x14ac:dyDescent="0.3">
      <c r="BB1042181" s="38"/>
    </row>
    <row r="1042182" spans="54:54" ht="15.75" customHeight="1" x14ac:dyDescent="0.3">
      <c r="BB1042182" s="38"/>
    </row>
    <row r="1042183" spans="54:54" ht="15.75" customHeight="1" x14ac:dyDescent="0.3">
      <c r="BB1042183" s="38"/>
    </row>
    <row r="1042184" spans="54:54" ht="15.75" customHeight="1" x14ac:dyDescent="0.3">
      <c r="BB1042184" s="38"/>
    </row>
    <row r="1042185" spans="54:54" ht="15.75" customHeight="1" x14ac:dyDescent="0.3">
      <c r="BB1042185" s="38"/>
    </row>
    <row r="1042186" spans="54:54" ht="15.75" customHeight="1" x14ac:dyDescent="0.3">
      <c r="BB1042186" s="38"/>
    </row>
    <row r="1042187" spans="54:54" ht="15.75" customHeight="1" x14ac:dyDescent="0.3">
      <c r="BB1042187" s="38"/>
    </row>
    <row r="1042188" spans="54:54" ht="15.75" customHeight="1" x14ac:dyDescent="0.3">
      <c r="BB1042188" s="38"/>
    </row>
    <row r="1042189" spans="54:54" ht="15.75" customHeight="1" x14ac:dyDescent="0.3">
      <c r="BB1042189" s="38"/>
    </row>
    <row r="1042190" spans="54:54" ht="15.75" customHeight="1" x14ac:dyDescent="0.3">
      <c r="BB1042190" s="38"/>
    </row>
    <row r="1042191" spans="54:54" ht="15.75" customHeight="1" x14ac:dyDescent="0.3">
      <c r="BB1042191" s="38"/>
    </row>
    <row r="1042192" spans="54:54" ht="15.75" customHeight="1" x14ac:dyDescent="0.3">
      <c r="BB1042192" s="38"/>
    </row>
    <row r="1042193" spans="54:54" ht="15.75" customHeight="1" x14ac:dyDescent="0.3">
      <c r="BB1042193" s="38"/>
    </row>
    <row r="1042194" spans="54:54" ht="15.75" customHeight="1" x14ac:dyDescent="0.3">
      <c r="BB1042194" s="38"/>
    </row>
    <row r="1042195" spans="54:54" ht="15.75" customHeight="1" x14ac:dyDescent="0.3">
      <c r="BB1042195" s="38"/>
    </row>
    <row r="1042196" spans="54:54" ht="15.75" customHeight="1" x14ac:dyDescent="0.3">
      <c r="BB1042196" s="38"/>
    </row>
    <row r="1042197" spans="54:54" ht="15.75" customHeight="1" x14ac:dyDescent="0.3">
      <c r="BB1042197" s="38"/>
    </row>
    <row r="1042198" spans="54:54" ht="15.75" customHeight="1" x14ac:dyDescent="0.3">
      <c r="BB1042198" s="38"/>
    </row>
    <row r="1042199" spans="54:54" ht="15.75" customHeight="1" x14ac:dyDescent="0.3">
      <c r="BB1042199" s="38"/>
    </row>
    <row r="1042200" spans="54:54" ht="15.75" customHeight="1" x14ac:dyDescent="0.3">
      <c r="BB1042200" s="38"/>
    </row>
    <row r="1042201" spans="54:54" ht="15.75" customHeight="1" x14ac:dyDescent="0.3">
      <c r="BB1042201" s="38"/>
    </row>
    <row r="1042202" spans="54:54" ht="15.75" customHeight="1" x14ac:dyDescent="0.3">
      <c r="BB1042202" s="38"/>
    </row>
    <row r="1042203" spans="54:54" ht="15.75" customHeight="1" x14ac:dyDescent="0.3">
      <c r="BB1042203" s="38"/>
    </row>
    <row r="1042204" spans="54:54" ht="15.75" customHeight="1" x14ac:dyDescent="0.3">
      <c r="BB1042204" s="38"/>
    </row>
    <row r="1042205" spans="54:54" ht="15.75" customHeight="1" x14ac:dyDescent="0.3">
      <c r="BB1042205" s="38"/>
    </row>
    <row r="1042206" spans="54:54" ht="15.75" customHeight="1" x14ac:dyDescent="0.3">
      <c r="BB1042206" s="38"/>
    </row>
    <row r="1042207" spans="54:54" ht="15.75" customHeight="1" x14ac:dyDescent="0.3">
      <c r="BB1042207" s="38"/>
    </row>
    <row r="1042208" spans="54:54" ht="15.75" customHeight="1" x14ac:dyDescent="0.3">
      <c r="BB1042208" s="38"/>
    </row>
    <row r="1042209" spans="54:54" ht="15.75" customHeight="1" x14ac:dyDescent="0.3">
      <c r="BB1042209" s="38"/>
    </row>
    <row r="1042210" spans="54:54" ht="15.75" customHeight="1" x14ac:dyDescent="0.3">
      <c r="BB1042210" s="38"/>
    </row>
    <row r="1042211" spans="54:54" ht="15.75" customHeight="1" x14ac:dyDescent="0.3">
      <c r="BB1042211" s="38"/>
    </row>
    <row r="1042212" spans="54:54" ht="15.75" customHeight="1" x14ac:dyDescent="0.3">
      <c r="BB1042212" s="38"/>
    </row>
    <row r="1042213" spans="54:54" ht="15.75" customHeight="1" x14ac:dyDescent="0.3">
      <c r="BB1042213" s="38"/>
    </row>
    <row r="1042214" spans="54:54" ht="15.75" customHeight="1" x14ac:dyDescent="0.3">
      <c r="BB1042214" s="38"/>
    </row>
    <row r="1042215" spans="54:54" ht="15.75" customHeight="1" x14ac:dyDescent="0.3">
      <c r="BB1042215" s="38"/>
    </row>
    <row r="1042216" spans="54:54" ht="15.75" customHeight="1" x14ac:dyDescent="0.3">
      <c r="BB1042216" s="38"/>
    </row>
    <row r="1042217" spans="54:54" ht="15.75" customHeight="1" x14ac:dyDescent="0.3">
      <c r="BB1042217" s="38"/>
    </row>
    <row r="1042218" spans="54:54" ht="15.75" customHeight="1" x14ac:dyDescent="0.3">
      <c r="BB1042218" s="38"/>
    </row>
    <row r="1042219" spans="54:54" ht="15.75" customHeight="1" x14ac:dyDescent="0.3">
      <c r="BB1042219" s="38"/>
    </row>
    <row r="1042220" spans="54:54" ht="15.75" customHeight="1" x14ac:dyDescent="0.3">
      <c r="BB1042220" s="38"/>
    </row>
    <row r="1042221" spans="54:54" ht="15.75" customHeight="1" x14ac:dyDescent="0.3">
      <c r="BB1042221" s="38"/>
    </row>
    <row r="1042222" spans="54:54" ht="15.75" customHeight="1" x14ac:dyDescent="0.3">
      <c r="BB1042222" s="38"/>
    </row>
    <row r="1042223" spans="54:54" ht="15.75" customHeight="1" x14ac:dyDescent="0.3">
      <c r="BB1042223" s="38"/>
    </row>
    <row r="1042224" spans="54:54" ht="15.75" customHeight="1" x14ac:dyDescent="0.3">
      <c r="BB1042224" s="38"/>
    </row>
    <row r="1042225" spans="54:54" ht="15.75" customHeight="1" x14ac:dyDescent="0.3">
      <c r="BB1042225" s="38"/>
    </row>
    <row r="1042226" spans="54:54" ht="15.75" customHeight="1" x14ac:dyDescent="0.3">
      <c r="BB1042226" s="38"/>
    </row>
    <row r="1042227" spans="54:54" ht="15.75" customHeight="1" x14ac:dyDescent="0.3">
      <c r="BB1042227" s="38"/>
    </row>
    <row r="1042228" spans="54:54" ht="15.75" customHeight="1" x14ac:dyDescent="0.3">
      <c r="BB1042228" s="38"/>
    </row>
    <row r="1042229" spans="54:54" ht="15.75" customHeight="1" x14ac:dyDescent="0.3">
      <c r="BB1042229" s="38"/>
    </row>
    <row r="1042230" spans="54:54" ht="15.75" customHeight="1" x14ac:dyDescent="0.3">
      <c r="BB1042230" s="38"/>
    </row>
    <row r="1042231" spans="54:54" ht="15.75" customHeight="1" x14ac:dyDescent="0.3">
      <c r="BB1042231" s="38"/>
    </row>
    <row r="1042232" spans="54:54" ht="15.75" customHeight="1" x14ac:dyDescent="0.3">
      <c r="BB1042232" s="38"/>
    </row>
    <row r="1042233" spans="54:54" ht="15.75" customHeight="1" x14ac:dyDescent="0.3">
      <c r="BB1042233" s="38"/>
    </row>
    <row r="1042234" spans="54:54" ht="15.75" customHeight="1" x14ac:dyDescent="0.3">
      <c r="BB1042234" s="38"/>
    </row>
    <row r="1042235" spans="54:54" ht="15.75" customHeight="1" x14ac:dyDescent="0.3">
      <c r="BB1042235" s="38"/>
    </row>
    <row r="1042236" spans="54:54" ht="15.75" customHeight="1" x14ac:dyDescent="0.3">
      <c r="BB1042236" s="38"/>
    </row>
    <row r="1042237" spans="54:54" ht="15.75" customHeight="1" x14ac:dyDescent="0.3">
      <c r="BB1042237" s="38"/>
    </row>
    <row r="1042238" spans="54:54" ht="15.75" customHeight="1" x14ac:dyDescent="0.3">
      <c r="BB1042238" s="38"/>
    </row>
    <row r="1042239" spans="54:54" ht="15.75" customHeight="1" x14ac:dyDescent="0.3">
      <c r="BB1042239" s="38"/>
    </row>
    <row r="1042240" spans="54:54" ht="15.75" customHeight="1" x14ac:dyDescent="0.3">
      <c r="BB1042240" s="38"/>
    </row>
    <row r="1042241" spans="54:54" ht="15.75" customHeight="1" x14ac:dyDescent="0.3">
      <c r="BB1042241" s="38"/>
    </row>
    <row r="1042242" spans="54:54" ht="15.75" customHeight="1" x14ac:dyDescent="0.3">
      <c r="BB1042242" s="38"/>
    </row>
    <row r="1042243" spans="54:54" ht="15.75" customHeight="1" x14ac:dyDescent="0.3">
      <c r="BB1042243" s="38"/>
    </row>
    <row r="1042244" spans="54:54" ht="15.75" customHeight="1" x14ac:dyDescent="0.3">
      <c r="BB1042244" s="38"/>
    </row>
    <row r="1042245" spans="54:54" ht="15.75" customHeight="1" x14ac:dyDescent="0.3">
      <c r="BB1042245" s="38"/>
    </row>
    <row r="1042246" spans="54:54" ht="15.75" customHeight="1" x14ac:dyDescent="0.3">
      <c r="BB1042246" s="38"/>
    </row>
    <row r="1042247" spans="54:54" ht="15.75" customHeight="1" x14ac:dyDescent="0.3">
      <c r="BB1042247" s="38"/>
    </row>
    <row r="1042248" spans="54:54" ht="15.75" customHeight="1" x14ac:dyDescent="0.3">
      <c r="BB1042248" s="38"/>
    </row>
    <row r="1042249" spans="54:54" ht="15.75" customHeight="1" x14ac:dyDescent="0.3">
      <c r="BB1042249" s="38"/>
    </row>
    <row r="1042250" spans="54:54" ht="15.75" customHeight="1" x14ac:dyDescent="0.3">
      <c r="BB1042250" s="38"/>
    </row>
    <row r="1042251" spans="54:54" ht="15.75" customHeight="1" x14ac:dyDescent="0.3">
      <c r="BB1042251" s="38"/>
    </row>
    <row r="1042252" spans="54:54" ht="15.75" customHeight="1" x14ac:dyDescent="0.3">
      <c r="BB1042252" s="38"/>
    </row>
    <row r="1042253" spans="54:54" ht="15.75" customHeight="1" x14ac:dyDescent="0.3">
      <c r="BB1042253" s="38"/>
    </row>
    <row r="1042254" spans="54:54" ht="15.75" customHeight="1" x14ac:dyDescent="0.3">
      <c r="BB1042254" s="38"/>
    </row>
    <row r="1042255" spans="54:54" ht="15.75" customHeight="1" x14ac:dyDescent="0.3">
      <c r="BB1042255" s="38"/>
    </row>
    <row r="1042256" spans="54:54" ht="15.75" customHeight="1" x14ac:dyDescent="0.3">
      <c r="BB1042256" s="38"/>
    </row>
    <row r="1042257" spans="54:54" ht="15.75" customHeight="1" x14ac:dyDescent="0.3">
      <c r="BB1042257" s="38"/>
    </row>
    <row r="1042258" spans="54:54" ht="15.75" customHeight="1" x14ac:dyDescent="0.3">
      <c r="BB1042258" s="38"/>
    </row>
    <row r="1042259" spans="54:54" ht="15.75" customHeight="1" x14ac:dyDescent="0.3">
      <c r="BB1042259" s="38"/>
    </row>
    <row r="1042260" spans="54:54" ht="15.75" customHeight="1" x14ac:dyDescent="0.3">
      <c r="BB1042260" s="38"/>
    </row>
    <row r="1042261" spans="54:54" ht="15.75" customHeight="1" x14ac:dyDescent="0.3">
      <c r="BB1042261" s="38"/>
    </row>
    <row r="1042262" spans="54:54" ht="15.75" customHeight="1" x14ac:dyDescent="0.3">
      <c r="BB1042262" s="38"/>
    </row>
    <row r="1042263" spans="54:54" ht="15.75" customHeight="1" x14ac:dyDescent="0.3">
      <c r="BB1042263" s="38"/>
    </row>
    <row r="1042264" spans="54:54" ht="15.75" customHeight="1" x14ac:dyDescent="0.3">
      <c r="BB1042264" s="38"/>
    </row>
    <row r="1042265" spans="54:54" ht="15.75" customHeight="1" x14ac:dyDescent="0.3">
      <c r="BB1042265" s="38"/>
    </row>
    <row r="1042266" spans="54:54" ht="15.75" customHeight="1" x14ac:dyDescent="0.3">
      <c r="BB1042266" s="38"/>
    </row>
    <row r="1042267" spans="54:54" ht="15.75" customHeight="1" x14ac:dyDescent="0.3">
      <c r="BB1042267" s="38"/>
    </row>
    <row r="1042268" spans="54:54" ht="15.75" customHeight="1" x14ac:dyDescent="0.3">
      <c r="BB1042268" s="38"/>
    </row>
    <row r="1042269" spans="54:54" ht="15.75" customHeight="1" x14ac:dyDescent="0.3">
      <c r="BB1042269" s="38"/>
    </row>
    <row r="1042270" spans="54:54" ht="15.75" customHeight="1" x14ac:dyDescent="0.3">
      <c r="BB1042270" s="38"/>
    </row>
    <row r="1042271" spans="54:54" ht="15.75" customHeight="1" x14ac:dyDescent="0.3">
      <c r="BB1042271" s="38"/>
    </row>
    <row r="1042272" spans="54:54" ht="15.75" customHeight="1" x14ac:dyDescent="0.3">
      <c r="BB1042272" s="38"/>
    </row>
    <row r="1042273" spans="54:54" ht="15.75" customHeight="1" x14ac:dyDescent="0.3">
      <c r="BB1042273" s="38"/>
    </row>
    <row r="1042274" spans="54:54" ht="15.75" customHeight="1" x14ac:dyDescent="0.3">
      <c r="BB1042274" s="38"/>
    </row>
    <row r="1042275" spans="54:54" ht="15.75" customHeight="1" x14ac:dyDescent="0.3">
      <c r="BB1042275" s="38"/>
    </row>
    <row r="1042276" spans="54:54" ht="15.75" customHeight="1" x14ac:dyDescent="0.3">
      <c r="BB1042276" s="38"/>
    </row>
    <row r="1042277" spans="54:54" ht="15.75" customHeight="1" x14ac:dyDescent="0.3">
      <c r="BB1042277" s="38"/>
    </row>
    <row r="1042278" spans="54:54" ht="15.75" customHeight="1" x14ac:dyDescent="0.3">
      <c r="BB1042278" s="38"/>
    </row>
    <row r="1042279" spans="54:54" ht="15.75" customHeight="1" x14ac:dyDescent="0.3">
      <c r="BB1042279" s="38"/>
    </row>
    <row r="1042280" spans="54:54" ht="15.75" customHeight="1" x14ac:dyDescent="0.3">
      <c r="BB1042280" s="38"/>
    </row>
    <row r="1042281" spans="54:54" ht="15.75" customHeight="1" x14ac:dyDescent="0.3">
      <c r="BB1042281" s="38"/>
    </row>
    <row r="1042282" spans="54:54" ht="15.75" customHeight="1" x14ac:dyDescent="0.3">
      <c r="BB1042282" s="38"/>
    </row>
    <row r="1042283" spans="54:54" ht="15.75" customHeight="1" x14ac:dyDescent="0.3">
      <c r="BB1042283" s="38"/>
    </row>
    <row r="1042284" spans="54:54" ht="15.75" customHeight="1" x14ac:dyDescent="0.3">
      <c r="BB1042284" s="38"/>
    </row>
    <row r="1042285" spans="54:54" ht="15.75" customHeight="1" x14ac:dyDescent="0.3">
      <c r="BB1042285" s="38"/>
    </row>
    <row r="1042286" spans="54:54" ht="15.75" customHeight="1" x14ac:dyDescent="0.3">
      <c r="BB1042286" s="38"/>
    </row>
    <row r="1042287" spans="54:54" ht="15.75" customHeight="1" x14ac:dyDescent="0.3">
      <c r="BB1042287" s="38"/>
    </row>
    <row r="1042288" spans="54:54" ht="15.75" customHeight="1" x14ac:dyDescent="0.3">
      <c r="BB1042288" s="38"/>
    </row>
    <row r="1042289" spans="54:54" ht="15.75" customHeight="1" x14ac:dyDescent="0.3">
      <c r="BB1042289" s="38"/>
    </row>
    <row r="1042290" spans="54:54" ht="15.75" customHeight="1" x14ac:dyDescent="0.3">
      <c r="BB1042290" s="38"/>
    </row>
    <row r="1042291" spans="54:54" ht="15.75" customHeight="1" x14ac:dyDescent="0.3">
      <c r="BB1042291" s="38"/>
    </row>
    <row r="1042292" spans="54:54" ht="15.75" customHeight="1" x14ac:dyDescent="0.3">
      <c r="BB1042292" s="38"/>
    </row>
    <row r="1042293" spans="54:54" ht="15.75" customHeight="1" x14ac:dyDescent="0.3">
      <c r="BB1042293" s="38"/>
    </row>
    <row r="1042294" spans="54:54" ht="15.75" customHeight="1" x14ac:dyDescent="0.3">
      <c r="BB1042294" s="38"/>
    </row>
    <row r="1042295" spans="54:54" ht="15.75" customHeight="1" x14ac:dyDescent="0.3">
      <c r="BB1042295" s="38"/>
    </row>
    <row r="1042296" spans="54:54" ht="15.75" customHeight="1" x14ac:dyDescent="0.3">
      <c r="BB1042296" s="38"/>
    </row>
    <row r="1042297" spans="54:54" ht="15.75" customHeight="1" x14ac:dyDescent="0.3">
      <c r="BB1042297" s="38"/>
    </row>
    <row r="1042298" spans="54:54" ht="15.75" customHeight="1" x14ac:dyDescent="0.3">
      <c r="BB1042298" s="38"/>
    </row>
    <row r="1042299" spans="54:54" ht="15.75" customHeight="1" x14ac:dyDescent="0.3">
      <c r="BB1042299" s="38"/>
    </row>
    <row r="1042300" spans="54:54" ht="15.75" customHeight="1" x14ac:dyDescent="0.3">
      <c r="BB1042300" s="38"/>
    </row>
    <row r="1042301" spans="54:54" ht="15.75" customHeight="1" x14ac:dyDescent="0.3">
      <c r="BB1042301" s="38"/>
    </row>
    <row r="1042302" spans="54:54" ht="15.75" customHeight="1" x14ac:dyDescent="0.3">
      <c r="BB1042302" s="38"/>
    </row>
    <row r="1042303" spans="54:54" ht="15.75" customHeight="1" x14ac:dyDescent="0.3">
      <c r="BB1042303" s="38"/>
    </row>
    <row r="1042304" spans="54:54" ht="15.75" customHeight="1" x14ac:dyDescent="0.3">
      <c r="BB1042304" s="38"/>
    </row>
    <row r="1042305" spans="54:54" ht="15.75" customHeight="1" x14ac:dyDescent="0.3">
      <c r="BB1042305" s="38"/>
    </row>
    <row r="1042306" spans="54:54" ht="15.75" customHeight="1" x14ac:dyDescent="0.3">
      <c r="BB1042306" s="38"/>
    </row>
    <row r="1042307" spans="54:54" ht="15.75" customHeight="1" x14ac:dyDescent="0.3">
      <c r="BB1042307" s="38"/>
    </row>
    <row r="1042308" spans="54:54" ht="15.75" customHeight="1" x14ac:dyDescent="0.3">
      <c r="BB1042308" s="38"/>
    </row>
    <row r="1042309" spans="54:54" ht="15.75" customHeight="1" x14ac:dyDescent="0.3">
      <c r="BB1042309" s="38"/>
    </row>
    <row r="1042310" spans="54:54" ht="15.75" customHeight="1" x14ac:dyDescent="0.3">
      <c r="BB1042310" s="38"/>
    </row>
    <row r="1042311" spans="54:54" ht="15.75" customHeight="1" x14ac:dyDescent="0.3">
      <c r="BB1042311" s="38"/>
    </row>
    <row r="1042312" spans="54:54" ht="15.75" customHeight="1" x14ac:dyDescent="0.3">
      <c r="BB1042312" s="38"/>
    </row>
    <row r="1042313" spans="54:54" ht="15.75" customHeight="1" x14ac:dyDescent="0.3">
      <c r="BB1042313" s="38"/>
    </row>
    <row r="1042314" spans="54:54" ht="15.75" customHeight="1" x14ac:dyDescent="0.3">
      <c r="BB1042314" s="38"/>
    </row>
    <row r="1042315" spans="54:54" ht="15.75" customHeight="1" x14ac:dyDescent="0.3">
      <c r="BB1042315" s="38"/>
    </row>
    <row r="1042316" spans="54:54" ht="15.75" customHeight="1" x14ac:dyDescent="0.3">
      <c r="BB1042316" s="38"/>
    </row>
    <row r="1042317" spans="54:54" ht="15.75" customHeight="1" x14ac:dyDescent="0.3">
      <c r="BB1042317" s="38"/>
    </row>
    <row r="1042318" spans="54:54" ht="15.75" customHeight="1" x14ac:dyDescent="0.3">
      <c r="BB1042318" s="38"/>
    </row>
    <row r="1042319" spans="54:54" ht="15.75" customHeight="1" x14ac:dyDescent="0.3">
      <c r="BB1042319" s="38"/>
    </row>
    <row r="1042320" spans="54:54" ht="15.75" customHeight="1" x14ac:dyDescent="0.3">
      <c r="BB1042320" s="38"/>
    </row>
    <row r="1042321" spans="54:54" ht="15.75" customHeight="1" x14ac:dyDescent="0.3">
      <c r="BB1042321" s="38"/>
    </row>
    <row r="1042322" spans="54:54" ht="15.75" customHeight="1" x14ac:dyDescent="0.3">
      <c r="BB1042322" s="38"/>
    </row>
    <row r="1042323" spans="54:54" ht="15.75" customHeight="1" x14ac:dyDescent="0.3">
      <c r="BB1042323" s="38"/>
    </row>
    <row r="1042324" spans="54:54" ht="15.75" customHeight="1" x14ac:dyDescent="0.3">
      <c r="BB1042324" s="38"/>
    </row>
    <row r="1042325" spans="54:54" ht="15.75" customHeight="1" x14ac:dyDescent="0.3">
      <c r="BB1042325" s="38"/>
    </row>
    <row r="1042326" spans="54:54" ht="15.75" customHeight="1" x14ac:dyDescent="0.3">
      <c r="BB1042326" s="38"/>
    </row>
    <row r="1042327" spans="54:54" ht="15.75" customHeight="1" x14ac:dyDescent="0.3">
      <c r="BB1042327" s="38"/>
    </row>
    <row r="1042328" spans="54:54" ht="15.75" customHeight="1" x14ac:dyDescent="0.3">
      <c r="BB1042328" s="38"/>
    </row>
    <row r="1042329" spans="54:54" ht="15.75" customHeight="1" x14ac:dyDescent="0.3">
      <c r="BB1042329" s="38"/>
    </row>
    <row r="1042330" spans="54:54" ht="15.75" customHeight="1" x14ac:dyDescent="0.3">
      <c r="BB1042330" s="38"/>
    </row>
    <row r="1042331" spans="54:54" ht="15.75" customHeight="1" x14ac:dyDescent="0.3">
      <c r="BB1042331" s="38"/>
    </row>
    <row r="1042332" spans="54:54" ht="15.75" customHeight="1" x14ac:dyDescent="0.3">
      <c r="BB1042332" s="38"/>
    </row>
    <row r="1042333" spans="54:54" ht="15.75" customHeight="1" x14ac:dyDescent="0.3">
      <c r="BB1042333" s="38"/>
    </row>
    <row r="1042334" spans="54:54" ht="15.75" customHeight="1" x14ac:dyDescent="0.3">
      <c r="BB1042334" s="38"/>
    </row>
    <row r="1042335" spans="54:54" ht="15.75" customHeight="1" x14ac:dyDescent="0.3">
      <c r="BB1042335" s="38"/>
    </row>
    <row r="1042336" spans="54:54" ht="15.75" customHeight="1" x14ac:dyDescent="0.3">
      <c r="BB1042336" s="38"/>
    </row>
    <row r="1042337" spans="54:54" ht="15.75" customHeight="1" x14ac:dyDescent="0.3">
      <c r="BB1042337" s="38"/>
    </row>
    <row r="1042338" spans="54:54" ht="15.75" customHeight="1" x14ac:dyDescent="0.3">
      <c r="BB1042338" s="38"/>
    </row>
    <row r="1042339" spans="54:54" ht="15.75" customHeight="1" x14ac:dyDescent="0.3">
      <c r="BB1042339" s="38"/>
    </row>
    <row r="1042340" spans="54:54" ht="15.75" customHeight="1" x14ac:dyDescent="0.3">
      <c r="BB1042340" s="38"/>
    </row>
    <row r="1042341" spans="54:54" ht="15.75" customHeight="1" x14ac:dyDescent="0.3">
      <c r="BB1042341" s="38"/>
    </row>
    <row r="1042342" spans="54:54" ht="15.75" customHeight="1" x14ac:dyDescent="0.3">
      <c r="BB1042342" s="38"/>
    </row>
    <row r="1042343" spans="54:54" ht="15.75" customHeight="1" x14ac:dyDescent="0.3">
      <c r="BB1042343" s="38"/>
    </row>
    <row r="1042344" spans="54:54" ht="15.75" customHeight="1" x14ac:dyDescent="0.3">
      <c r="BB1042344" s="38"/>
    </row>
    <row r="1042345" spans="54:54" ht="15.75" customHeight="1" x14ac:dyDescent="0.3">
      <c r="BB1042345" s="38"/>
    </row>
    <row r="1042346" spans="54:54" ht="15.75" customHeight="1" x14ac:dyDescent="0.3">
      <c r="BB1042346" s="38"/>
    </row>
    <row r="1042347" spans="54:54" ht="15.75" customHeight="1" x14ac:dyDescent="0.3">
      <c r="BB1042347" s="38"/>
    </row>
    <row r="1042348" spans="54:54" ht="15.75" customHeight="1" x14ac:dyDescent="0.3">
      <c r="BB1042348" s="38"/>
    </row>
    <row r="1042349" spans="54:54" ht="15.75" customHeight="1" x14ac:dyDescent="0.3">
      <c r="BB1042349" s="38"/>
    </row>
    <row r="1042350" spans="54:54" ht="15.75" customHeight="1" x14ac:dyDescent="0.3">
      <c r="BB1042350" s="38"/>
    </row>
    <row r="1042351" spans="54:54" ht="15.75" customHeight="1" x14ac:dyDescent="0.3">
      <c r="BB1042351" s="38"/>
    </row>
    <row r="1042352" spans="54:54" ht="15.75" customHeight="1" x14ac:dyDescent="0.3">
      <c r="BB1042352" s="38"/>
    </row>
    <row r="1042353" spans="54:54" ht="15.75" customHeight="1" x14ac:dyDescent="0.3">
      <c r="BB1042353" s="38"/>
    </row>
    <row r="1042354" spans="54:54" ht="15.75" customHeight="1" x14ac:dyDescent="0.3">
      <c r="BB1042354" s="38"/>
    </row>
    <row r="1042355" spans="54:54" ht="15.75" customHeight="1" x14ac:dyDescent="0.3">
      <c r="BB1042355" s="38"/>
    </row>
    <row r="1042356" spans="54:54" ht="15.75" customHeight="1" x14ac:dyDescent="0.3">
      <c r="BB1042356" s="38"/>
    </row>
    <row r="1042357" spans="54:54" ht="15.75" customHeight="1" x14ac:dyDescent="0.3">
      <c r="BB1042357" s="38"/>
    </row>
    <row r="1042358" spans="54:54" ht="15.75" customHeight="1" x14ac:dyDescent="0.3">
      <c r="BB1042358" s="38"/>
    </row>
    <row r="1042359" spans="54:54" ht="15.75" customHeight="1" x14ac:dyDescent="0.3">
      <c r="BB1042359" s="38"/>
    </row>
    <row r="1042360" spans="54:54" ht="15.75" customHeight="1" x14ac:dyDescent="0.3">
      <c r="BB1042360" s="38"/>
    </row>
    <row r="1042361" spans="54:54" ht="15.75" customHeight="1" x14ac:dyDescent="0.3">
      <c r="BB1042361" s="38"/>
    </row>
    <row r="1042362" spans="54:54" ht="15.75" customHeight="1" x14ac:dyDescent="0.3">
      <c r="BB1042362" s="38"/>
    </row>
    <row r="1042363" spans="54:54" ht="15.75" customHeight="1" x14ac:dyDescent="0.3">
      <c r="BB1042363" s="38"/>
    </row>
    <row r="1042364" spans="54:54" ht="15.75" customHeight="1" x14ac:dyDescent="0.3">
      <c r="BB1042364" s="38"/>
    </row>
    <row r="1042365" spans="54:54" ht="15.75" customHeight="1" x14ac:dyDescent="0.3">
      <c r="BB1042365" s="38"/>
    </row>
    <row r="1042366" spans="54:54" ht="15.75" customHeight="1" x14ac:dyDescent="0.3">
      <c r="BB1042366" s="38"/>
    </row>
    <row r="1042367" spans="54:54" ht="15.75" customHeight="1" x14ac:dyDescent="0.3">
      <c r="BB1042367" s="38"/>
    </row>
    <row r="1042368" spans="54:54" ht="15.75" customHeight="1" x14ac:dyDescent="0.3">
      <c r="BB1042368" s="38"/>
    </row>
    <row r="1042369" spans="54:54" ht="15.75" customHeight="1" x14ac:dyDescent="0.3">
      <c r="BB1042369" s="38"/>
    </row>
    <row r="1042370" spans="54:54" ht="15.75" customHeight="1" x14ac:dyDescent="0.3">
      <c r="BB1042370" s="38"/>
    </row>
    <row r="1042371" spans="54:54" ht="15.75" customHeight="1" x14ac:dyDescent="0.3">
      <c r="BB1042371" s="38"/>
    </row>
    <row r="1042372" spans="54:54" ht="15.75" customHeight="1" x14ac:dyDescent="0.3">
      <c r="BB1042372" s="38"/>
    </row>
    <row r="1042373" spans="54:54" ht="15.75" customHeight="1" x14ac:dyDescent="0.3">
      <c r="BB1042373" s="38"/>
    </row>
    <row r="1042374" spans="54:54" ht="15.75" customHeight="1" x14ac:dyDescent="0.3">
      <c r="BB1042374" s="38"/>
    </row>
    <row r="1042375" spans="54:54" ht="15.75" customHeight="1" x14ac:dyDescent="0.3">
      <c r="BB1042375" s="38"/>
    </row>
    <row r="1042376" spans="54:54" ht="15.75" customHeight="1" x14ac:dyDescent="0.3">
      <c r="BB1042376" s="38"/>
    </row>
    <row r="1042377" spans="54:54" ht="15.75" customHeight="1" x14ac:dyDescent="0.3">
      <c r="BB1042377" s="38"/>
    </row>
    <row r="1042378" spans="54:54" ht="15.75" customHeight="1" x14ac:dyDescent="0.3">
      <c r="BB1042378" s="38"/>
    </row>
    <row r="1042379" spans="54:54" ht="15.75" customHeight="1" x14ac:dyDescent="0.3">
      <c r="BB1042379" s="38"/>
    </row>
    <row r="1042380" spans="54:54" ht="15.75" customHeight="1" x14ac:dyDescent="0.3">
      <c r="BB1042380" s="38"/>
    </row>
    <row r="1042381" spans="54:54" ht="15.75" customHeight="1" x14ac:dyDescent="0.3">
      <c r="BB1042381" s="38"/>
    </row>
    <row r="1042382" spans="54:54" ht="15.75" customHeight="1" x14ac:dyDescent="0.3">
      <c r="BB1042382" s="38"/>
    </row>
    <row r="1042383" spans="54:54" ht="15.75" customHeight="1" x14ac:dyDescent="0.3">
      <c r="BB1042383" s="38"/>
    </row>
    <row r="1042384" spans="54:54" ht="15.75" customHeight="1" x14ac:dyDescent="0.3">
      <c r="BB1042384" s="38"/>
    </row>
    <row r="1042385" spans="54:54" ht="15.75" customHeight="1" x14ac:dyDescent="0.3">
      <c r="BB1042385" s="38"/>
    </row>
    <row r="1042386" spans="54:54" ht="15.75" customHeight="1" x14ac:dyDescent="0.3">
      <c r="BB1042386" s="38"/>
    </row>
    <row r="1042387" spans="54:54" ht="15.75" customHeight="1" x14ac:dyDescent="0.3">
      <c r="BB1042387" s="38"/>
    </row>
    <row r="1042388" spans="54:54" ht="15.75" customHeight="1" x14ac:dyDescent="0.3">
      <c r="BB1042388" s="38"/>
    </row>
    <row r="1042389" spans="54:54" ht="15.75" customHeight="1" x14ac:dyDescent="0.3">
      <c r="BB1042389" s="38"/>
    </row>
    <row r="1042390" spans="54:54" ht="15.75" customHeight="1" x14ac:dyDescent="0.3">
      <c r="BB1042390" s="38"/>
    </row>
    <row r="1042391" spans="54:54" ht="15.75" customHeight="1" x14ac:dyDescent="0.3">
      <c r="BB1042391" s="38"/>
    </row>
    <row r="1042392" spans="54:54" ht="15.75" customHeight="1" x14ac:dyDescent="0.3">
      <c r="BB1042392" s="38"/>
    </row>
    <row r="1042393" spans="54:54" ht="15.75" customHeight="1" x14ac:dyDescent="0.3">
      <c r="BB1042393" s="38"/>
    </row>
    <row r="1042394" spans="54:54" ht="15.75" customHeight="1" x14ac:dyDescent="0.3">
      <c r="BB1042394" s="38"/>
    </row>
    <row r="1042395" spans="54:54" ht="15.75" customHeight="1" x14ac:dyDescent="0.3">
      <c r="BB1042395" s="38"/>
    </row>
    <row r="1042396" spans="54:54" ht="15.75" customHeight="1" x14ac:dyDescent="0.3">
      <c r="BB1042396" s="38"/>
    </row>
    <row r="1042397" spans="54:54" ht="15.75" customHeight="1" x14ac:dyDescent="0.3">
      <c r="BB1042397" s="38"/>
    </row>
    <row r="1042398" spans="54:54" ht="15.75" customHeight="1" x14ac:dyDescent="0.3">
      <c r="BB1042398" s="38"/>
    </row>
    <row r="1042399" spans="54:54" ht="15.75" customHeight="1" x14ac:dyDescent="0.3">
      <c r="BB1042399" s="38"/>
    </row>
    <row r="1042400" spans="54:54" ht="15.75" customHeight="1" x14ac:dyDescent="0.3">
      <c r="BB1042400" s="38"/>
    </row>
    <row r="1042401" spans="54:54" ht="15.75" customHeight="1" x14ac:dyDescent="0.3">
      <c r="BB1042401" s="38"/>
    </row>
    <row r="1042402" spans="54:54" ht="15.75" customHeight="1" x14ac:dyDescent="0.3">
      <c r="BB1042402" s="38"/>
    </row>
    <row r="1042403" spans="54:54" ht="15.75" customHeight="1" x14ac:dyDescent="0.3">
      <c r="BB1042403" s="38"/>
    </row>
    <row r="1042404" spans="54:54" ht="15.75" customHeight="1" x14ac:dyDescent="0.3">
      <c r="BB1042404" s="38"/>
    </row>
    <row r="1042405" spans="54:54" ht="15.75" customHeight="1" x14ac:dyDescent="0.3">
      <c r="BB1042405" s="38"/>
    </row>
    <row r="1042406" spans="54:54" ht="15.75" customHeight="1" x14ac:dyDescent="0.3">
      <c r="BB1042406" s="38"/>
    </row>
    <row r="1042407" spans="54:54" ht="15.75" customHeight="1" x14ac:dyDescent="0.3">
      <c r="BB1042407" s="38"/>
    </row>
    <row r="1042408" spans="54:54" ht="15.75" customHeight="1" x14ac:dyDescent="0.3">
      <c r="BB1042408" s="38"/>
    </row>
    <row r="1042409" spans="54:54" ht="15.75" customHeight="1" x14ac:dyDescent="0.3">
      <c r="BB1042409" s="38"/>
    </row>
    <row r="1042410" spans="54:54" ht="15.75" customHeight="1" x14ac:dyDescent="0.3">
      <c r="BB1042410" s="38"/>
    </row>
    <row r="1042411" spans="54:54" ht="15.75" customHeight="1" x14ac:dyDescent="0.3">
      <c r="BB1042411" s="38"/>
    </row>
    <row r="1042412" spans="54:54" ht="15.75" customHeight="1" x14ac:dyDescent="0.3">
      <c r="BB1042412" s="38"/>
    </row>
    <row r="1042413" spans="54:54" ht="15.75" customHeight="1" x14ac:dyDescent="0.3">
      <c r="BB1042413" s="38"/>
    </row>
    <row r="1042414" spans="54:54" ht="15.75" customHeight="1" x14ac:dyDescent="0.3">
      <c r="BB1042414" s="38"/>
    </row>
    <row r="1042415" spans="54:54" ht="15.75" customHeight="1" x14ac:dyDescent="0.3">
      <c r="BB1042415" s="38"/>
    </row>
    <row r="1042416" spans="54:54" ht="15.75" customHeight="1" x14ac:dyDescent="0.3">
      <c r="BB1042416" s="38"/>
    </row>
    <row r="1042417" spans="54:54" ht="15.75" customHeight="1" x14ac:dyDescent="0.3">
      <c r="BB1042417" s="38"/>
    </row>
    <row r="1042418" spans="54:54" ht="15.75" customHeight="1" x14ac:dyDescent="0.3">
      <c r="BB1042418" s="38"/>
    </row>
    <row r="1042419" spans="54:54" ht="15.75" customHeight="1" x14ac:dyDescent="0.3">
      <c r="BB1042419" s="38"/>
    </row>
    <row r="1042420" spans="54:54" ht="15.75" customHeight="1" x14ac:dyDescent="0.3">
      <c r="BB1042420" s="38"/>
    </row>
    <row r="1042421" spans="54:54" ht="15.75" customHeight="1" x14ac:dyDescent="0.3">
      <c r="BB1042421" s="38"/>
    </row>
    <row r="1042422" spans="54:54" ht="15.75" customHeight="1" x14ac:dyDescent="0.3">
      <c r="BB1042422" s="38"/>
    </row>
    <row r="1042423" spans="54:54" ht="15.75" customHeight="1" x14ac:dyDescent="0.3">
      <c r="BB1042423" s="38"/>
    </row>
    <row r="1042424" spans="54:54" ht="15.75" customHeight="1" x14ac:dyDescent="0.3">
      <c r="BB1042424" s="38"/>
    </row>
    <row r="1042425" spans="54:54" ht="15.75" customHeight="1" x14ac:dyDescent="0.3">
      <c r="BB1042425" s="38"/>
    </row>
    <row r="1042426" spans="54:54" ht="15.75" customHeight="1" x14ac:dyDescent="0.3">
      <c r="BB1042426" s="38"/>
    </row>
    <row r="1042427" spans="54:54" ht="15.75" customHeight="1" x14ac:dyDescent="0.3">
      <c r="BB1042427" s="38"/>
    </row>
    <row r="1042428" spans="54:54" ht="15.75" customHeight="1" x14ac:dyDescent="0.3">
      <c r="BB1042428" s="38"/>
    </row>
    <row r="1042429" spans="54:54" ht="15.75" customHeight="1" x14ac:dyDescent="0.3">
      <c r="BB1042429" s="38"/>
    </row>
    <row r="1042430" spans="54:54" ht="15.75" customHeight="1" x14ac:dyDescent="0.3">
      <c r="BB1042430" s="38"/>
    </row>
    <row r="1042431" spans="54:54" ht="15.75" customHeight="1" x14ac:dyDescent="0.3">
      <c r="BB1042431" s="38"/>
    </row>
    <row r="1042432" spans="54:54" ht="15.75" customHeight="1" x14ac:dyDescent="0.3">
      <c r="BB1042432" s="38"/>
    </row>
    <row r="1042433" spans="54:54" ht="15.75" customHeight="1" x14ac:dyDescent="0.3">
      <c r="BB1042433" s="38"/>
    </row>
    <row r="1042434" spans="54:54" ht="15.75" customHeight="1" x14ac:dyDescent="0.3">
      <c r="BB1042434" s="38"/>
    </row>
    <row r="1042435" spans="54:54" ht="15.75" customHeight="1" x14ac:dyDescent="0.3">
      <c r="BB1042435" s="38"/>
    </row>
    <row r="1042436" spans="54:54" ht="15.75" customHeight="1" x14ac:dyDescent="0.3">
      <c r="BB1042436" s="38"/>
    </row>
    <row r="1042437" spans="54:54" ht="15.75" customHeight="1" x14ac:dyDescent="0.3">
      <c r="BB1042437" s="38"/>
    </row>
    <row r="1042438" spans="54:54" ht="15.75" customHeight="1" x14ac:dyDescent="0.3">
      <c r="BB1042438" s="38"/>
    </row>
    <row r="1042439" spans="54:54" ht="15.75" customHeight="1" x14ac:dyDescent="0.3">
      <c r="BB1042439" s="38"/>
    </row>
    <row r="1042440" spans="54:54" ht="15.75" customHeight="1" x14ac:dyDescent="0.3">
      <c r="BB1042440" s="38"/>
    </row>
    <row r="1042441" spans="54:54" ht="15.75" customHeight="1" x14ac:dyDescent="0.3">
      <c r="BB1042441" s="38"/>
    </row>
    <row r="1042442" spans="54:54" ht="15.75" customHeight="1" x14ac:dyDescent="0.3">
      <c r="BB1042442" s="38"/>
    </row>
    <row r="1042443" spans="54:54" ht="15.75" customHeight="1" x14ac:dyDescent="0.3">
      <c r="BB1042443" s="38"/>
    </row>
    <row r="1042444" spans="54:54" ht="15.75" customHeight="1" x14ac:dyDescent="0.3">
      <c r="BB1042444" s="38"/>
    </row>
    <row r="1042445" spans="54:54" ht="15.75" customHeight="1" x14ac:dyDescent="0.3">
      <c r="BB1042445" s="38"/>
    </row>
    <row r="1042446" spans="54:54" ht="15.75" customHeight="1" x14ac:dyDescent="0.3">
      <c r="BB1042446" s="38"/>
    </row>
    <row r="1042447" spans="54:54" ht="15.75" customHeight="1" x14ac:dyDescent="0.3">
      <c r="BB1042447" s="38"/>
    </row>
    <row r="1042448" spans="54:54" ht="15.75" customHeight="1" x14ac:dyDescent="0.3">
      <c r="BB1042448" s="38"/>
    </row>
    <row r="1042449" spans="54:54" ht="15.75" customHeight="1" x14ac:dyDescent="0.3">
      <c r="BB1042449" s="38"/>
    </row>
    <row r="1042450" spans="54:54" ht="15.75" customHeight="1" x14ac:dyDescent="0.3">
      <c r="BB1042450" s="38"/>
    </row>
    <row r="1042451" spans="54:54" ht="15.75" customHeight="1" x14ac:dyDescent="0.3">
      <c r="BB1042451" s="38"/>
    </row>
    <row r="1042452" spans="54:54" ht="15.75" customHeight="1" x14ac:dyDescent="0.3">
      <c r="BB1042452" s="38"/>
    </row>
    <row r="1042453" spans="54:54" ht="15.75" customHeight="1" x14ac:dyDescent="0.3">
      <c r="BB1042453" s="38"/>
    </row>
    <row r="1042454" spans="54:54" ht="15.75" customHeight="1" x14ac:dyDescent="0.3">
      <c r="BB1042454" s="38"/>
    </row>
    <row r="1042455" spans="54:54" ht="15.75" customHeight="1" x14ac:dyDescent="0.3">
      <c r="BB1042455" s="38"/>
    </row>
    <row r="1042456" spans="54:54" ht="15.75" customHeight="1" x14ac:dyDescent="0.3">
      <c r="BB1042456" s="38"/>
    </row>
    <row r="1042457" spans="54:54" ht="15.75" customHeight="1" x14ac:dyDescent="0.3">
      <c r="BB1042457" s="38"/>
    </row>
    <row r="1042458" spans="54:54" ht="15.75" customHeight="1" x14ac:dyDescent="0.3">
      <c r="BB1042458" s="38"/>
    </row>
    <row r="1042459" spans="54:54" ht="15.75" customHeight="1" x14ac:dyDescent="0.3">
      <c r="BB1042459" s="38"/>
    </row>
    <row r="1042460" spans="54:54" ht="15.75" customHeight="1" x14ac:dyDescent="0.3">
      <c r="BB1042460" s="38"/>
    </row>
    <row r="1042461" spans="54:54" ht="15.75" customHeight="1" x14ac:dyDescent="0.3">
      <c r="BB1042461" s="38"/>
    </row>
    <row r="1042462" spans="54:54" ht="15.75" customHeight="1" x14ac:dyDescent="0.3">
      <c r="BB1042462" s="38"/>
    </row>
    <row r="1042463" spans="54:54" ht="15.75" customHeight="1" x14ac:dyDescent="0.3">
      <c r="BB1042463" s="38"/>
    </row>
    <row r="1042464" spans="54:54" ht="15.75" customHeight="1" x14ac:dyDescent="0.3">
      <c r="BB1042464" s="38"/>
    </row>
    <row r="1042465" spans="54:54" ht="15.75" customHeight="1" x14ac:dyDescent="0.3">
      <c r="BB1042465" s="38"/>
    </row>
    <row r="1042466" spans="54:54" ht="15.75" customHeight="1" x14ac:dyDescent="0.3">
      <c r="BB1042466" s="38"/>
    </row>
    <row r="1042467" spans="54:54" ht="15.75" customHeight="1" x14ac:dyDescent="0.3">
      <c r="BB1042467" s="38"/>
    </row>
    <row r="1042468" spans="54:54" ht="15.75" customHeight="1" x14ac:dyDescent="0.3">
      <c r="BB1042468" s="38"/>
    </row>
    <row r="1042469" spans="54:54" ht="15.75" customHeight="1" x14ac:dyDescent="0.3">
      <c r="BB1042469" s="38"/>
    </row>
    <row r="1042470" spans="54:54" ht="15.75" customHeight="1" x14ac:dyDescent="0.3">
      <c r="BB1042470" s="38"/>
    </row>
    <row r="1042471" spans="54:54" ht="15.75" customHeight="1" x14ac:dyDescent="0.3">
      <c r="BB1042471" s="38"/>
    </row>
    <row r="1042472" spans="54:54" ht="15.75" customHeight="1" x14ac:dyDescent="0.3">
      <c r="BB1042472" s="38"/>
    </row>
    <row r="1042473" spans="54:54" ht="15.75" customHeight="1" x14ac:dyDescent="0.3">
      <c r="BB1042473" s="38"/>
    </row>
    <row r="1042474" spans="54:54" ht="15.75" customHeight="1" x14ac:dyDescent="0.3">
      <c r="BB1042474" s="38"/>
    </row>
    <row r="1042475" spans="54:54" ht="15.75" customHeight="1" x14ac:dyDescent="0.3">
      <c r="BB1042475" s="38"/>
    </row>
    <row r="1042476" spans="54:54" ht="15.75" customHeight="1" x14ac:dyDescent="0.3">
      <c r="BB1042476" s="38"/>
    </row>
    <row r="1042477" spans="54:54" ht="15.75" customHeight="1" x14ac:dyDescent="0.3">
      <c r="BB1042477" s="38"/>
    </row>
    <row r="1042478" spans="54:54" ht="15.75" customHeight="1" x14ac:dyDescent="0.3">
      <c r="BB1042478" s="38"/>
    </row>
    <row r="1042479" spans="54:54" ht="15.75" customHeight="1" x14ac:dyDescent="0.3">
      <c r="BB1042479" s="38"/>
    </row>
    <row r="1042480" spans="54:54" ht="15.75" customHeight="1" x14ac:dyDescent="0.3">
      <c r="BB1042480" s="38"/>
    </row>
    <row r="1042481" spans="54:54" ht="15.75" customHeight="1" x14ac:dyDescent="0.3">
      <c r="BB1042481" s="38"/>
    </row>
    <row r="1042482" spans="54:54" ht="15.75" customHeight="1" x14ac:dyDescent="0.3">
      <c r="BB1042482" s="38"/>
    </row>
    <row r="1042483" spans="54:54" ht="15.75" customHeight="1" x14ac:dyDescent="0.3">
      <c r="BB1042483" s="38"/>
    </row>
    <row r="1042484" spans="54:54" ht="15.75" customHeight="1" x14ac:dyDescent="0.3">
      <c r="BB1042484" s="38"/>
    </row>
    <row r="1042485" spans="54:54" ht="15.75" customHeight="1" x14ac:dyDescent="0.3">
      <c r="BB1042485" s="38"/>
    </row>
    <row r="1042486" spans="54:54" ht="15.75" customHeight="1" x14ac:dyDescent="0.3">
      <c r="BB1042486" s="38"/>
    </row>
    <row r="1042487" spans="54:54" ht="15.75" customHeight="1" x14ac:dyDescent="0.3">
      <c r="BB1042487" s="38"/>
    </row>
    <row r="1042488" spans="54:54" ht="15.75" customHeight="1" x14ac:dyDescent="0.3">
      <c r="BB1042488" s="38"/>
    </row>
    <row r="1042489" spans="54:54" ht="15.75" customHeight="1" x14ac:dyDescent="0.3">
      <c r="BB1042489" s="38"/>
    </row>
    <row r="1042490" spans="54:54" ht="15.75" customHeight="1" x14ac:dyDescent="0.3">
      <c r="BB1042490" s="38"/>
    </row>
    <row r="1042491" spans="54:54" ht="15.75" customHeight="1" x14ac:dyDescent="0.3">
      <c r="BB1042491" s="38"/>
    </row>
    <row r="1042492" spans="54:54" ht="15.75" customHeight="1" x14ac:dyDescent="0.3">
      <c r="BB1042492" s="38"/>
    </row>
    <row r="1042493" spans="54:54" ht="15.75" customHeight="1" x14ac:dyDescent="0.3">
      <c r="BB1042493" s="38"/>
    </row>
    <row r="1042494" spans="54:54" ht="15.75" customHeight="1" x14ac:dyDescent="0.3">
      <c r="BB1042494" s="38"/>
    </row>
    <row r="1042495" spans="54:54" ht="15.75" customHeight="1" x14ac:dyDescent="0.3">
      <c r="BB1042495" s="38"/>
    </row>
    <row r="1042496" spans="54:54" ht="15.75" customHeight="1" x14ac:dyDescent="0.3">
      <c r="BB1042496" s="38"/>
    </row>
    <row r="1042497" spans="54:54" ht="15.75" customHeight="1" x14ac:dyDescent="0.3">
      <c r="BB1042497" s="38"/>
    </row>
    <row r="1042498" spans="54:54" ht="15.75" customHeight="1" x14ac:dyDescent="0.3">
      <c r="BB1042498" s="38"/>
    </row>
    <row r="1042499" spans="54:54" ht="15.75" customHeight="1" x14ac:dyDescent="0.3">
      <c r="BB1042499" s="38"/>
    </row>
    <row r="1042500" spans="54:54" ht="15.75" customHeight="1" x14ac:dyDescent="0.3">
      <c r="BB1042500" s="38"/>
    </row>
    <row r="1042501" spans="54:54" ht="15.75" customHeight="1" x14ac:dyDescent="0.3">
      <c r="BB1042501" s="38"/>
    </row>
    <row r="1042502" spans="54:54" ht="15.75" customHeight="1" x14ac:dyDescent="0.3">
      <c r="BB1042502" s="38"/>
    </row>
    <row r="1042503" spans="54:54" ht="15.75" customHeight="1" x14ac:dyDescent="0.3">
      <c r="BB1042503" s="38"/>
    </row>
    <row r="1042504" spans="54:54" ht="15.75" customHeight="1" x14ac:dyDescent="0.3">
      <c r="BB1042504" s="38"/>
    </row>
    <row r="1042505" spans="54:54" ht="15.75" customHeight="1" x14ac:dyDescent="0.3">
      <c r="BB1042505" s="38"/>
    </row>
    <row r="1042506" spans="54:54" ht="15.75" customHeight="1" x14ac:dyDescent="0.3">
      <c r="BB1042506" s="38"/>
    </row>
    <row r="1042507" spans="54:54" ht="15.75" customHeight="1" x14ac:dyDescent="0.3">
      <c r="BB1042507" s="38"/>
    </row>
    <row r="1042508" spans="54:54" ht="15.75" customHeight="1" x14ac:dyDescent="0.3">
      <c r="BB1042508" s="38"/>
    </row>
    <row r="1042509" spans="54:54" ht="15.75" customHeight="1" x14ac:dyDescent="0.3">
      <c r="BB1042509" s="38"/>
    </row>
    <row r="1042510" spans="54:54" ht="15.75" customHeight="1" x14ac:dyDescent="0.3">
      <c r="BB1042510" s="38"/>
    </row>
    <row r="1042511" spans="54:54" ht="15.75" customHeight="1" x14ac:dyDescent="0.3">
      <c r="BB1042511" s="38"/>
    </row>
    <row r="1042512" spans="54:54" ht="15.75" customHeight="1" x14ac:dyDescent="0.3">
      <c r="BB1042512" s="38"/>
    </row>
    <row r="1042513" spans="54:54" ht="15.75" customHeight="1" x14ac:dyDescent="0.3">
      <c r="BB1042513" s="38"/>
    </row>
    <row r="1042514" spans="54:54" ht="15.75" customHeight="1" x14ac:dyDescent="0.3">
      <c r="BB1042514" s="38"/>
    </row>
    <row r="1042515" spans="54:54" ht="15.75" customHeight="1" x14ac:dyDescent="0.3">
      <c r="BB1042515" s="38"/>
    </row>
    <row r="1042516" spans="54:54" ht="15.75" customHeight="1" x14ac:dyDescent="0.3">
      <c r="BB1042516" s="38"/>
    </row>
    <row r="1042517" spans="54:54" ht="15.75" customHeight="1" x14ac:dyDescent="0.3">
      <c r="BB1042517" s="38"/>
    </row>
    <row r="1042518" spans="54:54" ht="15.75" customHeight="1" x14ac:dyDescent="0.3">
      <c r="BB1042518" s="38"/>
    </row>
    <row r="1042519" spans="54:54" ht="15.75" customHeight="1" x14ac:dyDescent="0.3">
      <c r="BB1042519" s="38"/>
    </row>
    <row r="1042520" spans="54:54" ht="15.75" customHeight="1" x14ac:dyDescent="0.3">
      <c r="BB1042520" s="38"/>
    </row>
    <row r="1042521" spans="54:54" ht="15.75" customHeight="1" x14ac:dyDescent="0.3">
      <c r="BB1042521" s="38"/>
    </row>
    <row r="1042522" spans="54:54" ht="15.75" customHeight="1" x14ac:dyDescent="0.3">
      <c r="BB1042522" s="38"/>
    </row>
    <row r="1042523" spans="54:54" ht="15.75" customHeight="1" x14ac:dyDescent="0.3">
      <c r="BB1042523" s="38"/>
    </row>
    <row r="1042524" spans="54:54" ht="15.75" customHeight="1" x14ac:dyDescent="0.3">
      <c r="BB1042524" s="38"/>
    </row>
    <row r="1042525" spans="54:54" ht="15.75" customHeight="1" x14ac:dyDescent="0.3">
      <c r="BB1042525" s="38"/>
    </row>
    <row r="1042526" spans="54:54" ht="15.75" customHeight="1" x14ac:dyDescent="0.3">
      <c r="BB1042526" s="38"/>
    </row>
    <row r="1042527" spans="54:54" ht="15.75" customHeight="1" x14ac:dyDescent="0.3">
      <c r="BB1042527" s="38"/>
    </row>
    <row r="1042528" spans="54:54" ht="15.75" customHeight="1" x14ac:dyDescent="0.3">
      <c r="BB1042528" s="38"/>
    </row>
    <row r="1042529" spans="54:54" ht="15.75" customHeight="1" x14ac:dyDescent="0.3">
      <c r="BB1042529" s="38"/>
    </row>
    <row r="1042530" spans="54:54" ht="15.75" customHeight="1" x14ac:dyDescent="0.3">
      <c r="BB1042530" s="38"/>
    </row>
    <row r="1042531" spans="54:54" ht="15.75" customHeight="1" x14ac:dyDescent="0.3">
      <c r="BB1042531" s="38"/>
    </row>
    <row r="1042532" spans="54:54" ht="15.75" customHeight="1" x14ac:dyDescent="0.3">
      <c r="BB1042532" s="38"/>
    </row>
    <row r="1042533" spans="54:54" ht="15.75" customHeight="1" x14ac:dyDescent="0.3">
      <c r="BB1042533" s="38"/>
    </row>
    <row r="1042534" spans="54:54" ht="15.75" customHeight="1" x14ac:dyDescent="0.3">
      <c r="BB1042534" s="38"/>
    </row>
    <row r="1042535" spans="54:54" ht="15.75" customHeight="1" x14ac:dyDescent="0.3">
      <c r="BB1042535" s="38"/>
    </row>
    <row r="1042536" spans="54:54" ht="15.75" customHeight="1" x14ac:dyDescent="0.3">
      <c r="BB1042536" s="38"/>
    </row>
    <row r="1042537" spans="54:54" ht="15.75" customHeight="1" x14ac:dyDescent="0.3">
      <c r="BB1042537" s="38"/>
    </row>
    <row r="1042538" spans="54:54" ht="15.75" customHeight="1" x14ac:dyDescent="0.3">
      <c r="BB1042538" s="38"/>
    </row>
    <row r="1042539" spans="54:54" ht="15.75" customHeight="1" x14ac:dyDescent="0.3">
      <c r="BB1042539" s="38"/>
    </row>
    <row r="1042540" spans="54:54" ht="15.75" customHeight="1" x14ac:dyDescent="0.3">
      <c r="BB1042540" s="38"/>
    </row>
    <row r="1042541" spans="54:54" ht="15.75" customHeight="1" x14ac:dyDescent="0.3">
      <c r="BB1042541" s="38"/>
    </row>
    <row r="1042542" spans="54:54" ht="15.75" customHeight="1" x14ac:dyDescent="0.3">
      <c r="BB1042542" s="38"/>
    </row>
    <row r="1042543" spans="54:54" ht="15.75" customHeight="1" x14ac:dyDescent="0.3">
      <c r="BB1042543" s="38"/>
    </row>
    <row r="1042544" spans="54:54" ht="15.75" customHeight="1" x14ac:dyDescent="0.3">
      <c r="BB1042544" s="38"/>
    </row>
    <row r="1042545" spans="54:54" ht="15.75" customHeight="1" x14ac:dyDescent="0.3">
      <c r="BB1042545" s="38"/>
    </row>
    <row r="1042546" spans="54:54" ht="15.75" customHeight="1" x14ac:dyDescent="0.3">
      <c r="BB1042546" s="38"/>
    </row>
    <row r="1042547" spans="54:54" ht="15.75" customHeight="1" x14ac:dyDescent="0.3">
      <c r="BB1042547" s="38"/>
    </row>
    <row r="1042548" spans="54:54" ht="15.75" customHeight="1" x14ac:dyDescent="0.3">
      <c r="BB1042548" s="38"/>
    </row>
    <row r="1042549" spans="54:54" ht="15.75" customHeight="1" x14ac:dyDescent="0.3">
      <c r="BB1042549" s="38"/>
    </row>
    <row r="1042550" spans="54:54" ht="15.75" customHeight="1" x14ac:dyDescent="0.3">
      <c r="BB1042550" s="38"/>
    </row>
    <row r="1042551" spans="54:54" ht="15.75" customHeight="1" x14ac:dyDescent="0.3">
      <c r="BB1042551" s="38"/>
    </row>
    <row r="1042552" spans="54:54" ht="15.75" customHeight="1" x14ac:dyDescent="0.3">
      <c r="BB1042552" s="38"/>
    </row>
    <row r="1042553" spans="54:54" ht="15.75" customHeight="1" x14ac:dyDescent="0.3">
      <c r="BB1042553" s="38"/>
    </row>
    <row r="1042554" spans="54:54" ht="15.75" customHeight="1" x14ac:dyDescent="0.3">
      <c r="BB1042554" s="38"/>
    </row>
    <row r="1042555" spans="54:54" ht="15.75" customHeight="1" x14ac:dyDescent="0.3">
      <c r="BB1042555" s="38"/>
    </row>
    <row r="1042556" spans="54:54" ht="15.75" customHeight="1" x14ac:dyDescent="0.3">
      <c r="BB1042556" s="38"/>
    </row>
    <row r="1042557" spans="54:54" ht="15.75" customHeight="1" x14ac:dyDescent="0.3">
      <c r="BB1042557" s="38"/>
    </row>
    <row r="1042558" spans="54:54" ht="15.75" customHeight="1" x14ac:dyDescent="0.3">
      <c r="BB1042558" s="38"/>
    </row>
    <row r="1042559" spans="54:54" ht="15.75" customHeight="1" x14ac:dyDescent="0.3">
      <c r="BB1042559" s="38"/>
    </row>
    <row r="1042560" spans="54:54" ht="15.75" customHeight="1" x14ac:dyDescent="0.3">
      <c r="BB1042560" s="38"/>
    </row>
    <row r="1042561" spans="54:54" ht="15.75" customHeight="1" x14ac:dyDescent="0.3">
      <c r="BB1042561" s="38"/>
    </row>
    <row r="1042562" spans="54:54" ht="15.75" customHeight="1" x14ac:dyDescent="0.3">
      <c r="BB1042562" s="38"/>
    </row>
    <row r="1042563" spans="54:54" ht="15.75" customHeight="1" x14ac:dyDescent="0.3">
      <c r="BB1042563" s="38"/>
    </row>
    <row r="1042564" spans="54:54" ht="15.75" customHeight="1" x14ac:dyDescent="0.3">
      <c r="BB1042564" s="38"/>
    </row>
    <row r="1042565" spans="54:54" ht="15.75" customHeight="1" x14ac:dyDescent="0.3">
      <c r="BB1042565" s="38"/>
    </row>
    <row r="1042566" spans="54:54" ht="15.75" customHeight="1" x14ac:dyDescent="0.3">
      <c r="BB1042566" s="38"/>
    </row>
    <row r="1042567" spans="54:54" ht="15.75" customHeight="1" x14ac:dyDescent="0.3">
      <c r="BB1042567" s="38"/>
    </row>
    <row r="1042568" spans="54:54" ht="15.75" customHeight="1" x14ac:dyDescent="0.3">
      <c r="BB1042568" s="38"/>
    </row>
    <row r="1042569" spans="54:54" ht="15.75" customHeight="1" x14ac:dyDescent="0.3">
      <c r="BB1042569" s="38"/>
    </row>
    <row r="1042570" spans="54:54" ht="15.75" customHeight="1" x14ac:dyDescent="0.3">
      <c r="BB1042570" s="38"/>
    </row>
    <row r="1042571" spans="54:54" ht="15.75" customHeight="1" x14ac:dyDescent="0.3">
      <c r="BB1042571" s="38"/>
    </row>
    <row r="1042572" spans="54:54" ht="15.75" customHeight="1" x14ac:dyDescent="0.3">
      <c r="BB1042572" s="38"/>
    </row>
    <row r="1042573" spans="54:54" ht="15.75" customHeight="1" x14ac:dyDescent="0.3">
      <c r="BB1042573" s="38"/>
    </row>
    <row r="1042574" spans="54:54" ht="15.75" customHeight="1" x14ac:dyDescent="0.3">
      <c r="BB1042574" s="38"/>
    </row>
    <row r="1042575" spans="54:54" ht="15.75" customHeight="1" x14ac:dyDescent="0.3">
      <c r="BB1042575" s="38"/>
    </row>
    <row r="1042576" spans="54:54" ht="15.75" customHeight="1" x14ac:dyDescent="0.3">
      <c r="BB1042576" s="38"/>
    </row>
    <row r="1042577" spans="54:54" ht="15.75" customHeight="1" x14ac:dyDescent="0.3">
      <c r="BB1042577" s="38"/>
    </row>
    <row r="1042578" spans="54:54" ht="15.75" customHeight="1" x14ac:dyDescent="0.3">
      <c r="BB1042578" s="38"/>
    </row>
    <row r="1042579" spans="54:54" ht="15.75" customHeight="1" x14ac:dyDescent="0.3">
      <c r="BB1042579" s="38"/>
    </row>
    <row r="1042580" spans="54:54" ht="15.75" customHeight="1" x14ac:dyDescent="0.3">
      <c r="BB1042580" s="38"/>
    </row>
    <row r="1042581" spans="54:54" ht="15.75" customHeight="1" x14ac:dyDescent="0.3">
      <c r="BB1042581" s="38"/>
    </row>
    <row r="1042582" spans="54:54" ht="15.75" customHeight="1" x14ac:dyDescent="0.3">
      <c r="BB1042582" s="38"/>
    </row>
    <row r="1042583" spans="54:54" ht="15.75" customHeight="1" x14ac:dyDescent="0.3">
      <c r="BB1042583" s="38"/>
    </row>
    <row r="1042584" spans="54:54" ht="15.75" customHeight="1" x14ac:dyDescent="0.3">
      <c r="BB1042584" s="38"/>
    </row>
    <row r="1042585" spans="54:54" ht="15.75" customHeight="1" x14ac:dyDescent="0.3">
      <c r="BB1042585" s="38"/>
    </row>
    <row r="1042586" spans="54:54" ht="15.75" customHeight="1" x14ac:dyDescent="0.3">
      <c r="BB1042586" s="38"/>
    </row>
    <row r="1042587" spans="54:54" ht="15.75" customHeight="1" x14ac:dyDescent="0.3">
      <c r="BB1042587" s="38"/>
    </row>
    <row r="1042588" spans="54:54" ht="15.75" customHeight="1" x14ac:dyDescent="0.3">
      <c r="BB1042588" s="38"/>
    </row>
    <row r="1042589" spans="54:54" ht="15.75" customHeight="1" x14ac:dyDescent="0.3">
      <c r="BB1042589" s="38"/>
    </row>
    <row r="1042590" spans="54:54" ht="15.75" customHeight="1" x14ac:dyDescent="0.3">
      <c r="BB1042590" s="38"/>
    </row>
    <row r="1042591" spans="54:54" ht="15.75" customHeight="1" x14ac:dyDescent="0.3">
      <c r="BB1042591" s="38"/>
    </row>
    <row r="1042592" spans="54:54" ht="15.75" customHeight="1" x14ac:dyDescent="0.3">
      <c r="BB1042592" s="38"/>
    </row>
    <row r="1042593" spans="54:54" ht="15.75" customHeight="1" x14ac:dyDescent="0.3">
      <c r="BB1042593" s="38"/>
    </row>
    <row r="1042594" spans="54:54" ht="15.75" customHeight="1" x14ac:dyDescent="0.3">
      <c r="BB1042594" s="38"/>
    </row>
    <row r="1042595" spans="54:54" ht="15.75" customHeight="1" x14ac:dyDescent="0.3">
      <c r="BB1042595" s="38"/>
    </row>
    <row r="1042596" spans="54:54" ht="15.75" customHeight="1" x14ac:dyDescent="0.3">
      <c r="BB1042596" s="38"/>
    </row>
    <row r="1042597" spans="54:54" ht="15.75" customHeight="1" x14ac:dyDescent="0.3">
      <c r="BB1042597" s="38"/>
    </row>
    <row r="1042598" spans="54:54" ht="15.75" customHeight="1" x14ac:dyDescent="0.3">
      <c r="BB1042598" s="38"/>
    </row>
    <row r="1042599" spans="54:54" ht="15.75" customHeight="1" x14ac:dyDescent="0.3">
      <c r="BB1042599" s="38"/>
    </row>
    <row r="1042600" spans="54:54" ht="15.75" customHeight="1" x14ac:dyDescent="0.3">
      <c r="BB1042600" s="38"/>
    </row>
    <row r="1042601" spans="54:54" ht="15.75" customHeight="1" x14ac:dyDescent="0.3">
      <c r="BB1042601" s="38"/>
    </row>
    <row r="1042602" spans="54:54" ht="15.75" customHeight="1" x14ac:dyDescent="0.3">
      <c r="BB1042602" s="38"/>
    </row>
    <row r="1042603" spans="54:54" ht="15.75" customHeight="1" x14ac:dyDescent="0.3">
      <c r="BB1042603" s="38"/>
    </row>
    <row r="1042604" spans="54:54" ht="15.75" customHeight="1" x14ac:dyDescent="0.3">
      <c r="BB1042604" s="38"/>
    </row>
    <row r="1042605" spans="54:54" ht="15.75" customHeight="1" x14ac:dyDescent="0.3">
      <c r="BB1042605" s="38"/>
    </row>
    <row r="1042606" spans="54:54" ht="15.75" customHeight="1" x14ac:dyDescent="0.3">
      <c r="BB1042606" s="38"/>
    </row>
    <row r="1042607" spans="54:54" ht="15.75" customHeight="1" x14ac:dyDescent="0.3">
      <c r="BB1042607" s="38"/>
    </row>
    <row r="1042608" spans="54:54" ht="15.75" customHeight="1" x14ac:dyDescent="0.3">
      <c r="BB1042608" s="38"/>
    </row>
    <row r="1042609" spans="54:54" ht="15.75" customHeight="1" x14ac:dyDescent="0.3">
      <c r="BB1042609" s="38"/>
    </row>
    <row r="1042610" spans="54:54" ht="15.75" customHeight="1" x14ac:dyDescent="0.3">
      <c r="BB1042610" s="38"/>
    </row>
    <row r="1042611" spans="54:54" ht="15.75" customHeight="1" x14ac:dyDescent="0.3">
      <c r="BB1042611" s="38"/>
    </row>
    <row r="1042612" spans="54:54" ht="15.75" customHeight="1" x14ac:dyDescent="0.3">
      <c r="BB1042612" s="38"/>
    </row>
    <row r="1042613" spans="54:54" ht="15.75" customHeight="1" x14ac:dyDescent="0.3">
      <c r="BB1042613" s="38"/>
    </row>
    <row r="1042614" spans="54:54" ht="15.75" customHeight="1" x14ac:dyDescent="0.3">
      <c r="BB1042614" s="38"/>
    </row>
    <row r="1042615" spans="54:54" ht="15.75" customHeight="1" x14ac:dyDescent="0.3">
      <c r="BB1042615" s="38"/>
    </row>
    <row r="1042616" spans="54:54" ht="15.75" customHeight="1" x14ac:dyDescent="0.3">
      <c r="BB1042616" s="38"/>
    </row>
    <row r="1042617" spans="54:54" ht="15.75" customHeight="1" x14ac:dyDescent="0.3">
      <c r="BB1042617" s="38"/>
    </row>
    <row r="1042618" spans="54:54" ht="15.75" customHeight="1" x14ac:dyDescent="0.3">
      <c r="BB1042618" s="38"/>
    </row>
    <row r="1042619" spans="54:54" ht="15.75" customHeight="1" x14ac:dyDescent="0.3">
      <c r="BB1042619" s="38"/>
    </row>
    <row r="1042620" spans="54:54" ht="15.75" customHeight="1" x14ac:dyDescent="0.3">
      <c r="BB1042620" s="38"/>
    </row>
    <row r="1042621" spans="54:54" ht="15.75" customHeight="1" x14ac:dyDescent="0.3">
      <c r="BB1042621" s="38"/>
    </row>
    <row r="1042622" spans="54:54" ht="15.75" customHeight="1" x14ac:dyDescent="0.3">
      <c r="BB1042622" s="38"/>
    </row>
    <row r="1042623" spans="54:54" ht="15.75" customHeight="1" x14ac:dyDescent="0.3">
      <c r="BB1042623" s="38"/>
    </row>
    <row r="1042624" spans="54:54" ht="15.75" customHeight="1" x14ac:dyDescent="0.3">
      <c r="BB1042624" s="38"/>
    </row>
    <row r="1042625" spans="54:54" ht="15.75" customHeight="1" x14ac:dyDescent="0.3">
      <c r="BB1042625" s="38"/>
    </row>
    <row r="1042626" spans="54:54" ht="15.75" customHeight="1" x14ac:dyDescent="0.3">
      <c r="BB1042626" s="38"/>
    </row>
    <row r="1042627" spans="54:54" ht="15.75" customHeight="1" x14ac:dyDescent="0.3">
      <c r="BB1042627" s="38"/>
    </row>
    <row r="1042628" spans="54:54" ht="15.75" customHeight="1" x14ac:dyDescent="0.3">
      <c r="BB1042628" s="38"/>
    </row>
    <row r="1042629" spans="54:54" ht="15.75" customHeight="1" x14ac:dyDescent="0.3">
      <c r="BB1042629" s="38"/>
    </row>
    <row r="1042630" spans="54:54" ht="15.75" customHeight="1" x14ac:dyDescent="0.3">
      <c r="BB1042630" s="38"/>
    </row>
    <row r="1042631" spans="54:54" ht="15.75" customHeight="1" x14ac:dyDescent="0.3">
      <c r="BB1042631" s="38"/>
    </row>
    <row r="1042632" spans="54:54" ht="15.75" customHeight="1" x14ac:dyDescent="0.3">
      <c r="BB1042632" s="38"/>
    </row>
    <row r="1042633" spans="54:54" ht="15.75" customHeight="1" x14ac:dyDescent="0.3">
      <c r="BB1042633" s="38"/>
    </row>
    <row r="1042634" spans="54:54" ht="15.75" customHeight="1" x14ac:dyDescent="0.3">
      <c r="BB1042634" s="38"/>
    </row>
    <row r="1042635" spans="54:54" ht="15.75" customHeight="1" x14ac:dyDescent="0.3">
      <c r="BB1042635" s="38"/>
    </row>
    <row r="1042636" spans="54:54" ht="15.75" customHeight="1" x14ac:dyDescent="0.3">
      <c r="BB1042636" s="38"/>
    </row>
    <row r="1042637" spans="54:54" ht="15.75" customHeight="1" x14ac:dyDescent="0.3">
      <c r="BB1042637" s="38"/>
    </row>
    <row r="1042638" spans="54:54" ht="15.75" customHeight="1" x14ac:dyDescent="0.3">
      <c r="BB1042638" s="38"/>
    </row>
    <row r="1042639" spans="54:54" ht="15.75" customHeight="1" x14ac:dyDescent="0.3">
      <c r="BB1042639" s="38"/>
    </row>
    <row r="1042640" spans="54:54" ht="15.75" customHeight="1" x14ac:dyDescent="0.3">
      <c r="BB1042640" s="38"/>
    </row>
    <row r="1042641" spans="54:54" ht="15.75" customHeight="1" x14ac:dyDescent="0.3">
      <c r="BB1042641" s="38"/>
    </row>
    <row r="1042642" spans="54:54" ht="15.75" customHeight="1" x14ac:dyDescent="0.3">
      <c r="BB1042642" s="38"/>
    </row>
    <row r="1042643" spans="54:54" ht="15.75" customHeight="1" x14ac:dyDescent="0.3">
      <c r="BB1042643" s="38"/>
    </row>
    <row r="1042644" spans="54:54" ht="15.75" customHeight="1" x14ac:dyDescent="0.3">
      <c r="BB1042644" s="38"/>
    </row>
    <row r="1042645" spans="54:54" ht="15.75" customHeight="1" x14ac:dyDescent="0.3">
      <c r="BB1042645" s="38"/>
    </row>
    <row r="1042646" spans="54:54" ht="15.75" customHeight="1" x14ac:dyDescent="0.3">
      <c r="BB1042646" s="38"/>
    </row>
    <row r="1042647" spans="54:54" ht="15.75" customHeight="1" x14ac:dyDescent="0.3">
      <c r="BB1042647" s="38"/>
    </row>
    <row r="1042648" spans="54:54" ht="15.75" customHeight="1" x14ac:dyDescent="0.3">
      <c r="BB1042648" s="38"/>
    </row>
    <row r="1042649" spans="54:54" ht="15.75" customHeight="1" x14ac:dyDescent="0.3">
      <c r="BB1042649" s="38"/>
    </row>
    <row r="1042650" spans="54:54" ht="15.75" customHeight="1" x14ac:dyDescent="0.3">
      <c r="BB1042650" s="38"/>
    </row>
    <row r="1042651" spans="54:54" ht="15.75" customHeight="1" x14ac:dyDescent="0.3">
      <c r="BB1042651" s="38"/>
    </row>
    <row r="1042652" spans="54:54" ht="15.75" customHeight="1" x14ac:dyDescent="0.3">
      <c r="BB1042652" s="38"/>
    </row>
    <row r="1042653" spans="54:54" ht="15.75" customHeight="1" x14ac:dyDescent="0.3">
      <c r="BB1042653" s="38"/>
    </row>
    <row r="1042654" spans="54:54" ht="15.75" customHeight="1" x14ac:dyDescent="0.3">
      <c r="BB1042654" s="38"/>
    </row>
    <row r="1042655" spans="54:54" ht="15.75" customHeight="1" x14ac:dyDescent="0.3">
      <c r="BB1042655" s="38"/>
    </row>
    <row r="1042656" spans="54:54" ht="15.75" customHeight="1" x14ac:dyDescent="0.3">
      <c r="BB1042656" s="38"/>
    </row>
    <row r="1042657" spans="54:54" ht="15.75" customHeight="1" x14ac:dyDescent="0.3">
      <c r="BB1042657" s="38"/>
    </row>
    <row r="1042658" spans="54:54" ht="15.75" customHeight="1" x14ac:dyDescent="0.3">
      <c r="BB1042658" s="38"/>
    </row>
    <row r="1042659" spans="54:54" ht="15.75" customHeight="1" x14ac:dyDescent="0.3">
      <c r="BB1042659" s="38"/>
    </row>
    <row r="1042660" spans="54:54" ht="15.75" customHeight="1" x14ac:dyDescent="0.3">
      <c r="BB1042660" s="38"/>
    </row>
    <row r="1042661" spans="54:54" ht="15.75" customHeight="1" x14ac:dyDescent="0.3">
      <c r="BB1042661" s="38"/>
    </row>
    <row r="1042662" spans="54:54" ht="15.75" customHeight="1" x14ac:dyDescent="0.3">
      <c r="BB1042662" s="38"/>
    </row>
    <row r="1042663" spans="54:54" ht="15.75" customHeight="1" x14ac:dyDescent="0.3">
      <c r="BB1042663" s="38"/>
    </row>
    <row r="1042664" spans="54:54" ht="15.75" customHeight="1" x14ac:dyDescent="0.3">
      <c r="BB1042664" s="38"/>
    </row>
    <row r="1042665" spans="54:54" ht="15.75" customHeight="1" x14ac:dyDescent="0.3">
      <c r="BB1042665" s="38"/>
    </row>
    <row r="1042666" spans="54:54" ht="15.75" customHeight="1" x14ac:dyDescent="0.3">
      <c r="BB1042666" s="38"/>
    </row>
    <row r="1042667" spans="54:54" ht="15.75" customHeight="1" x14ac:dyDescent="0.3">
      <c r="BB1042667" s="38"/>
    </row>
    <row r="1042668" spans="54:54" ht="15.75" customHeight="1" x14ac:dyDescent="0.3">
      <c r="BB1042668" s="38"/>
    </row>
    <row r="1042669" spans="54:54" ht="15.75" customHeight="1" x14ac:dyDescent="0.3">
      <c r="BB1042669" s="38"/>
    </row>
    <row r="1042670" spans="54:54" ht="15.75" customHeight="1" x14ac:dyDescent="0.3">
      <c r="BB1042670" s="38"/>
    </row>
    <row r="1042671" spans="54:54" ht="15.75" customHeight="1" x14ac:dyDescent="0.3">
      <c r="BB1042671" s="38"/>
    </row>
    <row r="1042672" spans="54:54" ht="15.75" customHeight="1" x14ac:dyDescent="0.3">
      <c r="BB1042672" s="38"/>
    </row>
    <row r="1042673" spans="54:54" ht="15.75" customHeight="1" x14ac:dyDescent="0.3">
      <c r="BB1042673" s="38"/>
    </row>
    <row r="1042674" spans="54:54" ht="15.75" customHeight="1" x14ac:dyDescent="0.3">
      <c r="BB1042674" s="38"/>
    </row>
    <row r="1042675" spans="54:54" ht="15.75" customHeight="1" x14ac:dyDescent="0.3">
      <c r="BB1042675" s="38"/>
    </row>
    <row r="1042676" spans="54:54" ht="15.75" customHeight="1" x14ac:dyDescent="0.3">
      <c r="BB1042676" s="38"/>
    </row>
    <row r="1042677" spans="54:54" ht="15.75" customHeight="1" x14ac:dyDescent="0.3">
      <c r="BB1042677" s="38"/>
    </row>
    <row r="1042678" spans="54:54" ht="15.75" customHeight="1" x14ac:dyDescent="0.3">
      <c r="BB1042678" s="38"/>
    </row>
    <row r="1042679" spans="54:54" ht="15.75" customHeight="1" x14ac:dyDescent="0.3">
      <c r="BB1042679" s="38"/>
    </row>
    <row r="1042680" spans="54:54" ht="15.75" customHeight="1" x14ac:dyDescent="0.3">
      <c r="BB1042680" s="38"/>
    </row>
    <row r="1042681" spans="54:54" ht="15.75" customHeight="1" x14ac:dyDescent="0.3">
      <c r="BB1042681" s="38"/>
    </row>
    <row r="1042682" spans="54:54" ht="15.75" customHeight="1" x14ac:dyDescent="0.3">
      <c r="BB1042682" s="38"/>
    </row>
    <row r="1042683" spans="54:54" ht="15.75" customHeight="1" x14ac:dyDescent="0.3">
      <c r="BB1042683" s="38"/>
    </row>
    <row r="1042684" spans="54:54" ht="15.75" customHeight="1" x14ac:dyDescent="0.3">
      <c r="BB1042684" s="38"/>
    </row>
    <row r="1042685" spans="54:54" ht="15.75" customHeight="1" x14ac:dyDescent="0.3">
      <c r="BB1042685" s="38"/>
    </row>
    <row r="1042686" spans="54:54" ht="15.75" customHeight="1" x14ac:dyDescent="0.3">
      <c r="BB1042686" s="38"/>
    </row>
    <row r="1042687" spans="54:54" ht="15.75" customHeight="1" x14ac:dyDescent="0.3">
      <c r="BB1042687" s="38"/>
    </row>
    <row r="1042688" spans="54:54" ht="15.75" customHeight="1" x14ac:dyDescent="0.3">
      <c r="BB1042688" s="38"/>
    </row>
    <row r="1042689" spans="54:54" ht="15.75" customHeight="1" x14ac:dyDescent="0.3">
      <c r="BB1042689" s="38"/>
    </row>
    <row r="1042690" spans="54:54" ht="15.75" customHeight="1" x14ac:dyDescent="0.3">
      <c r="BB1042690" s="38"/>
    </row>
    <row r="1042691" spans="54:54" ht="15.75" customHeight="1" x14ac:dyDescent="0.3">
      <c r="BB1042691" s="38"/>
    </row>
    <row r="1042692" spans="54:54" ht="15.75" customHeight="1" x14ac:dyDescent="0.3">
      <c r="BB1042692" s="38"/>
    </row>
    <row r="1042693" spans="54:54" ht="15.75" customHeight="1" x14ac:dyDescent="0.3">
      <c r="BB1042693" s="38"/>
    </row>
    <row r="1042694" spans="54:54" ht="15.75" customHeight="1" x14ac:dyDescent="0.3">
      <c r="BB1042694" s="38"/>
    </row>
    <row r="1042695" spans="54:54" ht="15.75" customHeight="1" x14ac:dyDescent="0.3">
      <c r="BB1042695" s="38"/>
    </row>
    <row r="1042696" spans="54:54" ht="15.75" customHeight="1" x14ac:dyDescent="0.3">
      <c r="BB1042696" s="38"/>
    </row>
    <row r="1042697" spans="54:54" ht="15.75" customHeight="1" x14ac:dyDescent="0.3">
      <c r="BB1042697" s="38"/>
    </row>
    <row r="1042698" spans="54:54" ht="15.75" customHeight="1" x14ac:dyDescent="0.3">
      <c r="BB1042698" s="38"/>
    </row>
    <row r="1042699" spans="54:54" ht="15.75" customHeight="1" x14ac:dyDescent="0.3">
      <c r="BB1042699" s="38"/>
    </row>
    <row r="1042700" spans="54:54" ht="15.75" customHeight="1" x14ac:dyDescent="0.3">
      <c r="BB1042700" s="38"/>
    </row>
    <row r="1042701" spans="54:54" ht="15.75" customHeight="1" x14ac:dyDescent="0.3">
      <c r="BB1042701" s="38"/>
    </row>
    <row r="1042702" spans="54:54" ht="15.75" customHeight="1" x14ac:dyDescent="0.3">
      <c r="BB1042702" s="38"/>
    </row>
    <row r="1042703" spans="54:54" ht="15.75" customHeight="1" x14ac:dyDescent="0.3">
      <c r="BB1042703" s="38"/>
    </row>
    <row r="1042704" spans="54:54" ht="15.75" customHeight="1" x14ac:dyDescent="0.3">
      <c r="BB1042704" s="38"/>
    </row>
    <row r="1042705" spans="54:54" ht="15.75" customHeight="1" x14ac:dyDescent="0.3">
      <c r="BB1042705" s="38"/>
    </row>
    <row r="1042706" spans="54:54" ht="15.75" customHeight="1" x14ac:dyDescent="0.3">
      <c r="BB1042706" s="38"/>
    </row>
    <row r="1042707" spans="54:54" ht="15.75" customHeight="1" x14ac:dyDescent="0.3">
      <c r="BB1042707" s="38"/>
    </row>
    <row r="1042708" spans="54:54" ht="15.75" customHeight="1" x14ac:dyDescent="0.3">
      <c r="BB1042708" s="38"/>
    </row>
    <row r="1042709" spans="54:54" ht="15.75" customHeight="1" x14ac:dyDescent="0.3">
      <c r="BB1042709" s="38"/>
    </row>
    <row r="1042710" spans="54:54" ht="15.75" customHeight="1" x14ac:dyDescent="0.3">
      <c r="BB1042710" s="38"/>
    </row>
    <row r="1042711" spans="54:54" ht="15.75" customHeight="1" x14ac:dyDescent="0.3">
      <c r="BB1042711" s="38"/>
    </row>
    <row r="1042712" spans="54:54" ht="15.75" customHeight="1" x14ac:dyDescent="0.3">
      <c r="BB1042712" s="38"/>
    </row>
    <row r="1042713" spans="54:54" ht="15.75" customHeight="1" x14ac:dyDescent="0.3">
      <c r="BB1042713" s="38"/>
    </row>
    <row r="1042714" spans="54:54" ht="15.75" customHeight="1" x14ac:dyDescent="0.3">
      <c r="BB1042714" s="38"/>
    </row>
    <row r="1042715" spans="54:54" ht="15.75" customHeight="1" x14ac:dyDescent="0.3">
      <c r="BB1042715" s="38"/>
    </row>
    <row r="1042716" spans="54:54" ht="15.75" customHeight="1" x14ac:dyDescent="0.3">
      <c r="BB1042716" s="38"/>
    </row>
    <row r="1042717" spans="54:54" ht="15.75" customHeight="1" x14ac:dyDescent="0.3">
      <c r="BB1042717" s="38"/>
    </row>
    <row r="1042718" spans="54:54" ht="15.75" customHeight="1" x14ac:dyDescent="0.3">
      <c r="BB1042718" s="38"/>
    </row>
    <row r="1042719" spans="54:54" ht="15.75" customHeight="1" x14ac:dyDescent="0.3">
      <c r="BB1042719" s="38"/>
    </row>
    <row r="1042720" spans="54:54" ht="15.75" customHeight="1" x14ac:dyDescent="0.3">
      <c r="BB1042720" s="38"/>
    </row>
    <row r="1042721" spans="54:54" ht="15.75" customHeight="1" x14ac:dyDescent="0.3">
      <c r="BB1042721" s="38"/>
    </row>
    <row r="1042722" spans="54:54" ht="15.75" customHeight="1" x14ac:dyDescent="0.3">
      <c r="BB1042722" s="38"/>
    </row>
    <row r="1042723" spans="54:54" ht="15.75" customHeight="1" x14ac:dyDescent="0.3">
      <c r="BB1042723" s="38"/>
    </row>
    <row r="1042724" spans="54:54" ht="15.75" customHeight="1" x14ac:dyDescent="0.3">
      <c r="BB1042724" s="38"/>
    </row>
    <row r="1042725" spans="54:54" ht="15.75" customHeight="1" x14ac:dyDescent="0.3">
      <c r="BB1042725" s="38"/>
    </row>
    <row r="1042726" spans="54:54" ht="15.75" customHeight="1" x14ac:dyDescent="0.3">
      <c r="BB1042726" s="38"/>
    </row>
    <row r="1042727" spans="54:54" ht="15.75" customHeight="1" x14ac:dyDescent="0.3">
      <c r="BB1042727" s="38"/>
    </row>
    <row r="1042728" spans="54:54" ht="15.75" customHeight="1" x14ac:dyDescent="0.3">
      <c r="BB1042728" s="38"/>
    </row>
    <row r="1042729" spans="54:54" ht="15.75" customHeight="1" x14ac:dyDescent="0.3">
      <c r="BB1042729" s="38"/>
    </row>
    <row r="1042730" spans="54:54" ht="15.75" customHeight="1" x14ac:dyDescent="0.3">
      <c r="BB1042730" s="38"/>
    </row>
    <row r="1042731" spans="54:54" ht="15.75" customHeight="1" x14ac:dyDescent="0.3">
      <c r="BB1042731" s="38"/>
    </row>
    <row r="1042732" spans="54:54" ht="15.75" customHeight="1" x14ac:dyDescent="0.3">
      <c r="BB1042732" s="38"/>
    </row>
    <row r="1042733" spans="54:54" ht="15.75" customHeight="1" x14ac:dyDescent="0.3">
      <c r="BB1042733" s="38"/>
    </row>
    <row r="1042734" spans="54:54" ht="15.75" customHeight="1" x14ac:dyDescent="0.3">
      <c r="BB1042734" s="38"/>
    </row>
    <row r="1042735" spans="54:54" ht="15.75" customHeight="1" x14ac:dyDescent="0.3">
      <c r="BB1042735" s="38"/>
    </row>
    <row r="1042736" spans="54:54" ht="15.75" customHeight="1" x14ac:dyDescent="0.3">
      <c r="BB1042736" s="38"/>
    </row>
    <row r="1042737" spans="54:54" ht="15.75" customHeight="1" x14ac:dyDescent="0.3">
      <c r="BB1042737" s="38"/>
    </row>
    <row r="1042738" spans="54:54" ht="15.75" customHeight="1" x14ac:dyDescent="0.3">
      <c r="BB1042738" s="38"/>
    </row>
    <row r="1042739" spans="54:54" ht="15.75" customHeight="1" x14ac:dyDescent="0.3">
      <c r="BB1042739" s="38"/>
    </row>
    <row r="1042740" spans="54:54" ht="15.75" customHeight="1" x14ac:dyDescent="0.3">
      <c r="BB1042740" s="38"/>
    </row>
    <row r="1042741" spans="54:54" ht="15.75" customHeight="1" x14ac:dyDescent="0.3">
      <c r="BB1042741" s="38"/>
    </row>
    <row r="1042742" spans="54:54" ht="15.75" customHeight="1" x14ac:dyDescent="0.3">
      <c r="BB1042742" s="38"/>
    </row>
    <row r="1042743" spans="54:54" ht="15.75" customHeight="1" x14ac:dyDescent="0.3">
      <c r="BB1042743" s="38"/>
    </row>
    <row r="1042744" spans="54:54" ht="15.75" customHeight="1" x14ac:dyDescent="0.3">
      <c r="BB1042744" s="38"/>
    </row>
    <row r="1042745" spans="54:54" ht="15.75" customHeight="1" x14ac:dyDescent="0.3">
      <c r="BB1042745" s="38"/>
    </row>
    <row r="1042746" spans="54:54" ht="15.75" customHeight="1" x14ac:dyDescent="0.3">
      <c r="BB1042746" s="38"/>
    </row>
    <row r="1042747" spans="54:54" ht="15.75" customHeight="1" x14ac:dyDescent="0.3">
      <c r="BB1042747" s="38"/>
    </row>
    <row r="1042748" spans="54:54" ht="15.75" customHeight="1" x14ac:dyDescent="0.3">
      <c r="BB1042748" s="38"/>
    </row>
    <row r="1042749" spans="54:54" ht="15.75" customHeight="1" x14ac:dyDescent="0.3">
      <c r="BB1042749" s="38"/>
    </row>
    <row r="1042750" spans="54:54" ht="15.75" customHeight="1" x14ac:dyDescent="0.3">
      <c r="BB1042750" s="38"/>
    </row>
    <row r="1042751" spans="54:54" ht="15.75" customHeight="1" x14ac:dyDescent="0.3">
      <c r="BB1042751" s="38"/>
    </row>
    <row r="1042752" spans="54:54" ht="15.75" customHeight="1" x14ac:dyDescent="0.3">
      <c r="BB1042752" s="38"/>
    </row>
    <row r="1042753" spans="54:54" ht="15.75" customHeight="1" x14ac:dyDescent="0.3">
      <c r="BB1042753" s="38"/>
    </row>
    <row r="1042754" spans="54:54" ht="15.75" customHeight="1" x14ac:dyDescent="0.3">
      <c r="BB1042754" s="38"/>
    </row>
    <row r="1042755" spans="54:54" ht="15.75" customHeight="1" x14ac:dyDescent="0.3">
      <c r="BB1042755" s="38"/>
    </row>
    <row r="1042756" spans="54:54" ht="15.75" customHeight="1" x14ac:dyDescent="0.3">
      <c r="BB1042756" s="38"/>
    </row>
    <row r="1042757" spans="54:54" ht="15.75" customHeight="1" x14ac:dyDescent="0.3">
      <c r="BB1042757" s="38"/>
    </row>
    <row r="1042758" spans="54:54" ht="15.75" customHeight="1" x14ac:dyDescent="0.3">
      <c r="BB1042758" s="38"/>
    </row>
    <row r="1042759" spans="54:54" ht="15.75" customHeight="1" x14ac:dyDescent="0.3">
      <c r="BB1042759" s="38"/>
    </row>
    <row r="1042760" spans="54:54" ht="15.75" customHeight="1" x14ac:dyDescent="0.3">
      <c r="BB1042760" s="38"/>
    </row>
    <row r="1042761" spans="54:54" ht="15.75" customHeight="1" x14ac:dyDescent="0.3">
      <c r="BB1042761" s="38"/>
    </row>
    <row r="1042762" spans="54:54" ht="15.75" customHeight="1" x14ac:dyDescent="0.3">
      <c r="BB1042762" s="38"/>
    </row>
    <row r="1042763" spans="54:54" ht="15.75" customHeight="1" x14ac:dyDescent="0.3">
      <c r="BB1042763" s="38"/>
    </row>
    <row r="1042764" spans="54:54" ht="15.75" customHeight="1" x14ac:dyDescent="0.3">
      <c r="BB1042764" s="38"/>
    </row>
    <row r="1042765" spans="54:54" ht="15.75" customHeight="1" x14ac:dyDescent="0.3">
      <c r="BB1042765" s="38"/>
    </row>
    <row r="1042766" spans="54:54" ht="15.75" customHeight="1" x14ac:dyDescent="0.3">
      <c r="BB1042766" s="38"/>
    </row>
    <row r="1042767" spans="54:54" ht="15.75" customHeight="1" x14ac:dyDescent="0.3">
      <c r="BB1042767" s="38"/>
    </row>
    <row r="1042768" spans="54:54" ht="15.75" customHeight="1" x14ac:dyDescent="0.3">
      <c r="BB1042768" s="38"/>
    </row>
    <row r="1042769" spans="54:54" ht="15.75" customHeight="1" x14ac:dyDescent="0.3">
      <c r="BB1042769" s="38"/>
    </row>
    <row r="1042770" spans="54:54" ht="15.75" customHeight="1" x14ac:dyDescent="0.3">
      <c r="BB1042770" s="38"/>
    </row>
    <row r="1042771" spans="54:54" ht="15.75" customHeight="1" x14ac:dyDescent="0.3">
      <c r="BB1042771" s="38"/>
    </row>
    <row r="1042772" spans="54:54" ht="15.75" customHeight="1" x14ac:dyDescent="0.3">
      <c r="BB1042772" s="38"/>
    </row>
    <row r="1042773" spans="54:54" ht="15.75" customHeight="1" x14ac:dyDescent="0.3">
      <c r="BB1042773" s="38"/>
    </row>
    <row r="1042774" spans="54:54" ht="15.75" customHeight="1" x14ac:dyDescent="0.3">
      <c r="BB1042774" s="38"/>
    </row>
    <row r="1042775" spans="54:54" ht="15.75" customHeight="1" x14ac:dyDescent="0.3">
      <c r="BB1042775" s="38"/>
    </row>
    <row r="1042776" spans="54:54" ht="15.75" customHeight="1" x14ac:dyDescent="0.3">
      <c r="BB1042776" s="38"/>
    </row>
    <row r="1042777" spans="54:54" ht="15.75" customHeight="1" x14ac:dyDescent="0.3">
      <c r="BB1042777" s="38"/>
    </row>
    <row r="1042778" spans="54:54" ht="15.75" customHeight="1" x14ac:dyDescent="0.3">
      <c r="BB1042778" s="38"/>
    </row>
    <row r="1042779" spans="54:54" ht="15.75" customHeight="1" x14ac:dyDescent="0.3">
      <c r="BB1042779" s="38"/>
    </row>
    <row r="1042780" spans="54:54" ht="15.75" customHeight="1" x14ac:dyDescent="0.3">
      <c r="BB1042780" s="38"/>
    </row>
    <row r="1042781" spans="54:54" ht="15.75" customHeight="1" x14ac:dyDescent="0.3">
      <c r="BB1042781" s="38"/>
    </row>
    <row r="1042782" spans="54:54" ht="15.75" customHeight="1" x14ac:dyDescent="0.3">
      <c r="BB1042782" s="38"/>
    </row>
    <row r="1042783" spans="54:54" ht="15.75" customHeight="1" x14ac:dyDescent="0.3">
      <c r="BB1042783" s="38"/>
    </row>
    <row r="1042784" spans="54:54" ht="15.75" customHeight="1" x14ac:dyDescent="0.3">
      <c r="BB1042784" s="38"/>
    </row>
    <row r="1042785" spans="54:54" ht="15.75" customHeight="1" x14ac:dyDescent="0.3">
      <c r="BB1042785" s="38"/>
    </row>
    <row r="1042786" spans="54:54" ht="15.75" customHeight="1" x14ac:dyDescent="0.3">
      <c r="BB1042786" s="38"/>
    </row>
    <row r="1042787" spans="54:54" ht="15.75" customHeight="1" x14ac:dyDescent="0.3">
      <c r="BB1042787" s="38"/>
    </row>
    <row r="1042788" spans="54:54" ht="15.75" customHeight="1" x14ac:dyDescent="0.3">
      <c r="BB1042788" s="38"/>
    </row>
    <row r="1042789" spans="54:54" ht="15.75" customHeight="1" x14ac:dyDescent="0.3">
      <c r="BB1042789" s="38"/>
    </row>
    <row r="1042790" spans="54:54" ht="15.75" customHeight="1" x14ac:dyDescent="0.3">
      <c r="BB1042790" s="38"/>
    </row>
    <row r="1042791" spans="54:54" ht="15.75" customHeight="1" x14ac:dyDescent="0.3">
      <c r="BB1042791" s="38"/>
    </row>
    <row r="1042792" spans="54:54" ht="15.75" customHeight="1" x14ac:dyDescent="0.3">
      <c r="BB1042792" s="38"/>
    </row>
    <row r="1042793" spans="54:54" ht="15.75" customHeight="1" x14ac:dyDescent="0.3">
      <c r="BB1042793" s="38"/>
    </row>
    <row r="1042794" spans="54:54" ht="15.75" customHeight="1" x14ac:dyDescent="0.3">
      <c r="BB1042794" s="38"/>
    </row>
    <row r="1042795" spans="54:54" ht="15.75" customHeight="1" x14ac:dyDescent="0.3">
      <c r="BB1042795" s="38"/>
    </row>
    <row r="1042796" spans="54:54" ht="15.75" customHeight="1" x14ac:dyDescent="0.3">
      <c r="BB1042796" s="38"/>
    </row>
    <row r="1042797" spans="54:54" ht="15.75" customHeight="1" x14ac:dyDescent="0.3">
      <c r="BB1042797" s="38"/>
    </row>
    <row r="1042798" spans="54:54" ht="15.75" customHeight="1" x14ac:dyDescent="0.3">
      <c r="BB1042798" s="38"/>
    </row>
    <row r="1042799" spans="54:54" ht="15.75" customHeight="1" x14ac:dyDescent="0.3">
      <c r="BB1042799" s="38"/>
    </row>
    <row r="1042800" spans="54:54" ht="15.75" customHeight="1" x14ac:dyDescent="0.3">
      <c r="BB1042800" s="38"/>
    </row>
    <row r="1042801" spans="54:54" ht="15.75" customHeight="1" x14ac:dyDescent="0.3">
      <c r="BB1042801" s="38"/>
    </row>
    <row r="1042802" spans="54:54" ht="15.75" customHeight="1" x14ac:dyDescent="0.3">
      <c r="BB1042802" s="38"/>
    </row>
    <row r="1042803" spans="54:54" ht="15.75" customHeight="1" x14ac:dyDescent="0.3">
      <c r="BB1042803" s="38"/>
    </row>
    <row r="1042804" spans="54:54" ht="15.75" customHeight="1" x14ac:dyDescent="0.3">
      <c r="BB1042804" s="38"/>
    </row>
    <row r="1042805" spans="54:54" ht="15.75" customHeight="1" x14ac:dyDescent="0.3">
      <c r="BB1042805" s="38"/>
    </row>
    <row r="1042806" spans="54:54" ht="15.75" customHeight="1" x14ac:dyDescent="0.3">
      <c r="BB1042806" s="38"/>
    </row>
    <row r="1042807" spans="54:54" ht="15.75" customHeight="1" x14ac:dyDescent="0.3">
      <c r="BB1042807" s="38"/>
    </row>
    <row r="1042808" spans="54:54" ht="15.75" customHeight="1" x14ac:dyDescent="0.3">
      <c r="BB1042808" s="38"/>
    </row>
    <row r="1042809" spans="54:54" ht="15.75" customHeight="1" x14ac:dyDescent="0.3">
      <c r="BB1042809" s="38"/>
    </row>
    <row r="1042810" spans="54:54" ht="15.75" customHeight="1" x14ac:dyDescent="0.3">
      <c r="BB1042810" s="38"/>
    </row>
    <row r="1042811" spans="54:54" ht="15.75" customHeight="1" x14ac:dyDescent="0.3">
      <c r="BB1042811" s="38"/>
    </row>
    <row r="1042812" spans="54:54" ht="15.75" customHeight="1" x14ac:dyDescent="0.3">
      <c r="BB1042812" s="38"/>
    </row>
    <row r="1042813" spans="54:54" ht="15.75" customHeight="1" x14ac:dyDescent="0.3">
      <c r="BB1042813" s="38"/>
    </row>
    <row r="1042814" spans="54:54" ht="15.75" customHeight="1" x14ac:dyDescent="0.3">
      <c r="BB1042814" s="38"/>
    </row>
    <row r="1042815" spans="54:54" ht="15.75" customHeight="1" x14ac:dyDescent="0.3">
      <c r="BB1042815" s="38"/>
    </row>
    <row r="1042816" spans="54:54" ht="15.75" customHeight="1" x14ac:dyDescent="0.3">
      <c r="BB1042816" s="38"/>
    </row>
    <row r="1042817" spans="54:54" ht="15.75" customHeight="1" x14ac:dyDescent="0.3">
      <c r="BB1042817" s="38"/>
    </row>
    <row r="1042818" spans="54:54" ht="15.75" customHeight="1" x14ac:dyDescent="0.3">
      <c r="BB1042818" s="38"/>
    </row>
    <row r="1042819" spans="54:54" ht="15.75" customHeight="1" x14ac:dyDescent="0.3">
      <c r="BB1042819" s="38"/>
    </row>
    <row r="1042820" spans="54:54" ht="15.75" customHeight="1" x14ac:dyDescent="0.3">
      <c r="BB1042820" s="38"/>
    </row>
    <row r="1042821" spans="54:54" ht="15.75" customHeight="1" x14ac:dyDescent="0.3">
      <c r="BB1042821" s="38"/>
    </row>
    <row r="1042822" spans="54:54" ht="15.75" customHeight="1" x14ac:dyDescent="0.3">
      <c r="BB1042822" s="38"/>
    </row>
    <row r="1042823" spans="54:54" ht="15.75" customHeight="1" x14ac:dyDescent="0.3">
      <c r="BB1042823" s="38"/>
    </row>
    <row r="1042824" spans="54:54" ht="15.75" customHeight="1" x14ac:dyDescent="0.3">
      <c r="BB1042824" s="38"/>
    </row>
    <row r="1042825" spans="54:54" ht="15.75" customHeight="1" x14ac:dyDescent="0.3">
      <c r="BB1042825" s="38"/>
    </row>
    <row r="1042826" spans="54:54" ht="15.75" customHeight="1" x14ac:dyDescent="0.3">
      <c r="BB1042826" s="38"/>
    </row>
    <row r="1042827" spans="54:54" ht="15.75" customHeight="1" x14ac:dyDescent="0.3">
      <c r="BB1042827" s="38"/>
    </row>
    <row r="1042828" spans="54:54" ht="15.75" customHeight="1" x14ac:dyDescent="0.3">
      <c r="BB1042828" s="38"/>
    </row>
    <row r="1042829" spans="54:54" ht="15.75" customHeight="1" x14ac:dyDescent="0.3">
      <c r="BB1042829" s="38"/>
    </row>
    <row r="1042830" spans="54:54" ht="15.75" customHeight="1" x14ac:dyDescent="0.3">
      <c r="BB1042830" s="38"/>
    </row>
    <row r="1042831" spans="54:54" ht="15.75" customHeight="1" x14ac:dyDescent="0.3">
      <c r="BB1042831" s="38"/>
    </row>
    <row r="1042832" spans="54:54" ht="15.75" customHeight="1" x14ac:dyDescent="0.3">
      <c r="BB1042832" s="38"/>
    </row>
    <row r="1042833" spans="54:54" ht="15.75" customHeight="1" x14ac:dyDescent="0.3">
      <c r="BB1042833" s="38"/>
    </row>
    <row r="1042834" spans="54:54" ht="15.75" customHeight="1" x14ac:dyDescent="0.3">
      <c r="BB1042834" s="38"/>
    </row>
    <row r="1042835" spans="54:54" ht="15.75" customHeight="1" x14ac:dyDescent="0.3">
      <c r="BB1042835" s="38"/>
    </row>
    <row r="1042836" spans="54:54" ht="15.75" customHeight="1" x14ac:dyDescent="0.3">
      <c r="BB1042836" s="38"/>
    </row>
    <row r="1042837" spans="54:54" ht="15.75" customHeight="1" x14ac:dyDescent="0.3">
      <c r="BB1042837" s="38"/>
    </row>
    <row r="1042838" spans="54:54" ht="15.75" customHeight="1" x14ac:dyDescent="0.3">
      <c r="BB1042838" s="38"/>
    </row>
    <row r="1042839" spans="54:54" ht="15.75" customHeight="1" x14ac:dyDescent="0.3">
      <c r="BB1042839" s="38"/>
    </row>
    <row r="1042840" spans="54:54" ht="15.75" customHeight="1" x14ac:dyDescent="0.3">
      <c r="BB1042840" s="38"/>
    </row>
    <row r="1042841" spans="54:54" ht="15.75" customHeight="1" x14ac:dyDescent="0.3">
      <c r="BB1042841" s="38"/>
    </row>
    <row r="1042842" spans="54:54" ht="15.75" customHeight="1" x14ac:dyDescent="0.3">
      <c r="BB1042842" s="38"/>
    </row>
    <row r="1042843" spans="54:54" ht="15.75" customHeight="1" x14ac:dyDescent="0.3">
      <c r="BB1042843" s="38"/>
    </row>
    <row r="1042844" spans="54:54" ht="15.75" customHeight="1" x14ac:dyDescent="0.3">
      <c r="BB1042844" s="38"/>
    </row>
    <row r="1042845" spans="54:54" ht="15.75" customHeight="1" x14ac:dyDescent="0.3">
      <c r="BB1042845" s="38"/>
    </row>
    <row r="1042846" spans="54:54" ht="15.75" customHeight="1" x14ac:dyDescent="0.3">
      <c r="BB1042846" s="38"/>
    </row>
    <row r="1042847" spans="54:54" ht="15.75" customHeight="1" x14ac:dyDescent="0.3">
      <c r="BB1042847" s="38"/>
    </row>
    <row r="1042848" spans="54:54" ht="15.75" customHeight="1" x14ac:dyDescent="0.3">
      <c r="BB1042848" s="38"/>
    </row>
    <row r="1042849" spans="54:54" ht="15.75" customHeight="1" x14ac:dyDescent="0.3">
      <c r="BB1042849" s="38"/>
    </row>
    <row r="1042850" spans="54:54" ht="15.75" customHeight="1" x14ac:dyDescent="0.3">
      <c r="BB1042850" s="38"/>
    </row>
    <row r="1042851" spans="54:54" ht="15.75" customHeight="1" x14ac:dyDescent="0.3">
      <c r="BB1042851" s="38"/>
    </row>
    <row r="1042852" spans="54:54" ht="15.75" customHeight="1" x14ac:dyDescent="0.3">
      <c r="BB1042852" s="38"/>
    </row>
    <row r="1042853" spans="54:54" ht="15.75" customHeight="1" x14ac:dyDescent="0.3">
      <c r="BB1042853" s="38"/>
    </row>
    <row r="1042854" spans="54:54" ht="15.75" customHeight="1" x14ac:dyDescent="0.3">
      <c r="BB1042854" s="38"/>
    </row>
    <row r="1042855" spans="54:54" ht="15.75" customHeight="1" x14ac:dyDescent="0.3">
      <c r="BB1042855" s="38"/>
    </row>
    <row r="1042856" spans="54:54" ht="15.75" customHeight="1" x14ac:dyDescent="0.3">
      <c r="BB1042856" s="38"/>
    </row>
    <row r="1042857" spans="54:54" ht="15.75" customHeight="1" x14ac:dyDescent="0.3">
      <c r="BB1042857" s="38"/>
    </row>
    <row r="1042858" spans="54:54" ht="15.75" customHeight="1" x14ac:dyDescent="0.3">
      <c r="BB1042858" s="38"/>
    </row>
    <row r="1042859" spans="54:54" ht="15.75" customHeight="1" x14ac:dyDescent="0.3">
      <c r="BB1042859" s="38"/>
    </row>
    <row r="1042860" spans="54:54" ht="15.75" customHeight="1" x14ac:dyDescent="0.3">
      <c r="BB1042860" s="38"/>
    </row>
    <row r="1042861" spans="54:54" ht="15.75" customHeight="1" x14ac:dyDescent="0.3">
      <c r="BB1042861" s="38"/>
    </row>
    <row r="1042862" spans="54:54" ht="15.75" customHeight="1" x14ac:dyDescent="0.3">
      <c r="BB1042862" s="38"/>
    </row>
    <row r="1042863" spans="54:54" ht="15.75" customHeight="1" x14ac:dyDescent="0.3">
      <c r="BB1042863" s="38"/>
    </row>
    <row r="1042864" spans="54:54" ht="15.75" customHeight="1" x14ac:dyDescent="0.3">
      <c r="BB1042864" s="38"/>
    </row>
    <row r="1042865" spans="54:54" ht="15.75" customHeight="1" x14ac:dyDescent="0.3">
      <c r="BB1042865" s="38"/>
    </row>
    <row r="1042866" spans="54:54" ht="15.75" customHeight="1" x14ac:dyDescent="0.3">
      <c r="BB1042866" s="38"/>
    </row>
    <row r="1042867" spans="54:54" ht="15.75" customHeight="1" x14ac:dyDescent="0.3">
      <c r="BB1042867" s="38"/>
    </row>
    <row r="1042868" spans="54:54" ht="15.75" customHeight="1" x14ac:dyDescent="0.3">
      <c r="BB1042868" s="38"/>
    </row>
    <row r="1042869" spans="54:54" ht="15.75" customHeight="1" x14ac:dyDescent="0.3">
      <c r="BB1042869" s="38"/>
    </row>
    <row r="1042870" spans="54:54" ht="15.75" customHeight="1" x14ac:dyDescent="0.3">
      <c r="BB1042870" s="38"/>
    </row>
    <row r="1042871" spans="54:54" ht="15.75" customHeight="1" x14ac:dyDescent="0.3">
      <c r="BB1042871" s="38"/>
    </row>
    <row r="1042872" spans="54:54" ht="15.75" customHeight="1" x14ac:dyDescent="0.3">
      <c r="BB1042872" s="38"/>
    </row>
    <row r="1042873" spans="54:54" ht="15.75" customHeight="1" x14ac:dyDescent="0.3">
      <c r="BB1042873" s="38"/>
    </row>
    <row r="1042874" spans="54:54" ht="15.75" customHeight="1" x14ac:dyDescent="0.3">
      <c r="BB1042874" s="38"/>
    </row>
    <row r="1042875" spans="54:54" ht="15.75" customHeight="1" x14ac:dyDescent="0.3">
      <c r="BB1042875" s="38"/>
    </row>
    <row r="1042876" spans="54:54" ht="15.75" customHeight="1" x14ac:dyDescent="0.3">
      <c r="BB1042876" s="38"/>
    </row>
    <row r="1042877" spans="54:54" ht="15.75" customHeight="1" x14ac:dyDescent="0.3">
      <c r="BB1042877" s="38"/>
    </row>
    <row r="1042878" spans="54:54" ht="15.75" customHeight="1" x14ac:dyDescent="0.3">
      <c r="BB1042878" s="38"/>
    </row>
    <row r="1042879" spans="54:54" ht="15.75" customHeight="1" x14ac:dyDescent="0.3">
      <c r="BB1042879" s="38"/>
    </row>
    <row r="1042880" spans="54:54" ht="15.75" customHeight="1" x14ac:dyDescent="0.3">
      <c r="BB1042880" s="38"/>
    </row>
    <row r="1042881" spans="54:54" ht="15.75" customHeight="1" x14ac:dyDescent="0.3">
      <c r="BB1042881" s="38"/>
    </row>
    <row r="1042882" spans="54:54" ht="15.75" customHeight="1" x14ac:dyDescent="0.3">
      <c r="BB1042882" s="38"/>
    </row>
    <row r="1042883" spans="54:54" ht="15.75" customHeight="1" x14ac:dyDescent="0.3">
      <c r="BB1042883" s="38"/>
    </row>
    <row r="1042884" spans="54:54" ht="15.75" customHeight="1" x14ac:dyDescent="0.3">
      <c r="BB1042884" s="38"/>
    </row>
    <row r="1042885" spans="54:54" ht="15.75" customHeight="1" x14ac:dyDescent="0.3">
      <c r="BB1042885" s="38"/>
    </row>
    <row r="1042886" spans="54:54" ht="15.75" customHeight="1" x14ac:dyDescent="0.3">
      <c r="BB1042886" s="38"/>
    </row>
    <row r="1042887" spans="54:54" ht="15.75" customHeight="1" x14ac:dyDescent="0.3">
      <c r="BB1042887" s="38"/>
    </row>
    <row r="1042888" spans="54:54" ht="15.75" customHeight="1" x14ac:dyDescent="0.3">
      <c r="BB1042888" s="38"/>
    </row>
    <row r="1042889" spans="54:54" ht="15.75" customHeight="1" x14ac:dyDescent="0.3">
      <c r="BB1042889" s="38"/>
    </row>
    <row r="1042890" spans="54:54" ht="15.75" customHeight="1" x14ac:dyDescent="0.3">
      <c r="BB1042890" s="38"/>
    </row>
    <row r="1042891" spans="54:54" ht="15.75" customHeight="1" x14ac:dyDescent="0.3">
      <c r="BB1042891" s="38"/>
    </row>
    <row r="1042892" spans="54:54" ht="15.75" customHeight="1" x14ac:dyDescent="0.3">
      <c r="BB1042892" s="38"/>
    </row>
    <row r="1042893" spans="54:54" ht="15.75" customHeight="1" x14ac:dyDescent="0.3">
      <c r="BB1042893" s="38"/>
    </row>
    <row r="1042894" spans="54:54" ht="15.75" customHeight="1" x14ac:dyDescent="0.3">
      <c r="BB1042894" s="38"/>
    </row>
    <row r="1042895" spans="54:54" ht="15.75" customHeight="1" x14ac:dyDescent="0.3">
      <c r="BB1042895" s="38"/>
    </row>
    <row r="1042896" spans="54:54" ht="15.75" customHeight="1" x14ac:dyDescent="0.3">
      <c r="BB1042896" s="38"/>
    </row>
    <row r="1042897" spans="54:54" ht="15.75" customHeight="1" x14ac:dyDescent="0.3">
      <c r="BB1042897" s="38"/>
    </row>
    <row r="1042898" spans="54:54" ht="15.75" customHeight="1" x14ac:dyDescent="0.3">
      <c r="BB1042898" s="38"/>
    </row>
    <row r="1042899" spans="54:54" ht="15.75" customHeight="1" x14ac:dyDescent="0.3">
      <c r="BB1042899" s="38"/>
    </row>
    <row r="1042900" spans="54:54" ht="15.75" customHeight="1" x14ac:dyDescent="0.3">
      <c r="BB1042900" s="38"/>
    </row>
    <row r="1042901" spans="54:54" ht="15.75" customHeight="1" x14ac:dyDescent="0.3">
      <c r="BB1042901" s="38"/>
    </row>
    <row r="1042902" spans="54:54" ht="15.75" customHeight="1" x14ac:dyDescent="0.3">
      <c r="BB1042902" s="38"/>
    </row>
    <row r="1042903" spans="54:54" ht="15.75" customHeight="1" x14ac:dyDescent="0.3">
      <c r="BB1042903" s="38"/>
    </row>
    <row r="1042904" spans="54:54" ht="15.75" customHeight="1" x14ac:dyDescent="0.3">
      <c r="BB1042904" s="38"/>
    </row>
    <row r="1042905" spans="54:54" ht="15.75" customHeight="1" x14ac:dyDescent="0.3">
      <c r="BB1042905" s="38"/>
    </row>
    <row r="1042906" spans="54:54" ht="15.75" customHeight="1" x14ac:dyDescent="0.3">
      <c r="BB1042906" s="38"/>
    </row>
    <row r="1042907" spans="54:54" ht="15.75" customHeight="1" x14ac:dyDescent="0.3">
      <c r="BB1042907" s="38"/>
    </row>
    <row r="1042908" spans="54:54" ht="15.75" customHeight="1" x14ac:dyDescent="0.3">
      <c r="BB1042908" s="38"/>
    </row>
    <row r="1042909" spans="54:54" ht="15.75" customHeight="1" x14ac:dyDescent="0.3">
      <c r="BB1042909" s="38"/>
    </row>
    <row r="1042910" spans="54:54" ht="15.75" customHeight="1" x14ac:dyDescent="0.3">
      <c r="BB1042910" s="38"/>
    </row>
    <row r="1042911" spans="54:54" ht="15.75" customHeight="1" x14ac:dyDescent="0.3">
      <c r="BB1042911" s="38"/>
    </row>
    <row r="1042912" spans="54:54" ht="15.75" customHeight="1" x14ac:dyDescent="0.3">
      <c r="BB1042912" s="38"/>
    </row>
    <row r="1042913" spans="54:54" ht="15.75" customHeight="1" x14ac:dyDescent="0.3">
      <c r="BB1042913" s="38"/>
    </row>
    <row r="1042914" spans="54:54" ht="15.75" customHeight="1" x14ac:dyDescent="0.3">
      <c r="BB1042914" s="38"/>
    </row>
    <row r="1042915" spans="54:54" ht="15.75" customHeight="1" x14ac:dyDescent="0.3">
      <c r="BB1042915" s="38"/>
    </row>
    <row r="1042916" spans="54:54" ht="15.75" customHeight="1" x14ac:dyDescent="0.3">
      <c r="BB1042916" s="38"/>
    </row>
    <row r="1042917" spans="54:54" ht="15.75" customHeight="1" x14ac:dyDescent="0.3">
      <c r="BB1042917" s="38"/>
    </row>
    <row r="1042918" spans="54:54" ht="15.75" customHeight="1" x14ac:dyDescent="0.3">
      <c r="BB1042918" s="38"/>
    </row>
    <row r="1042919" spans="54:54" ht="15.75" customHeight="1" x14ac:dyDescent="0.3">
      <c r="BB1042919" s="38"/>
    </row>
    <row r="1042920" spans="54:54" ht="15.75" customHeight="1" x14ac:dyDescent="0.3">
      <c r="BB1042920" s="38"/>
    </row>
    <row r="1042921" spans="54:54" ht="15.75" customHeight="1" x14ac:dyDescent="0.3">
      <c r="BB1042921" s="38"/>
    </row>
    <row r="1042922" spans="54:54" ht="15.75" customHeight="1" x14ac:dyDescent="0.3">
      <c r="BB1042922" s="38"/>
    </row>
    <row r="1042923" spans="54:54" ht="15.75" customHeight="1" x14ac:dyDescent="0.3">
      <c r="BB1042923" s="38"/>
    </row>
    <row r="1042924" spans="54:54" ht="15.75" customHeight="1" x14ac:dyDescent="0.3">
      <c r="BB1042924" s="38"/>
    </row>
    <row r="1042925" spans="54:54" ht="15.75" customHeight="1" x14ac:dyDescent="0.3">
      <c r="BB1042925" s="38"/>
    </row>
    <row r="1042926" spans="54:54" ht="15.75" customHeight="1" x14ac:dyDescent="0.3">
      <c r="BB1042926" s="38"/>
    </row>
    <row r="1042927" spans="54:54" ht="15.75" customHeight="1" x14ac:dyDescent="0.3">
      <c r="BB1042927" s="38"/>
    </row>
    <row r="1042928" spans="54:54" ht="15.75" customHeight="1" x14ac:dyDescent="0.3">
      <c r="BB1042928" s="38"/>
    </row>
    <row r="1042929" spans="54:54" ht="15.75" customHeight="1" x14ac:dyDescent="0.3">
      <c r="BB1042929" s="38"/>
    </row>
    <row r="1042930" spans="54:54" ht="15.75" customHeight="1" x14ac:dyDescent="0.3">
      <c r="BB1042930" s="38"/>
    </row>
    <row r="1042931" spans="54:54" ht="15.75" customHeight="1" x14ac:dyDescent="0.3">
      <c r="BB1042931" s="38"/>
    </row>
    <row r="1042932" spans="54:54" ht="15.75" customHeight="1" x14ac:dyDescent="0.3">
      <c r="BB1042932" s="38"/>
    </row>
    <row r="1042933" spans="54:54" ht="15.75" customHeight="1" x14ac:dyDescent="0.3">
      <c r="BB1042933" s="38"/>
    </row>
    <row r="1042934" spans="54:54" ht="15.75" customHeight="1" x14ac:dyDescent="0.3">
      <c r="BB1042934" s="38"/>
    </row>
    <row r="1042935" spans="54:54" ht="15.75" customHeight="1" x14ac:dyDescent="0.3">
      <c r="BB1042935" s="38"/>
    </row>
    <row r="1042936" spans="54:54" ht="15.75" customHeight="1" x14ac:dyDescent="0.3">
      <c r="BB1042936" s="38"/>
    </row>
    <row r="1042937" spans="54:54" ht="15.75" customHeight="1" x14ac:dyDescent="0.3">
      <c r="BB1042937" s="38"/>
    </row>
    <row r="1042938" spans="54:54" ht="15.75" customHeight="1" x14ac:dyDescent="0.3">
      <c r="BB1042938" s="38"/>
    </row>
    <row r="1042939" spans="54:54" ht="15.75" customHeight="1" x14ac:dyDescent="0.3">
      <c r="BB1042939" s="38"/>
    </row>
    <row r="1042940" spans="54:54" ht="15.75" customHeight="1" x14ac:dyDescent="0.3">
      <c r="BB1042940" s="38"/>
    </row>
    <row r="1042941" spans="54:54" ht="15.75" customHeight="1" x14ac:dyDescent="0.3">
      <c r="BB1042941" s="38"/>
    </row>
    <row r="1042942" spans="54:54" ht="15.75" customHeight="1" x14ac:dyDescent="0.3">
      <c r="BB1042942" s="38"/>
    </row>
    <row r="1042943" spans="54:54" ht="15.75" customHeight="1" x14ac:dyDescent="0.3">
      <c r="BB1042943" s="38"/>
    </row>
    <row r="1042944" spans="54:54" ht="15.75" customHeight="1" x14ac:dyDescent="0.3">
      <c r="BB1042944" s="38"/>
    </row>
    <row r="1042945" spans="54:54" ht="15.75" customHeight="1" x14ac:dyDescent="0.3">
      <c r="BB1042945" s="38"/>
    </row>
    <row r="1042946" spans="54:54" ht="15.75" customHeight="1" x14ac:dyDescent="0.3">
      <c r="BB1042946" s="38"/>
    </row>
    <row r="1042947" spans="54:54" ht="15.75" customHeight="1" x14ac:dyDescent="0.3">
      <c r="BB1042947" s="38"/>
    </row>
    <row r="1042948" spans="54:54" ht="15.75" customHeight="1" x14ac:dyDescent="0.3">
      <c r="BB1042948" s="38"/>
    </row>
    <row r="1042949" spans="54:54" ht="15.75" customHeight="1" x14ac:dyDescent="0.3">
      <c r="BB1042949" s="38"/>
    </row>
    <row r="1042950" spans="54:54" ht="15.75" customHeight="1" x14ac:dyDescent="0.3">
      <c r="BB1042950" s="38"/>
    </row>
    <row r="1042951" spans="54:54" ht="15.75" customHeight="1" x14ac:dyDescent="0.3">
      <c r="BB1042951" s="38"/>
    </row>
    <row r="1042952" spans="54:54" ht="15.75" customHeight="1" x14ac:dyDescent="0.3">
      <c r="BB1042952" s="38"/>
    </row>
    <row r="1042953" spans="54:54" ht="15.75" customHeight="1" x14ac:dyDescent="0.3">
      <c r="BB1042953" s="38"/>
    </row>
    <row r="1042954" spans="54:54" ht="15.75" customHeight="1" x14ac:dyDescent="0.3">
      <c r="BB1042954" s="38"/>
    </row>
    <row r="1042955" spans="54:54" ht="15.75" customHeight="1" x14ac:dyDescent="0.3">
      <c r="BB1042955" s="38"/>
    </row>
    <row r="1042956" spans="54:54" ht="15.75" customHeight="1" x14ac:dyDescent="0.3">
      <c r="BB1042956" s="38"/>
    </row>
    <row r="1042957" spans="54:54" ht="15.75" customHeight="1" x14ac:dyDescent="0.3">
      <c r="BB1042957" s="38"/>
    </row>
    <row r="1042958" spans="54:54" ht="15.75" customHeight="1" x14ac:dyDescent="0.3">
      <c r="BB1042958" s="38"/>
    </row>
    <row r="1042959" spans="54:54" ht="15.75" customHeight="1" x14ac:dyDescent="0.3">
      <c r="BB1042959" s="38"/>
    </row>
    <row r="1042960" spans="54:54" ht="15.75" customHeight="1" x14ac:dyDescent="0.3">
      <c r="BB1042960" s="38"/>
    </row>
    <row r="1042961" spans="54:54" ht="15.75" customHeight="1" x14ac:dyDescent="0.3">
      <c r="BB1042961" s="38"/>
    </row>
    <row r="1042962" spans="54:54" ht="15.75" customHeight="1" x14ac:dyDescent="0.3">
      <c r="BB1042962" s="38"/>
    </row>
    <row r="1042963" spans="54:54" ht="15.75" customHeight="1" x14ac:dyDescent="0.3">
      <c r="BB1042963" s="38"/>
    </row>
    <row r="1042964" spans="54:54" ht="15.75" customHeight="1" x14ac:dyDescent="0.3">
      <c r="BB1042964" s="38"/>
    </row>
    <row r="1042965" spans="54:54" ht="15.75" customHeight="1" x14ac:dyDescent="0.3">
      <c r="BB1042965" s="38"/>
    </row>
    <row r="1042966" spans="54:54" ht="15.75" customHeight="1" x14ac:dyDescent="0.3">
      <c r="BB1042966" s="38"/>
    </row>
    <row r="1042967" spans="54:54" ht="15.75" customHeight="1" x14ac:dyDescent="0.3">
      <c r="BB1042967" s="38"/>
    </row>
    <row r="1042968" spans="54:54" ht="15.75" customHeight="1" x14ac:dyDescent="0.3">
      <c r="BB1042968" s="38"/>
    </row>
    <row r="1042969" spans="54:54" ht="15.75" customHeight="1" x14ac:dyDescent="0.3">
      <c r="BB1042969" s="38"/>
    </row>
    <row r="1042970" spans="54:54" ht="15.75" customHeight="1" x14ac:dyDescent="0.3">
      <c r="BB1042970" s="38"/>
    </row>
    <row r="1042971" spans="54:54" ht="15.75" customHeight="1" x14ac:dyDescent="0.3">
      <c r="BB1042971" s="38"/>
    </row>
    <row r="1042972" spans="54:54" ht="15.75" customHeight="1" x14ac:dyDescent="0.3">
      <c r="BB1042972" s="38"/>
    </row>
    <row r="1042973" spans="54:54" ht="15.75" customHeight="1" x14ac:dyDescent="0.3">
      <c r="BB1042973" s="38"/>
    </row>
    <row r="1042974" spans="54:54" ht="15.75" customHeight="1" x14ac:dyDescent="0.3">
      <c r="BB1042974" s="38"/>
    </row>
    <row r="1042975" spans="54:54" ht="15.75" customHeight="1" x14ac:dyDescent="0.3">
      <c r="BB1042975" s="38"/>
    </row>
    <row r="1042976" spans="54:54" ht="15.75" customHeight="1" x14ac:dyDescent="0.3">
      <c r="BB1042976" s="38"/>
    </row>
    <row r="1042977" spans="54:54" ht="15.75" customHeight="1" x14ac:dyDescent="0.3">
      <c r="BB1042977" s="38"/>
    </row>
    <row r="1042978" spans="54:54" ht="15.75" customHeight="1" x14ac:dyDescent="0.3">
      <c r="BB1042978" s="38"/>
    </row>
    <row r="1042979" spans="54:54" ht="15.75" customHeight="1" x14ac:dyDescent="0.3">
      <c r="BB1042979" s="38"/>
    </row>
    <row r="1042980" spans="54:54" ht="15.75" customHeight="1" x14ac:dyDescent="0.3">
      <c r="BB1042980" s="38"/>
    </row>
    <row r="1042981" spans="54:54" ht="15.75" customHeight="1" x14ac:dyDescent="0.3">
      <c r="BB1042981" s="38"/>
    </row>
    <row r="1042982" spans="54:54" ht="15.75" customHeight="1" x14ac:dyDescent="0.3">
      <c r="BB1042982" s="38"/>
    </row>
    <row r="1042983" spans="54:54" ht="15.75" customHeight="1" x14ac:dyDescent="0.3">
      <c r="BB1042983" s="38"/>
    </row>
    <row r="1042984" spans="54:54" ht="15.75" customHeight="1" x14ac:dyDescent="0.3">
      <c r="BB1042984" s="38"/>
    </row>
    <row r="1042985" spans="54:54" ht="15.75" customHeight="1" x14ac:dyDescent="0.3">
      <c r="BB1042985" s="38"/>
    </row>
    <row r="1042986" spans="54:54" ht="15.75" customHeight="1" x14ac:dyDescent="0.3">
      <c r="BB1042986" s="38"/>
    </row>
    <row r="1042987" spans="54:54" ht="15.75" customHeight="1" x14ac:dyDescent="0.3">
      <c r="BB1042987" s="38"/>
    </row>
    <row r="1042988" spans="54:54" ht="15.75" customHeight="1" x14ac:dyDescent="0.3">
      <c r="BB1042988" s="38"/>
    </row>
    <row r="1042989" spans="54:54" ht="15.75" customHeight="1" x14ac:dyDescent="0.3">
      <c r="BB1042989" s="38"/>
    </row>
    <row r="1042990" spans="54:54" ht="15.75" customHeight="1" x14ac:dyDescent="0.3">
      <c r="BB1042990" s="38"/>
    </row>
    <row r="1042991" spans="54:54" ht="15.75" customHeight="1" x14ac:dyDescent="0.3">
      <c r="BB1042991" s="38"/>
    </row>
    <row r="1042992" spans="54:54" ht="15.75" customHeight="1" x14ac:dyDescent="0.3">
      <c r="BB1042992" s="38"/>
    </row>
    <row r="1042993" spans="54:54" ht="15.75" customHeight="1" x14ac:dyDescent="0.3">
      <c r="BB1042993" s="38"/>
    </row>
    <row r="1042994" spans="54:54" ht="15.75" customHeight="1" x14ac:dyDescent="0.3">
      <c r="BB1042994" s="38"/>
    </row>
    <row r="1042995" spans="54:54" ht="15.75" customHeight="1" x14ac:dyDescent="0.3">
      <c r="BB1042995" s="38"/>
    </row>
    <row r="1042996" spans="54:54" ht="15.75" customHeight="1" x14ac:dyDescent="0.3">
      <c r="BB1042996" s="38"/>
    </row>
    <row r="1042997" spans="54:54" ht="15.75" customHeight="1" x14ac:dyDescent="0.3">
      <c r="BB1042997" s="38"/>
    </row>
    <row r="1042998" spans="54:54" ht="15.75" customHeight="1" x14ac:dyDescent="0.3">
      <c r="BB1042998" s="38"/>
    </row>
    <row r="1042999" spans="54:54" ht="15.75" customHeight="1" x14ac:dyDescent="0.3">
      <c r="BB1042999" s="38"/>
    </row>
    <row r="1043000" spans="54:54" ht="15.75" customHeight="1" x14ac:dyDescent="0.3">
      <c r="BB1043000" s="38"/>
    </row>
    <row r="1043001" spans="54:54" ht="15.75" customHeight="1" x14ac:dyDescent="0.3">
      <c r="BB1043001" s="38"/>
    </row>
    <row r="1043002" spans="54:54" ht="15.75" customHeight="1" x14ac:dyDescent="0.3">
      <c r="BB1043002" s="38"/>
    </row>
    <row r="1043003" spans="54:54" ht="15.75" customHeight="1" x14ac:dyDescent="0.3">
      <c r="BB1043003" s="38"/>
    </row>
    <row r="1043004" spans="54:54" ht="15.75" customHeight="1" x14ac:dyDescent="0.3">
      <c r="BB1043004" s="38"/>
    </row>
    <row r="1043005" spans="54:54" ht="15.75" customHeight="1" x14ac:dyDescent="0.3">
      <c r="BB1043005" s="38"/>
    </row>
    <row r="1043006" spans="54:54" ht="15.75" customHeight="1" x14ac:dyDescent="0.3">
      <c r="BB1043006" s="38"/>
    </row>
    <row r="1043007" spans="54:54" ht="15.75" customHeight="1" x14ac:dyDescent="0.3">
      <c r="BB1043007" s="38"/>
    </row>
    <row r="1043008" spans="54:54" ht="15.75" customHeight="1" x14ac:dyDescent="0.3">
      <c r="BB1043008" s="38"/>
    </row>
    <row r="1043009" spans="54:54" ht="15.75" customHeight="1" x14ac:dyDescent="0.3">
      <c r="BB1043009" s="38"/>
    </row>
    <row r="1043010" spans="54:54" ht="15.75" customHeight="1" x14ac:dyDescent="0.3">
      <c r="BB1043010" s="38"/>
    </row>
    <row r="1043011" spans="54:54" ht="15.75" customHeight="1" x14ac:dyDescent="0.3">
      <c r="BB1043011" s="38"/>
    </row>
    <row r="1043012" spans="54:54" ht="15.75" customHeight="1" x14ac:dyDescent="0.3">
      <c r="BB1043012" s="38"/>
    </row>
    <row r="1043013" spans="54:54" ht="15.75" customHeight="1" x14ac:dyDescent="0.3">
      <c r="BB1043013" s="38"/>
    </row>
    <row r="1043014" spans="54:54" ht="15.75" customHeight="1" x14ac:dyDescent="0.3">
      <c r="BB1043014" s="38"/>
    </row>
    <row r="1043015" spans="54:54" ht="15.75" customHeight="1" x14ac:dyDescent="0.3">
      <c r="BB1043015" s="38"/>
    </row>
    <row r="1043016" spans="54:54" ht="15.75" customHeight="1" x14ac:dyDescent="0.3">
      <c r="BB1043016" s="38"/>
    </row>
    <row r="1043017" spans="54:54" ht="15.75" customHeight="1" x14ac:dyDescent="0.3">
      <c r="BB1043017" s="38"/>
    </row>
    <row r="1043018" spans="54:54" ht="15.75" customHeight="1" x14ac:dyDescent="0.3">
      <c r="BB1043018" s="38"/>
    </row>
    <row r="1043019" spans="54:54" ht="15.75" customHeight="1" x14ac:dyDescent="0.3">
      <c r="BB1043019" s="38"/>
    </row>
    <row r="1043020" spans="54:54" ht="15.75" customHeight="1" x14ac:dyDescent="0.3">
      <c r="BB1043020" s="38"/>
    </row>
    <row r="1043021" spans="54:54" ht="15.75" customHeight="1" x14ac:dyDescent="0.3">
      <c r="BB1043021" s="38"/>
    </row>
    <row r="1043022" spans="54:54" ht="15.75" customHeight="1" x14ac:dyDescent="0.3">
      <c r="BB1043022" s="38"/>
    </row>
    <row r="1043023" spans="54:54" ht="15.75" customHeight="1" x14ac:dyDescent="0.3">
      <c r="BB1043023" s="38"/>
    </row>
    <row r="1043024" spans="54:54" ht="15.75" customHeight="1" x14ac:dyDescent="0.3">
      <c r="BB1043024" s="38"/>
    </row>
    <row r="1043025" spans="54:54" ht="15.75" customHeight="1" x14ac:dyDescent="0.3">
      <c r="BB1043025" s="38"/>
    </row>
    <row r="1043026" spans="54:54" ht="15.75" customHeight="1" x14ac:dyDescent="0.3">
      <c r="BB1043026" s="38"/>
    </row>
    <row r="1043027" spans="54:54" ht="15.75" customHeight="1" x14ac:dyDescent="0.3">
      <c r="BB1043027" s="38"/>
    </row>
    <row r="1043028" spans="54:54" ht="15.75" customHeight="1" x14ac:dyDescent="0.3">
      <c r="BB1043028" s="38"/>
    </row>
    <row r="1043029" spans="54:54" ht="15.75" customHeight="1" x14ac:dyDescent="0.3">
      <c r="BB1043029" s="38"/>
    </row>
    <row r="1043030" spans="54:54" ht="15.75" customHeight="1" x14ac:dyDescent="0.3">
      <c r="BB1043030" s="38"/>
    </row>
    <row r="1043031" spans="54:54" ht="15.75" customHeight="1" x14ac:dyDescent="0.3">
      <c r="BB1043031" s="38"/>
    </row>
    <row r="1043032" spans="54:54" ht="15.75" customHeight="1" x14ac:dyDescent="0.3">
      <c r="BB1043032" s="38"/>
    </row>
    <row r="1043033" spans="54:54" ht="15.75" customHeight="1" x14ac:dyDescent="0.3">
      <c r="BB1043033" s="38"/>
    </row>
    <row r="1043034" spans="54:54" ht="15.75" customHeight="1" x14ac:dyDescent="0.3">
      <c r="BB1043034" s="38"/>
    </row>
    <row r="1043035" spans="54:54" ht="15.75" customHeight="1" x14ac:dyDescent="0.3">
      <c r="BB1043035" s="38"/>
    </row>
    <row r="1043036" spans="54:54" ht="15.75" customHeight="1" x14ac:dyDescent="0.3">
      <c r="BB1043036" s="38"/>
    </row>
    <row r="1043037" spans="54:54" ht="15.75" customHeight="1" x14ac:dyDescent="0.3">
      <c r="BB1043037" s="38"/>
    </row>
    <row r="1043038" spans="54:54" ht="15.75" customHeight="1" x14ac:dyDescent="0.3">
      <c r="BB1043038" s="38"/>
    </row>
    <row r="1043039" spans="54:54" ht="15.75" customHeight="1" x14ac:dyDescent="0.3">
      <c r="BB1043039" s="38"/>
    </row>
    <row r="1043040" spans="54:54" ht="15.75" customHeight="1" x14ac:dyDescent="0.3">
      <c r="BB1043040" s="38"/>
    </row>
    <row r="1043041" spans="54:54" ht="15.75" customHeight="1" x14ac:dyDescent="0.3">
      <c r="BB1043041" s="38"/>
    </row>
    <row r="1043042" spans="54:54" ht="15.75" customHeight="1" x14ac:dyDescent="0.3">
      <c r="BB1043042" s="38"/>
    </row>
    <row r="1043043" spans="54:54" ht="15.75" customHeight="1" x14ac:dyDescent="0.3">
      <c r="BB1043043" s="38"/>
    </row>
    <row r="1043044" spans="54:54" ht="15.75" customHeight="1" x14ac:dyDescent="0.3">
      <c r="BB1043044" s="38"/>
    </row>
    <row r="1043045" spans="54:54" ht="15.75" customHeight="1" x14ac:dyDescent="0.3">
      <c r="BB1043045" s="38"/>
    </row>
    <row r="1043046" spans="54:54" ht="15.75" customHeight="1" x14ac:dyDescent="0.3">
      <c r="BB1043046" s="38"/>
    </row>
    <row r="1043047" spans="54:54" ht="15.75" customHeight="1" x14ac:dyDescent="0.3">
      <c r="BB1043047" s="38"/>
    </row>
    <row r="1043048" spans="54:54" ht="15.75" customHeight="1" x14ac:dyDescent="0.3">
      <c r="BB1043048" s="38"/>
    </row>
    <row r="1043049" spans="54:54" ht="15.75" customHeight="1" x14ac:dyDescent="0.3">
      <c r="BB1043049" s="38"/>
    </row>
    <row r="1043050" spans="54:54" ht="15.75" customHeight="1" x14ac:dyDescent="0.3">
      <c r="BB1043050" s="38"/>
    </row>
    <row r="1043051" spans="54:54" ht="15.75" customHeight="1" x14ac:dyDescent="0.3">
      <c r="BB1043051" s="38"/>
    </row>
    <row r="1043052" spans="54:54" ht="15.75" customHeight="1" x14ac:dyDescent="0.3">
      <c r="BB1043052" s="38"/>
    </row>
    <row r="1043053" spans="54:54" ht="15.75" customHeight="1" x14ac:dyDescent="0.3">
      <c r="BB1043053" s="38"/>
    </row>
    <row r="1043054" spans="54:54" ht="15.75" customHeight="1" x14ac:dyDescent="0.3">
      <c r="BB1043054" s="38"/>
    </row>
    <row r="1043055" spans="54:54" ht="15.75" customHeight="1" x14ac:dyDescent="0.3">
      <c r="BB1043055" s="38"/>
    </row>
    <row r="1043056" spans="54:54" ht="15.75" customHeight="1" x14ac:dyDescent="0.3">
      <c r="BB1043056" s="38"/>
    </row>
    <row r="1043057" spans="54:54" ht="15.75" customHeight="1" x14ac:dyDescent="0.3">
      <c r="BB1043057" s="38"/>
    </row>
    <row r="1043058" spans="54:54" ht="15.75" customHeight="1" x14ac:dyDescent="0.3">
      <c r="BB1043058" s="38"/>
    </row>
    <row r="1043059" spans="54:54" ht="15.75" customHeight="1" x14ac:dyDescent="0.3">
      <c r="BB1043059" s="38"/>
    </row>
    <row r="1043060" spans="54:54" ht="15.75" customHeight="1" x14ac:dyDescent="0.3">
      <c r="BB1043060" s="38"/>
    </row>
    <row r="1043061" spans="54:54" ht="15.75" customHeight="1" x14ac:dyDescent="0.3">
      <c r="BB1043061" s="38"/>
    </row>
    <row r="1043062" spans="54:54" ht="15.75" customHeight="1" x14ac:dyDescent="0.3">
      <c r="BB1043062" s="38"/>
    </row>
    <row r="1043063" spans="54:54" ht="15.75" customHeight="1" x14ac:dyDescent="0.3">
      <c r="BB1043063" s="38"/>
    </row>
    <row r="1043064" spans="54:54" ht="15.75" customHeight="1" x14ac:dyDescent="0.3">
      <c r="BB1043064" s="38"/>
    </row>
    <row r="1043065" spans="54:54" ht="15.75" customHeight="1" x14ac:dyDescent="0.3">
      <c r="BB1043065" s="38"/>
    </row>
    <row r="1043066" spans="54:54" ht="15.75" customHeight="1" x14ac:dyDescent="0.3">
      <c r="BB1043066" s="38"/>
    </row>
    <row r="1043067" spans="54:54" ht="15.75" customHeight="1" x14ac:dyDescent="0.3">
      <c r="BB1043067" s="38"/>
    </row>
    <row r="1043068" spans="54:54" ht="15.75" customHeight="1" x14ac:dyDescent="0.3">
      <c r="BB1043068" s="38"/>
    </row>
    <row r="1043069" spans="54:54" ht="15.75" customHeight="1" x14ac:dyDescent="0.3">
      <c r="BB1043069" s="38"/>
    </row>
    <row r="1043070" spans="54:54" ht="15.75" customHeight="1" x14ac:dyDescent="0.3">
      <c r="BB1043070" s="38"/>
    </row>
    <row r="1043071" spans="54:54" ht="15.75" customHeight="1" x14ac:dyDescent="0.3">
      <c r="BB1043071" s="38"/>
    </row>
    <row r="1043072" spans="54:54" ht="15.75" customHeight="1" x14ac:dyDescent="0.3">
      <c r="BB1043072" s="38"/>
    </row>
    <row r="1043073" spans="54:54" ht="15.75" customHeight="1" x14ac:dyDescent="0.3">
      <c r="BB1043073" s="38"/>
    </row>
    <row r="1043074" spans="54:54" ht="15.75" customHeight="1" x14ac:dyDescent="0.3">
      <c r="BB1043074" s="38"/>
    </row>
    <row r="1043075" spans="54:54" ht="15.75" customHeight="1" x14ac:dyDescent="0.3">
      <c r="BB1043075" s="38"/>
    </row>
    <row r="1043076" spans="54:54" ht="15.75" customHeight="1" x14ac:dyDescent="0.3">
      <c r="BB1043076" s="38"/>
    </row>
    <row r="1043077" spans="54:54" ht="15.75" customHeight="1" x14ac:dyDescent="0.3">
      <c r="BB1043077" s="38"/>
    </row>
    <row r="1043078" spans="54:54" ht="15.75" customHeight="1" x14ac:dyDescent="0.3">
      <c r="BB1043078" s="38"/>
    </row>
    <row r="1043079" spans="54:54" ht="15.75" customHeight="1" x14ac:dyDescent="0.3">
      <c r="BB1043079" s="38"/>
    </row>
    <row r="1043080" spans="54:54" ht="15.75" customHeight="1" x14ac:dyDescent="0.3">
      <c r="BB1043080" s="38"/>
    </row>
    <row r="1043081" spans="54:54" ht="15.75" customHeight="1" x14ac:dyDescent="0.3">
      <c r="BB1043081" s="38"/>
    </row>
    <row r="1043082" spans="54:54" ht="15.75" customHeight="1" x14ac:dyDescent="0.3">
      <c r="BB1043082" s="38"/>
    </row>
    <row r="1043083" spans="54:54" ht="15.75" customHeight="1" x14ac:dyDescent="0.3">
      <c r="BB1043083" s="38"/>
    </row>
    <row r="1043084" spans="54:54" ht="15.75" customHeight="1" x14ac:dyDescent="0.3">
      <c r="BB1043084" s="38"/>
    </row>
    <row r="1043085" spans="54:54" ht="15.75" customHeight="1" x14ac:dyDescent="0.3">
      <c r="BB1043085" s="38"/>
    </row>
    <row r="1043086" spans="54:54" ht="15.75" customHeight="1" x14ac:dyDescent="0.3">
      <c r="BB1043086" s="38"/>
    </row>
    <row r="1043087" spans="54:54" ht="15.75" customHeight="1" x14ac:dyDescent="0.3">
      <c r="BB1043087" s="38"/>
    </row>
    <row r="1043088" spans="54:54" ht="15.75" customHeight="1" x14ac:dyDescent="0.3">
      <c r="BB1043088" s="38"/>
    </row>
    <row r="1043089" spans="54:54" ht="15.75" customHeight="1" x14ac:dyDescent="0.3">
      <c r="BB1043089" s="38"/>
    </row>
    <row r="1043090" spans="54:54" ht="15.75" customHeight="1" x14ac:dyDescent="0.3">
      <c r="BB1043090" s="38"/>
    </row>
    <row r="1043091" spans="54:54" ht="15.75" customHeight="1" x14ac:dyDescent="0.3">
      <c r="BB1043091" s="38"/>
    </row>
    <row r="1043092" spans="54:54" ht="15.75" customHeight="1" x14ac:dyDescent="0.3">
      <c r="BB1043092" s="38"/>
    </row>
    <row r="1043093" spans="54:54" ht="15.75" customHeight="1" x14ac:dyDescent="0.3">
      <c r="BB1043093" s="38"/>
    </row>
    <row r="1043094" spans="54:54" ht="15.75" customHeight="1" x14ac:dyDescent="0.3">
      <c r="BB1043094" s="38"/>
    </row>
    <row r="1043095" spans="54:54" ht="15.75" customHeight="1" x14ac:dyDescent="0.3">
      <c r="BB1043095" s="38"/>
    </row>
    <row r="1043096" spans="54:54" ht="15.75" customHeight="1" x14ac:dyDescent="0.3">
      <c r="BB1043096" s="38"/>
    </row>
    <row r="1043097" spans="54:54" ht="15.75" customHeight="1" x14ac:dyDescent="0.3">
      <c r="BB1043097" s="38"/>
    </row>
    <row r="1043098" spans="54:54" ht="15.75" customHeight="1" x14ac:dyDescent="0.3">
      <c r="BB1043098" s="38"/>
    </row>
    <row r="1043099" spans="54:54" ht="15.75" customHeight="1" x14ac:dyDescent="0.3">
      <c r="BB1043099" s="38"/>
    </row>
    <row r="1043100" spans="54:54" ht="15.75" customHeight="1" x14ac:dyDescent="0.3">
      <c r="BB1043100" s="38"/>
    </row>
    <row r="1043101" spans="54:54" ht="15.75" customHeight="1" x14ac:dyDescent="0.3">
      <c r="BB1043101" s="38"/>
    </row>
    <row r="1043102" spans="54:54" ht="15.75" customHeight="1" x14ac:dyDescent="0.3">
      <c r="BB1043102" s="38"/>
    </row>
    <row r="1043103" spans="54:54" ht="15.75" customHeight="1" x14ac:dyDescent="0.3">
      <c r="BB1043103" s="38"/>
    </row>
    <row r="1043104" spans="54:54" ht="15.75" customHeight="1" x14ac:dyDescent="0.3">
      <c r="BB1043104" s="38"/>
    </row>
    <row r="1043105" spans="54:54" ht="15.75" customHeight="1" x14ac:dyDescent="0.3">
      <c r="BB1043105" s="38"/>
    </row>
    <row r="1043106" spans="54:54" ht="15.75" customHeight="1" x14ac:dyDescent="0.3">
      <c r="BB1043106" s="38"/>
    </row>
    <row r="1043107" spans="54:54" ht="15.75" customHeight="1" x14ac:dyDescent="0.3">
      <c r="BB1043107" s="38"/>
    </row>
    <row r="1043108" spans="54:54" ht="15.75" customHeight="1" x14ac:dyDescent="0.3">
      <c r="BB1043108" s="38"/>
    </row>
    <row r="1043109" spans="54:54" ht="15.75" customHeight="1" x14ac:dyDescent="0.3">
      <c r="BB1043109" s="38"/>
    </row>
    <row r="1043110" spans="54:54" ht="15.75" customHeight="1" x14ac:dyDescent="0.3">
      <c r="BB1043110" s="38"/>
    </row>
    <row r="1043111" spans="54:54" ht="15.75" customHeight="1" x14ac:dyDescent="0.3">
      <c r="BB1043111" s="38"/>
    </row>
    <row r="1043112" spans="54:54" ht="15.75" customHeight="1" x14ac:dyDescent="0.3">
      <c r="BB1043112" s="38"/>
    </row>
    <row r="1043113" spans="54:54" ht="15.75" customHeight="1" x14ac:dyDescent="0.3">
      <c r="BB1043113" s="38"/>
    </row>
    <row r="1043114" spans="54:54" ht="15.75" customHeight="1" x14ac:dyDescent="0.3">
      <c r="BB1043114" s="38"/>
    </row>
    <row r="1043115" spans="54:54" ht="15.75" customHeight="1" x14ac:dyDescent="0.3">
      <c r="BB1043115" s="38"/>
    </row>
    <row r="1043116" spans="54:54" ht="15.75" customHeight="1" x14ac:dyDescent="0.3">
      <c r="BB1043116" s="38"/>
    </row>
    <row r="1043117" spans="54:54" ht="15.75" customHeight="1" x14ac:dyDescent="0.3">
      <c r="BB1043117" s="38"/>
    </row>
    <row r="1043118" spans="54:54" ht="15.75" customHeight="1" x14ac:dyDescent="0.3">
      <c r="BB1043118" s="38"/>
    </row>
    <row r="1043119" spans="54:54" ht="15.75" customHeight="1" x14ac:dyDescent="0.3">
      <c r="BB1043119" s="38"/>
    </row>
    <row r="1043120" spans="54:54" ht="15.75" customHeight="1" x14ac:dyDescent="0.3">
      <c r="BB1043120" s="38"/>
    </row>
    <row r="1043121" spans="54:54" ht="15.75" customHeight="1" x14ac:dyDescent="0.3">
      <c r="BB1043121" s="38"/>
    </row>
    <row r="1043122" spans="54:54" ht="15.75" customHeight="1" x14ac:dyDescent="0.3">
      <c r="BB1043122" s="38"/>
    </row>
    <row r="1043123" spans="54:54" ht="15.75" customHeight="1" x14ac:dyDescent="0.3">
      <c r="BB1043123" s="38"/>
    </row>
    <row r="1043124" spans="54:54" ht="15.75" customHeight="1" x14ac:dyDescent="0.3">
      <c r="BB1043124" s="38"/>
    </row>
    <row r="1043125" spans="54:54" ht="15.75" customHeight="1" x14ac:dyDescent="0.3">
      <c r="BB1043125" s="38"/>
    </row>
    <row r="1043126" spans="54:54" ht="15.75" customHeight="1" x14ac:dyDescent="0.3">
      <c r="BB1043126" s="38"/>
    </row>
    <row r="1043127" spans="54:54" ht="15.75" customHeight="1" x14ac:dyDescent="0.3">
      <c r="BB1043127" s="38"/>
    </row>
    <row r="1043128" spans="54:54" ht="15.75" customHeight="1" x14ac:dyDescent="0.3">
      <c r="BB1043128" s="38"/>
    </row>
    <row r="1043129" spans="54:54" ht="15.75" customHeight="1" x14ac:dyDescent="0.3">
      <c r="BB1043129" s="38"/>
    </row>
    <row r="1043130" spans="54:54" ht="15.75" customHeight="1" x14ac:dyDescent="0.3">
      <c r="BB1043130" s="38"/>
    </row>
    <row r="1043131" spans="54:54" ht="15.75" customHeight="1" x14ac:dyDescent="0.3">
      <c r="BB1043131" s="38"/>
    </row>
    <row r="1043132" spans="54:54" ht="15.75" customHeight="1" x14ac:dyDescent="0.3">
      <c r="BB1043132" s="38"/>
    </row>
    <row r="1043133" spans="54:54" ht="15.75" customHeight="1" x14ac:dyDescent="0.3">
      <c r="BB1043133" s="38"/>
    </row>
    <row r="1043134" spans="54:54" ht="15.75" customHeight="1" x14ac:dyDescent="0.3">
      <c r="BB1043134" s="38"/>
    </row>
    <row r="1043135" spans="54:54" ht="15.75" customHeight="1" x14ac:dyDescent="0.3">
      <c r="BB1043135" s="38"/>
    </row>
    <row r="1043136" spans="54:54" ht="15.75" customHeight="1" x14ac:dyDescent="0.3">
      <c r="BB1043136" s="38"/>
    </row>
    <row r="1043137" spans="54:54" ht="15.75" customHeight="1" x14ac:dyDescent="0.3">
      <c r="BB1043137" s="38"/>
    </row>
    <row r="1043138" spans="54:54" ht="15.75" customHeight="1" x14ac:dyDescent="0.3">
      <c r="BB1043138" s="38"/>
    </row>
    <row r="1043139" spans="54:54" ht="15.75" customHeight="1" x14ac:dyDescent="0.3">
      <c r="BB1043139" s="38"/>
    </row>
    <row r="1043140" spans="54:54" ht="15.75" customHeight="1" x14ac:dyDescent="0.3">
      <c r="BB1043140" s="38"/>
    </row>
    <row r="1043141" spans="54:54" ht="15.75" customHeight="1" x14ac:dyDescent="0.3">
      <c r="BB1043141" s="38"/>
    </row>
    <row r="1043142" spans="54:54" ht="15.75" customHeight="1" x14ac:dyDescent="0.3">
      <c r="BB1043142" s="38"/>
    </row>
    <row r="1043143" spans="54:54" ht="15.75" customHeight="1" x14ac:dyDescent="0.3">
      <c r="BB1043143" s="38"/>
    </row>
    <row r="1043144" spans="54:54" ht="15.75" customHeight="1" x14ac:dyDescent="0.3">
      <c r="BB1043144" s="38"/>
    </row>
    <row r="1043145" spans="54:54" ht="15.75" customHeight="1" x14ac:dyDescent="0.3">
      <c r="BB1043145" s="38"/>
    </row>
    <row r="1043146" spans="54:54" ht="15.75" customHeight="1" x14ac:dyDescent="0.3">
      <c r="BB1043146" s="38"/>
    </row>
    <row r="1043147" spans="54:54" ht="15.75" customHeight="1" x14ac:dyDescent="0.3">
      <c r="BB1043147" s="38"/>
    </row>
    <row r="1043148" spans="54:54" ht="15.75" customHeight="1" x14ac:dyDescent="0.3">
      <c r="BB1043148" s="38"/>
    </row>
    <row r="1043149" spans="54:54" ht="15.75" customHeight="1" x14ac:dyDescent="0.3">
      <c r="BB1043149" s="38"/>
    </row>
    <row r="1043150" spans="54:54" ht="15.75" customHeight="1" x14ac:dyDescent="0.3">
      <c r="BB1043150" s="38"/>
    </row>
    <row r="1043151" spans="54:54" ht="15.75" customHeight="1" x14ac:dyDescent="0.3">
      <c r="BB1043151" s="38"/>
    </row>
    <row r="1043152" spans="54:54" ht="15.75" customHeight="1" x14ac:dyDescent="0.3">
      <c r="BB1043152" s="38"/>
    </row>
    <row r="1043153" spans="54:54" ht="15.75" customHeight="1" x14ac:dyDescent="0.3">
      <c r="BB1043153" s="38"/>
    </row>
    <row r="1043154" spans="54:54" ht="15.75" customHeight="1" x14ac:dyDescent="0.3">
      <c r="BB1043154" s="38"/>
    </row>
    <row r="1043155" spans="54:54" ht="15.75" customHeight="1" x14ac:dyDescent="0.3">
      <c r="BB1043155" s="38"/>
    </row>
    <row r="1043156" spans="54:54" ht="15.75" customHeight="1" x14ac:dyDescent="0.3">
      <c r="BB1043156" s="38"/>
    </row>
    <row r="1043157" spans="54:54" ht="15.75" customHeight="1" x14ac:dyDescent="0.3">
      <c r="BB1043157" s="38"/>
    </row>
    <row r="1043158" spans="54:54" ht="15.75" customHeight="1" x14ac:dyDescent="0.3">
      <c r="BB1043158" s="38"/>
    </row>
    <row r="1043159" spans="54:54" ht="15.75" customHeight="1" x14ac:dyDescent="0.3">
      <c r="BB1043159" s="38"/>
    </row>
    <row r="1043160" spans="54:54" ht="15.75" customHeight="1" x14ac:dyDescent="0.3">
      <c r="BB1043160" s="38"/>
    </row>
    <row r="1043161" spans="54:54" ht="15.75" customHeight="1" x14ac:dyDescent="0.3">
      <c r="BB1043161" s="38"/>
    </row>
    <row r="1043162" spans="54:54" ht="15.75" customHeight="1" x14ac:dyDescent="0.3">
      <c r="BB1043162" s="38"/>
    </row>
    <row r="1043163" spans="54:54" ht="15.75" customHeight="1" x14ac:dyDescent="0.3">
      <c r="BB1043163" s="38"/>
    </row>
    <row r="1043164" spans="54:54" ht="15.75" customHeight="1" x14ac:dyDescent="0.3">
      <c r="BB1043164" s="38"/>
    </row>
    <row r="1043165" spans="54:54" ht="15.75" customHeight="1" x14ac:dyDescent="0.3">
      <c r="BB1043165" s="38"/>
    </row>
    <row r="1043166" spans="54:54" ht="15.75" customHeight="1" x14ac:dyDescent="0.3">
      <c r="BB1043166" s="38"/>
    </row>
    <row r="1043167" spans="54:54" ht="15.75" customHeight="1" x14ac:dyDescent="0.3">
      <c r="BB1043167" s="38"/>
    </row>
    <row r="1043168" spans="54:54" ht="15.75" customHeight="1" x14ac:dyDescent="0.3">
      <c r="BB1043168" s="38"/>
    </row>
    <row r="1043169" spans="54:54" ht="15.75" customHeight="1" x14ac:dyDescent="0.3">
      <c r="BB1043169" s="38"/>
    </row>
    <row r="1043170" spans="54:54" ht="15.75" customHeight="1" x14ac:dyDescent="0.3">
      <c r="BB1043170" s="38"/>
    </row>
    <row r="1043171" spans="54:54" ht="15.75" customHeight="1" x14ac:dyDescent="0.3">
      <c r="BB1043171" s="38"/>
    </row>
    <row r="1043172" spans="54:54" ht="15.75" customHeight="1" x14ac:dyDescent="0.3">
      <c r="BB1043172" s="38"/>
    </row>
    <row r="1043173" spans="54:54" ht="15.75" customHeight="1" x14ac:dyDescent="0.3">
      <c r="BB1043173" s="38"/>
    </row>
    <row r="1043174" spans="54:54" ht="15.75" customHeight="1" x14ac:dyDescent="0.3">
      <c r="BB1043174" s="38"/>
    </row>
    <row r="1043175" spans="54:54" ht="15.75" customHeight="1" x14ac:dyDescent="0.3">
      <c r="BB1043175" s="38"/>
    </row>
    <row r="1043176" spans="54:54" ht="15.75" customHeight="1" x14ac:dyDescent="0.3">
      <c r="BB1043176" s="38"/>
    </row>
    <row r="1043177" spans="54:54" ht="15.75" customHeight="1" x14ac:dyDescent="0.3">
      <c r="BB1043177" s="38"/>
    </row>
    <row r="1043178" spans="54:54" ht="15.75" customHeight="1" x14ac:dyDescent="0.3">
      <c r="BB1043178" s="38"/>
    </row>
    <row r="1043179" spans="54:54" ht="15.75" customHeight="1" x14ac:dyDescent="0.3">
      <c r="BB1043179" s="38"/>
    </row>
    <row r="1043180" spans="54:54" ht="15.75" customHeight="1" x14ac:dyDescent="0.3">
      <c r="BB1043180" s="38"/>
    </row>
    <row r="1043181" spans="54:54" ht="15.75" customHeight="1" x14ac:dyDescent="0.3">
      <c r="BB1043181" s="38"/>
    </row>
    <row r="1043182" spans="54:54" ht="15.75" customHeight="1" x14ac:dyDescent="0.3">
      <c r="BB1043182" s="38"/>
    </row>
    <row r="1043183" spans="54:54" ht="15.75" customHeight="1" x14ac:dyDescent="0.3">
      <c r="BB1043183" s="38"/>
    </row>
    <row r="1043184" spans="54:54" ht="15.75" customHeight="1" x14ac:dyDescent="0.3">
      <c r="BB1043184" s="38"/>
    </row>
    <row r="1043185" spans="54:54" ht="15.75" customHeight="1" x14ac:dyDescent="0.3">
      <c r="BB1043185" s="38"/>
    </row>
    <row r="1043186" spans="54:54" ht="15.75" customHeight="1" x14ac:dyDescent="0.3">
      <c r="BB1043186" s="38"/>
    </row>
    <row r="1043187" spans="54:54" ht="15.75" customHeight="1" x14ac:dyDescent="0.3">
      <c r="BB1043187" s="38"/>
    </row>
    <row r="1043188" spans="54:54" ht="15.75" customHeight="1" x14ac:dyDescent="0.3">
      <c r="BB1043188" s="38"/>
    </row>
    <row r="1043189" spans="54:54" ht="15.75" customHeight="1" x14ac:dyDescent="0.3">
      <c r="BB1043189" s="38"/>
    </row>
    <row r="1043190" spans="54:54" ht="15.75" customHeight="1" x14ac:dyDescent="0.3">
      <c r="BB1043190" s="38"/>
    </row>
    <row r="1043191" spans="54:54" ht="15.75" customHeight="1" x14ac:dyDescent="0.3">
      <c r="BB1043191" s="38"/>
    </row>
    <row r="1043192" spans="54:54" ht="15.75" customHeight="1" x14ac:dyDescent="0.3">
      <c r="BB1043192" s="38"/>
    </row>
    <row r="1043193" spans="54:54" ht="15.75" customHeight="1" x14ac:dyDescent="0.3">
      <c r="BB1043193" s="38"/>
    </row>
    <row r="1043194" spans="54:54" ht="15.75" customHeight="1" x14ac:dyDescent="0.3">
      <c r="BB1043194" s="38"/>
    </row>
    <row r="1043195" spans="54:54" ht="15.75" customHeight="1" x14ac:dyDescent="0.3">
      <c r="BB1043195" s="38"/>
    </row>
    <row r="1043196" spans="54:54" ht="15.75" customHeight="1" x14ac:dyDescent="0.3">
      <c r="BB1043196" s="38"/>
    </row>
    <row r="1043197" spans="54:54" ht="15.75" customHeight="1" x14ac:dyDescent="0.3">
      <c r="BB1043197" s="38"/>
    </row>
    <row r="1043198" spans="54:54" ht="15.75" customHeight="1" x14ac:dyDescent="0.3">
      <c r="BB1043198" s="38"/>
    </row>
    <row r="1043199" spans="54:54" ht="15.75" customHeight="1" x14ac:dyDescent="0.3">
      <c r="BB1043199" s="38"/>
    </row>
    <row r="1043200" spans="54:54" ht="15.75" customHeight="1" x14ac:dyDescent="0.3">
      <c r="BB1043200" s="38"/>
    </row>
    <row r="1043201" spans="54:54" ht="15.75" customHeight="1" x14ac:dyDescent="0.3">
      <c r="BB1043201" s="38"/>
    </row>
    <row r="1043202" spans="54:54" ht="15.75" customHeight="1" x14ac:dyDescent="0.3">
      <c r="BB1043202" s="38"/>
    </row>
    <row r="1043203" spans="54:54" ht="15.75" customHeight="1" x14ac:dyDescent="0.3">
      <c r="BB1043203" s="38"/>
    </row>
    <row r="1043204" spans="54:54" ht="15.75" customHeight="1" x14ac:dyDescent="0.3">
      <c r="BB1043204" s="38"/>
    </row>
    <row r="1043205" spans="54:54" ht="15.75" customHeight="1" x14ac:dyDescent="0.3">
      <c r="BB1043205" s="38"/>
    </row>
    <row r="1043206" spans="54:54" ht="15.75" customHeight="1" x14ac:dyDescent="0.3">
      <c r="BB1043206" s="38"/>
    </row>
    <row r="1043207" spans="54:54" ht="15.75" customHeight="1" x14ac:dyDescent="0.3">
      <c r="BB1043207" s="38"/>
    </row>
    <row r="1043208" spans="54:54" ht="15.75" customHeight="1" x14ac:dyDescent="0.3">
      <c r="BB1043208" s="38"/>
    </row>
    <row r="1043209" spans="54:54" ht="15.75" customHeight="1" x14ac:dyDescent="0.3">
      <c r="BB1043209" s="38"/>
    </row>
    <row r="1043210" spans="54:54" ht="15.75" customHeight="1" x14ac:dyDescent="0.3">
      <c r="BB1043210" s="38"/>
    </row>
    <row r="1043211" spans="54:54" ht="15.75" customHeight="1" x14ac:dyDescent="0.3">
      <c r="BB1043211" s="38"/>
    </row>
    <row r="1043212" spans="54:54" ht="15.75" customHeight="1" x14ac:dyDescent="0.3">
      <c r="BB1043212" s="38"/>
    </row>
    <row r="1043213" spans="54:54" ht="15.75" customHeight="1" x14ac:dyDescent="0.3">
      <c r="BB1043213" s="38"/>
    </row>
    <row r="1043214" spans="54:54" ht="15.75" customHeight="1" x14ac:dyDescent="0.3">
      <c r="BB1043214" s="38"/>
    </row>
    <row r="1043215" spans="54:54" ht="15.75" customHeight="1" x14ac:dyDescent="0.3">
      <c r="BB1043215" s="38"/>
    </row>
    <row r="1043216" spans="54:54" ht="15.75" customHeight="1" x14ac:dyDescent="0.3">
      <c r="BB1043216" s="38"/>
    </row>
    <row r="1043217" spans="54:54" ht="15.75" customHeight="1" x14ac:dyDescent="0.3">
      <c r="BB1043217" s="38"/>
    </row>
    <row r="1043218" spans="54:54" ht="15.75" customHeight="1" x14ac:dyDescent="0.3">
      <c r="BB1043218" s="38"/>
    </row>
    <row r="1043219" spans="54:54" ht="15.75" customHeight="1" x14ac:dyDescent="0.3">
      <c r="BB1043219" s="38"/>
    </row>
    <row r="1043220" spans="54:54" ht="15.75" customHeight="1" x14ac:dyDescent="0.3">
      <c r="BB1043220" s="38"/>
    </row>
    <row r="1043221" spans="54:54" ht="15.75" customHeight="1" x14ac:dyDescent="0.3">
      <c r="BB1043221" s="38"/>
    </row>
    <row r="1043222" spans="54:54" ht="15.75" customHeight="1" x14ac:dyDescent="0.3">
      <c r="BB1043222" s="38"/>
    </row>
    <row r="1043223" spans="54:54" ht="15.75" customHeight="1" x14ac:dyDescent="0.3">
      <c r="BB1043223" s="38"/>
    </row>
    <row r="1043224" spans="54:54" ht="15.75" customHeight="1" x14ac:dyDescent="0.3">
      <c r="BB1043224" s="38"/>
    </row>
    <row r="1043225" spans="54:54" ht="15.75" customHeight="1" x14ac:dyDescent="0.3">
      <c r="BB1043225" s="38"/>
    </row>
    <row r="1043226" spans="54:54" ht="15.75" customHeight="1" x14ac:dyDescent="0.3">
      <c r="BB1043226" s="38"/>
    </row>
    <row r="1043227" spans="54:54" ht="15.75" customHeight="1" x14ac:dyDescent="0.3">
      <c r="BB1043227" s="38"/>
    </row>
    <row r="1043228" spans="54:54" ht="15.75" customHeight="1" x14ac:dyDescent="0.3">
      <c r="BB1043228" s="38"/>
    </row>
    <row r="1043229" spans="54:54" ht="15.75" customHeight="1" x14ac:dyDescent="0.3">
      <c r="BB1043229" s="38"/>
    </row>
    <row r="1043230" spans="54:54" ht="15.75" customHeight="1" x14ac:dyDescent="0.3">
      <c r="BB1043230" s="38"/>
    </row>
    <row r="1043231" spans="54:54" ht="15.75" customHeight="1" x14ac:dyDescent="0.3">
      <c r="BB1043231" s="38"/>
    </row>
    <row r="1043232" spans="54:54" ht="15.75" customHeight="1" x14ac:dyDescent="0.3">
      <c r="BB1043232" s="38"/>
    </row>
    <row r="1043233" spans="54:54" ht="15.75" customHeight="1" x14ac:dyDescent="0.3">
      <c r="BB1043233" s="38"/>
    </row>
    <row r="1043234" spans="54:54" ht="15.75" customHeight="1" x14ac:dyDescent="0.3">
      <c r="BB1043234" s="38"/>
    </row>
    <row r="1043235" spans="54:54" ht="15.75" customHeight="1" x14ac:dyDescent="0.3">
      <c r="BB1043235" s="38"/>
    </row>
    <row r="1043236" spans="54:54" ht="15.75" customHeight="1" x14ac:dyDescent="0.3">
      <c r="BB1043236" s="38"/>
    </row>
    <row r="1043237" spans="54:54" ht="15.75" customHeight="1" x14ac:dyDescent="0.3">
      <c r="BB1043237" s="38"/>
    </row>
    <row r="1043238" spans="54:54" ht="15.75" customHeight="1" x14ac:dyDescent="0.3">
      <c r="BB1043238" s="38"/>
    </row>
    <row r="1043239" spans="54:54" ht="15.75" customHeight="1" x14ac:dyDescent="0.3">
      <c r="BB1043239" s="38"/>
    </row>
    <row r="1043240" spans="54:54" ht="15.75" customHeight="1" x14ac:dyDescent="0.3">
      <c r="BB1043240" s="38"/>
    </row>
    <row r="1043241" spans="54:54" ht="15.75" customHeight="1" x14ac:dyDescent="0.3">
      <c r="BB1043241" s="38"/>
    </row>
    <row r="1043242" spans="54:54" ht="15.75" customHeight="1" x14ac:dyDescent="0.3">
      <c r="BB1043242" s="38"/>
    </row>
    <row r="1043243" spans="54:54" ht="15.75" customHeight="1" x14ac:dyDescent="0.3">
      <c r="BB1043243" s="38"/>
    </row>
    <row r="1043244" spans="54:54" ht="15.75" customHeight="1" x14ac:dyDescent="0.3">
      <c r="BB1043244" s="38"/>
    </row>
    <row r="1043245" spans="54:54" ht="15.75" customHeight="1" x14ac:dyDescent="0.3">
      <c r="BB1043245" s="38"/>
    </row>
    <row r="1043246" spans="54:54" ht="15.75" customHeight="1" x14ac:dyDescent="0.3">
      <c r="BB1043246" s="38"/>
    </row>
    <row r="1043247" spans="54:54" ht="15.75" customHeight="1" x14ac:dyDescent="0.3">
      <c r="BB1043247" s="38"/>
    </row>
    <row r="1043248" spans="54:54" ht="15.75" customHeight="1" x14ac:dyDescent="0.3">
      <c r="BB1043248" s="38"/>
    </row>
    <row r="1043249" spans="54:54" ht="15.75" customHeight="1" x14ac:dyDescent="0.3">
      <c r="BB1043249" s="38"/>
    </row>
    <row r="1043250" spans="54:54" ht="15.75" customHeight="1" x14ac:dyDescent="0.3">
      <c r="BB1043250" s="38"/>
    </row>
    <row r="1043251" spans="54:54" ht="15.75" customHeight="1" x14ac:dyDescent="0.3">
      <c r="BB1043251" s="38"/>
    </row>
    <row r="1043252" spans="54:54" ht="15.75" customHeight="1" x14ac:dyDescent="0.3">
      <c r="BB1043252" s="38"/>
    </row>
    <row r="1043253" spans="54:54" ht="15.75" customHeight="1" x14ac:dyDescent="0.3">
      <c r="BB1043253" s="38"/>
    </row>
    <row r="1043254" spans="54:54" ht="15.75" customHeight="1" x14ac:dyDescent="0.3">
      <c r="BB1043254" s="38"/>
    </row>
    <row r="1043255" spans="54:54" ht="15.75" customHeight="1" x14ac:dyDescent="0.3">
      <c r="BB1043255" s="38"/>
    </row>
    <row r="1043256" spans="54:54" ht="15.75" customHeight="1" x14ac:dyDescent="0.3">
      <c r="BB1043256" s="38"/>
    </row>
    <row r="1043257" spans="54:54" ht="15.75" customHeight="1" x14ac:dyDescent="0.3">
      <c r="BB1043257" s="38"/>
    </row>
    <row r="1043258" spans="54:54" ht="15.75" customHeight="1" x14ac:dyDescent="0.3">
      <c r="BB1043258" s="38"/>
    </row>
    <row r="1043259" spans="54:54" ht="15.75" customHeight="1" x14ac:dyDescent="0.3">
      <c r="BB1043259" s="38"/>
    </row>
    <row r="1043260" spans="54:54" ht="15.75" customHeight="1" x14ac:dyDescent="0.3">
      <c r="BB1043260" s="38"/>
    </row>
    <row r="1043261" spans="54:54" ht="15.75" customHeight="1" x14ac:dyDescent="0.3">
      <c r="BB1043261" s="38"/>
    </row>
    <row r="1043262" spans="54:54" ht="15.75" customHeight="1" x14ac:dyDescent="0.3">
      <c r="BB1043262" s="38"/>
    </row>
    <row r="1043263" spans="54:54" ht="15.75" customHeight="1" x14ac:dyDescent="0.3">
      <c r="BB1043263" s="38"/>
    </row>
    <row r="1043264" spans="54:54" ht="15.75" customHeight="1" x14ac:dyDescent="0.3">
      <c r="BB1043264" s="38"/>
    </row>
    <row r="1043265" spans="54:54" ht="15.75" customHeight="1" x14ac:dyDescent="0.3">
      <c r="BB1043265" s="38"/>
    </row>
    <row r="1043266" spans="54:54" ht="15.75" customHeight="1" x14ac:dyDescent="0.3">
      <c r="BB1043266" s="38"/>
    </row>
    <row r="1043267" spans="54:54" ht="15.75" customHeight="1" x14ac:dyDescent="0.3">
      <c r="BB1043267" s="38"/>
    </row>
    <row r="1043268" spans="54:54" ht="15.75" customHeight="1" x14ac:dyDescent="0.3">
      <c r="BB1043268" s="38"/>
    </row>
    <row r="1043269" spans="54:54" ht="15.75" customHeight="1" x14ac:dyDescent="0.3">
      <c r="BB1043269" s="38"/>
    </row>
    <row r="1043270" spans="54:54" ht="15.75" customHeight="1" x14ac:dyDescent="0.3">
      <c r="BB1043270" s="38"/>
    </row>
    <row r="1043271" spans="54:54" ht="15.75" customHeight="1" x14ac:dyDescent="0.3">
      <c r="BB1043271" s="38"/>
    </row>
    <row r="1043272" spans="54:54" ht="15.75" customHeight="1" x14ac:dyDescent="0.3">
      <c r="BB1043272" s="38"/>
    </row>
    <row r="1043273" spans="54:54" ht="15.75" customHeight="1" x14ac:dyDescent="0.3">
      <c r="BB1043273" s="38"/>
    </row>
    <row r="1043274" spans="54:54" ht="15.75" customHeight="1" x14ac:dyDescent="0.3">
      <c r="BB1043274" s="38"/>
    </row>
    <row r="1043275" spans="54:54" ht="15.75" customHeight="1" x14ac:dyDescent="0.3">
      <c r="BB1043275" s="38"/>
    </row>
    <row r="1043276" spans="54:54" ht="15.75" customHeight="1" x14ac:dyDescent="0.3">
      <c r="BB1043276" s="38"/>
    </row>
    <row r="1043277" spans="54:54" ht="15.75" customHeight="1" x14ac:dyDescent="0.3">
      <c r="BB1043277" s="38"/>
    </row>
    <row r="1043278" spans="54:54" ht="15.75" customHeight="1" x14ac:dyDescent="0.3">
      <c r="BB1043278" s="38"/>
    </row>
    <row r="1043279" spans="54:54" ht="15.75" customHeight="1" x14ac:dyDescent="0.3">
      <c r="BB1043279" s="38"/>
    </row>
    <row r="1043280" spans="54:54" ht="15.75" customHeight="1" x14ac:dyDescent="0.3">
      <c r="BB1043280" s="38"/>
    </row>
    <row r="1043281" spans="54:54" ht="15.75" customHeight="1" x14ac:dyDescent="0.3">
      <c r="BB1043281" s="38"/>
    </row>
    <row r="1043282" spans="54:54" ht="15.75" customHeight="1" x14ac:dyDescent="0.3">
      <c r="BB1043282" s="38"/>
    </row>
    <row r="1043283" spans="54:54" ht="15.75" customHeight="1" x14ac:dyDescent="0.3">
      <c r="BB1043283" s="38"/>
    </row>
    <row r="1043284" spans="54:54" ht="15.75" customHeight="1" x14ac:dyDescent="0.3">
      <c r="BB1043284" s="38"/>
    </row>
    <row r="1043285" spans="54:54" ht="15.75" customHeight="1" x14ac:dyDescent="0.3">
      <c r="BB1043285" s="38"/>
    </row>
    <row r="1043286" spans="54:54" ht="15.75" customHeight="1" x14ac:dyDescent="0.3">
      <c r="BB1043286" s="38"/>
    </row>
    <row r="1043287" spans="54:54" ht="15.75" customHeight="1" x14ac:dyDescent="0.3">
      <c r="BB1043287" s="38"/>
    </row>
    <row r="1043288" spans="54:54" ht="15.75" customHeight="1" x14ac:dyDescent="0.3">
      <c r="BB1043288" s="38"/>
    </row>
    <row r="1043289" spans="54:54" ht="15.75" customHeight="1" x14ac:dyDescent="0.3">
      <c r="BB1043289" s="38"/>
    </row>
    <row r="1043290" spans="54:54" ht="15.75" customHeight="1" x14ac:dyDescent="0.3">
      <c r="BB1043290" s="38"/>
    </row>
    <row r="1043291" spans="54:54" ht="15.75" customHeight="1" x14ac:dyDescent="0.3">
      <c r="BB1043291" s="38"/>
    </row>
    <row r="1043292" spans="54:54" ht="15.75" customHeight="1" x14ac:dyDescent="0.3">
      <c r="BB1043292" s="38"/>
    </row>
    <row r="1043293" spans="54:54" ht="15.75" customHeight="1" x14ac:dyDescent="0.3">
      <c r="BB1043293" s="38"/>
    </row>
    <row r="1043294" spans="54:54" ht="15.75" customHeight="1" x14ac:dyDescent="0.3">
      <c r="BB1043294" s="38"/>
    </row>
    <row r="1043295" spans="54:54" ht="15.75" customHeight="1" x14ac:dyDescent="0.3">
      <c r="BB1043295" s="38"/>
    </row>
    <row r="1043296" spans="54:54" ht="15.75" customHeight="1" x14ac:dyDescent="0.3">
      <c r="BB1043296" s="38"/>
    </row>
    <row r="1043297" spans="54:54" ht="15.75" customHeight="1" x14ac:dyDescent="0.3">
      <c r="BB1043297" s="38"/>
    </row>
    <row r="1043298" spans="54:54" ht="15.75" customHeight="1" x14ac:dyDescent="0.3">
      <c r="BB1043298" s="38"/>
    </row>
    <row r="1043299" spans="54:54" ht="15.75" customHeight="1" x14ac:dyDescent="0.3">
      <c r="BB1043299" s="38"/>
    </row>
    <row r="1043300" spans="54:54" ht="15.75" customHeight="1" x14ac:dyDescent="0.3">
      <c r="BB1043300" s="38"/>
    </row>
    <row r="1043301" spans="54:54" ht="15.75" customHeight="1" x14ac:dyDescent="0.3">
      <c r="BB1043301" s="38"/>
    </row>
    <row r="1043302" spans="54:54" ht="15.75" customHeight="1" x14ac:dyDescent="0.3">
      <c r="BB1043302" s="38"/>
    </row>
    <row r="1043303" spans="54:54" ht="15.75" customHeight="1" x14ac:dyDescent="0.3">
      <c r="BB1043303" s="38"/>
    </row>
    <row r="1043304" spans="54:54" ht="15.75" customHeight="1" x14ac:dyDescent="0.3">
      <c r="BB1043304" s="38"/>
    </row>
    <row r="1043305" spans="54:54" ht="15.75" customHeight="1" x14ac:dyDescent="0.3">
      <c r="BB1043305" s="38"/>
    </row>
    <row r="1043306" spans="54:54" ht="15.75" customHeight="1" x14ac:dyDescent="0.3">
      <c r="BB1043306" s="38"/>
    </row>
    <row r="1043307" spans="54:54" ht="15.75" customHeight="1" x14ac:dyDescent="0.3">
      <c r="BB1043307" s="38"/>
    </row>
    <row r="1043308" spans="54:54" ht="15.75" customHeight="1" x14ac:dyDescent="0.3">
      <c r="BB1043308" s="38"/>
    </row>
    <row r="1043309" spans="54:54" ht="15.75" customHeight="1" x14ac:dyDescent="0.3">
      <c r="BB1043309" s="38"/>
    </row>
    <row r="1043310" spans="54:54" ht="15.75" customHeight="1" x14ac:dyDescent="0.3">
      <c r="BB1043310" s="38"/>
    </row>
    <row r="1043311" spans="54:54" ht="15.75" customHeight="1" x14ac:dyDescent="0.3">
      <c r="BB1043311" s="38"/>
    </row>
    <row r="1043312" spans="54:54" ht="15.75" customHeight="1" x14ac:dyDescent="0.3">
      <c r="BB1043312" s="38"/>
    </row>
    <row r="1043313" spans="54:54" ht="15.75" customHeight="1" x14ac:dyDescent="0.3">
      <c r="BB1043313" s="38"/>
    </row>
    <row r="1043314" spans="54:54" ht="15.75" customHeight="1" x14ac:dyDescent="0.3">
      <c r="BB1043314" s="38"/>
    </row>
    <row r="1043315" spans="54:54" ht="15.75" customHeight="1" x14ac:dyDescent="0.3">
      <c r="BB1043315" s="38"/>
    </row>
    <row r="1043316" spans="54:54" ht="15.75" customHeight="1" x14ac:dyDescent="0.3">
      <c r="BB1043316" s="38"/>
    </row>
    <row r="1043317" spans="54:54" ht="15.75" customHeight="1" x14ac:dyDescent="0.3">
      <c r="BB1043317" s="38"/>
    </row>
    <row r="1043318" spans="54:54" ht="15.75" customHeight="1" x14ac:dyDescent="0.3">
      <c r="BB1043318" s="38"/>
    </row>
    <row r="1043319" spans="54:54" ht="15.75" customHeight="1" x14ac:dyDescent="0.3">
      <c r="BB1043319" s="38"/>
    </row>
    <row r="1043320" spans="54:54" ht="15.75" customHeight="1" x14ac:dyDescent="0.3">
      <c r="BB1043320" s="38"/>
    </row>
    <row r="1043321" spans="54:54" ht="15.75" customHeight="1" x14ac:dyDescent="0.3">
      <c r="BB1043321" s="38"/>
    </row>
    <row r="1043322" spans="54:54" ht="15.75" customHeight="1" x14ac:dyDescent="0.3">
      <c r="BB1043322" s="38"/>
    </row>
    <row r="1043323" spans="54:54" ht="15.75" customHeight="1" x14ac:dyDescent="0.3">
      <c r="BB1043323" s="38"/>
    </row>
    <row r="1043324" spans="54:54" ht="15.75" customHeight="1" x14ac:dyDescent="0.3">
      <c r="BB1043324" s="38"/>
    </row>
    <row r="1043325" spans="54:54" ht="15.75" customHeight="1" x14ac:dyDescent="0.3">
      <c r="BB1043325" s="38"/>
    </row>
    <row r="1043326" spans="54:54" ht="15.75" customHeight="1" x14ac:dyDescent="0.3">
      <c r="BB1043326" s="38"/>
    </row>
    <row r="1043327" spans="54:54" ht="15.75" customHeight="1" x14ac:dyDescent="0.3">
      <c r="BB1043327" s="38"/>
    </row>
    <row r="1043328" spans="54:54" ht="15.75" customHeight="1" x14ac:dyDescent="0.3">
      <c r="BB1043328" s="38"/>
    </row>
    <row r="1043329" spans="54:54" ht="15.75" customHeight="1" x14ac:dyDescent="0.3">
      <c r="BB1043329" s="38"/>
    </row>
    <row r="1043330" spans="54:54" ht="15.75" customHeight="1" x14ac:dyDescent="0.3">
      <c r="BB1043330" s="38"/>
    </row>
    <row r="1043331" spans="54:54" ht="15.75" customHeight="1" x14ac:dyDescent="0.3">
      <c r="BB1043331" s="38"/>
    </row>
    <row r="1043332" spans="54:54" ht="15.75" customHeight="1" x14ac:dyDescent="0.3">
      <c r="BB1043332" s="38"/>
    </row>
    <row r="1043333" spans="54:54" ht="15.75" customHeight="1" x14ac:dyDescent="0.3">
      <c r="BB1043333" s="38"/>
    </row>
    <row r="1043334" spans="54:54" ht="15.75" customHeight="1" x14ac:dyDescent="0.3">
      <c r="BB1043334" s="38"/>
    </row>
    <row r="1043335" spans="54:54" ht="15.75" customHeight="1" x14ac:dyDescent="0.3">
      <c r="BB1043335" s="38"/>
    </row>
    <row r="1043336" spans="54:54" ht="15.75" customHeight="1" x14ac:dyDescent="0.3">
      <c r="BB1043336" s="38"/>
    </row>
    <row r="1043337" spans="54:54" ht="15.75" customHeight="1" x14ac:dyDescent="0.3">
      <c r="BB1043337" s="38"/>
    </row>
    <row r="1043338" spans="54:54" ht="15.75" customHeight="1" x14ac:dyDescent="0.3">
      <c r="BB1043338" s="38"/>
    </row>
    <row r="1043339" spans="54:54" ht="15.75" customHeight="1" x14ac:dyDescent="0.3">
      <c r="BB1043339" s="38"/>
    </row>
    <row r="1043340" spans="54:54" ht="15.75" customHeight="1" x14ac:dyDescent="0.3">
      <c r="BB1043340" s="38"/>
    </row>
    <row r="1043341" spans="54:54" ht="15.75" customHeight="1" x14ac:dyDescent="0.3">
      <c r="BB1043341" s="38"/>
    </row>
    <row r="1043342" spans="54:54" ht="15.75" customHeight="1" x14ac:dyDescent="0.3">
      <c r="BB1043342" s="38"/>
    </row>
    <row r="1043343" spans="54:54" ht="15.75" customHeight="1" x14ac:dyDescent="0.3">
      <c r="BB1043343" s="38"/>
    </row>
    <row r="1043344" spans="54:54" ht="15.75" customHeight="1" x14ac:dyDescent="0.3">
      <c r="BB1043344" s="38"/>
    </row>
    <row r="1043345" spans="54:54" ht="15.75" customHeight="1" x14ac:dyDescent="0.3">
      <c r="BB1043345" s="38"/>
    </row>
    <row r="1043346" spans="54:54" ht="15.75" customHeight="1" x14ac:dyDescent="0.3">
      <c r="BB1043346" s="38"/>
    </row>
    <row r="1043347" spans="54:54" ht="15.75" customHeight="1" x14ac:dyDescent="0.3">
      <c r="BB1043347" s="38"/>
    </row>
    <row r="1043348" spans="54:54" ht="15.75" customHeight="1" x14ac:dyDescent="0.3">
      <c r="BB1043348" s="38"/>
    </row>
    <row r="1043349" spans="54:54" ht="15.75" customHeight="1" x14ac:dyDescent="0.3">
      <c r="BB1043349" s="38"/>
    </row>
    <row r="1043350" spans="54:54" ht="15.75" customHeight="1" x14ac:dyDescent="0.3">
      <c r="BB1043350" s="38"/>
    </row>
    <row r="1043351" spans="54:54" ht="15.75" customHeight="1" x14ac:dyDescent="0.3">
      <c r="BB1043351" s="38"/>
    </row>
    <row r="1043352" spans="54:54" ht="15.75" customHeight="1" x14ac:dyDescent="0.3">
      <c r="BB1043352" s="38"/>
    </row>
    <row r="1043353" spans="54:54" ht="15.75" customHeight="1" x14ac:dyDescent="0.3">
      <c r="BB1043353" s="38"/>
    </row>
    <row r="1043354" spans="54:54" ht="15.75" customHeight="1" x14ac:dyDescent="0.3">
      <c r="BB1043354" s="38"/>
    </row>
    <row r="1043355" spans="54:54" ht="15.75" customHeight="1" x14ac:dyDescent="0.3">
      <c r="BB1043355" s="38"/>
    </row>
    <row r="1043356" spans="54:54" ht="15.75" customHeight="1" x14ac:dyDescent="0.3">
      <c r="BB1043356" s="38"/>
    </row>
    <row r="1043357" spans="54:54" ht="15.75" customHeight="1" x14ac:dyDescent="0.3">
      <c r="BB1043357" s="38"/>
    </row>
    <row r="1043358" spans="54:54" ht="15.75" customHeight="1" x14ac:dyDescent="0.3">
      <c r="BB1043358" s="38"/>
    </row>
    <row r="1043359" spans="54:54" ht="15.75" customHeight="1" x14ac:dyDescent="0.3">
      <c r="BB1043359" s="38"/>
    </row>
    <row r="1043360" spans="54:54" ht="15.75" customHeight="1" x14ac:dyDescent="0.3">
      <c r="BB1043360" s="38"/>
    </row>
    <row r="1043361" spans="54:54" ht="15.75" customHeight="1" x14ac:dyDescent="0.3">
      <c r="BB1043361" s="38"/>
    </row>
    <row r="1043362" spans="54:54" ht="15.75" customHeight="1" x14ac:dyDescent="0.3">
      <c r="BB1043362" s="38"/>
    </row>
    <row r="1043363" spans="54:54" ht="15.75" customHeight="1" x14ac:dyDescent="0.3">
      <c r="BB1043363" s="38"/>
    </row>
    <row r="1043364" spans="54:54" ht="15.75" customHeight="1" x14ac:dyDescent="0.3">
      <c r="BB1043364" s="38"/>
    </row>
    <row r="1043365" spans="54:54" ht="15.75" customHeight="1" x14ac:dyDescent="0.3">
      <c r="BB1043365" s="38"/>
    </row>
    <row r="1043366" spans="54:54" ht="15.75" customHeight="1" x14ac:dyDescent="0.3">
      <c r="BB1043366" s="38"/>
    </row>
    <row r="1043367" spans="54:54" ht="15.75" customHeight="1" x14ac:dyDescent="0.3">
      <c r="BB1043367" s="38"/>
    </row>
    <row r="1043368" spans="54:54" ht="15.75" customHeight="1" x14ac:dyDescent="0.3">
      <c r="BB1043368" s="38"/>
    </row>
    <row r="1043369" spans="54:54" ht="15.75" customHeight="1" x14ac:dyDescent="0.3">
      <c r="BB1043369" s="38"/>
    </row>
    <row r="1043370" spans="54:54" ht="15.75" customHeight="1" x14ac:dyDescent="0.3">
      <c r="BB1043370" s="38"/>
    </row>
    <row r="1043371" spans="54:54" ht="15.75" customHeight="1" x14ac:dyDescent="0.3">
      <c r="BB1043371" s="38"/>
    </row>
    <row r="1043372" spans="54:54" ht="15.75" customHeight="1" x14ac:dyDescent="0.3">
      <c r="BB1043372" s="38"/>
    </row>
    <row r="1043373" spans="54:54" ht="15.75" customHeight="1" x14ac:dyDescent="0.3">
      <c r="BB1043373" s="38"/>
    </row>
    <row r="1043374" spans="54:54" ht="15.75" customHeight="1" x14ac:dyDescent="0.3">
      <c r="BB1043374" s="38"/>
    </row>
    <row r="1043375" spans="54:54" ht="15.75" customHeight="1" x14ac:dyDescent="0.3">
      <c r="BB1043375" s="38"/>
    </row>
    <row r="1043376" spans="54:54" ht="15.75" customHeight="1" x14ac:dyDescent="0.3">
      <c r="BB1043376" s="38"/>
    </row>
    <row r="1043377" spans="54:54" ht="15.75" customHeight="1" x14ac:dyDescent="0.3">
      <c r="BB1043377" s="38"/>
    </row>
    <row r="1043378" spans="54:54" ht="15.75" customHeight="1" x14ac:dyDescent="0.3">
      <c r="BB1043378" s="38"/>
    </row>
    <row r="1043379" spans="54:54" ht="15.75" customHeight="1" x14ac:dyDescent="0.3">
      <c r="BB1043379" s="38"/>
    </row>
    <row r="1043380" spans="54:54" ht="15.75" customHeight="1" x14ac:dyDescent="0.3">
      <c r="BB1043380" s="38"/>
    </row>
    <row r="1043381" spans="54:54" ht="15.75" customHeight="1" x14ac:dyDescent="0.3">
      <c r="BB1043381" s="38"/>
    </row>
    <row r="1043382" spans="54:54" ht="15.75" customHeight="1" x14ac:dyDescent="0.3">
      <c r="BB1043382" s="38"/>
    </row>
    <row r="1043383" spans="54:54" ht="15.75" customHeight="1" x14ac:dyDescent="0.3">
      <c r="BB1043383" s="38"/>
    </row>
    <row r="1043384" spans="54:54" ht="15.75" customHeight="1" x14ac:dyDescent="0.3">
      <c r="BB1043384" s="38"/>
    </row>
    <row r="1043385" spans="54:54" ht="15.75" customHeight="1" x14ac:dyDescent="0.3">
      <c r="BB1043385" s="38"/>
    </row>
    <row r="1043386" spans="54:54" ht="15.75" customHeight="1" x14ac:dyDescent="0.3">
      <c r="BB1043386" s="38"/>
    </row>
    <row r="1043387" spans="54:54" ht="15.75" customHeight="1" x14ac:dyDescent="0.3">
      <c r="BB1043387" s="38"/>
    </row>
    <row r="1043388" spans="54:54" ht="15.75" customHeight="1" x14ac:dyDescent="0.3">
      <c r="BB1043388" s="38"/>
    </row>
    <row r="1043389" spans="54:54" ht="15.75" customHeight="1" x14ac:dyDescent="0.3">
      <c r="BB1043389" s="38"/>
    </row>
    <row r="1043390" spans="54:54" ht="15.75" customHeight="1" x14ac:dyDescent="0.3">
      <c r="BB1043390" s="38"/>
    </row>
    <row r="1043391" spans="54:54" ht="15.75" customHeight="1" x14ac:dyDescent="0.3">
      <c r="BB1043391" s="38"/>
    </row>
    <row r="1043392" spans="54:54" ht="15.75" customHeight="1" x14ac:dyDescent="0.3">
      <c r="BB1043392" s="38"/>
    </row>
    <row r="1043393" spans="54:54" ht="15.75" customHeight="1" x14ac:dyDescent="0.3">
      <c r="BB1043393" s="38"/>
    </row>
    <row r="1043394" spans="54:54" ht="15.75" customHeight="1" x14ac:dyDescent="0.3">
      <c r="BB1043394" s="38"/>
    </row>
    <row r="1043395" spans="54:54" ht="15.75" customHeight="1" x14ac:dyDescent="0.3">
      <c r="BB1043395" s="38"/>
    </row>
    <row r="1043396" spans="54:54" ht="15.75" customHeight="1" x14ac:dyDescent="0.3">
      <c r="BB1043396" s="38"/>
    </row>
    <row r="1043397" spans="54:54" ht="15.75" customHeight="1" x14ac:dyDescent="0.3">
      <c r="BB1043397" s="38"/>
    </row>
    <row r="1043398" spans="54:54" ht="15.75" customHeight="1" x14ac:dyDescent="0.3">
      <c r="BB1043398" s="38"/>
    </row>
    <row r="1043399" spans="54:54" ht="15.75" customHeight="1" x14ac:dyDescent="0.3">
      <c r="BB1043399" s="38"/>
    </row>
    <row r="1043400" spans="54:54" ht="15.75" customHeight="1" x14ac:dyDescent="0.3">
      <c r="BB1043400" s="38"/>
    </row>
    <row r="1043401" spans="54:54" ht="15.75" customHeight="1" x14ac:dyDescent="0.3">
      <c r="BB1043401" s="38"/>
    </row>
    <row r="1043402" spans="54:54" ht="15.75" customHeight="1" x14ac:dyDescent="0.3">
      <c r="BB1043402" s="38"/>
    </row>
    <row r="1043403" spans="54:54" ht="15.75" customHeight="1" x14ac:dyDescent="0.3">
      <c r="BB1043403" s="38"/>
    </row>
    <row r="1043404" spans="54:54" ht="15.75" customHeight="1" x14ac:dyDescent="0.3">
      <c r="BB1043404" s="38"/>
    </row>
    <row r="1043405" spans="54:54" ht="15.75" customHeight="1" x14ac:dyDescent="0.3">
      <c r="BB1043405" s="38"/>
    </row>
    <row r="1043406" spans="54:54" ht="15.75" customHeight="1" x14ac:dyDescent="0.3">
      <c r="BB1043406" s="38"/>
    </row>
    <row r="1043407" spans="54:54" ht="15.75" customHeight="1" x14ac:dyDescent="0.3">
      <c r="BB1043407" s="38"/>
    </row>
    <row r="1043408" spans="54:54" ht="15.75" customHeight="1" x14ac:dyDescent="0.3">
      <c r="BB1043408" s="38"/>
    </row>
    <row r="1043409" spans="54:54" ht="15.75" customHeight="1" x14ac:dyDescent="0.3">
      <c r="BB1043409" s="38"/>
    </row>
    <row r="1043410" spans="54:54" ht="15.75" customHeight="1" x14ac:dyDescent="0.3">
      <c r="BB1043410" s="38"/>
    </row>
    <row r="1043411" spans="54:54" ht="15.75" customHeight="1" x14ac:dyDescent="0.3">
      <c r="BB1043411" s="38"/>
    </row>
    <row r="1043412" spans="54:54" ht="15.75" customHeight="1" x14ac:dyDescent="0.3">
      <c r="BB1043412" s="38"/>
    </row>
    <row r="1043413" spans="54:54" ht="15.75" customHeight="1" x14ac:dyDescent="0.3">
      <c r="BB1043413" s="38"/>
    </row>
    <row r="1043414" spans="54:54" ht="15.75" customHeight="1" x14ac:dyDescent="0.3">
      <c r="BB1043414" s="38"/>
    </row>
    <row r="1043415" spans="54:54" ht="15.75" customHeight="1" x14ac:dyDescent="0.3">
      <c r="BB1043415" s="38"/>
    </row>
    <row r="1043416" spans="54:54" ht="15.75" customHeight="1" x14ac:dyDescent="0.3">
      <c r="BB1043416" s="38"/>
    </row>
    <row r="1043417" spans="54:54" ht="15.75" customHeight="1" x14ac:dyDescent="0.3">
      <c r="BB1043417" s="38"/>
    </row>
    <row r="1043418" spans="54:54" ht="15.75" customHeight="1" x14ac:dyDescent="0.3">
      <c r="BB1043418" s="38"/>
    </row>
    <row r="1043419" spans="54:54" ht="15.75" customHeight="1" x14ac:dyDescent="0.3">
      <c r="BB1043419" s="38"/>
    </row>
    <row r="1043420" spans="54:54" ht="15.75" customHeight="1" x14ac:dyDescent="0.3">
      <c r="BB1043420" s="38"/>
    </row>
    <row r="1043421" spans="54:54" ht="15.75" customHeight="1" x14ac:dyDescent="0.3">
      <c r="BB1043421" s="38"/>
    </row>
    <row r="1043422" spans="54:54" ht="15.75" customHeight="1" x14ac:dyDescent="0.3">
      <c r="BB1043422" s="38"/>
    </row>
    <row r="1043423" spans="54:54" ht="15.75" customHeight="1" x14ac:dyDescent="0.3">
      <c r="BB1043423" s="38"/>
    </row>
    <row r="1043424" spans="54:54" ht="15.75" customHeight="1" x14ac:dyDescent="0.3">
      <c r="BB1043424" s="38"/>
    </row>
    <row r="1043425" spans="54:54" ht="15.75" customHeight="1" x14ac:dyDescent="0.3">
      <c r="BB1043425" s="38"/>
    </row>
    <row r="1043426" spans="54:54" ht="15.75" customHeight="1" x14ac:dyDescent="0.3">
      <c r="BB1043426" s="38"/>
    </row>
    <row r="1043427" spans="54:54" ht="15.75" customHeight="1" x14ac:dyDescent="0.3">
      <c r="BB1043427" s="38"/>
    </row>
    <row r="1043428" spans="54:54" ht="15.75" customHeight="1" x14ac:dyDescent="0.3">
      <c r="BB1043428" s="38"/>
    </row>
    <row r="1043429" spans="54:54" ht="15.75" customHeight="1" x14ac:dyDescent="0.3">
      <c r="BB1043429" s="38"/>
    </row>
    <row r="1043430" spans="54:54" ht="15.75" customHeight="1" x14ac:dyDescent="0.3">
      <c r="BB1043430" s="38"/>
    </row>
    <row r="1043431" spans="54:54" ht="15.75" customHeight="1" x14ac:dyDescent="0.3">
      <c r="BB1043431" s="38"/>
    </row>
    <row r="1043432" spans="54:54" ht="15.75" customHeight="1" x14ac:dyDescent="0.3">
      <c r="BB1043432" s="38"/>
    </row>
    <row r="1043433" spans="54:54" ht="15.75" customHeight="1" x14ac:dyDescent="0.3">
      <c r="BB1043433" s="38"/>
    </row>
    <row r="1043434" spans="54:54" ht="15.75" customHeight="1" x14ac:dyDescent="0.3">
      <c r="BB1043434" s="38"/>
    </row>
    <row r="1043435" spans="54:54" ht="15.75" customHeight="1" x14ac:dyDescent="0.3">
      <c r="BB1043435" s="38"/>
    </row>
    <row r="1043436" spans="54:54" ht="15.75" customHeight="1" x14ac:dyDescent="0.3">
      <c r="BB1043436" s="38"/>
    </row>
    <row r="1043437" spans="54:54" ht="15.75" customHeight="1" x14ac:dyDescent="0.3">
      <c r="BB1043437" s="38"/>
    </row>
    <row r="1043438" spans="54:54" ht="15.75" customHeight="1" x14ac:dyDescent="0.3">
      <c r="BB1043438" s="38"/>
    </row>
    <row r="1043439" spans="54:54" ht="15.75" customHeight="1" x14ac:dyDescent="0.3">
      <c r="BB1043439" s="38"/>
    </row>
    <row r="1043440" spans="54:54" ht="15.75" customHeight="1" x14ac:dyDescent="0.3">
      <c r="BB1043440" s="38"/>
    </row>
    <row r="1043441" spans="54:54" ht="15.75" customHeight="1" x14ac:dyDescent="0.3">
      <c r="BB1043441" s="38"/>
    </row>
    <row r="1043442" spans="54:54" ht="15.75" customHeight="1" x14ac:dyDescent="0.3">
      <c r="BB1043442" s="38"/>
    </row>
    <row r="1043443" spans="54:54" ht="15.75" customHeight="1" x14ac:dyDescent="0.3">
      <c r="BB1043443" s="38"/>
    </row>
    <row r="1043444" spans="54:54" ht="15.75" customHeight="1" x14ac:dyDescent="0.3">
      <c r="BB1043444" s="38"/>
    </row>
    <row r="1043445" spans="54:54" ht="15.75" customHeight="1" x14ac:dyDescent="0.3">
      <c r="BB1043445" s="38"/>
    </row>
    <row r="1043446" spans="54:54" ht="15.75" customHeight="1" x14ac:dyDescent="0.3">
      <c r="BB1043446" s="38"/>
    </row>
    <row r="1043447" spans="54:54" ht="15.75" customHeight="1" x14ac:dyDescent="0.3">
      <c r="BB1043447" s="38"/>
    </row>
    <row r="1043448" spans="54:54" ht="15.75" customHeight="1" x14ac:dyDescent="0.3">
      <c r="BB1043448" s="38"/>
    </row>
    <row r="1043449" spans="54:54" ht="15.75" customHeight="1" x14ac:dyDescent="0.3">
      <c r="BB1043449" s="38"/>
    </row>
    <row r="1043450" spans="54:54" ht="15.75" customHeight="1" x14ac:dyDescent="0.3">
      <c r="BB1043450" s="38"/>
    </row>
    <row r="1043451" spans="54:54" ht="15.75" customHeight="1" x14ac:dyDescent="0.3">
      <c r="BB1043451" s="38"/>
    </row>
    <row r="1043452" spans="54:54" ht="15.75" customHeight="1" x14ac:dyDescent="0.3">
      <c r="BB1043452" s="38"/>
    </row>
    <row r="1043453" spans="54:54" ht="15.75" customHeight="1" x14ac:dyDescent="0.3">
      <c r="BB1043453" s="38"/>
    </row>
    <row r="1043454" spans="54:54" ht="15.75" customHeight="1" x14ac:dyDescent="0.3">
      <c r="BB1043454" s="38"/>
    </row>
    <row r="1043455" spans="54:54" ht="15.75" customHeight="1" x14ac:dyDescent="0.3">
      <c r="BB1043455" s="38"/>
    </row>
    <row r="1043456" spans="54:54" ht="15.75" customHeight="1" x14ac:dyDescent="0.3">
      <c r="BB1043456" s="38"/>
    </row>
    <row r="1043457" spans="54:54" ht="15.75" customHeight="1" x14ac:dyDescent="0.3">
      <c r="BB1043457" s="38"/>
    </row>
    <row r="1043458" spans="54:54" ht="15.75" customHeight="1" x14ac:dyDescent="0.3">
      <c r="BB1043458" s="38"/>
    </row>
    <row r="1043459" spans="54:54" ht="15.75" customHeight="1" x14ac:dyDescent="0.3">
      <c r="BB1043459" s="38"/>
    </row>
    <row r="1043460" spans="54:54" ht="15.75" customHeight="1" x14ac:dyDescent="0.3">
      <c r="BB1043460" s="38"/>
    </row>
    <row r="1043461" spans="54:54" ht="15.75" customHeight="1" x14ac:dyDescent="0.3">
      <c r="BB1043461" s="38"/>
    </row>
    <row r="1043462" spans="54:54" ht="15.75" customHeight="1" x14ac:dyDescent="0.3">
      <c r="BB1043462" s="38"/>
    </row>
    <row r="1043463" spans="54:54" ht="15.75" customHeight="1" x14ac:dyDescent="0.3">
      <c r="BB1043463" s="38"/>
    </row>
    <row r="1043464" spans="54:54" ht="15.75" customHeight="1" x14ac:dyDescent="0.3">
      <c r="BB1043464" s="38"/>
    </row>
    <row r="1043465" spans="54:54" ht="15.75" customHeight="1" x14ac:dyDescent="0.3">
      <c r="BB1043465" s="38"/>
    </row>
    <row r="1043466" spans="54:54" ht="15.75" customHeight="1" x14ac:dyDescent="0.3">
      <c r="BB1043466" s="38"/>
    </row>
    <row r="1043467" spans="54:54" ht="15.75" customHeight="1" x14ac:dyDescent="0.3">
      <c r="BB1043467" s="38"/>
    </row>
    <row r="1043468" spans="54:54" ht="15.75" customHeight="1" x14ac:dyDescent="0.3">
      <c r="BB1043468" s="38"/>
    </row>
    <row r="1043469" spans="54:54" ht="15.75" customHeight="1" x14ac:dyDescent="0.3">
      <c r="BB1043469" s="38"/>
    </row>
    <row r="1043470" spans="54:54" ht="15.75" customHeight="1" x14ac:dyDescent="0.3">
      <c r="BB1043470" s="38"/>
    </row>
    <row r="1043471" spans="54:54" ht="15.75" customHeight="1" x14ac:dyDescent="0.3">
      <c r="BB1043471" s="38"/>
    </row>
    <row r="1043472" spans="54:54" ht="15.75" customHeight="1" x14ac:dyDescent="0.3">
      <c r="BB1043472" s="38"/>
    </row>
    <row r="1043473" spans="54:54" ht="15.75" customHeight="1" x14ac:dyDescent="0.3">
      <c r="BB1043473" s="38"/>
    </row>
    <row r="1043474" spans="54:54" ht="15.75" customHeight="1" x14ac:dyDescent="0.3">
      <c r="BB1043474" s="38"/>
    </row>
    <row r="1043475" spans="54:54" ht="15.75" customHeight="1" x14ac:dyDescent="0.3">
      <c r="BB1043475" s="38"/>
    </row>
    <row r="1043476" spans="54:54" ht="15.75" customHeight="1" x14ac:dyDescent="0.3">
      <c r="BB1043476" s="38"/>
    </row>
    <row r="1043477" spans="54:54" ht="15.75" customHeight="1" x14ac:dyDescent="0.3">
      <c r="BB1043477" s="38"/>
    </row>
    <row r="1043478" spans="54:54" ht="15.75" customHeight="1" x14ac:dyDescent="0.3">
      <c r="BB1043478" s="38"/>
    </row>
    <row r="1043479" spans="54:54" ht="15.75" customHeight="1" x14ac:dyDescent="0.3">
      <c r="BB1043479" s="38"/>
    </row>
    <row r="1043480" spans="54:54" ht="15.75" customHeight="1" x14ac:dyDescent="0.3">
      <c r="BB1043480" s="38"/>
    </row>
    <row r="1043481" spans="54:54" ht="15.75" customHeight="1" x14ac:dyDescent="0.3">
      <c r="BB1043481" s="38"/>
    </row>
    <row r="1043482" spans="54:54" ht="15.75" customHeight="1" x14ac:dyDescent="0.3">
      <c r="BB1043482" s="38"/>
    </row>
    <row r="1043483" spans="54:54" ht="15.75" customHeight="1" x14ac:dyDescent="0.3">
      <c r="BB1043483" s="38"/>
    </row>
    <row r="1043484" spans="54:54" ht="15.75" customHeight="1" x14ac:dyDescent="0.3">
      <c r="BB1043484" s="38"/>
    </row>
    <row r="1043485" spans="54:54" ht="15.75" customHeight="1" x14ac:dyDescent="0.3">
      <c r="BB1043485" s="38"/>
    </row>
    <row r="1043486" spans="54:54" ht="15.75" customHeight="1" x14ac:dyDescent="0.3">
      <c r="BB1043486" s="38"/>
    </row>
    <row r="1043487" spans="54:54" ht="15.75" customHeight="1" x14ac:dyDescent="0.3">
      <c r="BB1043487" s="38"/>
    </row>
    <row r="1043488" spans="54:54" ht="15.75" customHeight="1" x14ac:dyDescent="0.3">
      <c r="BB1043488" s="38"/>
    </row>
    <row r="1043489" spans="54:54" ht="15.75" customHeight="1" x14ac:dyDescent="0.3">
      <c r="BB1043489" s="38"/>
    </row>
    <row r="1043490" spans="54:54" ht="15.75" customHeight="1" x14ac:dyDescent="0.3">
      <c r="BB1043490" s="38"/>
    </row>
    <row r="1043491" spans="54:54" ht="15.75" customHeight="1" x14ac:dyDescent="0.3">
      <c r="BB1043491" s="38"/>
    </row>
    <row r="1043492" spans="54:54" ht="15.75" customHeight="1" x14ac:dyDescent="0.3">
      <c r="BB1043492" s="38"/>
    </row>
    <row r="1043493" spans="54:54" ht="15.75" customHeight="1" x14ac:dyDescent="0.3">
      <c r="BB1043493" s="38"/>
    </row>
    <row r="1043494" spans="54:54" ht="15.75" customHeight="1" x14ac:dyDescent="0.3">
      <c r="BB1043494" s="38"/>
    </row>
    <row r="1043495" spans="54:54" ht="15.75" customHeight="1" x14ac:dyDescent="0.3">
      <c r="BB1043495" s="38"/>
    </row>
    <row r="1043496" spans="54:54" ht="15.75" customHeight="1" x14ac:dyDescent="0.3">
      <c r="BB1043496" s="38"/>
    </row>
    <row r="1043497" spans="54:54" ht="15.75" customHeight="1" x14ac:dyDescent="0.3">
      <c r="BB1043497" s="38"/>
    </row>
    <row r="1043498" spans="54:54" ht="15.75" customHeight="1" x14ac:dyDescent="0.3">
      <c r="BB1043498" s="38"/>
    </row>
    <row r="1043499" spans="54:54" ht="15.75" customHeight="1" x14ac:dyDescent="0.3">
      <c r="BB1043499" s="38"/>
    </row>
    <row r="1043500" spans="54:54" ht="15.75" customHeight="1" x14ac:dyDescent="0.3">
      <c r="BB1043500" s="38"/>
    </row>
    <row r="1043501" spans="54:54" ht="15.75" customHeight="1" x14ac:dyDescent="0.3">
      <c r="BB1043501" s="38"/>
    </row>
    <row r="1043502" spans="54:54" ht="15.75" customHeight="1" x14ac:dyDescent="0.3">
      <c r="BB1043502" s="38"/>
    </row>
    <row r="1043503" spans="54:54" ht="15.75" customHeight="1" x14ac:dyDescent="0.3">
      <c r="BB1043503" s="38"/>
    </row>
    <row r="1043504" spans="54:54" ht="15.75" customHeight="1" x14ac:dyDescent="0.3">
      <c r="BB1043504" s="38"/>
    </row>
    <row r="1043505" spans="54:54" ht="15.75" customHeight="1" x14ac:dyDescent="0.3">
      <c r="BB1043505" s="38"/>
    </row>
    <row r="1043506" spans="54:54" ht="15.75" customHeight="1" x14ac:dyDescent="0.3">
      <c r="BB1043506" s="38"/>
    </row>
    <row r="1043507" spans="54:54" ht="15.75" customHeight="1" x14ac:dyDescent="0.3">
      <c r="BB1043507" s="38"/>
    </row>
    <row r="1043508" spans="54:54" ht="15.75" customHeight="1" x14ac:dyDescent="0.3">
      <c r="BB1043508" s="38"/>
    </row>
    <row r="1043509" spans="54:54" ht="15.75" customHeight="1" x14ac:dyDescent="0.3">
      <c r="BB1043509" s="38"/>
    </row>
    <row r="1043510" spans="54:54" ht="15.75" customHeight="1" x14ac:dyDescent="0.3">
      <c r="BB1043510" s="38"/>
    </row>
    <row r="1043511" spans="54:54" ht="15.75" customHeight="1" x14ac:dyDescent="0.3">
      <c r="BB1043511" s="38"/>
    </row>
    <row r="1043512" spans="54:54" ht="15.75" customHeight="1" x14ac:dyDescent="0.3">
      <c r="BB1043512" s="38"/>
    </row>
    <row r="1043513" spans="54:54" ht="15.75" customHeight="1" x14ac:dyDescent="0.3">
      <c r="BB1043513" s="38"/>
    </row>
    <row r="1043514" spans="54:54" ht="15.75" customHeight="1" x14ac:dyDescent="0.3">
      <c r="BB1043514" s="38"/>
    </row>
    <row r="1043515" spans="54:54" ht="15.75" customHeight="1" x14ac:dyDescent="0.3">
      <c r="BB1043515" s="38"/>
    </row>
    <row r="1043516" spans="54:54" ht="15.75" customHeight="1" x14ac:dyDescent="0.3">
      <c r="BB1043516" s="38"/>
    </row>
    <row r="1043517" spans="54:54" ht="15.75" customHeight="1" x14ac:dyDescent="0.3">
      <c r="BB1043517" s="38"/>
    </row>
    <row r="1043518" spans="54:54" ht="15.75" customHeight="1" x14ac:dyDescent="0.3">
      <c r="BB1043518" s="38"/>
    </row>
    <row r="1043519" spans="54:54" ht="15.75" customHeight="1" x14ac:dyDescent="0.3">
      <c r="BB1043519" s="38"/>
    </row>
    <row r="1043520" spans="54:54" ht="15.75" customHeight="1" x14ac:dyDescent="0.3">
      <c r="BB1043520" s="38"/>
    </row>
    <row r="1043521" spans="54:54" ht="15.75" customHeight="1" x14ac:dyDescent="0.3">
      <c r="BB1043521" s="38"/>
    </row>
    <row r="1043522" spans="54:54" ht="15.75" customHeight="1" x14ac:dyDescent="0.3">
      <c r="BB1043522" s="38"/>
    </row>
    <row r="1043523" spans="54:54" ht="15.75" customHeight="1" x14ac:dyDescent="0.3">
      <c r="BB1043523" s="38"/>
    </row>
    <row r="1043524" spans="54:54" ht="15.75" customHeight="1" x14ac:dyDescent="0.3">
      <c r="BB1043524" s="38"/>
    </row>
    <row r="1043525" spans="54:54" ht="15.75" customHeight="1" x14ac:dyDescent="0.3">
      <c r="BB1043525" s="38"/>
    </row>
    <row r="1043526" spans="54:54" ht="15.75" customHeight="1" x14ac:dyDescent="0.3">
      <c r="BB1043526" s="38"/>
    </row>
    <row r="1043527" spans="54:54" ht="15.75" customHeight="1" x14ac:dyDescent="0.3">
      <c r="BB1043527" s="38"/>
    </row>
    <row r="1043528" spans="54:54" ht="15.75" customHeight="1" x14ac:dyDescent="0.3">
      <c r="BB1043528" s="38"/>
    </row>
    <row r="1043529" spans="54:54" ht="15.75" customHeight="1" x14ac:dyDescent="0.3">
      <c r="BB1043529" s="38"/>
    </row>
    <row r="1043530" spans="54:54" ht="15.75" customHeight="1" x14ac:dyDescent="0.3">
      <c r="BB1043530" s="38"/>
    </row>
    <row r="1043531" spans="54:54" ht="15.75" customHeight="1" x14ac:dyDescent="0.3">
      <c r="BB1043531" s="38"/>
    </row>
    <row r="1043532" spans="54:54" ht="15.75" customHeight="1" x14ac:dyDescent="0.3">
      <c r="BB1043532" s="38"/>
    </row>
    <row r="1043533" spans="54:54" ht="15.75" customHeight="1" x14ac:dyDescent="0.3">
      <c r="BB1043533" s="38"/>
    </row>
    <row r="1043534" spans="54:54" ht="15.75" customHeight="1" x14ac:dyDescent="0.3">
      <c r="BB1043534" s="38"/>
    </row>
    <row r="1043535" spans="54:54" ht="15.75" customHeight="1" x14ac:dyDescent="0.3">
      <c r="BB1043535" s="38"/>
    </row>
    <row r="1043536" spans="54:54" ht="15.75" customHeight="1" x14ac:dyDescent="0.3">
      <c r="BB1043536" s="38"/>
    </row>
    <row r="1043537" spans="54:54" ht="15.75" customHeight="1" x14ac:dyDescent="0.3">
      <c r="BB1043537" s="38"/>
    </row>
    <row r="1043538" spans="54:54" ht="15.75" customHeight="1" x14ac:dyDescent="0.3">
      <c r="BB1043538" s="38"/>
    </row>
    <row r="1043539" spans="54:54" ht="15.75" customHeight="1" x14ac:dyDescent="0.3">
      <c r="BB1043539" s="38"/>
    </row>
    <row r="1043540" spans="54:54" ht="15.75" customHeight="1" x14ac:dyDescent="0.3">
      <c r="BB1043540" s="38"/>
    </row>
    <row r="1043541" spans="54:54" ht="15.75" customHeight="1" x14ac:dyDescent="0.3">
      <c r="BB1043541" s="38"/>
    </row>
    <row r="1043542" spans="54:54" ht="15.75" customHeight="1" x14ac:dyDescent="0.3">
      <c r="BB1043542" s="38"/>
    </row>
    <row r="1043543" spans="54:54" ht="15.75" customHeight="1" x14ac:dyDescent="0.3">
      <c r="BB1043543" s="38"/>
    </row>
    <row r="1043544" spans="54:54" ht="15.75" customHeight="1" x14ac:dyDescent="0.3">
      <c r="BB1043544" s="38"/>
    </row>
    <row r="1043545" spans="54:54" ht="15.75" customHeight="1" x14ac:dyDescent="0.3">
      <c r="BB1043545" s="38"/>
    </row>
    <row r="1043546" spans="54:54" ht="15.75" customHeight="1" x14ac:dyDescent="0.3">
      <c r="BB1043546" s="38"/>
    </row>
    <row r="1043547" spans="54:54" ht="15.75" customHeight="1" x14ac:dyDescent="0.3">
      <c r="BB1043547" s="38"/>
    </row>
    <row r="1043548" spans="54:54" ht="15.75" customHeight="1" x14ac:dyDescent="0.3">
      <c r="BB1043548" s="38"/>
    </row>
    <row r="1043549" spans="54:54" ht="15.75" customHeight="1" x14ac:dyDescent="0.3">
      <c r="BB1043549" s="38"/>
    </row>
    <row r="1043550" spans="54:54" ht="15.75" customHeight="1" x14ac:dyDescent="0.3">
      <c r="BB1043550" s="38"/>
    </row>
    <row r="1043551" spans="54:54" ht="15.75" customHeight="1" x14ac:dyDescent="0.3">
      <c r="BB1043551" s="38"/>
    </row>
    <row r="1043552" spans="54:54" ht="15.75" customHeight="1" x14ac:dyDescent="0.3">
      <c r="BB1043552" s="38"/>
    </row>
    <row r="1043553" spans="54:54" ht="15.75" customHeight="1" x14ac:dyDescent="0.3">
      <c r="BB1043553" s="38"/>
    </row>
    <row r="1043554" spans="54:54" ht="15.75" customHeight="1" x14ac:dyDescent="0.3">
      <c r="BB1043554" s="38"/>
    </row>
    <row r="1043555" spans="54:54" ht="15.75" customHeight="1" x14ac:dyDescent="0.3">
      <c r="BB1043555" s="38"/>
    </row>
    <row r="1043556" spans="54:54" ht="15.75" customHeight="1" x14ac:dyDescent="0.3">
      <c r="BB1043556" s="38"/>
    </row>
    <row r="1043557" spans="54:54" ht="15.75" customHeight="1" x14ac:dyDescent="0.3">
      <c r="BB1043557" s="38"/>
    </row>
    <row r="1043558" spans="54:54" ht="15.75" customHeight="1" x14ac:dyDescent="0.3">
      <c r="BB1043558" s="38"/>
    </row>
    <row r="1043559" spans="54:54" ht="15.75" customHeight="1" x14ac:dyDescent="0.3">
      <c r="BB1043559" s="38"/>
    </row>
    <row r="1043560" spans="54:54" ht="15.75" customHeight="1" x14ac:dyDescent="0.3">
      <c r="BB1043560" s="38"/>
    </row>
    <row r="1043561" spans="54:54" ht="15.75" customHeight="1" x14ac:dyDescent="0.3">
      <c r="BB1043561" s="38"/>
    </row>
    <row r="1043562" spans="54:54" ht="15.75" customHeight="1" x14ac:dyDescent="0.3">
      <c r="BB1043562" s="38"/>
    </row>
    <row r="1043563" spans="54:54" ht="15.75" customHeight="1" x14ac:dyDescent="0.3">
      <c r="BB1043563" s="38"/>
    </row>
    <row r="1043564" spans="54:54" ht="15.75" customHeight="1" x14ac:dyDescent="0.3">
      <c r="BB1043564" s="38"/>
    </row>
    <row r="1043565" spans="54:54" ht="15.75" customHeight="1" x14ac:dyDescent="0.3">
      <c r="BB1043565" s="38"/>
    </row>
    <row r="1043566" spans="54:54" ht="15.75" customHeight="1" x14ac:dyDescent="0.3">
      <c r="BB1043566" s="38"/>
    </row>
    <row r="1043567" spans="54:54" ht="15.75" customHeight="1" x14ac:dyDescent="0.3">
      <c r="BB1043567" s="38"/>
    </row>
    <row r="1043568" spans="54:54" ht="15.75" customHeight="1" x14ac:dyDescent="0.3">
      <c r="BB1043568" s="38"/>
    </row>
    <row r="1043569" spans="54:54" ht="15.75" customHeight="1" x14ac:dyDescent="0.3">
      <c r="BB1043569" s="38"/>
    </row>
    <row r="1043570" spans="54:54" ht="15.75" customHeight="1" x14ac:dyDescent="0.3">
      <c r="BB1043570" s="38"/>
    </row>
    <row r="1043571" spans="54:54" ht="15.75" customHeight="1" x14ac:dyDescent="0.3">
      <c r="BB1043571" s="38"/>
    </row>
    <row r="1043572" spans="54:54" ht="15.75" customHeight="1" x14ac:dyDescent="0.3">
      <c r="BB1043572" s="38"/>
    </row>
    <row r="1043573" spans="54:54" ht="15.75" customHeight="1" x14ac:dyDescent="0.3">
      <c r="BB1043573" s="38"/>
    </row>
    <row r="1043574" spans="54:54" ht="15.75" customHeight="1" x14ac:dyDescent="0.3">
      <c r="BB1043574" s="38"/>
    </row>
    <row r="1043575" spans="54:54" ht="15.75" customHeight="1" x14ac:dyDescent="0.3">
      <c r="BB1043575" s="38"/>
    </row>
    <row r="1043576" spans="54:54" ht="15.75" customHeight="1" x14ac:dyDescent="0.3">
      <c r="BB1043576" s="38"/>
    </row>
    <row r="1043577" spans="54:54" ht="15.75" customHeight="1" x14ac:dyDescent="0.3">
      <c r="BB1043577" s="38"/>
    </row>
    <row r="1043578" spans="54:54" ht="15.75" customHeight="1" x14ac:dyDescent="0.3">
      <c r="BB1043578" s="38"/>
    </row>
    <row r="1043579" spans="54:54" ht="15.75" customHeight="1" x14ac:dyDescent="0.3">
      <c r="BB1043579" s="38"/>
    </row>
    <row r="1043580" spans="54:54" ht="15.75" customHeight="1" x14ac:dyDescent="0.3">
      <c r="BB1043580" s="38"/>
    </row>
    <row r="1043581" spans="54:54" ht="15.75" customHeight="1" x14ac:dyDescent="0.3">
      <c r="BB1043581" s="38"/>
    </row>
    <row r="1043582" spans="54:54" ht="15.75" customHeight="1" x14ac:dyDescent="0.3">
      <c r="BB1043582" s="38"/>
    </row>
    <row r="1043583" spans="54:54" ht="15.75" customHeight="1" x14ac:dyDescent="0.3">
      <c r="BB1043583" s="38"/>
    </row>
    <row r="1043584" spans="54:54" ht="15.75" customHeight="1" x14ac:dyDescent="0.3">
      <c r="BB1043584" s="38"/>
    </row>
    <row r="1043585" spans="54:54" ht="15.75" customHeight="1" x14ac:dyDescent="0.3">
      <c r="BB1043585" s="38"/>
    </row>
    <row r="1043586" spans="54:54" ht="15.75" customHeight="1" x14ac:dyDescent="0.3">
      <c r="BB1043586" s="38"/>
    </row>
    <row r="1043587" spans="54:54" ht="15.75" customHeight="1" x14ac:dyDescent="0.3">
      <c r="BB1043587" s="38"/>
    </row>
    <row r="1043588" spans="54:54" ht="15.75" customHeight="1" x14ac:dyDescent="0.3">
      <c r="BB1043588" s="38"/>
    </row>
    <row r="1043589" spans="54:54" ht="15.75" customHeight="1" x14ac:dyDescent="0.3">
      <c r="BB1043589" s="38"/>
    </row>
    <row r="1043590" spans="54:54" ht="15.75" customHeight="1" x14ac:dyDescent="0.3">
      <c r="BB1043590" s="38"/>
    </row>
    <row r="1043591" spans="54:54" ht="15.75" customHeight="1" x14ac:dyDescent="0.3">
      <c r="BB1043591" s="38"/>
    </row>
    <row r="1043592" spans="54:54" ht="15.75" customHeight="1" x14ac:dyDescent="0.3">
      <c r="BB1043592" s="38"/>
    </row>
    <row r="1043593" spans="54:54" ht="15.75" customHeight="1" x14ac:dyDescent="0.3">
      <c r="BB1043593" s="38"/>
    </row>
    <row r="1043594" spans="54:54" ht="15.75" customHeight="1" x14ac:dyDescent="0.3">
      <c r="BB1043594" s="38"/>
    </row>
    <row r="1043595" spans="54:54" ht="15.75" customHeight="1" x14ac:dyDescent="0.3">
      <c r="BB1043595" s="38"/>
    </row>
    <row r="1043596" spans="54:54" ht="15.75" customHeight="1" x14ac:dyDescent="0.3">
      <c r="BB1043596" s="38"/>
    </row>
    <row r="1043597" spans="54:54" ht="15.75" customHeight="1" x14ac:dyDescent="0.3">
      <c r="BB1043597" s="38"/>
    </row>
    <row r="1043598" spans="54:54" ht="15.75" customHeight="1" x14ac:dyDescent="0.3">
      <c r="BB1043598" s="38"/>
    </row>
    <row r="1043599" spans="54:54" ht="15.75" customHeight="1" x14ac:dyDescent="0.3">
      <c r="BB1043599" s="38"/>
    </row>
    <row r="1043600" spans="54:54" ht="15.75" customHeight="1" x14ac:dyDescent="0.3">
      <c r="BB1043600" s="38"/>
    </row>
    <row r="1043601" spans="54:54" ht="15.75" customHeight="1" x14ac:dyDescent="0.3">
      <c r="BB1043601" s="38"/>
    </row>
    <row r="1043602" spans="54:54" ht="15.75" customHeight="1" x14ac:dyDescent="0.3">
      <c r="BB1043602" s="38"/>
    </row>
    <row r="1043603" spans="54:54" ht="15.75" customHeight="1" x14ac:dyDescent="0.3">
      <c r="BB1043603" s="38"/>
    </row>
    <row r="1043604" spans="54:54" ht="15.75" customHeight="1" x14ac:dyDescent="0.3">
      <c r="BB1043604" s="38"/>
    </row>
    <row r="1043605" spans="54:54" ht="15.75" customHeight="1" x14ac:dyDescent="0.3">
      <c r="BB1043605" s="38"/>
    </row>
    <row r="1043606" spans="54:54" ht="15.75" customHeight="1" x14ac:dyDescent="0.3">
      <c r="BB1043606" s="38"/>
    </row>
    <row r="1043607" spans="54:54" ht="15.75" customHeight="1" x14ac:dyDescent="0.3">
      <c r="BB1043607" s="38"/>
    </row>
    <row r="1043608" spans="54:54" ht="15.75" customHeight="1" x14ac:dyDescent="0.3">
      <c r="BB1043608" s="38"/>
    </row>
    <row r="1043609" spans="54:54" ht="15.75" customHeight="1" x14ac:dyDescent="0.3">
      <c r="BB1043609" s="38"/>
    </row>
    <row r="1043610" spans="54:54" ht="15.75" customHeight="1" x14ac:dyDescent="0.3">
      <c r="BB1043610" s="38"/>
    </row>
    <row r="1043611" spans="54:54" ht="15.75" customHeight="1" x14ac:dyDescent="0.3">
      <c r="BB1043611" s="38"/>
    </row>
    <row r="1043612" spans="54:54" ht="15.75" customHeight="1" x14ac:dyDescent="0.3">
      <c r="BB1043612" s="38"/>
    </row>
    <row r="1043613" spans="54:54" ht="15.75" customHeight="1" x14ac:dyDescent="0.3">
      <c r="BB1043613" s="38"/>
    </row>
    <row r="1043614" spans="54:54" ht="15.75" customHeight="1" x14ac:dyDescent="0.3">
      <c r="BB1043614" s="38"/>
    </row>
    <row r="1043615" spans="54:54" ht="15.75" customHeight="1" x14ac:dyDescent="0.3">
      <c r="BB1043615" s="38"/>
    </row>
    <row r="1043616" spans="54:54" ht="15.75" customHeight="1" x14ac:dyDescent="0.3">
      <c r="BB1043616" s="38"/>
    </row>
    <row r="1043617" spans="54:54" ht="15.75" customHeight="1" x14ac:dyDescent="0.3">
      <c r="BB1043617" s="38"/>
    </row>
    <row r="1043618" spans="54:54" ht="15.75" customHeight="1" x14ac:dyDescent="0.3">
      <c r="BB1043618" s="38"/>
    </row>
    <row r="1043619" spans="54:54" ht="15.75" customHeight="1" x14ac:dyDescent="0.3">
      <c r="BB1043619" s="38"/>
    </row>
    <row r="1043620" spans="54:54" ht="15.75" customHeight="1" x14ac:dyDescent="0.3">
      <c r="BB1043620" s="38"/>
    </row>
    <row r="1043621" spans="54:54" ht="15.75" customHeight="1" x14ac:dyDescent="0.3">
      <c r="BB1043621" s="38"/>
    </row>
    <row r="1043622" spans="54:54" ht="15.75" customHeight="1" x14ac:dyDescent="0.3">
      <c r="BB1043622" s="38"/>
    </row>
    <row r="1043623" spans="54:54" ht="15.75" customHeight="1" x14ac:dyDescent="0.3">
      <c r="BB1043623" s="38"/>
    </row>
    <row r="1043624" spans="54:54" ht="15.75" customHeight="1" x14ac:dyDescent="0.3">
      <c r="BB1043624" s="38"/>
    </row>
    <row r="1043625" spans="54:54" ht="15.75" customHeight="1" x14ac:dyDescent="0.3">
      <c r="BB1043625" s="38"/>
    </row>
    <row r="1043626" spans="54:54" ht="15.75" customHeight="1" x14ac:dyDescent="0.3">
      <c r="BB1043626" s="38"/>
    </row>
    <row r="1043627" spans="54:54" ht="15.75" customHeight="1" x14ac:dyDescent="0.3">
      <c r="BB1043627" s="38"/>
    </row>
    <row r="1043628" spans="54:54" ht="15.75" customHeight="1" x14ac:dyDescent="0.3">
      <c r="BB1043628" s="38"/>
    </row>
    <row r="1043629" spans="54:54" ht="15.75" customHeight="1" x14ac:dyDescent="0.3">
      <c r="BB1043629" s="38"/>
    </row>
    <row r="1043630" spans="54:54" ht="15.75" customHeight="1" x14ac:dyDescent="0.3">
      <c r="BB1043630" s="38"/>
    </row>
    <row r="1043631" spans="54:54" ht="15.75" customHeight="1" x14ac:dyDescent="0.3">
      <c r="BB1043631" s="38"/>
    </row>
    <row r="1043632" spans="54:54" ht="15.75" customHeight="1" x14ac:dyDescent="0.3">
      <c r="BB1043632" s="38"/>
    </row>
    <row r="1043633" spans="54:54" ht="15.75" customHeight="1" x14ac:dyDescent="0.3">
      <c r="BB1043633" s="38"/>
    </row>
    <row r="1043634" spans="54:54" ht="15.75" customHeight="1" x14ac:dyDescent="0.3">
      <c r="BB1043634" s="38"/>
    </row>
    <row r="1043635" spans="54:54" ht="15.75" customHeight="1" x14ac:dyDescent="0.3">
      <c r="BB1043635" s="38"/>
    </row>
    <row r="1043636" spans="54:54" ht="15.75" customHeight="1" x14ac:dyDescent="0.3">
      <c r="BB1043636" s="38"/>
    </row>
    <row r="1043637" spans="54:54" ht="15.75" customHeight="1" x14ac:dyDescent="0.3">
      <c r="BB1043637" s="38"/>
    </row>
    <row r="1043638" spans="54:54" ht="15.75" customHeight="1" x14ac:dyDescent="0.3">
      <c r="BB1043638" s="38"/>
    </row>
    <row r="1043639" spans="54:54" ht="15.75" customHeight="1" x14ac:dyDescent="0.3">
      <c r="BB1043639" s="38"/>
    </row>
    <row r="1043640" spans="54:54" ht="15.75" customHeight="1" x14ac:dyDescent="0.3">
      <c r="BB1043640" s="38"/>
    </row>
    <row r="1043641" spans="54:54" ht="15.75" customHeight="1" x14ac:dyDescent="0.3">
      <c r="BB1043641" s="38"/>
    </row>
    <row r="1043642" spans="54:54" ht="15.75" customHeight="1" x14ac:dyDescent="0.3">
      <c r="BB1043642" s="38"/>
    </row>
    <row r="1043643" spans="54:54" ht="15.75" customHeight="1" x14ac:dyDescent="0.3">
      <c r="BB1043643" s="38"/>
    </row>
    <row r="1043644" spans="54:54" ht="15.75" customHeight="1" x14ac:dyDescent="0.3">
      <c r="BB1043644" s="38"/>
    </row>
    <row r="1043645" spans="54:54" ht="15.75" customHeight="1" x14ac:dyDescent="0.3">
      <c r="BB1043645" s="38"/>
    </row>
    <row r="1043646" spans="54:54" ht="15.75" customHeight="1" x14ac:dyDescent="0.3">
      <c r="BB1043646" s="38"/>
    </row>
    <row r="1043647" spans="54:54" ht="15.75" customHeight="1" x14ac:dyDescent="0.3">
      <c r="BB1043647" s="38"/>
    </row>
    <row r="1043648" spans="54:54" ht="15.75" customHeight="1" x14ac:dyDescent="0.3">
      <c r="BB1043648" s="38"/>
    </row>
    <row r="1043649" spans="54:54" ht="15.75" customHeight="1" x14ac:dyDescent="0.3">
      <c r="BB1043649" s="38"/>
    </row>
    <row r="1043650" spans="54:54" ht="15.75" customHeight="1" x14ac:dyDescent="0.3">
      <c r="BB1043650" s="38"/>
    </row>
    <row r="1043651" spans="54:54" ht="15.75" customHeight="1" x14ac:dyDescent="0.3">
      <c r="BB1043651" s="38"/>
    </row>
    <row r="1043652" spans="54:54" ht="15.75" customHeight="1" x14ac:dyDescent="0.3">
      <c r="BB1043652" s="38"/>
    </row>
    <row r="1043653" spans="54:54" ht="15.75" customHeight="1" x14ac:dyDescent="0.3">
      <c r="BB1043653" s="38"/>
    </row>
    <row r="1043654" spans="54:54" ht="15.75" customHeight="1" x14ac:dyDescent="0.3">
      <c r="BB1043654" s="38"/>
    </row>
    <row r="1043655" spans="54:54" ht="15.75" customHeight="1" x14ac:dyDescent="0.3">
      <c r="BB1043655" s="38"/>
    </row>
    <row r="1043656" spans="54:54" ht="15.75" customHeight="1" x14ac:dyDescent="0.3">
      <c r="BB1043656" s="38"/>
    </row>
    <row r="1043657" spans="54:54" ht="15.75" customHeight="1" x14ac:dyDescent="0.3">
      <c r="BB1043657" s="38"/>
    </row>
    <row r="1043658" spans="54:54" ht="15.75" customHeight="1" x14ac:dyDescent="0.3">
      <c r="BB1043658" s="38"/>
    </row>
    <row r="1043659" spans="54:54" ht="15.75" customHeight="1" x14ac:dyDescent="0.3">
      <c r="BB1043659" s="38"/>
    </row>
    <row r="1043660" spans="54:54" ht="15.75" customHeight="1" x14ac:dyDescent="0.3">
      <c r="BB1043660" s="38"/>
    </row>
    <row r="1043661" spans="54:54" ht="15.75" customHeight="1" x14ac:dyDescent="0.3">
      <c r="BB1043661" s="38"/>
    </row>
    <row r="1043662" spans="54:54" ht="15.75" customHeight="1" x14ac:dyDescent="0.3">
      <c r="BB1043662" s="38"/>
    </row>
    <row r="1043663" spans="54:54" ht="15.75" customHeight="1" x14ac:dyDescent="0.3">
      <c r="BB1043663" s="38"/>
    </row>
    <row r="1043664" spans="54:54" ht="15.75" customHeight="1" x14ac:dyDescent="0.3">
      <c r="BB1043664" s="38"/>
    </row>
    <row r="1043665" spans="54:54" ht="15.75" customHeight="1" x14ac:dyDescent="0.3">
      <c r="BB1043665" s="38"/>
    </row>
    <row r="1043666" spans="54:54" ht="15.75" customHeight="1" x14ac:dyDescent="0.3">
      <c r="BB1043666" s="38"/>
    </row>
    <row r="1043667" spans="54:54" ht="15.75" customHeight="1" x14ac:dyDescent="0.3">
      <c r="BB1043667" s="38"/>
    </row>
    <row r="1043668" spans="54:54" ht="15.75" customHeight="1" x14ac:dyDescent="0.3">
      <c r="BB1043668" s="38"/>
    </row>
    <row r="1043669" spans="54:54" ht="15.75" customHeight="1" x14ac:dyDescent="0.3">
      <c r="BB1043669" s="38"/>
    </row>
    <row r="1043670" spans="54:54" ht="15.75" customHeight="1" x14ac:dyDescent="0.3">
      <c r="BB1043670" s="38"/>
    </row>
    <row r="1043671" spans="54:54" ht="15.75" customHeight="1" x14ac:dyDescent="0.3">
      <c r="BB1043671" s="38"/>
    </row>
    <row r="1043672" spans="54:54" ht="15.75" customHeight="1" x14ac:dyDescent="0.3">
      <c r="BB1043672" s="38"/>
    </row>
    <row r="1043673" spans="54:54" ht="15.75" customHeight="1" x14ac:dyDescent="0.3">
      <c r="BB1043673" s="38"/>
    </row>
    <row r="1043674" spans="54:54" ht="15.75" customHeight="1" x14ac:dyDescent="0.3">
      <c r="BB1043674" s="38"/>
    </row>
    <row r="1043675" spans="54:54" ht="15.75" customHeight="1" x14ac:dyDescent="0.3">
      <c r="BB1043675" s="38"/>
    </row>
    <row r="1043676" spans="54:54" ht="15.75" customHeight="1" x14ac:dyDescent="0.3">
      <c r="BB1043676" s="38"/>
    </row>
    <row r="1043677" spans="54:54" ht="15.75" customHeight="1" x14ac:dyDescent="0.3">
      <c r="BB1043677" s="38"/>
    </row>
    <row r="1043678" spans="54:54" ht="15.75" customHeight="1" x14ac:dyDescent="0.3">
      <c r="BB1043678" s="38"/>
    </row>
    <row r="1043679" spans="54:54" ht="15.75" customHeight="1" x14ac:dyDescent="0.3">
      <c r="BB1043679" s="38"/>
    </row>
    <row r="1043680" spans="54:54" ht="15.75" customHeight="1" x14ac:dyDescent="0.3">
      <c r="BB1043680" s="38"/>
    </row>
    <row r="1043681" spans="54:54" ht="15.75" customHeight="1" x14ac:dyDescent="0.3">
      <c r="BB1043681" s="38"/>
    </row>
    <row r="1043682" spans="54:54" ht="15.75" customHeight="1" x14ac:dyDescent="0.3">
      <c r="BB1043682" s="38"/>
    </row>
    <row r="1043683" spans="54:54" ht="15.75" customHeight="1" x14ac:dyDescent="0.3">
      <c r="BB1043683" s="38"/>
    </row>
    <row r="1043684" spans="54:54" ht="15.75" customHeight="1" x14ac:dyDescent="0.3">
      <c r="BB1043684" s="38"/>
    </row>
    <row r="1043685" spans="54:54" ht="15.75" customHeight="1" x14ac:dyDescent="0.3">
      <c r="BB1043685" s="38"/>
    </row>
    <row r="1043686" spans="54:54" ht="15.75" customHeight="1" x14ac:dyDescent="0.3">
      <c r="BB1043686" s="38"/>
    </row>
    <row r="1043687" spans="54:54" ht="15.75" customHeight="1" x14ac:dyDescent="0.3">
      <c r="BB1043687" s="38"/>
    </row>
    <row r="1043688" spans="54:54" ht="15.75" customHeight="1" x14ac:dyDescent="0.3">
      <c r="BB1043688" s="38"/>
    </row>
    <row r="1043689" spans="54:54" ht="15.75" customHeight="1" x14ac:dyDescent="0.3">
      <c r="BB1043689" s="38"/>
    </row>
    <row r="1043690" spans="54:54" ht="15.75" customHeight="1" x14ac:dyDescent="0.3">
      <c r="BB1043690" s="38"/>
    </row>
    <row r="1043691" spans="54:54" ht="15.75" customHeight="1" x14ac:dyDescent="0.3">
      <c r="BB1043691" s="38"/>
    </row>
    <row r="1043692" spans="54:54" ht="15.75" customHeight="1" x14ac:dyDescent="0.3">
      <c r="BB1043692" s="38"/>
    </row>
    <row r="1043693" spans="54:54" ht="15.75" customHeight="1" x14ac:dyDescent="0.3">
      <c r="BB1043693" s="38"/>
    </row>
    <row r="1043694" spans="54:54" ht="15.75" customHeight="1" x14ac:dyDescent="0.3">
      <c r="BB1043694" s="38"/>
    </row>
    <row r="1043695" spans="54:54" ht="15.75" customHeight="1" x14ac:dyDescent="0.3">
      <c r="BB1043695" s="38"/>
    </row>
    <row r="1043696" spans="54:54" ht="15.75" customHeight="1" x14ac:dyDescent="0.3">
      <c r="BB1043696" s="38"/>
    </row>
    <row r="1043697" spans="54:54" ht="15.75" customHeight="1" x14ac:dyDescent="0.3">
      <c r="BB1043697" s="38"/>
    </row>
    <row r="1043698" spans="54:54" ht="15.75" customHeight="1" x14ac:dyDescent="0.3">
      <c r="BB1043698" s="38"/>
    </row>
    <row r="1043699" spans="54:54" ht="15.75" customHeight="1" x14ac:dyDescent="0.3">
      <c r="BB1043699" s="38"/>
    </row>
    <row r="1043700" spans="54:54" ht="15.75" customHeight="1" x14ac:dyDescent="0.3">
      <c r="BB1043700" s="38"/>
    </row>
    <row r="1043701" spans="54:54" ht="15.75" customHeight="1" x14ac:dyDescent="0.3">
      <c r="BB1043701" s="38"/>
    </row>
    <row r="1043702" spans="54:54" ht="15.75" customHeight="1" x14ac:dyDescent="0.3">
      <c r="BB1043702" s="38"/>
    </row>
    <row r="1043703" spans="54:54" ht="15.75" customHeight="1" x14ac:dyDescent="0.3">
      <c r="BB1043703" s="38"/>
    </row>
    <row r="1043704" spans="54:54" ht="15.75" customHeight="1" x14ac:dyDescent="0.3">
      <c r="BB1043704" s="38"/>
    </row>
    <row r="1043705" spans="54:54" ht="15.75" customHeight="1" x14ac:dyDescent="0.3">
      <c r="BB1043705" s="38"/>
    </row>
    <row r="1043706" spans="54:54" ht="15.75" customHeight="1" x14ac:dyDescent="0.3">
      <c r="BB1043706" s="38"/>
    </row>
    <row r="1043707" spans="54:54" ht="15.75" customHeight="1" x14ac:dyDescent="0.3">
      <c r="BB1043707" s="38"/>
    </row>
    <row r="1043708" spans="54:54" ht="15.75" customHeight="1" x14ac:dyDescent="0.3">
      <c r="BB1043708" s="38"/>
    </row>
    <row r="1043709" spans="54:54" ht="15.75" customHeight="1" x14ac:dyDescent="0.3">
      <c r="BB1043709" s="38"/>
    </row>
    <row r="1043710" spans="54:54" ht="15.75" customHeight="1" x14ac:dyDescent="0.3">
      <c r="BB1043710" s="38"/>
    </row>
    <row r="1043711" spans="54:54" ht="15.75" customHeight="1" x14ac:dyDescent="0.3">
      <c r="BB1043711" s="38"/>
    </row>
    <row r="1043712" spans="54:54" ht="15.75" customHeight="1" x14ac:dyDescent="0.3">
      <c r="BB1043712" s="38"/>
    </row>
    <row r="1043713" spans="54:54" ht="15.75" customHeight="1" x14ac:dyDescent="0.3">
      <c r="BB1043713" s="38"/>
    </row>
    <row r="1043714" spans="54:54" ht="15.75" customHeight="1" x14ac:dyDescent="0.3">
      <c r="BB1043714" s="38"/>
    </row>
    <row r="1043715" spans="54:54" ht="15.75" customHeight="1" x14ac:dyDescent="0.3">
      <c r="BB1043715" s="38"/>
    </row>
    <row r="1043716" spans="54:54" ht="15.75" customHeight="1" x14ac:dyDescent="0.3">
      <c r="BB1043716" s="38"/>
    </row>
    <row r="1043717" spans="54:54" ht="15.75" customHeight="1" x14ac:dyDescent="0.3">
      <c r="BB1043717" s="38"/>
    </row>
    <row r="1043718" spans="54:54" ht="15.75" customHeight="1" x14ac:dyDescent="0.3">
      <c r="BB1043718" s="38"/>
    </row>
    <row r="1043719" spans="54:54" ht="15.75" customHeight="1" x14ac:dyDescent="0.3">
      <c r="BB1043719" s="38"/>
    </row>
    <row r="1043720" spans="54:54" ht="15.75" customHeight="1" x14ac:dyDescent="0.3">
      <c r="BB1043720" s="38"/>
    </row>
    <row r="1043721" spans="54:54" ht="15.75" customHeight="1" x14ac:dyDescent="0.3">
      <c r="BB1043721" s="38"/>
    </row>
    <row r="1043722" spans="54:54" ht="15.75" customHeight="1" x14ac:dyDescent="0.3">
      <c r="BB1043722" s="38"/>
    </row>
    <row r="1043723" spans="54:54" ht="15.75" customHeight="1" x14ac:dyDescent="0.3">
      <c r="BB1043723" s="38"/>
    </row>
    <row r="1043724" spans="54:54" ht="15.75" customHeight="1" x14ac:dyDescent="0.3">
      <c r="BB1043724" s="38"/>
    </row>
    <row r="1043725" spans="54:54" ht="15.75" customHeight="1" x14ac:dyDescent="0.3">
      <c r="BB1043725" s="38"/>
    </row>
    <row r="1043726" spans="54:54" ht="15.75" customHeight="1" x14ac:dyDescent="0.3">
      <c r="BB1043726" s="38"/>
    </row>
    <row r="1043727" spans="54:54" ht="15.75" customHeight="1" x14ac:dyDescent="0.3">
      <c r="BB1043727" s="38"/>
    </row>
    <row r="1043728" spans="54:54" ht="15.75" customHeight="1" x14ac:dyDescent="0.3">
      <c r="BB1043728" s="38"/>
    </row>
    <row r="1043729" spans="54:54" ht="15.75" customHeight="1" x14ac:dyDescent="0.3">
      <c r="BB1043729" s="38"/>
    </row>
    <row r="1043730" spans="54:54" ht="15.75" customHeight="1" x14ac:dyDescent="0.3">
      <c r="BB1043730" s="38"/>
    </row>
    <row r="1043731" spans="54:54" ht="15.75" customHeight="1" x14ac:dyDescent="0.3">
      <c r="BB1043731" s="38"/>
    </row>
    <row r="1043732" spans="54:54" ht="15.75" customHeight="1" x14ac:dyDescent="0.3">
      <c r="BB1043732" s="38"/>
    </row>
    <row r="1043733" spans="54:54" ht="15.75" customHeight="1" x14ac:dyDescent="0.3">
      <c r="BB1043733" s="38"/>
    </row>
    <row r="1043734" spans="54:54" ht="15.75" customHeight="1" x14ac:dyDescent="0.3">
      <c r="BB1043734" s="38"/>
    </row>
    <row r="1043735" spans="54:54" ht="15.75" customHeight="1" x14ac:dyDescent="0.3">
      <c r="BB1043735" s="38"/>
    </row>
    <row r="1043736" spans="54:54" ht="15.75" customHeight="1" x14ac:dyDescent="0.3">
      <c r="BB1043736" s="38"/>
    </row>
    <row r="1043737" spans="54:54" ht="15.75" customHeight="1" x14ac:dyDescent="0.3">
      <c r="BB1043737" s="38"/>
    </row>
    <row r="1043738" spans="54:54" ht="15.75" customHeight="1" x14ac:dyDescent="0.3">
      <c r="BB1043738" s="38"/>
    </row>
    <row r="1043739" spans="54:54" ht="15.75" customHeight="1" x14ac:dyDescent="0.3">
      <c r="BB1043739" s="38"/>
    </row>
    <row r="1043740" spans="54:54" ht="15.75" customHeight="1" x14ac:dyDescent="0.3">
      <c r="BB1043740" s="38"/>
    </row>
    <row r="1043741" spans="54:54" ht="15.75" customHeight="1" x14ac:dyDescent="0.3">
      <c r="BB1043741" s="38"/>
    </row>
    <row r="1043742" spans="54:54" ht="15.75" customHeight="1" x14ac:dyDescent="0.3">
      <c r="BB1043742" s="38"/>
    </row>
    <row r="1043743" spans="54:54" ht="15.75" customHeight="1" x14ac:dyDescent="0.3">
      <c r="BB1043743" s="38"/>
    </row>
    <row r="1043744" spans="54:54" ht="15.75" customHeight="1" x14ac:dyDescent="0.3">
      <c r="BB1043744" s="38"/>
    </row>
    <row r="1043745" spans="54:54" ht="15.75" customHeight="1" x14ac:dyDescent="0.3">
      <c r="BB1043745" s="38"/>
    </row>
    <row r="1043746" spans="54:54" ht="15.75" customHeight="1" x14ac:dyDescent="0.3">
      <c r="BB1043746" s="38"/>
    </row>
    <row r="1043747" spans="54:54" ht="15.75" customHeight="1" x14ac:dyDescent="0.3">
      <c r="BB1043747" s="38"/>
    </row>
    <row r="1043748" spans="54:54" ht="15.75" customHeight="1" x14ac:dyDescent="0.3">
      <c r="BB1043748" s="38"/>
    </row>
    <row r="1043749" spans="54:54" ht="15.75" customHeight="1" x14ac:dyDescent="0.3">
      <c r="BB1043749" s="38"/>
    </row>
    <row r="1043750" spans="54:54" ht="15.75" customHeight="1" x14ac:dyDescent="0.3">
      <c r="BB1043750" s="38"/>
    </row>
    <row r="1043751" spans="54:54" ht="15.75" customHeight="1" x14ac:dyDescent="0.3">
      <c r="BB1043751" s="38"/>
    </row>
    <row r="1043752" spans="54:54" ht="15.75" customHeight="1" x14ac:dyDescent="0.3">
      <c r="BB1043752" s="38"/>
    </row>
    <row r="1043753" spans="54:54" ht="15.75" customHeight="1" x14ac:dyDescent="0.3">
      <c r="BB1043753" s="38"/>
    </row>
    <row r="1043754" spans="54:54" ht="15.75" customHeight="1" x14ac:dyDescent="0.3">
      <c r="BB1043754" s="38"/>
    </row>
    <row r="1043755" spans="54:54" ht="15.75" customHeight="1" x14ac:dyDescent="0.3">
      <c r="BB1043755" s="38"/>
    </row>
    <row r="1043756" spans="54:54" ht="15.75" customHeight="1" x14ac:dyDescent="0.3">
      <c r="BB1043756" s="38"/>
    </row>
    <row r="1043757" spans="54:54" ht="15.75" customHeight="1" x14ac:dyDescent="0.3">
      <c r="BB1043757" s="38"/>
    </row>
    <row r="1043758" spans="54:54" ht="15.75" customHeight="1" x14ac:dyDescent="0.3">
      <c r="BB1043758" s="38"/>
    </row>
    <row r="1043759" spans="54:54" ht="15.75" customHeight="1" x14ac:dyDescent="0.3">
      <c r="BB1043759" s="38"/>
    </row>
    <row r="1043760" spans="54:54" ht="15.75" customHeight="1" x14ac:dyDescent="0.3">
      <c r="BB1043760" s="38"/>
    </row>
    <row r="1043761" spans="54:54" ht="15.75" customHeight="1" x14ac:dyDescent="0.3">
      <c r="BB1043761" s="38"/>
    </row>
    <row r="1043762" spans="54:54" ht="15.75" customHeight="1" x14ac:dyDescent="0.3">
      <c r="BB1043762" s="38"/>
    </row>
    <row r="1043763" spans="54:54" ht="15.75" customHeight="1" x14ac:dyDescent="0.3">
      <c r="BB1043763" s="38"/>
    </row>
    <row r="1043764" spans="54:54" ht="15.75" customHeight="1" x14ac:dyDescent="0.3">
      <c r="BB1043764" s="38"/>
    </row>
    <row r="1043765" spans="54:54" ht="15.75" customHeight="1" x14ac:dyDescent="0.3">
      <c r="BB1043765" s="38"/>
    </row>
    <row r="1043766" spans="54:54" ht="15.75" customHeight="1" x14ac:dyDescent="0.3">
      <c r="BB1043766" s="38"/>
    </row>
    <row r="1043767" spans="54:54" ht="15.75" customHeight="1" x14ac:dyDescent="0.3">
      <c r="BB1043767" s="38"/>
    </row>
    <row r="1043768" spans="54:54" ht="15.75" customHeight="1" x14ac:dyDescent="0.3">
      <c r="BB1043768" s="38"/>
    </row>
    <row r="1043769" spans="54:54" ht="15.75" customHeight="1" x14ac:dyDescent="0.3">
      <c r="BB1043769" s="38"/>
    </row>
    <row r="1043770" spans="54:54" ht="15.75" customHeight="1" x14ac:dyDescent="0.3">
      <c r="BB1043770" s="38"/>
    </row>
    <row r="1043771" spans="54:54" ht="15.75" customHeight="1" x14ac:dyDescent="0.3">
      <c r="BB1043771" s="38"/>
    </row>
    <row r="1043772" spans="54:54" ht="15.75" customHeight="1" x14ac:dyDescent="0.3">
      <c r="BB1043772" s="38"/>
    </row>
    <row r="1043773" spans="54:54" ht="15.75" customHeight="1" x14ac:dyDescent="0.3">
      <c r="BB1043773" s="38"/>
    </row>
    <row r="1043774" spans="54:54" ht="15.75" customHeight="1" x14ac:dyDescent="0.3">
      <c r="BB1043774" s="38"/>
    </row>
    <row r="1043775" spans="54:54" ht="15.75" customHeight="1" x14ac:dyDescent="0.3">
      <c r="BB1043775" s="38"/>
    </row>
    <row r="1043776" spans="54:54" ht="15.75" customHeight="1" x14ac:dyDescent="0.3">
      <c r="BB1043776" s="38"/>
    </row>
    <row r="1043777" spans="54:54" ht="15.75" customHeight="1" x14ac:dyDescent="0.3">
      <c r="BB1043777" s="38"/>
    </row>
    <row r="1043778" spans="54:54" ht="15.75" customHeight="1" x14ac:dyDescent="0.3">
      <c r="BB1043778" s="38"/>
    </row>
    <row r="1043779" spans="54:54" ht="15.75" customHeight="1" x14ac:dyDescent="0.3">
      <c r="BB1043779" s="38"/>
    </row>
    <row r="1043780" spans="54:54" ht="15.75" customHeight="1" x14ac:dyDescent="0.3">
      <c r="BB1043780" s="38"/>
    </row>
    <row r="1043781" spans="54:54" ht="15.75" customHeight="1" x14ac:dyDescent="0.3">
      <c r="BB1043781" s="38"/>
    </row>
    <row r="1043782" spans="54:54" ht="15.75" customHeight="1" x14ac:dyDescent="0.3">
      <c r="BB1043782" s="38"/>
    </row>
    <row r="1043783" spans="54:54" ht="15.75" customHeight="1" x14ac:dyDescent="0.3">
      <c r="BB1043783" s="38"/>
    </row>
    <row r="1043784" spans="54:54" ht="15.75" customHeight="1" x14ac:dyDescent="0.3">
      <c r="BB1043784" s="38"/>
    </row>
    <row r="1043785" spans="54:54" ht="15.75" customHeight="1" x14ac:dyDescent="0.3">
      <c r="BB1043785" s="38"/>
    </row>
    <row r="1043786" spans="54:54" ht="15.75" customHeight="1" x14ac:dyDescent="0.3">
      <c r="BB1043786" s="38"/>
    </row>
    <row r="1043787" spans="54:54" ht="15.75" customHeight="1" x14ac:dyDescent="0.3">
      <c r="BB1043787" s="38"/>
    </row>
    <row r="1043788" spans="54:54" ht="15.75" customHeight="1" x14ac:dyDescent="0.3">
      <c r="BB1043788" s="38"/>
    </row>
    <row r="1043789" spans="54:54" ht="15.75" customHeight="1" x14ac:dyDescent="0.3">
      <c r="BB1043789" s="38"/>
    </row>
    <row r="1043790" spans="54:54" ht="15.75" customHeight="1" x14ac:dyDescent="0.3">
      <c r="BB1043790" s="38"/>
    </row>
    <row r="1043791" spans="54:54" ht="15.75" customHeight="1" x14ac:dyDescent="0.3">
      <c r="BB1043791" s="38"/>
    </row>
    <row r="1043792" spans="54:54" ht="15.75" customHeight="1" x14ac:dyDescent="0.3">
      <c r="BB1043792" s="38"/>
    </row>
    <row r="1043793" spans="54:54" ht="15.75" customHeight="1" x14ac:dyDescent="0.3">
      <c r="BB1043793" s="38"/>
    </row>
    <row r="1043794" spans="54:54" ht="15.75" customHeight="1" x14ac:dyDescent="0.3">
      <c r="BB1043794" s="38"/>
    </row>
    <row r="1043795" spans="54:54" ht="15.75" customHeight="1" x14ac:dyDescent="0.3">
      <c r="BB1043795" s="38"/>
    </row>
    <row r="1043796" spans="54:54" ht="15.75" customHeight="1" x14ac:dyDescent="0.3">
      <c r="BB1043796" s="38"/>
    </row>
    <row r="1043797" spans="54:54" ht="15.75" customHeight="1" x14ac:dyDescent="0.3">
      <c r="BB1043797" s="38"/>
    </row>
    <row r="1043798" spans="54:54" ht="15.75" customHeight="1" x14ac:dyDescent="0.3">
      <c r="BB1043798" s="38"/>
    </row>
    <row r="1043799" spans="54:54" ht="15.75" customHeight="1" x14ac:dyDescent="0.3">
      <c r="BB1043799" s="38"/>
    </row>
    <row r="1043800" spans="54:54" ht="15.75" customHeight="1" x14ac:dyDescent="0.3">
      <c r="BB1043800" s="38"/>
    </row>
    <row r="1043801" spans="54:54" ht="15.75" customHeight="1" x14ac:dyDescent="0.3">
      <c r="BB1043801" s="38"/>
    </row>
    <row r="1043802" spans="54:54" ht="15.75" customHeight="1" x14ac:dyDescent="0.3">
      <c r="BB1043802" s="38"/>
    </row>
    <row r="1043803" spans="54:54" ht="15.75" customHeight="1" x14ac:dyDescent="0.3">
      <c r="BB1043803" s="38"/>
    </row>
    <row r="1043804" spans="54:54" ht="15.75" customHeight="1" x14ac:dyDescent="0.3">
      <c r="BB1043804" s="38"/>
    </row>
    <row r="1043805" spans="54:54" ht="15.75" customHeight="1" x14ac:dyDescent="0.3">
      <c r="BB1043805" s="38"/>
    </row>
    <row r="1043806" spans="54:54" ht="15.75" customHeight="1" x14ac:dyDescent="0.3">
      <c r="BB1043806" s="38"/>
    </row>
    <row r="1043807" spans="54:54" ht="15.75" customHeight="1" x14ac:dyDescent="0.3">
      <c r="BB1043807" s="38"/>
    </row>
    <row r="1043808" spans="54:54" ht="15.75" customHeight="1" x14ac:dyDescent="0.3">
      <c r="BB1043808" s="38"/>
    </row>
    <row r="1043809" spans="54:54" ht="15.75" customHeight="1" x14ac:dyDescent="0.3">
      <c r="BB1043809" s="38"/>
    </row>
    <row r="1043810" spans="54:54" ht="15.75" customHeight="1" x14ac:dyDescent="0.3">
      <c r="BB1043810" s="38"/>
    </row>
    <row r="1043811" spans="54:54" ht="15.75" customHeight="1" x14ac:dyDescent="0.3">
      <c r="BB1043811" s="38"/>
    </row>
    <row r="1043812" spans="54:54" ht="15.75" customHeight="1" x14ac:dyDescent="0.3">
      <c r="BB1043812" s="38"/>
    </row>
    <row r="1043813" spans="54:54" ht="15.75" customHeight="1" x14ac:dyDescent="0.3">
      <c r="BB1043813" s="38"/>
    </row>
    <row r="1043814" spans="54:54" ht="15.75" customHeight="1" x14ac:dyDescent="0.3">
      <c r="BB1043814" s="38"/>
    </row>
    <row r="1043815" spans="54:54" ht="15.75" customHeight="1" x14ac:dyDescent="0.3">
      <c r="BB1043815" s="38"/>
    </row>
    <row r="1043816" spans="54:54" ht="15.75" customHeight="1" x14ac:dyDescent="0.3">
      <c r="BB1043816" s="38"/>
    </row>
    <row r="1043817" spans="54:54" ht="15.75" customHeight="1" x14ac:dyDescent="0.3">
      <c r="BB1043817" s="38"/>
    </row>
    <row r="1043818" spans="54:54" ht="15.75" customHeight="1" x14ac:dyDescent="0.3">
      <c r="BB1043818" s="38"/>
    </row>
    <row r="1043819" spans="54:54" ht="15.75" customHeight="1" x14ac:dyDescent="0.3">
      <c r="BB1043819" s="38"/>
    </row>
    <row r="1043820" spans="54:54" ht="15.75" customHeight="1" x14ac:dyDescent="0.3">
      <c r="BB1043820" s="38"/>
    </row>
    <row r="1043821" spans="54:54" ht="15.75" customHeight="1" x14ac:dyDescent="0.3">
      <c r="BB1043821" s="38"/>
    </row>
    <row r="1043822" spans="54:54" ht="15.75" customHeight="1" x14ac:dyDescent="0.3">
      <c r="BB1043822" s="38"/>
    </row>
    <row r="1043823" spans="54:54" ht="15.75" customHeight="1" x14ac:dyDescent="0.3">
      <c r="BB1043823" s="38"/>
    </row>
    <row r="1043824" spans="54:54" ht="15.75" customHeight="1" x14ac:dyDescent="0.3">
      <c r="BB1043824" s="38"/>
    </row>
    <row r="1043825" spans="54:54" ht="15.75" customHeight="1" x14ac:dyDescent="0.3">
      <c r="BB1043825" s="38"/>
    </row>
    <row r="1043826" spans="54:54" ht="15.75" customHeight="1" x14ac:dyDescent="0.3">
      <c r="BB1043826" s="38"/>
    </row>
    <row r="1043827" spans="54:54" ht="15.75" customHeight="1" x14ac:dyDescent="0.3">
      <c r="BB1043827" s="38"/>
    </row>
    <row r="1043828" spans="54:54" ht="15.75" customHeight="1" x14ac:dyDescent="0.3">
      <c r="BB1043828" s="38"/>
    </row>
    <row r="1043829" spans="54:54" ht="15.75" customHeight="1" x14ac:dyDescent="0.3">
      <c r="BB1043829" s="38"/>
    </row>
    <row r="1043830" spans="54:54" ht="15.75" customHeight="1" x14ac:dyDescent="0.3">
      <c r="BB1043830" s="38"/>
    </row>
    <row r="1043831" spans="54:54" ht="15.75" customHeight="1" x14ac:dyDescent="0.3">
      <c r="BB1043831" s="38"/>
    </row>
    <row r="1043832" spans="54:54" ht="15.75" customHeight="1" x14ac:dyDescent="0.3">
      <c r="BB1043832" s="38"/>
    </row>
    <row r="1043833" spans="54:54" ht="15.75" customHeight="1" x14ac:dyDescent="0.3">
      <c r="BB1043833" s="38"/>
    </row>
    <row r="1043834" spans="54:54" ht="15.75" customHeight="1" x14ac:dyDescent="0.3">
      <c r="BB1043834" s="38"/>
    </row>
    <row r="1043835" spans="54:54" ht="15.75" customHeight="1" x14ac:dyDescent="0.3">
      <c r="BB1043835" s="38"/>
    </row>
    <row r="1043836" spans="54:54" ht="15.75" customHeight="1" x14ac:dyDescent="0.3">
      <c r="BB1043836" s="38"/>
    </row>
    <row r="1043837" spans="54:54" ht="15.75" customHeight="1" x14ac:dyDescent="0.3">
      <c r="BB1043837" s="38"/>
    </row>
    <row r="1043838" spans="54:54" ht="15.75" customHeight="1" x14ac:dyDescent="0.3">
      <c r="BB1043838" s="38"/>
    </row>
    <row r="1043839" spans="54:54" ht="15.75" customHeight="1" x14ac:dyDescent="0.3">
      <c r="BB1043839" s="38"/>
    </row>
    <row r="1043840" spans="54:54" ht="15.75" customHeight="1" x14ac:dyDescent="0.3">
      <c r="BB1043840" s="38"/>
    </row>
    <row r="1043841" spans="54:54" ht="15.75" customHeight="1" x14ac:dyDescent="0.3">
      <c r="BB1043841" s="38"/>
    </row>
    <row r="1043842" spans="54:54" ht="15.75" customHeight="1" x14ac:dyDescent="0.3">
      <c r="BB1043842" s="38"/>
    </row>
    <row r="1043843" spans="54:54" ht="15.75" customHeight="1" x14ac:dyDescent="0.3">
      <c r="BB1043843" s="38"/>
    </row>
    <row r="1043844" spans="54:54" ht="15.75" customHeight="1" x14ac:dyDescent="0.3">
      <c r="BB1043844" s="38"/>
    </row>
    <row r="1043845" spans="54:54" ht="15.75" customHeight="1" x14ac:dyDescent="0.3">
      <c r="BB1043845" s="38"/>
    </row>
    <row r="1043846" spans="54:54" ht="15.75" customHeight="1" x14ac:dyDescent="0.3">
      <c r="BB1043846" s="38"/>
    </row>
    <row r="1043847" spans="54:54" ht="15.75" customHeight="1" x14ac:dyDescent="0.3">
      <c r="BB1043847" s="38"/>
    </row>
    <row r="1043848" spans="54:54" ht="15.75" customHeight="1" x14ac:dyDescent="0.3">
      <c r="BB1043848" s="38"/>
    </row>
    <row r="1043849" spans="54:54" ht="15.75" customHeight="1" x14ac:dyDescent="0.3">
      <c r="BB1043849" s="38"/>
    </row>
    <row r="1043850" spans="54:54" ht="15.75" customHeight="1" x14ac:dyDescent="0.3">
      <c r="BB1043850" s="38"/>
    </row>
    <row r="1043851" spans="54:54" ht="15.75" customHeight="1" x14ac:dyDescent="0.3">
      <c r="BB1043851" s="38"/>
    </row>
    <row r="1043852" spans="54:54" ht="15.75" customHeight="1" x14ac:dyDescent="0.3">
      <c r="BB1043852" s="38"/>
    </row>
    <row r="1043853" spans="54:54" ht="15.75" customHeight="1" x14ac:dyDescent="0.3">
      <c r="BB1043853" s="38"/>
    </row>
    <row r="1043854" spans="54:54" ht="15.75" customHeight="1" x14ac:dyDescent="0.3">
      <c r="BB1043854" s="38"/>
    </row>
    <row r="1043855" spans="54:54" ht="15.75" customHeight="1" x14ac:dyDescent="0.3">
      <c r="BB1043855" s="38"/>
    </row>
    <row r="1043856" spans="54:54" ht="15.75" customHeight="1" x14ac:dyDescent="0.3">
      <c r="BB1043856" s="38"/>
    </row>
    <row r="1043857" spans="54:54" ht="15.75" customHeight="1" x14ac:dyDescent="0.3">
      <c r="BB1043857" s="38"/>
    </row>
    <row r="1043858" spans="54:54" ht="15.75" customHeight="1" x14ac:dyDescent="0.3">
      <c r="BB1043858" s="38"/>
    </row>
    <row r="1043859" spans="54:54" ht="15.75" customHeight="1" x14ac:dyDescent="0.3">
      <c r="BB1043859" s="38"/>
    </row>
    <row r="1043860" spans="54:54" ht="15.75" customHeight="1" x14ac:dyDescent="0.3">
      <c r="BB1043860" s="38"/>
    </row>
    <row r="1043861" spans="54:54" ht="15.75" customHeight="1" x14ac:dyDescent="0.3">
      <c r="BB1043861" s="38"/>
    </row>
    <row r="1043862" spans="54:54" ht="15.75" customHeight="1" x14ac:dyDescent="0.3">
      <c r="BB1043862" s="38"/>
    </row>
    <row r="1043863" spans="54:54" ht="15.75" customHeight="1" x14ac:dyDescent="0.3">
      <c r="BB1043863" s="38"/>
    </row>
    <row r="1043864" spans="54:54" ht="15.75" customHeight="1" x14ac:dyDescent="0.3">
      <c r="BB1043864" s="38"/>
    </row>
    <row r="1043865" spans="54:54" ht="15.75" customHeight="1" x14ac:dyDescent="0.3">
      <c r="BB1043865" s="38"/>
    </row>
    <row r="1043866" spans="54:54" ht="15.75" customHeight="1" x14ac:dyDescent="0.3">
      <c r="BB1043866" s="38"/>
    </row>
    <row r="1043867" spans="54:54" ht="15.75" customHeight="1" x14ac:dyDescent="0.3">
      <c r="BB1043867" s="38"/>
    </row>
    <row r="1043868" spans="54:54" ht="15.75" customHeight="1" x14ac:dyDescent="0.3">
      <c r="BB1043868" s="38"/>
    </row>
    <row r="1043869" spans="54:54" ht="15.75" customHeight="1" x14ac:dyDescent="0.3">
      <c r="BB1043869" s="38"/>
    </row>
    <row r="1043870" spans="54:54" ht="15.75" customHeight="1" x14ac:dyDescent="0.3">
      <c r="BB1043870" s="38"/>
    </row>
    <row r="1043871" spans="54:54" ht="15.75" customHeight="1" x14ac:dyDescent="0.3">
      <c r="BB1043871" s="38"/>
    </row>
    <row r="1043872" spans="54:54" ht="15.75" customHeight="1" x14ac:dyDescent="0.3">
      <c r="BB1043872" s="38"/>
    </row>
    <row r="1043873" spans="54:54" ht="15.75" customHeight="1" x14ac:dyDescent="0.3">
      <c r="BB1043873" s="38"/>
    </row>
    <row r="1043874" spans="54:54" ht="15.75" customHeight="1" x14ac:dyDescent="0.3">
      <c r="BB1043874" s="38"/>
    </row>
    <row r="1043875" spans="54:54" ht="15.75" customHeight="1" x14ac:dyDescent="0.3">
      <c r="BB1043875" s="38"/>
    </row>
    <row r="1043876" spans="54:54" ht="15.75" customHeight="1" x14ac:dyDescent="0.3">
      <c r="BB1043876" s="38"/>
    </row>
    <row r="1043877" spans="54:54" ht="15.75" customHeight="1" x14ac:dyDescent="0.3">
      <c r="BB1043877" s="38"/>
    </row>
    <row r="1043878" spans="54:54" ht="15.75" customHeight="1" x14ac:dyDescent="0.3">
      <c r="BB1043878" s="38"/>
    </row>
    <row r="1043879" spans="54:54" ht="15.75" customHeight="1" x14ac:dyDescent="0.3">
      <c r="BB1043879" s="38"/>
    </row>
    <row r="1043880" spans="54:54" ht="15.75" customHeight="1" x14ac:dyDescent="0.3">
      <c r="BB1043880" s="38"/>
    </row>
    <row r="1043881" spans="54:54" ht="15.75" customHeight="1" x14ac:dyDescent="0.3">
      <c r="BB1043881" s="38"/>
    </row>
    <row r="1043882" spans="54:54" ht="15.75" customHeight="1" x14ac:dyDescent="0.3">
      <c r="BB1043882" s="38"/>
    </row>
    <row r="1043883" spans="54:54" ht="15.75" customHeight="1" x14ac:dyDescent="0.3">
      <c r="BB1043883" s="38"/>
    </row>
    <row r="1043884" spans="54:54" ht="15.75" customHeight="1" x14ac:dyDescent="0.3">
      <c r="BB1043884" s="38"/>
    </row>
    <row r="1043885" spans="54:54" ht="15.75" customHeight="1" x14ac:dyDescent="0.3">
      <c r="BB1043885" s="38"/>
    </row>
    <row r="1043886" spans="54:54" ht="15.75" customHeight="1" x14ac:dyDescent="0.3">
      <c r="BB1043886" s="38"/>
    </row>
    <row r="1043887" spans="54:54" ht="15.75" customHeight="1" x14ac:dyDescent="0.3">
      <c r="BB1043887" s="38"/>
    </row>
    <row r="1043888" spans="54:54" ht="15.75" customHeight="1" x14ac:dyDescent="0.3">
      <c r="BB1043888" s="38"/>
    </row>
    <row r="1043889" spans="54:54" ht="15.75" customHeight="1" x14ac:dyDescent="0.3">
      <c r="BB1043889" s="38"/>
    </row>
    <row r="1043890" spans="54:54" ht="15.75" customHeight="1" x14ac:dyDescent="0.3">
      <c r="BB1043890" s="38"/>
    </row>
    <row r="1043891" spans="54:54" ht="15.75" customHeight="1" x14ac:dyDescent="0.3">
      <c r="BB1043891" s="38"/>
    </row>
    <row r="1043892" spans="54:54" ht="15.75" customHeight="1" x14ac:dyDescent="0.3">
      <c r="BB1043892" s="38"/>
    </row>
    <row r="1043893" spans="54:54" ht="15.75" customHeight="1" x14ac:dyDescent="0.3">
      <c r="BB1043893" s="38"/>
    </row>
    <row r="1043894" spans="54:54" ht="15.75" customHeight="1" x14ac:dyDescent="0.3">
      <c r="BB1043894" s="38"/>
    </row>
    <row r="1043895" spans="54:54" ht="15.75" customHeight="1" x14ac:dyDescent="0.3">
      <c r="BB1043895" s="38"/>
    </row>
    <row r="1043896" spans="54:54" ht="15.75" customHeight="1" x14ac:dyDescent="0.3">
      <c r="BB1043896" s="38"/>
    </row>
    <row r="1043897" spans="54:54" ht="15.75" customHeight="1" x14ac:dyDescent="0.3">
      <c r="BB1043897" s="38"/>
    </row>
    <row r="1043898" spans="54:54" ht="15.75" customHeight="1" x14ac:dyDescent="0.3">
      <c r="BB1043898" s="38"/>
    </row>
    <row r="1043899" spans="54:54" ht="15.75" customHeight="1" x14ac:dyDescent="0.3">
      <c r="BB1043899" s="38"/>
    </row>
    <row r="1043900" spans="54:54" ht="15.75" customHeight="1" x14ac:dyDescent="0.3">
      <c r="BB1043900" s="38"/>
    </row>
    <row r="1043901" spans="54:54" ht="15.75" customHeight="1" x14ac:dyDescent="0.3">
      <c r="BB1043901" s="38"/>
    </row>
    <row r="1043902" spans="54:54" ht="15.75" customHeight="1" x14ac:dyDescent="0.3">
      <c r="BB1043902" s="38"/>
    </row>
    <row r="1043903" spans="54:54" ht="15.75" customHeight="1" x14ac:dyDescent="0.3">
      <c r="BB1043903" s="38"/>
    </row>
    <row r="1043904" spans="54:54" ht="15.75" customHeight="1" x14ac:dyDescent="0.3">
      <c r="BB1043904" s="38"/>
    </row>
    <row r="1043905" spans="54:54" ht="15.75" customHeight="1" x14ac:dyDescent="0.3">
      <c r="BB1043905" s="38"/>
    </row>
    <row r="1043906" spans="54:54" ht="15.75" customHeight="1" x14ac:dyDescent="0.3">
      <c r="BB1043906" s="38"/>
    </row>
    <row r="1043907" spans="54:54" ht="15.75" customHeight="1" x14ac:dyDescent="0.3">
      <c r="BB1043907" s="38"/>
    </row>
    <row r="1043908" spans="54:54" ht="15.75" customHeight="1" x14ac:dyDescent="0.3">
      <c r="BB1043908" s="38"/>
    </row>
    <row r="1043909" spans="54:54" ht="15.75" customHeight="1" x14ac:dyDescent="0.3">
      <c r="BB1043909" s="38"/>
    </row>
    <row r="1043910" spans="54:54" ht="15.75" customHeight="1" x14ac:dyDescent="0.3">
      <c r="BB1043910" s="38"/>
    </row>
    <row r="1043911" spans="54:54" ht="15.75" customHeight="1" x14ac:dyDescent="0.3">
      <c r="BB1043911" s="38"/>
    </row>
    <row r="1043912" spans="54:54" ht="15.75" customHeight="1" x14ac:dyDescent="0.3">
      <c r="BB1043912" s="38"/>
    </row>
    <row r="1043913" spans="54:54" ht="15.75" customHeight="1" x14ac:dyDescent="0.3">
      <c r="BB1043913" s="38"/>
    </row>
    <row r="1043914" spans="54:54" ht="15.75" customHeight="1" x14ac:dyDescent="0.3">
      <c r="BB1043914" s="38"/>
    </row>
    <row r="1043915" spans="54:54" ht="15.75" customHeight="1" x14ac:dyDescent="0.3">
      <c r="BB1043915" s="38"/>
    </row>
    <row r="1043916" spans="54:54" ht="15.75" customHeight="1" x14ac:dyDescent="0.3">
      <c r="BB1043916" s="38"/>
    </row>
    <row r="1043917" spans="54:54" ht="15.75" customHeight="1" x14ac:dyDescent="0.3">
      <c r="BB1043917" s="38"/>
    </row>
    <row r="1043918" spans="54:54" ht="15.75" customHeight="1" x14ac:dyDescent="0.3">
      <c r="BB1043918" s="38"/>
    </row>
    <row r="1043919" spans="54:54" ht="15.75" customHeight="1" x14ac:dyDescent="0.3">
      <c r="BB1043919" s="38"/>
    </row>
    <row r="1043920" spans="54:54" ht="15.75" customHeight="1" x14ac:dyDescent="0.3">
      <c r="BB1043920" s="38"/>
    </row>
    <row r="1043921" spans="54:54" ht="15.75" customHeight="1" x14ac:dyDescent="0.3">
      <c r="BB1043921" s="38"/>
    </row>
    <row r="1043922" spans="54:54" ht="15.75" customHeight="1" x14ac:dyDescent="0.3">
      <c r="BB1043922" s="38"/>
    </row>
    <row r="1043923" spans="54:54" ht="15.75" customHeight="1" x14ac:dyDescent="0.3">
      <c r="BB1043923" s="38"/>
    </row>
    <row r="1043924" spans="54:54" ht="15.75" customHeight="1" x14ac:dyDescent="0.3">
      <c r="BB1043924" s="38"/>
    </row>
    <row r="1043925" spans="54:54" ht="15.75" customHeight="1" x14ac:dyDescent="0.3">
      <c r="BB1043925" s="38"/>
    </row>
    <row r="1043926" spans="54:54" ht="15.75" customHeight="1" x14ac:dyDescent="0.3">
      <c r="BB1043926" s="38"/>
    </row>
    <row r="1043927" spans="54:54" ht="15.75" customHeight="1" x14ac:dyDescent="0.3">
      <c r="BB1043927" s="38"/>
    </row>
    <row r="1043928" spans="54:54" ht="15.75" customHeight="1" x14ac:dyDescent="0.3">
      <c r="BB1043928" s="38"/>
    </row>
    <row r="1043929" spans="54:54" ht="15.75" customHeight="1" x14ac:dyDescent="0.3">
      <c r="BB1043929" s="38"/>
    </row>
    <row r="1043930" spans="54:54" ht="15.75" customHeight="1" x14ac:dyDescent="0.3">
      <c r="BB1043930" s="38"/>
    </row>
    <row r="1043931" spans="54:54" ht="15.75" customHeight="1" x14ac:dyDescent="0.3">
      <c r="BB1043931" s="38"/>
    </row>
    <row r="1043932" spans="54:54" ht="15.75" customHeight="1" x14ac:dyDescent="0.3">
      <c r="BB1043932" s="38"/>
    </row>
    <row r="1043933" spans="54:54" ht="15.75" customHeight="1" x14ac:dyDescent="0.3">
      <c r="BB1043933" s="38"/>
    </row>
    <row r="1043934" spans="54:54" ht="15.75" customHeight="1" x14ac:dyDescent="0.3">
      <c r="BB1043934" s="38"/>
    </row>
    <row r="1043935" spans="54:54" ht="15.75" customHeight="1" x14ac:dyDescent="0.3">
      <c r="BB1043935" s="38"/>
    </row>
    <row r="1043936" spans="54:54" ht="15.75" customHeight="1" x14ac:dyDescent="0.3">
      <c r="BB1043936" s="38"/>
    </row>
    <row r="1043937" spans="54:54" ht="15.75" customHeight="1" x14ac:dyDescent="0.3">
      <c r="BB1043937" s="38"/>
    </row>
    <row r="1043938" spans="54:54" ht="15.75" customHeight="1" x14ac:dyDescent="0.3">
      <c r="BB1043938" s="38"/>
    </row>
    <row r="1043939" spans="54:54" ht="15.75" customHeight="1" x14ac:dyDescent="0.3">
      <c r="BB1043939" s="38"/>
    </row>
    <row r="1043940" spans="54:54" ht="15.75" customHeight="1" x14ac:dyDescent="0.3">
      <c r="BB1043940" s="38"/>
    </row>
    <row r="1043941" spans="54:54" ht="15.75" customHeight="1" x14ac:dyDescent="0.3">
      <c r="BB1043941" s="38"/>
    </row>
    <row r="1043942" spans="54:54" ht="15.75" customHeight="1" x14ac:dyDescent="0.3">
      <c r="BB1043942" s="38"/>
    </row>
    <row r="1043943" spans="54:54" ht="15.75" customHeight="1" x14ac:dyDescent="0.3">
      <c r="BB1043943" s="38"/>
    </row>
    <row r="1043944" spans="54:54" ht="15.75" customHeight="1" x14ac:dyDescent="0.3">
      <c r="BB1043944" s="38"/>
    </row>
    <row r="1043945" spans="54:54" ht="15.75" customHeight="1" x14ac:dyDescent="0.3">
      <c r="BB1043945" s="38"/>
    </row>
    <row r="1043946" spans="54:54" ht="15.75" customHeight="1" x14ac:dyDescent="0.3">
      <c r="BB1043946" s="38"/>
    </row>
    <row r="1043947" spans="54:54" ht="15.75" customHeight="1" x14ac:dyDescent="0.3">
      <c r="BB1043947" s="38"/>
    </row>
    <row r="1043948" spans="54:54" ht="15.75" customHeight="1" x14ac:dyDescent="0.3">
      <c r="BB1043948" s="38"/>
    </row>
    <row r="1043949" spans="54:54" ht="15.75" customHeight="1" x14ac:dyDescent="0.3">
      <c r="BB1043949" s="38"/>
    </row>
    <row r="1043950" spans="54:54" ht="15.75" customHeight="1" x14ac:dyDescent="0.3">
      <c r="BB1043950" s="38"/>
    </row>
    <row r="1043951" spans="54:54" ht="15.75" customHeight="1" x14ac:dyDescent="0.3">
      <c r="BB1043951" s="38"/>
    </row>
    <row r="1043952" spans="54:54" ht="15.75" customHeight="1" x14ac:dyDescent="0.3">
      <c r="BB1043952" s="38"/>
    </row>
    <row r="1043953" spans="54:54" ht="15.75" customHeight="1" x14ac:dyDescent="0.3">
      <c r="BB1043953" s="38"/>
    </row>
    <row r="1043954" spans="54:54" ht="15.75" customHeight="1" x14ac:dyDescent="0.3">
      <c r="BB1043954" s="38"/>
    </row>
    <row r="1043955" spans="54:54" ht="15.75" customHeight="1" x14ac:dyDescent="0.3">
      <c r="BB1043955" s="38"/>
    </row>
    <row r="1043956" spans="54:54" ht="15.75" customHeight="1" x14ac:dyDescent="0.3">
      <c r="BB1043956" s="38"/>
    </row>
    <row r="1043957" spans="54:54" ht="15.75" customHeight="1" x14ac:dyDescent="0.3">
      <c r="BB1043957" s="38"/>
    </row>
    <row r="1043958" spans="54:54" ht="15.75" customHeight="1" x14ac:dyDescent="0.3">
      <c r="BB1043958" s="38"/>
    </row>
    <row r="1043959" spans="54:54" ht="15.75" customHeight="1" x14ac:dyDescent="0.3">
      <c r="BB1043959" s="38"/>
    </row>
    <row r="1043960" spans="54:54" ht="15.75" customHeight="1" x14ac:dyDescent="0.3">
      <c r="BB1043960" s="38"/>
    </row>
    <row r="1043961" spans="54:54" ht="15.75" customHeight="1" x14ac:dyDescent="0.3">
      <c r="BB1043961" s="38"/>
    </row>
    <row r="1043962" spans="54:54" ht="15.75" customHeight="1" x14ac:dyDescent="0.3">
      <c r="BB1043962" s="38"/>
    </row>
    <row r="1043963" spans="54:54" ht="15.75" customHeight="1" x14ac:dyDescent="0.3">
      <c r="BB1043963" s="38"/>
    </row>
    <row r="1043964" spans="54:54" ht="15.75" customHeight="1" x14ac:dyDescent="0.3">
      <c r="BB1043964" s="38"/>
    </row>
    <row r="1043965" spans="54:54" ht="15.75" customHeight="1" x14ac:dyDescent="0.3">
      <c r="BB1043965" s="38"/>
    </row>
    <row r="1043966" spans="54:54" ht="15.75" customHeight="1" x14ac:dyDescent="0.3">
      <c r="BB1043966" s="38"/>
    </row>
    <row r="1043967" spans="54:54" ht="15.75" customHeight="1" x14ac:dyDescent="0.3">
      <c r="BB1043967" s="38"/>
    </row>
    <row r="1043968" spans="54:54" ht="15.75" customHeight="1" x14ac:dyDescent="0.3">
      <c r="BB1043968" s="38"/>
    </row>
    <row r="1043969" spans="54:54" ht="15.75" customHeight="1" x14ac:dyDescent="0.3">
      <c r="BB1043969" s="38"/>
    </row>
    <row r="1043970" spans="54:54" ht="15.75" customHeight="1" x14ac:dyDescent="0.3">
      <c r="BB1043970" s="38"/>
    </row>
    <row r="1043971" spans="54:54" ht="15.75" customHeight="1" x14ac:dyDescent="0.3">
      <c r="BB1043971" s="38"/>
    </row>
    <row r="1043972" spans="54:54" ht="15.75" customHeight="1" x14ac:dyDescent="0.3">
      <c r="BB1043972" s="38"/>
    </row>
    <row r="1043973" spans="54:54" ht="15.75" customHeight="1" x14ac:dyDescent="0.3">
      <c r="BB1043973" s="38"/>
    </row>
    <row r="1043974" spans="54:54" ht="15.75" customHeight="1" x14ac:dyDescent="0.3">
      <c r="BB1043974" s="38"/>
    </row>
    <row r="1043975" spans="54:54" ht="15.75" customHeight="1" x14ac:dyDescent="0.3">
      <c r="BB1043975" s="38"/>
    </row>
    <row r="1043976" spans="54:54" ht="15.75" customHeight="1" x14ac:dyDescent="0.3">
      <c r="BB1043976" s="38"/>
    </row>
    <row r="1043977" spans="54:54" ht="15.75" customHeight="1" x14ac:dyDescent="0.3">
      <c r="BB1043977" s="38"/>
    </row>
    <row r="1043978" spans="54:54" ht="15.75" customHeight="1" x14ac:dyDescent="0.3">
      <c r="BB1043978" s="38"/>
    </row>
    <row r="1043979" spans="54:54" ht="15.75" customHeight="1" x14ac:dyDescent="0.3">
      <c r="BB1043979" s="38"/>
    </row>
    <row r="1043980" spans="54:54" ht="15.75" customHeight="1" x14ac:dyDescent="0.3">
      <c r="BB1043980" s="38"/>
    </row>
    <row r="1043981" spans="54:54" ht="15.75" customHeight="1" x14ac:dyDescent="0.3">
      <c r="BB1043981" s="38"/>
    </row>
    <row r="1043982" spans="54:54" ht="15.75" customHeight="1" x14ac:dyDescent="0.3">
      <c r="BB1043982" s="38"/>
    </row>
    <row r="1043983" spans="54:54" ht="15.75" customHeight="1" x14ac:dyDescent="0.3">
      <c r="BB1043983" s="38"/>
    </row>
    <row r="1043984" spans="54:54" ht="15.75" customHeight="1" x14ac:dyDescent="0.3">
      <c r="BB1043984" s="38"/>
    </row>
    <row r="1043985" spans="54:54" ht="15.75" customHeight="1" x14ac:dyDescent="0.3">
      <c r="BB1043985" s="38"/>
    </row>
    <row r="1043986" spans="54:54" ht="15.75" customHeight="1" x14ac:dyDescent="0.3">
      <c r="BB1043986" s="38"/>
    </row>
    <row r="1043987" spans="54:54" ht="15.75" customHeight="1" x14ac:dyDescent="0.3">
      <c r="BB1043987" s="38"/>
    </row>
    <row r="1043988" spans="54:54" ht="15.75" customHeight="1" x14ac:dyDescent="0.3">
      <c r="BB1043988" s="38"/>
    </row>
    <row r="1043989" spans="54:54" ht="15.75" customHeight="1" x14ac:dyDescent="0.3">
      <c r="BB1043989" s="38"/>
    </row>
    <row r="1043990" spans="54:54" ht="15.75" customHeight="1" x14ac:dyDescent="0.3">
      <c r="BB1043990" s="38"/>
    </row>
    <row r="1043991" spans="54:54" ht="15.75" customHeight="1" x14ac:dyDescent="0.3">
      <c r="BB1043991" s="38"/>
    </row>
    <row r="1043992" spans="54:54" ht="15.75" customHeight="1" x14ac:dyDescent="0.3">
      <c r="BB1043992" s="38"/>
    </row>
    <row r="1043993" spans="54:54" ht="15.75" customHeight="1" x14ac:dyDescent="0.3">
      <c r="BB1043993" s="38"/>
    </row>
    <row r="1043994" spans="54:54" ht="15.75" customHeight="1" x14ac:dyDescent="0.3">
      <c r="BB1043994" s="38"/>
    </row>
    <row r="1043995" spans="54:54" ht="15.75" customHeight="1" x14ac:dyDescent="0.3">
      <c r="BB1043995" s="38"/>
    </row>
    <row r="1043996" spans="54:54" ht="15.75" customHeight="1" x14ac:dyDescent="0.3">
      <c r="BB1043996" s="38"/>
    </row>
    <row r="1043997" spans="54:54" ht="15.75" customHeight="1" x14ac:dyDescent="0.3">
      <c r="BB1043997" s="38"/>
    </row>
    <row r="1043998" spans="54:54" ht="15.75" customHeight="1" x14ac:dyDescent="0.3">
      <c r="BB1043998" s="38"/>
    </row>
    <row r="1043999" spans="54:54" ht="15.75" customHeight="1" x14ac:dyDescent="0.3">
      <c r="BB1043999" s="38"/>
    </row>
    <row r="1044000" spans="54:54" ht="15.75" customHeight="1" x14ac:dyDescent="0.3">
      <c r="BB1044000" s="38"/>
    </row>
    <row r="1044001" spans="54:54" ht="15.75" customHeight="1" x14ac:dyDescent="0.3">
      <c r="BB1044001" s="38"/>
    </row>
    <row r="1044002" spans="54:54" ht="15.75" customHeight="1" x14ac:dyDescent="0.3">
      <c r="BB1044002" s="38"/>
    </row>
    <row r="1044003" spans="54:54" ht="15.75" customHeight="1" x14ac:dyDescent="0.3">
      <c r="BB1044003" s="38"/>
    </row>
    <row r="1044004" spans="54:54" ht="15.75" customHeight="1" x14ac:dyDescent="0.3">
      <c r="BB1044004" s="38"/>
    </row>
    <row r="1044005" spans="54:54" ht="15.75" customHeight="1" x14ac:dyDescent="0.3">
      <c r="BB1044005" s="38"/>
    </row>
    <row r="1044006" spans="54:54" ht="15.75" customHeight="1" x14ac:dyDescent="0.3">
      <c r="BB1044006" s="38"/>
    </row>
    <row r="1044007" spans="54:54" ht="15.75" customHeight="1" x14ac:dyDescent="0.3">
      <c r="BB1044007" s="38"/>
    </row>
    <row r="1044008" spans="54:54" ht="15.75" customHeight="1" x14ac:dyDescent="0.3">
      <c r="BB1044008" s="38"/>
    </row>
    <row r="1044009" spans="54:54" ht="15.75" customHeight="1" x14ac:dyDescent="0.3">
      <c r="BB1044009" s="38"/>
    </row>
    <row r="1044010" spans="54:54" ht="15.75" customHeight="1" x14ac:dyDescent="0.3">
      <c r="BB1044010" s="38"/>
    </row>
    <row r="1044011" spans="54:54" ht="15.75" customHeight="1" x14ac:dyDescent="0.3">
      <c r="BB1044011" s="38"/>
    </row>
    <row r="1044012" spans="54:54" ht="15.75" customHeight="1" x14ac:dyDescent="0.3">
      <c r="BB1044012" s="38"/>
    </row>
    <row r="1044013" spans="54:54" ht="15.75" customHeight="1" x14ac:dyDescent="0.3">
      <c r="BB1044013" s="38"/>
    </row>
    <row r="1044014" spans="54:54" ht="15.75" customHeight="1" x14ac:dyDescent="0.3">
      <c r="BB1044014" s="38"/>
    </row>
    <row r="1044015" spans="54:54" ht="15.75" customHeight="1" x14ac:dyDescent="0.3">
      <c r="BB1044015" s="38"/>
    </row>
    <row r="1044016" spans="54:54" ht="15.75" customHeight="1" x14ac:dyDescent="0.3">
      <c r="BB1044016" s="38"/>
    </row>
    <row r="1044017" spans="54:54" ht="15.75" customHeight="1" x14ac:dyDescent="0.3">
      <c r="BB1044017" s="38"/>
    </row>
    <row r="1044018" spans="54:54" ht="15.75" customHeight="1" x14ac:dyDescent="0.3">
      <c r="BB1044018" s="38"/>
    </row>
    <row r="1044019" spans="54:54" ht="15.75" customHeight="1" x14ac:dyDescent="0.3">
      <c r="BB1044019" s="38"/>
    </row>
    <row r="1044020" spans="54:54" ht="15.75" customHeight="1" x14ac:dyDescent="0.3">
      <c r="BB1044020" s="38"/>
    </row>
    <row r="1044021" spans="54:54" ht="15.75" customHeight="1" x14ac:dyDescent="0.3">
      <c r="BB1044021" s="38"/>
    </row>
    <row r="1044022" spans="54:54" ht="15.75" customHeight="1" x14ac:dyDescent="0.3">
      <c r="BB1044022" s="38"/>
    </row>
    <row r="1044023" spans="54:54" ht="15.75" customHeight="1" x14ac:dyDescent="0.3">
      <c r="BB1044023" s="38"/>
    </row>
    <row r="1044024" spans="54:54" ht="15.75" customHeight="1" x14ac:dyDescent="0.3">
      <c r="BB1044024" s="38"/>
    </row>
    <row r="1044025" spans="54:54" ht="15.75" customHeight="1" x14ac:dyDescent="0.3">
      <c r="BB1044025" s="38"/>
    </row>
    <row r="1044026" spans="54:54" ht="15.75" customHeight="1" x14ac:dyDescent="0.3">
      <c r="BB1044026" s="38"/>
    </row>
    <row r="1044027" spans="54:54" ht="15.75" customHeight="1" x14ac:dyDescent="0.3">
      <c r="BB1044027" s="38"/>
    </row>
    <row r="1044028" spans="54:54" ht="15.75" customHeight="1" x14ac:dyDescent="0.3">
      <c r="BB1044028" s="38"/>
    </row>
    <row r="1044029" spans="54:54" ht="15.75" customHeight="1" x14ac:dyDescent="0.3">
      <c r="BB1044029" s="38"/>
    </row>
    <row r="1044030" spans="54:54" ht="15.75" customHeight="1" x14ac:dyDescent="0.3">
      <c r="BB1044030" s="38"/>
    </row>
    <row r="1044031" spans="54:54" ht="15.75" customHeight="1" x14ac:dyDescent="0.3">
      <c r="BB1044031" s="38"/>
    </row>
    <row r="1044032" spans="54:54" ht="15.75" customHeight="1" x14ac:dyDescent="0.3">
      <c r="BB1044032" s="38"/>
    </row>
    <row r="1044033" spans="54:54" ht="15.75" customHeight="1" x14ac:dyDescent="0.3">
      <c r="BB1044033" s="38"/>
    </row>
    <row r="1044034" spans="54:54" ht="15.75" customHeight="1" x14ac:dyDescent="0.3">
      <c r="BB1044034" s="38"/>
    </row>
    <row r="1044035" spans="54:54" ht="15.75" customHeight="1" x14ac:dyDescent="0.3">
      <c r="BB1044035" s="38"/>
    </row>
    <row r="1044036" spans="54:54" ht="15.75" customHeight="1" x14ac:dyDescent="0.3">
      <c r="BB1044036" s="38"/>
    </row>
    <row r="1044037" spans="54:54" ht="15.75" customHeight="1" x14ac:dyDescent="0.3">
      <c r="BB1044037" s="38"/>
    </row>
    <row r="1044038" spans="54:54" ht="15.75" customHeight="1" x14ac:dyDescent="0.3">
      <c r="BB1044038" s="38"/>
    </row>
    <row r="1044039" spans="54:54" ht="15.75" customHeight="1" x14ac:dyDescent="0.3">
      <c r="BB1044039" s="38"/>
    </row>
    <row r="1044040" spans="54:54" ht="15.75" customHeight="1" x14ac:dyDescent="0.3">
      <c r="BB1044040" s="38"/>
    </row>
    <row r="1044041" spans="54:54" ht="15.75" customHeight="1" x14ac:dyDescent="0.3">
      <c r="BB1044041" s="38"/>
    </row>
    <row r="1044042" spans="54:54" ht="15.75" customHeight="1" x14ac:dyDescent="0.3">
      <c r="BB1044042" s="38"/>
    </row>
    <row r="1044043" spans="54:54" ht="15.75" customHeight="1" x14ac:dyDescent="0.3">
      <c r="BB1044043" s="38"/>
    </row>
    <row r="1044044" spans="54:54" ht="15.75" customHeight="1" x14ac:dyDescent="0.3">
      <c r="BB1044044" s="38"/>
    </row>
    <row r="1044045" spans="54:54" ht="15.75" customHeight="1" x14ac:dyDescent="0.3">
      <c r="BB1044045" s="38"/>
    </row>
    <row r="1044046" spans="54:54" ht="15.75" customHeight="1" x14ac:dyDescent="0.3">
      <c r="BB1044046" s="38"/>
    </row>
    <row r="1044047" spans="54:54" ht="15.75" customHeight="1" x14ac:dyDescent="0.3">
      <c r="BB1044047" s="38"/>
    </row>
    <row r="1044048" spans="54:54" ht="15.75" customHeight="1" x14ac:dyDescent="0.3">
      <c r="BB1044048" s="38"/>
    </row>
    <row r="1044049" spans="54:54" ht="15.75" customHeight="1" x14ac:dyDescent="0.3">
      <c r="BB1044049" s="38"/>
    </row>
    <row r="1044050" spans="54:54" ht="15.75" customHeight="1" x14ac:dyDescent="0.3">
      <c r="BB1044050" s="38"/>
    </row>
    <row r="1044051" spans="54:54" ht="15.75" customHeight="1" x14ac:dyDescent="0.3">
      <c r="BB1044051" s="38"/>
    </row>
    <row r="1044052" spans="54:54" ht="15.75" customHeight="1" x14ac:dyDescent="0.3">
      <c r="BB1044052" s="38"/>
    </row>
    <row r="1044053" spans="54:54" ht="15.75" customHeight="1" x14ac:dyDescent="0.3">
      <c r="BB1044053" s="38"/>
    </row>
    <row r="1044054" spans="54:54" ht="15.75" customHeight="1" x14ac:dyDescent="0.3">
      <c r="BB1044054" s="38"/>
    </row>
    <row r="1044055" spans="54:54" ht="15.75" customHeight="1" x14ac:dyDescent="0.3">
      <c r="BB1044055" s="38"/>
    </row>
    <row r="1044056" spans="54:54" ht="15.75" customHeight="1" x14ac:dyDescent="0.3">
      <c r="BB1044056" s="38"/>
    </row>
    <row r="1044057" spans="54:54" ht="15.75" customHeight="1" x14ac:dyDescent="0.3">
      <c r="BB1044057" s="38"/>
    </row>
    <row r="1044058" spans="54:54" ht="15.75" customHeight="1" x14ac:dyDescent="0.3">
      <c r="BB1044058" s="38"/>
    </row>
    <row r="1044059" spans="54:54" ht="15.75" customHeight="1" x14ac:dyDescent="0.3">
      <c r="BB1044059" s="38"/>
    </row>
    <row r="1044060" spans="54:54" ht="15.75" customHeight="1" x14ac:dyDescent="0.3">
      <c r="BB1044060" s="38"/>
    </row>
    <row r="1044061" spans="54:54" ht="15.75" customHeight="1" x14ac:dyDescent="0.3">
      <c r="BB1044061" s="38"/>
    </row>
    <row r="1044062" spans="54:54" ht="15.75" customHeight="1" x14ac:dyDescent="0.3">
      <c r="BB1044062" s="38"/>
    </row>
    <row r="1044063" spans="54:54" ht="15.75" customHeight="1" x14ac:dyDescent="0.3">
      <c r="BB1044063" s="38"/>
    </row>
    <row r="1044064" spans="54:54" ht="15.75" customHeight="1" x14ac:dyDescent="0.3">
      <c r="BB1044064" s="38"/>
    </row>
    <row r="1044065" spans="54:54" ht="15.75" customHeight="1" x14ac:dyDescent="0.3">
      <c r="BB1044065" s="38"/>
    </row>
    <row r="1044066" spans="54:54" ht="15.75" customHeight="1" x14ac:dyDescent="0.3">
      <c r="BB1044066" s="38"/>
    </row>
    <row r="1044067" spans="54:54" ht="15.75" customHeight="1" x14ac:dyDescent="0.3">
      <c r="BB1044067" s="38"/>
    </row>
    <row r="1044068" spans="54:54" ht="15.75" customHeight="1" x14ac:dyDescent="0.3">
      <c r="BB1044068" s="38"/>
    </row>
    <row r="1044069" spans="54:54" ht="15.75" customHeight="1" x14ac:dyDescent="0.3">
      <c r="BB1044069" s="38"/>
    </row>
    <row r="1044070" spans="54:54" ht="15.75" customHeight="1" x14ac:dyDescent="0.3">
      <c r="BB1044070" s="38"/>
    </row>
    <row r="1044071" spans="54:54" ht="15.75" customHeight="1" x14ac:dyDescent="0.3">
      <c r="BB1044071" s="38"/>
    </row>
    <row r="1044072" spans="54:54" ht="15.75" customHeight="1" x14ac:dyDescent="0.3">
      <c r="BB1044072" s="38"/>
    </row>
    <row r="1044073" spans="54:54" ht="15.75" customHeight="1" x14ac:dyDescent="0.3">
      <c r="BB1044073" s="38"/>
    </row>
    <row r="1044074" spans="54:54" ht="15.75" customHeight="1" x14ac:dyDescent="0.3">
      <c r="BB1044074" s="38"/>
    </row>
    <row r="1044075" spans="54:54" ht="15.75" customHeight="1" x14ac:dyDescent="0.3">
      <c r="BB1044075" s="38"/>
    </row>
    <row r="1044076" spans="54:54" ht="15.75" customHeight="1" x14ac:dyDescent="0.3">
      <c r="BB1044076" s="38"/>
    </row>
    <row r="1044077" spans="54:54" ht="15.75" customHeight="1" x14ac:dyDescent="0.3">
      <c r="BB1044077" s="38"/>
    </row>
    <row r="1044078" spans="54:54" ht="15.75" customHeight="1" x14ac:dyDescent="0.3">
      <c r="BB1044078" s="38"/>
    </row>
    <row r="1044079" spans="54:54" ht="15.75" customHeight="1" x14ac:dyDescent="0.3">
      <c r="BB1044079" s="38"/>
    </row>
    <row r="1044080" spans="54:54" ht="15.75" customHeight="1" x14ac:dyDescent="0.3">
      <c r="BB1044080" s="38"/>
    </row>
    <row r="1044081" spans="54:54" ht="15.75" customHeight="1" x14ac:dyDescent="0.3">
      <c r="BB1044081" s="38"/>
    </row>
    <row r="1044082" spans="54:54" ht="15.75" customHeight="1" x14ac:dyDescent="0.3">
      <c r="BB1044082" s="38"/>
    </row>
    <row r="1044083" spans="54:54" ht="15.75" customHeight="1" x14ac:dyDescent="0.3">
      <c r="BB1044083" s="38"/>
    </row>
    <row r="1044084" spans="54:54" ht="15.75" customHeight="1" x14ac:dyDescent="0.3">
      <c r="BB1044084" s="38"/>
    </row>
    <row r="1044085" spans="54:54" ht="15.75" customHeight="1" x14ac:dyDescent="0.3">
      <c r="BB1044085" s="38"/>
    </row>
    <row r="1044086" spans="54:54" ht="15.75" customHeight="1" x14ac:dyDescent="0.3">
      <c r="BB1044086" s="38"/>
    </row>
    <row r="1044087" spans="54:54" ht="15.75" customHeight="1" x14ac:dyDescent="0.3">
      <c r="BB1044087" s="38"/>
    </row>
    <row r="1044088" spans="54:54" ht="15.75" customHeight="1" x14ac:dyDescent="0.3">
      <c r="BB1044088" s="38"/>
    </row>
    <row r="1044089" spans="54:54" ht="15.75" customHeight="1" x14ac:dyDescent="0.3">
      <c r="BB1044089" s="38"/>
    </row>
    <row r="1044090" spans="54:54" ht="15.75" customHeight="1" x14ac:dyDescent="0.3">
      <c r="BB1044090" s="38"/>
    </row>
    <row r="1044091" spans="54:54" ht="15.75" customHeight="1" x14ac:dyDescent="0.3">
      <c r="BB1044091" s="38"/>
    </row>
    <row r="1044092" spans="54:54" ht="15.75" customHeight="1" x14ac:dyDescent="0.3">
      <c r="BB1044092" s="38"/>
    </row>
    <row r="1044093" spans="54:54" ht="15.75" customHeight="1" x14ac:dyDescent="0.3">
      <c r="BB1044093" s="38"/>
    </row>
    <row r="1044094" spans="54:54" ht="15.75" customHeight="1" x14ac:dyDescent="0.3">
      <c r="BB1044094" s="38"/>
    </row>
    <row r="1044095" spans="54:54" ht="15.75" customHeight="1" x14ac:dyDescent="0.3">
      <c r="BB1044095" s="38"/>
    </row>
    <row r="1044096" spans="54:54" ht="15.75" customHeight="1" x14ac:dyDescent="0.3">
      <c r="BB1044096" s="38"/>
    </row>
    <row r="1044097" spans="54:54" ht="15.75" customHeight="1" x14ac:dyDescent="0.3">
      <c r="BB1044097" s="38"/>
    </row>
    <row r="1044098" spans="54:54" ht="15.75" customHeight="1" x14ac:dyDescent="0.3">
      <c r="BB1044098" s="38"/>
    </row>
    <row r="1044099" spans="54:54" ht="15.75" customHeight="1" x14ac:dyDescent="0.3">
      <c r="BB1044099" s="38"/>
    </row>
    <row r="1044100" spans="54:54" ht="15.75" customHeight="1" x14ac:dyDescent="0.3">
      <c r="BB1044100" s="38"/>
    </row>
    <row r="1044101" spans="54:54" ht="15.75" customHeight="1" x14ac:dyDescent="0.3">
      <c r="BB1044101" s="38"/>
    </row>
    <row r="1044102" spans="54:54" ht="15.75" customHeight="1" x14ac:dyDescent="0.3">
      <c r="BB1044102" s="38"/>
    </row>
    <row r="1044103" spans="54:54" ht="15.75" customHeight="1" x14ac:dyDescent="0.3">
      <c r="BB1044103" s="38"/>
    </row>
    <row r="1044104" spans="54:54" ht="15.75" customHeight="1" x14ac:dyDescent="0.3">
      <c r="BB1044104" s="38"/>
    </row>
    <row r="1044105" spans="54:54" ht="15.75" customHeight="1" x14ac:dyDescent="0.3">
      <c r="BB1044105" s="38"/>
    </row>
    <row r="1044106" spans="54:54" ht="15.75" customHeight="1" x14ac:dyDescent="0.3">
      <c r="BB1044106" s="38"/>
    </row>
    <row r="1044107" spans="54:54" ht="15.75" customHeight="1" x14ac:dyDescent="0.3">
      <c r="BB1044107" s="38"/>
    </row>
    <row r="1044108" spans="54:54" ht="15.75" customHeight="1" x14ac:dyDescent="0.3">
      <c r="BB1044108" s="38"/>
    </row>
    <row r="1044109" spans="54:54" ht="15.75" customHeight="1" x14ac:dyDescent="0.3">
      <c r="BB1044109" s="38"/>
    </row>
    <row r="1044110" spans="54:54" ht="15.75" customHeight="1" x14ac:dyDescent="0.3">
      <c r="BB1044110" s="38"/>
    </row>
    <row r="1044111" spans="54:54" ht="15.75" customHeight="1" x14ac:dyDescent="0.3">
      <c r="BB1044111" s="38"/>
    </row>
    <row r="1044112" spans="54:54" ht="15.75" customHeight="1" x14ac:dyDescent="0.3">
      <c r="BB1044112" s="38"/>
    </row>
    <row r="1044113" spans="54:54" ht="15.75" customHeight="1" x14ac:dyDescent="0.3">
      <c r="BB1044113" s="38"/>
    </row>
    <row r="1044114" spans="54:54" ht="15.75" customHeight="1" x14ac:dyDescent="0.3">
      <c r="BB1044114" s="38"/>
    </row>
    <row r="1044115" spans="54:54" ht="15.75" customHeight="1" x14ac:dyDescent="0.3">
      <c r="BB1044115" s="38"/>
    </row>
    <row r="1044116" spans="54:54" ht="15.75" customHeight="1" x14ac:dyDescent="0.3">
      <c r="BB1044116" s="38"/>
    </row>
    <row r="1044117" spans="54:54" ht="15.75" customHeight="1" x14ac:dyDescent="0.3">
      <c r="BB1044117" s="38"/>
    </row>
    <row r="1044118" spans="54:54" ht="15.75" customHeight="1" x14ac:dyDescent="0.3">
      <c r="BB1044118" s="38"/>
    </row>
    <row r="1044119" spans="54:54" ht="15.75" customHeight="1" x14ac:dyDescent="0.3">
      <c r="BB1044119" s="38"/>
    </row>
    <row r="1044120" spans="54:54" ht="15.75" customHeight="1" x14ac:dyDescent="0.3">
      <c r="BB1044120" s="38"/>
    </row>
    <row r="1044121" spans="54:54" ht="15.75" customHeight="1" x14ac:dyDescent="0.3">
      <c r="BB1044121" s="38"/>
    </row>
    <row r="1044122" spans="54:54" ht="15.75" customHeight="1" x14ac:dyDescent="0.3">
      <c r="BB1044122" s="38"/>
    </row>
    <row r="1044123" spans="54:54" ht="15.75" customHeight="1" x14ac:dyDescent="0.3">
      <c r="BB1044123" s="38"/>
    </row>
    <row r="1044124" spans="54:54" ht="15.75" customHeight="1" x14ac:dyDescent="0.3">
      <c r="BB1044124" s="38"/>
    </row>
    <row r="1044125" spans="54:54" ht="15.75" customHeight="1" x14ac:dyDescent="0.3">
      <c r="BB1044125" s="38"/>
    </row>
    <row r="1044126" spans="54:54" ht="15.75" customHeight="1" x14ac:dyDescent="0.3">
      <c r="BB1044126" s="38"/>
    </row>
    <row r="1044127" spans="54:54" ht="15.75" customHeight="1" x14ac:dyDescent="0.3">
      <c r="BB1044127" s="38"/>
    </row>
    <row r="1044128" spans="54:54" ht="15.75" customHeight="1" x14ac:dyDescent="0.3">
      <c r="BB1044128" s="38"/>
    </row>
    <row r="1044129" spans="54:54" ht="15.75" customHeight="1" x14ac:dyDescent="0.3">
      <c r="BB1044129" s="38"/>
    </row>
    <row r="1044130" spans="54:54" ht="15.75" customHeight="1" x14ac:dyDescent="0.3">
      <c r="BB1044130" s="38"/>
    </row>
    <row r="1044131" spans="54:54" ht="15.75" customHeight="1" x14ac:dyDescent="0.3">
      <c r="BB1044131" s="38"/>
    </row>
    <row r="1044132" spans="54:54" ht="15.75" customHeight="1" x14ac:dyDescent="0.3">
      <c r="BB1044132" s="38"/>
    </row>
    <row r="1044133" spans="54:54" ht="15.75" customHeight="1" x14ac:dyDescent="0.3">
      <c r="BB1044133" s="38"/>
    </row>
    <row r="1044134" spans="54:54" ht="15.75" customHeight="1" x14ac:dyDescent="0.3">
      <c r="BB1044134" s="38"/>
    </row>
    <row r="1044135" spans="54:54" ht="15.75" customHeight="1" x14ac:dyDescent="0.3">
      <c r="BB1044135" s="38"/>
    </row>
    <row r="1044136" spans="54:54" ht="15.75" customHeight="1" x14ac:dyDescent="0.3">
      <c r="BB1044136" s="38"/>
    </row>
    <row r="1044137" spans="54:54" ht="15.75" customHeight="1" x14ac:dyDescent="0.3">
      <c r="BB1044137" s="38"/>
    </row>
    <row r="1044138" spans="54:54" ht="15.75" customHeight="1" x14ac:dyDescent="0.3">
      <c r="BB1044138" s="38"/>
    </row>
    <row r="1044139" spans="54:54" ht="15.75" customHeight="1" x14ac:dyDescent="0.3">
      <c r="BB1044139" s="38"/>
    </row>
    <row r="1044140" spans="54:54" ht="15.75" customHeight="1" x14ac:dyDescent="0.3">
      <c r="BB1044140" s="38"/>
    </row>
    <row r="1044141" spans="54:54" ht="15.75" customHeight="1" x14ac:dyDescent="0.3">
      <c r="BB1044141" s="38"/>
    </row>
    <row r="1044142" spans="54:54" ht="15.75" customHeight="1" x14ac:dyDescent="0.3">
      <c r="BB1044142" s="38"/>
    </row>
    <row r="1044143" spans="54:54" ht="15.75" customHeight="1" x14ac:dyDescent="0.3">
      <c r="BB1044143" s="38"/>
    </row>
    <row r="1044144" spans="54:54" ht="15.75" customHeight="1" x14ac:dyDescent="0.3">
      <c r="BB1044144" s="38"/>
    </row>
    <row r="1044145" spans="54:54" ht="15.75" customHeight="1" x14ac:dyDescent="0.3">
      <c r="BB1044145" s="38"/>
    </row>
    <row r="1044146" spans="54:54" ht="15.75" customHeight="1" x14ac:dyDescent="0.3">
      <c r="BB1044146" s="38"/>
    </row>
    <row r="1044147" spans="54:54" ht="15.75" customHeight="1" x14ac:dyDescent="0.3">
      <c r="BB1044147" s="38"/>
    </row>
    <row r="1044148" spans="54:54" ht="15.75" customHeight="1" x14ac:dyDescent="0.3">
      <c r="BB1044148" s="38"/>
    </row>
    <row r="1044149" spans="54:54" ht="15.75" customHeight="1" x14ac:dyDescent="0.3">
      <c r="BB1044149" s="38"/>
    </row>
    <row r="1044150" spans="54:54" ht="15.75" customHeight="1" x14ac:dyDescent="0.3">
      <c r="BB1044150" s="38"/>
    </row>
    <row r="1044151" spans="54:54" ht="15.75" customHeight="1" x14ac:dyDescent="0.3">
      <c r="BB1044151" s="38"/>
    </row>
    <row r="1044152" spans="54:54" ht="15.75" customHeight="1" x14ac:dyDescent="0.3">
      <c r="BB1044152" s="38"/>
    </row>
    <row r="1044153" spans="54:54" ht="15.75" customHeight="1" x14ac:dyDescent="0.3">
      <c r="BB1044153" s="38"/>
    </row>
    <row r="1044154" spans="54:54" ht="15.75" customHeight="1" x14ac:dyDescent="0.3">
      <c r="BB1044154" s="38"/>
    </row>
    <row r="1044155" spans="54:54" ht="15.75" customHeight="1" x14ac:dyDescent="0.3">
      <c r="BB1044155" s="38"/>
    </row>
    <row r="1044156" spans="54:54" ht="15.75" customHeight="1" x14ac:dyDescent="0.3">
      <c r="BB1044156" s="38"/>
    </row>
    <row r="1044157" spans="54:54" ht="15.75" customHeight="1" x14ac:dyDescent="0.3">
      <c r="BB1044157" s="38"/>
    </row>
    <row r="1044158" spans="54:54" ht="15.75" customHeight="1" x14ac:dyDescent="0.3">
      <c r="BB1044158" s="38"/>
    </row>
    <row r="1044159" spans="54:54" ht="15.75" customHeight="1" x14ac:dyDescent="0.3">
      <c r="BB1044159" s="38"/>
    </row>
    <row r="1044160" spans="54:54" ht="15.75" customHeight="1" x14ac:dyDescent="0.3">
      <c r="BB1044160" s="38"/>
    </row>
    <row r="1044161" spans="54:54" ht="15.75" customHeight="1" x14ac:dyDescent="0.3">
      <c r="BB1044161" s="38"/>
    </row>
    <row r="1044162" spans="54:54" ht="15.75" customHeight="1" x14ac:dyDescent="0.3">
      <c r="BB1044162" s="38"/>
    </row>
    <row r="1044163" spans="54:54" ht="15.75" customHeight="1" x14ac:dyDescent="0.3">
      <c r="BB1044163" s="38"/>
    </row>
    <row r="1044164" spans="54:54" ht="15.75" customHeight="1" x14ac:dyDescent="0.3">
      <c r="BB1044164" s="38"/>
    </row>
    <row r="1044165" spans="54:54" ht="15.75" customHeight="1" x14ac:dyDescent="0.3">
      <c r="BB1044165" s="38"/>
    </row>
    <row r="1044166" spans="54:54" ht="15.75" customHeight="1" x14ac:dyDescent="0.3">
      <c r="BB1044166" s="38"/>
    </row>
    <row r="1044167" spans="54:54" ht="15.75" customHeight="1" x14ac:dyDescent="0.3">
      <c r="BB1044167" s="38"/>
    </row>
    <row r="1044168" spans="54:54" ht="15.75" customHeight="1" x14ac:dyDescent="0.3">
      <c r="BB1044168" s="38"/>
    </row>
    <row r="1044169" spans="54:54" ht="15.75" customHeight="1" x14ac:dyDescent="0.3">
      <c r="BB1044169" s="38"/>
    </row>
    <row r="1044170" spans="54:54" ht="15.75" customHeight="1" x14ac:dyDescent="0.3">
      <c r="BB1044170" s="38"/>
    </row>
    <row r="1044171" spans="54:54" ht="15.75" customHeight="1" x14ac:dyDescent="0.3">
      <c r="BB1044171" s="38"/>
    </row>
    <row r="1044172" spans="54:54" ht="15.75" customHeight="1" x14ac:dyDescent="0.3">
      <c r="BB1044172" s="38"/>
    </row>
    <row r="1044173" spans="54:54" ht="15.75" customHeight="1" x14ac:dyDescent="0.3">
      <c r="BB1044173" s="38"/>
    </row>
    <row r="1044174" spans="54:54" ht="15.75" customHeight="1" x14ac:dyDescent="0.3">
      <c r="BB1044174" s="38"/>
    </row>
    <row r="1044175" spans="54:54" ht="15.75" customHeight="1" x14ac:dyDescent="0.3">
      <c r="BB1044175" s="38"/>
    </row>
    <row r="1044176" spans="54:54" ht="15.75" customHeight="1" x14ac:dyDescent="0.3">
      <c r="BB1044176" s="38"/>
    </row>
    <row r="1044177" spans="54:54" ht="15.75" customHeight="1" x14ac:dyDescent="0.3">
      <c r="BB1044177" s="38"/>
    </row>
    <row r="1044178" spans="54:54" ht="15.75" customHeight="1" x14ac:dyDescent="0.3">
      <c r="BB1044178" s="38"/>
    </row>
    <row r="1044179" spans="54:54" ht="15.75" customHeight="1" x14ac:dyDescent="0.3">
      <c r="BB1044179" s="38"/>
    </row>
    <row r="1044180" spans="54:54" ht="15.75" customHeight="1" x14ac:dyDescent="0.3">
      <c r="BB1044180" s="38"/>
    </row>
    <row r="1044181" spans="54:54" ht="15.75" customHeight="1" x14ac:dyDescent="0.3">
      <c r="BB1044181" s="38"/>
    </row>
    <row r="1044182" spans="54:54" ht="15.75" customHeight="1" x14ac:dyDescent="0.3">
      <c r="BB1044182" s="38"/>
    </row>
    <row r="1044183" spans="54:54" ht="15.75" customHeight="1" x14ac:dyDescent="0.3">
      <c r="BB1044183" s="38"/>
    </row>
    <row r="1044184" spans="54:54" ht="15.75" customHeight="1" x14ac:dyDescent="0.3">
      <c r="BB1044184" s="38"/>
    </row>
    <row r="1044185" spans="54:54" ht="15.75" customHeight="1" x14ac:dyDescent="0.3">
      <c r="BB1044185" s="38"/>
    </row>
    <row r="1044186" spans="54:54" ht="15.75" customHeight="1" x14ac:dyDescent="0.3">
      <c r="BB1044186" s="38"/>
    </row>
    <row r="1044187" spans="54:54" ht="15.75" customHeight="1" x14ac:dyDescent="0.3">
      <c r="BB1044187" s="38"/>
    </row>
    <row r="1044188" spans="54:54" ht="15.75" customHeight="1" x14ac:dyDescent="0.3">
      <c r="BB1044188" s="38"/>
    </row>
    <row r="1044189" spans="54:54" ht="15.75" customHeight="1" x14ac:dyDescent="0.3">
      <c r="BB1044189" s="38"/>
    </row>
    <row r="1044190" spans="54:54" ht="15.75" customHeight="1" x14ac:dyDescent="0.3">
      <c r="BB1044190" s="38"/>
    </row>
    <row r="1044191" spans="54:54" ht="15.75" customHeight="1" x14ac:dyDescent="0.3">
      <c r="BB1044191" s="38"/>
    </row>
    <row r="1044192" spans="54:54" ht="15.75" customHeight="1" x14ac:dyDescent="0.3">
      <c r="BB1044192" s="38"/>
    </row>
    <row r="1044193" spans="54:54" ht="15.75" customHeight="1" x14ac:dyDescent="0.3">
      <c r="BB1044193" s="38"/>
    </row>
    <row r="1044194" spans="54:54" ht="15.75" customHeight="1" x14ac:dyDescent="0.3">
      <c r="BB1044194" s="38"/>
    </row>
    <row r="1044195" spans="54:54" ht="15.75" customHeight="1" x14ac:dyDescent="0.3">
      <c r="BB1044195" s="38"/>
    </row>
    <row r="1044196" spans="54:54" ht="15.75" customHeight="1" x14ac:dyDescent="0.3">
      <c r="BB1044196" s="38"/>
    </row>
    <row r="1044197" spans="54:54" ht="15.75" customHeight="1" x14ac:dyDescent="0.3">
      <c r="BB1044197" s="38"/>
    </row>
    <row r="1044198" spans="54:54" ht="15.75" customHeight="1" x14ac:dyDescent="0.3">
      <c r="BB1044198" s="38"/>
    </row>
    <row r="1044199" spans="54:54" ht="15.75" customHeight="1" x14ac:dyDescent="0.3">
      <c r="BB1044199" s="38"/>
    </row>
    <row r="1044200" spans="54:54" ht="15.75" customHeight="1" x14ac:dyDescent="0.3">
      <c r="BB1044200" s="38"/>
    </row>
    <row r="1044201" spans="54:54" ht="15.75" customHeight="1" x14ac:dyDescent="0.3">
      <c r="BB1044201" s="38"/>
    </row>
    <row r="1044202" spans="54:54" ht="15.75" customHeight="1" x14ac:dyDescent="0.3">
      <c r="BB1044202" s="38"/>
    </row>
    <row r="1044203" spans="54:54" ht="15.75" customHeight="1" x14ac:dyDescent="0.3">
      <c r="BB1044203" s="38"/>
    </row>
    <row r="1044204" spans="54:54" ht="15.75" customHeight="1" x14ac:dyDescent="0.3">
      <c r="BB1044204" s="38"/>
    </row>
    <row r="1044205" spans="54:54" ht="15.75" customHeight="1" x14ac:dyDescent="0.3">
      <c r="BB1044205" s="38"/>
    </row>
    <row r="1044206" spans="54:54" ht="15.75" customHeight="1" x14ac:dyDescent="0.3">
      <c r="BB1044206" s="38"/>
    </row>
    <row r="1044207" spans="54:54" ht="15.75" customHeight="1" x14ac:dyDescent="0.3">
      <c r="BB1044207" s="38"/>
    </row>
    <row r="1044208" spans="54:54" ht="15.75" customHeight="1" x14ac:dyDescent="0.3">
      <c r="BB1044208" s="38"/>
    </row>
    <row r="1044209" spans="54:54" ht="15.75" customHeight="1" x14ac:dyDescent="0.3">
      <c r="BB1044209" s="38"/>
    </row>
    <row r="1044210" spans="54:54" ht="15.75" customHeight="1" x14ac:dyDescent="0.3">
      <c r="BB1044210" s="38"/>
    </row>
    <row r="1044211" spans="54:54" ht="15.75" customHeight="1" x14ac:dyDescent="0.3">
      <c r="BB1044211" s="38"/>
    </row>
    <row r="1044212" spans="54:54" ht="15.75" customHeight="1" x14ac:dyDescent="0.3">
      <c r="BB1044212" s="38"/>
    </row>
    <row r="1044213" spans="54:54" ht="15.75" customHeight="1" x14ac:dyDescent="0.3">
      <c r="BB1044213" s="38"/>
    </row>
    <row r="1044214" spans="54:54" ht="15.75" customHeight="1" x14ac:dyDescent="0.3">
      <c r="BB1044214" s="38"/>
    </row>
    <row r="1044215" spans="54:54" ht="15.75" customHeight="1" x14ac:dyDescent="0.3">
      <c r="BB1044215" s="38"/>
    </row>
    <row r="1044216" spans="54:54" ht="15.75" customHeight="1" x14ac:dyDescent="0.3">
      <c r="BB1044216" s="38"/>
    </row>
    <row r="1044217" spans="54:54" ht="15.75" customHeight="1" x14ac:dyDescent="0.3">
      <c r="BB1044217" s="38"/>
    </row>
    <row r="1044218" spans="54:54" ht="15.75" customHeight="1" x14ac:dyDescent="0.3">
      <c r="BB1044218" s="38"/>
    </row>
    <row r="1044219" spans="54:54" ht="15.75" customHeight="1" x14ac:dyDescent="0.3">
      <c r="BB1044219" s="38"/>
    </row>
    <row r="1044220" spans="54:54" ht="15.75" customHeight="1" x14ac:dyDescent="0.3">
      <c r="BB1044220" s="38"/>
    </row>
    <row r="1044221" spans="54:54" ht="15.75" customHeight="1" x14ac:dyDescent="0.3">
      <c r="BB1044221" s="38"/>
    </row>
    <row r="1044222" spans="54:54" ht="15.75" customHeight="1" x14ac:dyDescent="0.3">
      <c r="BB1044222" s="38"/>
    </row>
    <row r="1044223" spans="54:54" ht="15.75" customHeight="1" x14ac:dyDescent="0.3">
      <c r="BB1044223" s="38"/>
    </row>
    <row r="1044224" spans="54:54" ht="15.75" customHeight="1" x14ac:dyDescent="0.3">
      <c r="BB1044224" s="38"/>
    </row>
    <row r="1044225" spans="54:54" ht="15.75" customHeight="1" x14ac:dyDescent="0.3">
      <c r="BB1044225" s="38"/>
    </row>
    <row r="1044226" spans="54:54" ht="15.75" customHeight="1" x14ac:dyDescent="0.3">
      <c r="BB1044226" s="38"/>
    </row>
    <row r="1044227" spans="54:54" ht="15.75" customHeight="1" x14ac:dyDescent="0.3">
      <c r="BB1044227" s="38"/>
    </row>
    <row r="1044228" spans="54:54" ht="15.75" customHeight="1" x14ac:dyDescent="0.3">
      <c r="BB1044228" s="38"/>
    </row>
    <row r="1044229" spans="54:54" ht="15.75" customHeight="1" x14ac:dyDescent="0.3">
      <c r="BB1044229" s="38"/>
    </row>
    <row r="1044230" spans="54:54" ht="15.75" customHeight="1" x14ac:dyDescent="0.3">
      <c r="BB1044230" s="38"/>
    </row>
    <row r="1044231" spans="54:54" ht="15.75" customHeight="1" x14ac:dyDescent="0.3">
      <c r="BB1044231" s="38"/>
    </row>
    <row r="1044232" spans="54:54" ht="15.75" customHeight="1" x14ac:dyDescent="0.3">
      <c r="BB1044232" s="38"/>
    </row>
    <row r="1044233" spans="54:54" ht="15.75" customHeight="1" x14ac:dyDescent="0.3">
      <c r="BB1044233" s="38"/>
    </row>
    <row r="1044234" spans="54:54" ht="15.75" customHeight="1" x14ac:dyDescent="0.3">
      <c r="BB1044234" s="38"/>
    </row>
    <row r="1044235" spans="54:54" ht="15.75" customHeight="1" x14ac:dyDescent="0.3">
      <c r="BB1044235" s="38"/>
    </row>
    <row r="1044236" spans="54:54" ht="15.75" customHeight="1" x14ac:dyDescent="0.3">
      <c r="BB1044236" s="38"/>
    </row>
    <row r="1044237" spans="54:54" ht="15.75" customHeight="1" x14ac:dyDescent="0.3">
      <c r="BB1044237" s="38"/>
    </row>
    <row r="1044238" spans="54:54" ht="15.75" customHeight="1" x14ac:dyDescent="0.3">
      <c r="BB1044238" s="38"/>
    </row>
    <row r="1044239" spans="54:54" ht="15.75" customHeight="1" x14ac:dyDescent="0.3">
      <c r="BB1044239" s="38"/>
    </row>
    <row r="1044240" spans="54:54" ht="15.75" customHeight="1" x14ac:dyDescent="0.3">
      <c r="BB1044240" s="38"/>
    </row>
    <row r="1044241" spans="54:54" ht="15.75" customHeight="1" x14ac:dyDescent="0.3">
      <c r="BB1044241" s="38"/>
    </row>
    <row r="1044242" spans="54:54" ht="15.75" customHeight="1" x14ac:dyDescent="0.3">
      <c r="BB1044242" s="38"/>
    </row>
    <row r="1044243" spans="54:54" ht="15.75" customHeight="1" x14ac:dyDescent="0.3">
      <c r="BB1044243" s="38"/>
    </row>
    <row r="1044244" spans="54:54" ht="15.75" customHeight="1" x14ac:dyDescent="0.3">
      <c r="BB1044244" s="38"/>
    </row>
    <row r="1044245" spans="54:54" ht="15.75" customHeight="1" x14ac:dyDescent="0.3">
      <c r="BB1044245" s="38"/>
    </row>
    <row r="1044246" spans="54:54" ht="15.75" customHeight="1" x14ac:dyDescent="0.3">
      <c r="BB1044246" s="38"/>
    </row>
    <row r="1044247" spans="54:54" ht="15.75" customHeight="1" x14ac:dyDescent="0.3">
      <c r="BB1044247" s="38"/>
    </row>
    <row r="1044248" spans="54:54" ht="15.75" customHeight="1" x14ac:dyDescent="0.3">
      <c r="BB1044248" s="38"/>
    </row>
    <row r="1044249" spans="54:54" ht="15.75" customHeight="1" x14ac:dyDescent="0.3">
      <c r="BB1044249" s="38"/>
    </row>
    <row r="1044250" spans="54:54" ht="15.75" customHeight="1" x14ac:dyDescent="0.3">
      <c r="BB1044250" s="38"/>
    </row>
    <row r="1044251" spans="54:54" ht="15.75" customHeight="1" x14ac:dyDescent="0.3">
      <c r="BB1044251" s="38"/>
    </row>
    <row r="1044252" spans="54:54" ht="15.75" customHeight="1" x14ac:dyDescent="0.3">
      <c r="BB1044252" s="38"/>
    </row>
    <row r="1044253" spans="54:54" ht="15.75" customHeight="1" x14ac:dyDescent="0.3">
      <c r="BB1044253" s="38"/>
    </row>
    <row r="1044254" spans="54:54" ht="15.75" customHeight="1" x14ac:dyDescent="0.3">
      <c r="BB1044254" s="38"/>
    </row>
    <row r="1044255" spans="54:54" ht="15.75" customHeight="1" x14ac:dyDescent="0.3">
      <c r="BB1044255" s="38"/>
    </row>
    <row r="1044256" spans="54:54" ht="15.75" customHeight="1" x14ac:dyDescent="0.3">
      <c r="BB1044256" s="38"/>
    </row>
    <row r="1044257" spans="54:54" ht="15.75" customHeight="1" x14ac:dyDescent="0.3">
      <c r="BB1044257" s="38"/>
    </row>
    <row r="1044258" spans="54:54" ht="15.75" customHeight="1" x14ac:dyDescent="0.3">
      <c r="BB1044258" s="38"/>
    </row>
    <row r="1044259" spans="54:54" ht="15.75" customHeight="1" x14ac:dyDescent="0.3">
      <c r="BB1044259" s="38"/>
    </row>
    <row r="1044260" spans="54:54" ht="15.75" customHeight="1" x14ac:dyDescent="0.3">
      <c r="BB1044260" s="38"/>
    </row>
    <row r="1044261" spans="54:54" ht="15.75" customHeight="1" x14ac:dyDescent="0.3">
      <c r="BB1044261" s="38"/>
    </row>
    <row r="1044262" spans="54:54" ht="15.75" customHeight="1" x14ac:dyDescent="0.3">
      <c r="BB1044262" s="38"/>
    </row>
    <row r="1044263" spans="54:54" ht="15.75" customHeight="1" x14ac:dyDescent="0.3">
      <c r="BB1044263" s="38"/>
    </row>
    <row r="1044264" spans="54:54" ht="15.75" customHeight="1" x14ac:dyDescent="0.3">
      <c r="BB1044264" s="38"/>
    </row>
    <row r="1044265" spans="54:54" ht="15.75" customHeight="1" x14ac:dyDescent="0.3">
      <c r="BB1044265" s="38"/>
    </row>
    <row r="1044266" spans="54:54" ht="15.75" customHeight="1" x14ac:dyDescent="0.3">
      <c r="BB1044266" s="38"/>
    </row>
    <row r="1044267" spans="54:54" ht="15.75" customHeight="1" x14ac:dyDescent="0.3">
      <c r="BB1044267" s="38"/>
    </row>
    <row r="1044268" spans="54:54" ht="15.75" customHeight="1" x14ac:dyDescent="0.3">
      <c r="BB1044268" s="38"/>
    </row>
    <row r="1044269" spans="54:54" ht="15.75" customHeight="1" x14ac:dyDescent="0.3">
      <c r="BB1044269" s="38"/>
    </row>
    <row r="1044270" spans="54:54" ht="15.75" customHeight="1" x14ac:dyDescent="0.3">
      <c r="BB1044270" s="38"/>
    </row>
    <row r="1044271" spans="54:54" ht="15.75" customHeight="1" x14ac:dyDescent="0.3">
      <c r="BB1044271" s="38"/>
    </row>
    <row r="1044272" spans="54:54" ht="15.75" customHeight="1" x14ac:dyDescent="0.3">
      <c r="BB1044272" s="38"/>
    </row>
    <row r="1044273" spans="54:54" ht="15.75" customHeight="1" x14ac:dyDescent="0.3">
      <c r="BB1044273" s="38"/>
    </row>
    <row r="1044274" spans="54:54" ht="15.75" customHeight="1" x14ac:dyDescent="0.3">
      <c r="BB1044274" s="38"/>
    </row>
    <row r="1044275" spans="54:54" ht="15.75" customHeight="1" x14ac:dyDescent="0.3">
      <c r="BB1044275" s="38"/>
    </row>
    <row r="1044276" spans="54:54" ht="15.75" customHeight="1" x14ac:dyDescent="0.3">
      <c r="BB1044276" s="38"/>
    </row>
    <row r="1044277" spans="54:54" ht="15.75" customHeight="1" x14ac:dyDescent="0.3">
      <c r="BB1044277" s="38"/>
    </row>
    <row r="1044278" spans="54:54" ht="15.75" customHeight="1" x14ac:dyDescent="0.3">
      <c r="BB1044278" s="38"/>
    </row>
    <row r="1044279" spans="54:54" ht="15.75" customHeight="1" x14ac:dyDescent="0.3">
      <c r="BB1044279" s="38"/>
    </row>
    <row r="1044280" spans="54:54" ht="15.75" customHeight="1" x14ac:dyDescent="0.3">
      <c r="BB1044280" s="38"/>
    </row>
    <row r="1044281" spans="54:54" ht="15.75" customHeight="1" x14ac:dyDescent="0.3">
      <c r="BB1044281" s="38"/>
    </row>
    <row r="1044282" spans="54:54" ht="15.75" customHeight="1" x14ac:dyDescent="0.3">
      <c r="BB1044282" s="38"/>
    </row>
    <row r="1044283" spans="54:54" ht="15.75" customHeight="1" x14ac:dyDescent="0.3">
      <c r="BB1044283" s="38"/>
    </row>
    <row r="1044284" spans="54:54" ht="15.75" customHeight="1" x14ac:dyDescent="0.3">
      <c r="BB1044284" s="38"/>
    </row>
    <row r="1044285" spans="54:54" ht="15.75" customHeight="1" x14ac:dyDescent="0.3">
      <c r="BB1044285" s="38"/>
    </row>
    <row r="1044286" spans="54:54" ht="15.75" customHeight="1" x14ac:dyDescent="0.3">
      <c r="BB1044286" s="38"/>
    </row>
    <row r="1044287" spans="54:54" ht="15.75" customHeight="1" x14ac:dyDescent="0.3">
      <c r="BB1044287" s="38"/>
    </row>
    <row r="1044288" spans="54:54" ht="15.75" customHeight="1" x14ac:dyDescent="0.3">
      <c r="BB1044288" s="38"/>
    </row>
    <row r="1044289" spans="54:54" ht="15.75" customHeight="1" x14ac:dyDescent="0.3">
      <c r="BB1044289" s="38"/>
    </row>
    <row r="1044290" spans="54:54" ht="15.75" customHeight="1" x14ac:dyDescent="0.3">
      <c r="BB1044290" s="38"/>
    </row>
    <row r="1044291" spans="54:54" ht="15.75" customHeight="1" x14ac:dyDescent="0.3">
      <c r="BB1044291" s="38"/>
    </row>
    <row r="1044292" spans="54:54" ht="15.75" customHeight="1" x14ac:dyDescent="0.3">
      <c r="BB1044292" s="38"/>
    </row>
    <row r="1044293" spans="54:54" ht="15.75" customHeight="1" x14ac:dyDescent="0.3">
      <c r="BB1044293" s="38"/>
    </row>
    <row r="1044294" spans="54:54" ht="15.75" customHeight="1" x14ac:dyDescent="0.3">
      <c r="BB1044294" s="38"/>
    </row>
    <row r="1044295" spans="54:54" ht="15.75" customHeight="1" x14ac:dyDescent="0.3">
      <c r="BB1044295" s="38"/>
    </row>
    <row r="1044296" spans="54:54" ht="15.75" customHeight="1" x14ac:dyDescent="0.3">
      <c r="BB1044296" s="38"/>
    </row>
    <row r="1044297" spans="54:54" ht="15.75" customHeight="1" x14ac:dyDescent="0.3">
      <c r="BB1044297" s="38"/>
    </row>
    <row r="1044298" spans="54:54" ht="15.75" customHeight="1" x14ac:dyDescent="0.3">
      <c r="BB1044298" s="38"/>
    </row>
    <row r="1044299" spans="54:54" ht="15.75" customHeight="1" x14ac:dyDescent="0.3">
      <c r="BB1044299" s="38"/>
    </row>
    <row r="1044300" spans="54:54" ht="15.75" customHeight="1" x14ac:dyDescent="0.3">
      <c r="BB1044300" s="38"/>
    </row>
    <row r="1044301" spans="54:54" ht="15.75" customHeight="1" x14ac:dyDescent="0.3">
      <c r="BB1044301" s="38"/>
    </row>
    <row r="1044302" spans="54:54" ht="15.75" customHeight="1" x14ac:dyDescent="0.3">
      <c r="BB1044302" s="38"/>
    </row>
    <row r="1044303" spans="54:54" ht="15.75" customHeight="1" x14ac:dyDescent="0.3">
      <c r="BB1044303" s="38"/>
    </row>
    <row r="1044304" spans="54:54" ht="15.75" customHeight="1" x14ac:dyDescent="0.3">
      <c r="BB1044304" s="38"/>
    </row>
    <row r="1044305" spans="54:54" ht="15.75" customHeight="1" x14ac:dyDescent="0.3">
      <c r="BB1044305" s="38"/>
    </row>
    <row r="1044306" spans="54:54" ht="15.75" customHeight="1" x14ac:dyDescent="0.3">
      <c r="BB1044306" s="38"/>
    </row>
    <row r="1044307" spans="54:54" ht="15.75" customHeight="1" x14ac:dyDescent="0.3">
      <c r="BB1044307" s="38"/>
    </row>
    <row r="1044308" spans="54:54" ht="15.75" customHeight="1" x14ac:dyDescent="0.3">
      <c r="BB1044308" s="38"/>
    </row>
    <row r="1044309" spans="54:54" ht="15.75" customHeight="1" x14ac:dyDescent="0.3">
      <c r="BB1044309" s="38"/>
    </row>
    <row r="1044310" spans="54:54" ht="15.75" customHeight="1" x14ac:dyDescent="0.3">
      <c r="BB1044310" s="38"/>
    </row>
    <row r="1044311" spans="54:54" ht="15.75" customHeight="1" x14ac:dyDescent="0.3">
      <c r="BB1044311" s="38"/>
    </row>
    <row r="1044312" spans="54:54" ht="15.75" customHeight="1" x14ac:dyDescent="0.3">
      <c r="BB1044312" s="38"/>
    </row>
    <row r="1044313" spans="54:54" ht="15.75" customHeight="1" x14ac:dyDescent="0.3">
      <c r="BB1044313" s="38"/>
    </row>
    <row r="1044314" spans="54:54" ht="15.75" customHeight="1" x14ac:dyDescent="0.3">
      <c r="BB1044314" s="38"/>
    </row>
    <row r="1044315" spans="54:54" ht="15.75" customHeight="1" x14ac:dyDescent="0.3">
      <c r="BB1044315" s="38"/>
    </row>
    <row r="1044316" spans="54:54" ht="15.75" customHeight="1" x14ac:dyDescent="0.3">
      <c r="BB1044316" s="38"/>
    </row>
    <row r="1044317" spans="54:54" ht="15.75" customHeight="1" x14ac:dyDescent="0.3">
      <c r="BB1044317" s="38"/>
    </row>
    <row r="1044318" spans="54:54" ht="15.75" customHeight="1" x14ac:dyDescent="0.3">
      <c r="BB1044318" s="38"/>
    </row>
    <row r="1044319" spans="54:54" ht="15.75" customHeight="1" x14ac:dyDescent="0.3">
      <c r="BB1044319" s="38"/>
    </row>
    <row r="1044320" spans="54:54" ht="15.75" customHeight="1" x14ac:dyDescent="0.3">
      <c r="BB1044320" s="38"/>
    </row>
    <row r="1044321" spans="54:54" ht="15.75" customHeight="1" x14ac:dyDescent="0.3">
      <c r="BB1044321" s="38"/>
    </row>
    <row r="1044322" spans="54:54" ht="15.75" customHeight="1" x14ac:dyDescent="0.3">
      <c r="BB1044322" s="38"/>
    </row>
    <row r="1044323" spans="54:54" ht="15.75" customHeight="1" x14ac:dyDescent="0.3">
      <c r="BB1044323" s="38"/>
    </row>
    <row r="1044324" spans="54:54" ht="15.75" customHeight="1" x14ac:dyDescent="0.3">
      <c r="BB1044324" s="38"/>
    </row>
    <row r="1044325" spans="54:54" ht="15.75" customHeight="1" x14ac:dyDescent="0.3">
      <c r="BB1044325" s="38"/>
    </row>
    <row r="1044326" spans="54:54" ht="15.75" customHeight="1" x14ac:dyDescent="0.3">
      <c r="BB1044326" s="38"/>
    </row>
    <row r="1044327" spans="54:54" ht="15.75" customHeight="1" x14ac:dyDescent="0.3">
      <c r="BB1044327" s="38"/>
    </row>
    <row r="1044328" spans="54:54" ht="15.75" customHeight="1" x14ac:dyDescent="0.3">
      <c r="BB1044328" s="38"/>
    </row>
    <row r="1044329" spans="54:54" ht="15.75" customHeight="1" x14ac:dyDescent="0.3">
      <c r="BB1044329" s="38"/>
    </row>
    <row r="1044330" spans="54:54" ht="15.75" customHeight="1" x14ac:dyDescent="0.3">
      <c r="BB1044330" s="38"/>
    </row>
    <row r="1044331" spans="54:54" ht="15.75" customHeight="1" x14ac:dyDescent="0.3">
      <c r="BB1044331" s="38"/>
    </row>
    <row r="1044332" spans="54:54" ht="15.75" customHeight="1" x14ac:dyDescent="0.3">
      <c r="BB1044332" s="38"/>
    </row>
    <row r="1044333" spans="54:54" ht="15.75" customHeight="1" x14ac:dyDescent="0.3">
      <c r="BB1044333" s="38"/>
    </row>
    <row r="1044334" spans="54:54" ht="15.75" customHeight="1" x14ac:dyDescent="0.3">
      <c r="BB1044334" s="38"/>
    </row>
    <row r="1044335" spans="54:54" ht="15.75" customHeight="1" x14ac:dyDescent="0.3">
      <c r="BB1044335" s="38"/>
    </row>
    <row r="1044336" spans="54:54" ht="15.75" customHeight="1" x14ac:dyDescent="0.3">
      <c r="BB1044336" s="38"/>
    </row>
    <row r="1044337" spans="54:54" ht="15.75" customHeight="1" x14ac:dyDescent="0.3">
      <c r="BB1044337" s="38"/>
    </row>
    <row r="1044338" spans="54:54" ht="15.75" customHeight="1" x14ac:dyDescent="0.3">
      <c r="BB1044338" s="38"/>
    </row>
    <row r="1044339" spans="54:54" ht="15.75" customHeight="1" x14ac:dyDescent="0.3">
      <c r="BB1044339" s="38"/>
    </row>
    <row r="1044340" spans="54:54" ht="15.75" customHeight="1" x14ac:dyDescent="0.3">
      <c r="BB1044340" s="38"/>
    </row>
    <row r="1044341" spans="54:54" ht="15.75" customHeight="1" x14ac:dyDescent="0.3">
      <c r="BB1044341" s="38"/>
    </row>
    <row r="1044342" spans="54:54" ht="15.75" customHeight="1" x14ac:dyDescent="0.3">
      <c r="BB1044342" s="38"/>
    </row>
    <row r="1044343" spans="54:54" ht="15.75" customHeight="1" x14ac:dyDescent="0.3">
      <c r="BB1044343" s="38"/>
    </row>
    <row r="1044344" spans="54:54" ht="15.75" customHeight="1" x14ac:dyDescent="0.3">
      <c r="BB1044344" s="38"/>
    </row>
    <row r="1044345" spans="54:54" ht="15.75" customHeight="1" x14ac:dyDescent="0.3">
      <c r="BB1044345" s="38"/>
    </row>
    <row r="1044346" spans="54:54" ht="15.75" customHeight="1" x14ac:dyDescent="0.3">
      <c r="BB1044346" s="38"/>
    </row>
    <row r="1044347" spans="54:54" ht="15.75" customHeight="1" x14ac:dyDescent="0.3">
      <c r="BB1044347" s="38"/>
    </row>
    <row r="1044348" spans="54:54" ht="15.75" customHeight="1" x14ac:dyDescent="0.3">
      <c r="BB1044348" s="38"/>
    </row>
    <row r="1044349" spans="54:54" ht="15.75" customHeight="1" x14ac:dyDescent="0.3">
      <c r="BB1044349" s="38"/>
    </row>
    <row r="1044350" spans="54:54" ht="15.75" customHeight="1" x14ac:dyDescent="0.3">
      <c r="BB1044350" s="38"/>
    </row>
    <row r="1044351" spans="54:54" ht="15.75" customHeight="1" x14ac:dyDescent="0.3">
      <c r="BB1044351" s="38"/>
    </row>
    <row r="1044352" spans="54:54" ht="15.75" customHeight="1" x14ac:dyDescent="0.3">
      <c r="BB1044352" s="38"/>
    </row>
    <row r="1044353" spans="54:54" ht="15.75" customHeight="1" x14ac:dyDescent="0.3">
      <c r="BB1044353" s="38"/>
    </row>
    <row r="1044354" spans="54:54" ht="15.75" customHeight="1" x14ac:dyDescent="0.3">
      <c r="BB1044354" s="38"/>
    </row>
    <row r="1044355" spans="54:54" ht="15.75" customHeight="1" x14ac:dyDescent="0.3">
      <c r="BB1044355" s="38"/>
    </row>
    <row r="1044356" spans="54:54" ht="15.75" customHeight="1" x14ac:dyDescent="0.3">
      <c r="BB1044356" s="38"/>
    </row>
    <row r="1044357" spans="54:54" ht="15.75" customHeight="1" x14ac:dyDescent="0.3">
      <c r="BB1044357" s="38"/>
    </row>
    <row r="1044358" spans="54:54" ht="15.75" customHeight="1" x14ac:dyDescent="0.3">
      <c r="BB1044358" s="38"/>
    </row>
    <row r="1044359" spans="54:54" ht="15.75" customHeight="1" x14ac:dyDescent="0.3">
      <c r="BB1044359" s="38"/>
    </row>
    <row r="1044360" spans="54:54" ht="15.75" customHeight="1" x14ac:dyDescent="0.3">
      <c r="BB1044360" s="38"/>
    </row>
    <row r="1044361" spans="54:54" ht="15.75" customHeight="1" x14ac:dyDescent="0.3">
      <c r="BB1044361" s="38"/>
    </row>
    <row r="1044362" spans="54:54" ht="15.75" customHeight="1" x14ac:dyDescent="0.3">
      <c r="BB1044362" s="38"/>
    </row>
    <row r="1044363" spans="54:54" ht="15.75" customHeight="1" x14ac:dyDescent="0.3">
      <c r="BB1044363" s="38"/>
    </row>
    <row r="1044364" spans="54:54" ht="15.75" customHeight="1" x14ac:dyDescent="0.3">
      <c r="BB1044364" s="38"/>
    </row>
    <row r="1044365" spans="54:54" ht="15.75" customHeight="1" x14ac:dyDescent="0.3">
      <c r="BB1044365" s="38"/>
    </row>
    <row r="1044366" spans="54:54" ht="15.75" customHeight="1" x14ac:dyDescent="0.3">
      <c r="BB1044366" s="38"/>
    </row>
    <row r="1044367" spans="54:54" ht="15.75" customHeight="1" x14ac:dyDescent="0.3">
      <c r="BB1044367" s="38"/>
    </row>
    <row r="1044368" spans="54:54" ht="15.75" customHeight="1" x14ac:dyDescent="0.3">
      <c r="BB1044368" s="38"/>
    </row>
    <row r="1044369" spans="54:54" ht="15.75" customHeight="1" x14ac:dyDescent="0.3">
      <c r="BB1044369" s="38"/>
    </row>
    <row r="1044370" spans="54:54" ht="15.75" customHeight="1" x14ac:dyDescent="0.3">
      <c r="BB1044370" s="38"/>
    </row>
    <row r="1044371" spans="54:54" ht="15.75" customHeight="1" x14ac:dyDescent="0.3">
      <c r="BB1044371" s="38"/>
    </row>
    <row r="1044372" spans="54:54" ht="15.75" customHeight="1" x14ac:dyDescent="0.3">
      <c r="BB1044372" s="38"/>
    </row>
    <row r="1044373" spans="54:54" ht="15.75" customHeight="1" x14ac:dyDescent="0.3">
      <c r="BB1044373" s="38"/>
    </row>
    <row r="1044374" spans="54:54" ht="15.75" customHeight="1" x14ac:dyDescent="0.3">
      <c r="BB1044374" s="38"/>
    </row>
    <row r="1044375" spans="54:54" ht="15.75" customHeight="1" x14ac:dyDescent="0.3">
      <c r="BB1044375" s="38"/>
    </row>
    <row r="1044376" spans="54:54" ht="15.75" customHeight="1" x14ac:dyDescent="0.3">
      <c r="BB1044376" s="38"/>
    </row>
    <row r="1044377" spans="54:54" ht="15.75" customHeight="1" x14ac:dyDescent="0.3">
      <c r="BB1044377" s="38"/>
    </row>
    <row r="1044378" spans="54:54" ht="15.75" customHeight="1" x14ac:dyDescent="0.3">
      <c r="BB1044378" s="38"/>
    </row>
    <row r="1044379" spans="54:54" ht="15.75" customHeight="1" x14ac:dyDescent="0.3">
      <c r="BB1044379" s="38"/>
    </row>
    <row r="1044380" spans="54:54" ht="15.75" customHeight="1" x14ac:dyDescent="0.3">
      <c r="BB1044380" s="38"/>
    </row>
    <row r="1044381" spans="54:54" ht="15.75" customHeight="1" x14ac:dyDescent="0.3">
      <c r="BB1044381" s="38"/>
    </row>
    <row r="1044382" spans="54:54" ht="15.75" customHeight="1" x14ac:dyDescent="0.3">
      <c r="BB1044382" s="38"/>
    </row>
    <row r="1044383" spans="54:54" ht="15.75" customHeight="1" x14ac:dyDescent="0.3">
      <c r="BB1044383" s="38"/>
    </row>
    <row r="1044384" spans="54:54" ht="15.75" customHeight="1" x14ac:dyDescent="0.3">
      <c r="BB1044384" s="38"/>
    </row>
    <row r="1044385" spans="54:54" ht="15.75" customHeight="1" x14ac:dyDescent="0.3">
      <c r="BB1044385" s="38"/>
    </row>
    <row r="1044386" spans="54:54" ht="15.75" customHeight="1" x14ac:dyDescent="0.3">
      <c r="BB1044386" s="38"/>
    </row>
    <row r="1044387" spans="54:54" ht="15.75" customHeight="1" x14ac:dyDescent="0.3">
      <c r="BB1044387" s="38"/>
    </row>
    <row r="1044388" spans="54:54" ht="15.75" customHeight="1" x14ac:dyDescent="0.3">
      <c r="BB1044388" s="38"/>
    </row>
    <row r="1044389" spans="54:54" ht="15.75" customHeight="1" x14ac:dyDescent="0.3">
      <c r="BB1044389" s="38"/>
    </row>
    <row r="1044390" spans="54:54" ht="15.75" customHeight="1" x14ac:dyDescent="0.3">
      <c r="BB1044390" s="38"/>
    </row>
    <row r="1044391" spans="54:54" ht="15.75" customHeight="1" x14ac:dyDescent="0.3">
      <c r="BB1044391" s="38"/>
    </row>
    <row r="1044392" spans="54:54" ht="15.75" customHeight="1" x14ac:dyDescent="0.3">
      <c r="BB1044392" s="38"/>
    </row>
    <row r="1044393" spans="54:54" ht="15.75" customHeight="1" x14ac:dyDescent="0.3">
      <c r="BB1044393" s="38"/>
    </row>
    <row r="1044394" spans="54:54" ht="15.75" customHeight="1" x14ac:dyDescent="0.3">
      <c r="BB1044394" s="38"/>
    </row>
    <row r="1044395" spans="54:54" ht="15.75" customHeight="1" x14ac:dyDescent="0.3">
      <c r="BB1044395" s="38"/>
    </row>
    <row r="1044396" spans="54:54" ht="15.75" customHeight="1" x14ac:dyDescent="0.3">
      <c r="BB1044396" s="38"/>
    </row>
    <row r="1044397" spans="54:54" ht="15.75" customHeight="1" x14ac:dyDescent="0.3">
      <c r="BB1044397" s="38"/>
    </row>
    <row r="1044398" spans="54:54" ht="15.75" customHeight="1" x14ac:dyDescent="0.3">
      <c r="BB1044398" s="38"/>
    </row>
    <row r="1044399" spans="54:54" ht="15.75" customHeight="1" x14ac:dyDescent="0.3">
      <c r="BB1044399" s="38"/>
    </row>
    <row r="1044400" spans="54:54" ht="15.75" customHeight="1" x14ac:dyDescent="0.3">
      <c r="BB1044400" s="38"/>
    </row>
    <row r="1044401" spans="54:54" ht="15.75" customHeight="1" x14ac:dyDescent="0.3">
      <c r="BB1044401" s="38"/>
    </row>
    <row r="1044402" spans="54:54" ht="15.75" customHeight="1" x14ac:dyDescent="0.3">
      <c r="BB1044402" s="38"/>
    </row>
    <row r="1044403" spans="54:54" ht="15.75" customHeight="1" x14ac:dyDescent="0.3">
      <c r="BB1044403" s="38"/>
    </row>
    <row r="1044404" spans="54:54" ht="15.75" customHeight="1" x14ac:dyDescent="0.3">
      <c r="BB1044404" s="38"/>
    </row>
    <row r="1044405" spans="54:54" ht="15.75" customHeight="1" x14ac:dyDescent="0.3">
      <c r="BB1044405" s="38"/>
    </row>
    <row r="1044406" spans="54:54" ht="15.75" customHeight="1" x14ac:dyDescent="0.3">
      <c r="BB1044406" s="38"/>
    </row>
    <row r="1044407" spans="54:54" ht="15.75" customHeight="1" x14ac:dyDescent="0.3">
      <c r="BB1044407" s="38"/>
    </row>
    <row r="1044408" spans="54:54" ht="15.75" customHeight="1" x14ac:dyDescent="0.3">
      <c r="BB1044408" s="38"/>
    </row>
    <row r="1044409" spans="54:54" ht="15.75" customHeight="1" x14ac:dyDescent="0.3">
      <c r="BB1044409" s="38"/>
    </row>
    <row r="1044410" spans="54:54" ht="15.75" customHeight="1" x14ac:dyDescent="0.3">
      <c r="BB1044410" s="38"/>
    </row>
    <row r="1044411" spans="54:54" ht="15.75" customHeight="1" x14ac:dyDescent="0.3">
      <c r="BB1044411" s="38"/>
    </row>
    <row r="1044412" spans="54:54" ht="15.75" customHeight="1" x14ac:dyDescent="0.3">
      <c r="BB1044412" s="38"/>
    </row>
    <row r="1044413" spans="54:54" ht="15.75" customHeight="1" x14ac:dyDescent="0.3">
      <c r="BB1044413" s="38"/>
    </row>
    <row r="1044414" spans="54:54" ht="15.75" customHeight="1" x14ac:dyDescent="0.3">
      <c r="BB1044414" s="38"/>
    </row>
    <row r="1044415" spans="54:54" ht="15.75" customHeight="1" x14ac:dyDescent="0.3">
      <c r="BB1044415" s="38"/>
    </row>
    <row r="1044416" spans="54:54" ht="15.75" customHeight="1" x14ac:dyDescent="0.3">
      <c r="BB1044416" s="38"/>
    </row>
    <row r="1044417" spans="54:54" ht="15.75" customHeight="1" x14ac:dyDescent="0.3">
      <c r="BB1044417" s="38"/>
    </row>
    <row r="1044418" spans="54:54" ht="15.75" customHeight="1" x14ac:dyDescent="0.3">
      <c r="BB1044418" s="38"/>
    </row>
    <row r="1044419" spans="54:54" ht="15.75" customHeight="1" x14ac:dyDescent="0.3">
      <c r="BB1044419" s="38"/>
    </row>
    <row r="1044420" spans="54:54" ht="15.75" customHeight="1" x14ac:dyDescent="0.3">
      <c r="BB1044420" s="38"/>
    </row>
    <row r="1044421" spans="54:54" ht="15.75" customHeight="1" x14ac:dyDescent="0.3">
      <c r="BB1044421" s="38"/>
    </row>
    <row r="1044422" spans="54:54" ht="15.75" customHeight="1" x14ac:dyDescent="0.3">
      <c r="BB1044422" s="38"/>
    </row>
    <row r="1044423" spans="54:54" ht="15.75" customHeight="1" x14ac:dyDescent="0.3">
      <c r="BB1044423" s="38"/>
    </row>
    <row r="1044424" spans="54:54" ht="15.75" customHeight="1" x14ac:dyDescent="0.3">
      <c r="BB1044424" s="38"/>
    </row>
    <row r="1044425" spans="54:54" ht="15.75" customHeight="1" x14ac:dyDescent="0.3">
      <c r="BB1044425" s="38"/>
    </row>
    <row r="1044426" spans="54:54" ht="15.75" customHeight="1" x14ac:dyDescent="0.3">
      <c r="BB1044426" s="38"/>
    </row>
    <row r="1044427" spans="54:54" ht="15.75" customHeight="1" x14ac:dyDescent="0.3">
      <c r="BB1044427" s="38"/>
    </row>
    <row r="1044428" spans="54:54" ht="15.75" customHeight="1" x14ac:dyDescent="0.3">
      <c r="BB1044428" s="38"/>
    </row>
    <row r="1044429" spans="54:54" ht="15.75" customHeight="1" x14ac:dyDescent="0.3">
      <c r="BB1044429" s="38"/>
    </row>
    <row r="1044430" spans="54:54" ht="15.75" customHeight="1" x14ac:dyDescent="0.3">
      <c r="BB1044430" s="38"/>
    </row>
    <row r="1044431" spans="54:54" ht="15.75" customHeight="1" x14ac:dyDescent="0.3">
      <c r="BB1044431" s="38"/>
    </row>
    <row r="1044432" spans="54:54" ht="15.75" customHeight="1" x14ac:dyDescent="0.3">
      <c r="BB1044432" s="38"/>
    </row>
    <row r="1044433" spans="54:54" ht="15.75" customHeight="1" x14ac:dyDescent="0.3">
      <c r="BB1044433" s="38"/>
    </row>
    <row r="1044434" spans="54:54" ht="15.75" customHeight="1" x14ac:dyDescent="0.3">
      <c r="BB1044434" s="38"/>
    </row>
    <row r="1044435" spans="54:54" ht="15.75" customHeight="1" x14ac:dyDescent="0.3">
      <c r="BB1044435" s="38"/>
    </row>
    <row r="1044436" spans="54:54" ht="15.75" customHeight="1" x14ac:dyDescent="0.3">
      <c r="BB1044436" s="38"/>
    </row>
    <row r="1044437" spans="54:54" ht="15.75" customHeight="1" x14ac:dyDescent="0.3">
      <c r="BB1044437" s="38"/>
    </row>
    <row r="1044438" spans="54:54" ht="15.75" customHeight="1" x14ac:dyDescent="0.3">
      <c r="BB1044438" s="38"/>
    </row>
    <row r="1044439" spans="54:54" ht="15.75" customHeight="1" x14ac:dyDescent="0.3">
      <c r="BB1044439" s="38"/>
    </row>
    <row r="1044440" spans="54:54" ht="15.75" customHeight="1" x14ac:dyDescent="0.3">
      <c r="BB1044440" s="38"/>
    </row>
    <row r="1044441" spans="54:54" ht="15.75" customHeight="1" x14ac:dyDescent="0.3">
      <c r="BB1044441" s="38"/>
    </row>
    <row r="1044442" spans="54:54" ht="15.75" customHeight="1" x14ac:dyDescent="0.3">
      <c r="BB1044442" s="38"/>
    </row>
    <row r="1044443" spans="54:54" ht="15.75" customHeight="1" x14ac:dyDescent="0.3">
      <c r="BB1044443" s="38"/>
    </row>
    <row r="1044444" spans="54:54" ht="15.75" customHeight="1" x14ac:dyDescent="0.3">
      <c r="BB1044444" s="38"/>
    </row>
    <row r="1044445" spans="54:54" ht="15.75" customHeight="1" x14ac:dyDescent="0.3">
      <c r="BB1044445" s="38"/>
    </row>
    <row r="1044446" spans="54:54" ht="15.75" customHeight="1" x14ac:dyDescent="0.3">
      <c r="BB1044446" s="38"/>
    </row>
    <row r="1044447" spans="54:54" ht="15.75" customHeight="1" x14ac:dyDescent="0.3">
      <c r="BB1044447" s="38"/>
    </row>
    <row r="1044448" spans="54:54" ht="15.75" customHeight="1" x14ac:dyDescent="0.3">
      <c r="BB1044448" s="38"/>
    </row>
    <row r="1044449" spans="54:54" ht="15.75" customHeight="1" x14ac:dyDescent="0.3">
      <c r="BB1044449" s="38"/>
    </row>
    <row r="1044450" spans="54:54" ht="15.75" customHeight="1" x14ac:dyDescent="0.3">
      <c r="BB1044450" s="38"/>
    </row>
    <row r="1044451" spans="54:54" ht="15.75" customHeight="1" x14ac:dyDescent="0.3">
      <c r="BB1044451" s="38"/>
    </row>
    <row r="1044452" spans="54:54" ht="15.75" customHeight="1" x14ac:dyDescent="0.3">
      <c r="BB1044452" s="38"/>
    </row>
    <row r="1044453" spans="54:54" ht="15.75" customHeight="1" x14ac:dyDescent="0.3">
      <c r="BB1044453" s="38"/>
    </row>
    <row r="1044454" spans="54:54" ht="15.75" customHeight="1" x14ac:dyDescent="0.3">
      <c r="BB1044454" s="38"/>
    </row>
    <row r="1044455" spans="54:54" ht="15.75" customHeight="1" x14ac:dyDescent="0.3">
      <c r="BB1044455" s="38"/>
    </row>
    <row r="1044456" spans="54:54" ht="15.75" customHeight="1" x14ac:dyDescent="0.3">
      <c r="BB1044456" s="38"/>
    </row>
    <row r="1044457" spans="54:54" ht="15.75" customHeight="1" x14ac:dyDescent="0.3">
      <c r="BB1044457" s="38"/>
    </row>
    <row r="1044458" spans="54:54" ht="15.75" customHeight="1" x14ac:dyDescent="0.3">
      <c r="BB1044458" s="38"/>
    </row>
    <row r="1044459" spans="54:54" ht="15.75" customHeight="1" x14ac:dyDescent="0.3">
      <c r="BB1044459" s="38"/>
    </row>
    <row r="1044460" spans="54:54" ht="15.75" customHeight="1" x14ac:dyDescent="0.3">
      <c r="BB1044460" s="38"/>
    </row>
    <row r="1044461" spans="54:54" ht="15.75" customHeight="1" x14ac:dyDescent="0.3">
      <c r="BB1044461" s="38"/>
    </row>
    <row r="1044462" spans="54:54" ht="15.75" customHeight="1" x14ac:dyDescent="0.3">
      <c r="BB1044462" s="38"/>
    </row>
    <row r="1044463" spans="54:54" ht="15.75" customHeight="1" x14ac:dyDescent="0.3">
      <c r="BB1044463" s="38"/>
    </row>
    <row r="1044464" spans="54:54" ht="15.75" customHeight="1" x14ac:dyDescent="0.3">
      <c r="BB1044464" s="38"/>
    </row>
    <row r="1044465" spans="54:54" ht="15.75" customHeight="1" x14ac:dyDescent="0.3">
      <c r="BB1044465" s="38"/>
    </row>
    <row r="1044466" spans="54:54" ht="15.75" customHeight="1" x14ac:dyDescent="0.3">
      <c r="BB1044466" s="38"/>
    </row>
    <row r="1044467" spans="54:54" ht="15.75" customHeight="1" x14ac:dyDescent="0.3">
      <c r="BB1044467" s="38"/>
    </row>
    <row r="1044468" spans="54:54" ht="15.75" customHeight="1" x14ac:dyDescent="0.3">
      <c r="BB1044468" s="38"/>
    </row>
    <row r="1044469" spans="54:54" ht="15.75" customHeight="1" x14ac:dyDescent="0.3">
      <c r="BB1044469" s="38"/>
    </row>
    <row r="1044470" spans="54:54" ht="15.75" customHeight="1" x14ac:dyDescent="0.3">
      <c r="BB1044470" s="38"/>
    </row>
    <row r="1044471" spans="54:54" ht="15.75" customHeight="1" x14ac:dyDescent="0.3">
      <c r="BB1044471" s="38"/>
    </row>
    <row r="1044472" spans="54:54" ht="15.75" customHeight="1" x14ac:dyDescent="0.3">
      <c r="BB1044472" s="38"/>
    </row>
    <row r="1044473" spans="54:54" ht="15.75" customHeight="1" x14ac:dyDescent="0.3">
      <c r="BB1044473" s="38"/>
    </row>
    <row r="1044474" spans="54:54" ht="15.75" customHeight="1" x14ac:dyDescent="0.3">
      <c r="BB1044474" s="38"/>
    </row>
    <row r="1044475" spans="54:54" ht="15.75" customHeight="1" x14ac:dyDescent="0.3">
      <c r="BB1044475" s="38"/>
    </row>
    <row r="1044476" spans="54:54" ht="15.75" customHeight="1" x14ac:dyDescent="0.3">
      <c r="BB1044476" s="38"/>
    </row>
    <row r="1044477" spans="54:54" ht="15.75" customHeight="1" x14ac:dyDescent="0.3">
      <c r="BB1044477" s="38"/>
    </row>
    <row r="1044478" spans="54:54" ht="15.75" customHeight="1" x14ac:dyDescent="0.3">
      <c r="BB1044478" s="38"/>
    </row>
    <row r="1044479" spans="54:54" ht="15.75" customHeight="1" x14ac:dyDescent="0.3">
      <c r="BB1044479" s="38"/>
    </row>
    <row r="1044480" spans="54:54" ht="15.75" customHeight="1" x14ac:dyDescent="0.3">
      <c r="BB1044480" s="38"/>
    </row>
    <row r="1044481" spans="54:54" ht="15.75" customHeight="1" x14ac:dyDescent="0.3">
      <c r="BB1044481" s="38"/>
    </row>
    <row r="1044482" spans="54:54" ht="15.75" customHeight="1" x14ac:dyDescent="0.3">
      <c r="BB1044482" s="38"/>
    </row>
    <row r="1044483" spans="54:54" ht="15.75" customHeight="1" x14ac:dyDescent="0.3">
      <c r="BB1044483" s="38"/>
    </row>
    <row r="1044484" spans="54:54" ht="15.75" customHeight="1" x14ac:dyDescent="0.3">
      <c r="BB1044484" s="38"/>
    </row>
    <row r="1044485" spans="54:54" ht="15.75" customHeight="1" x14ac:dyDescent="0.3">
      <c r="BB1044485" s="38"/>
    </row>
    <row r="1044486" spans="54:54" ht="15.75" customHeight="1" x14ac:dyDescent="0.3">
      <c r="BB1044486" s="38"/>
    </row>
    <row r="1044487" spans="54:54" ht="15.75" customHeight="1" x14ac:dyDescent="0.3">
      <c r="BB1044487" s="38"/>
    </row>
    <row r="1044488" spans="54:54" ht="15.75" customHeight="1" x14ac:dyDescent="0.3">
      <c r="BB1044488" s="38"/>
    </row>
    <row r="1044489" spans="54:54" ht="15.75" customHeight="1" x14ac:dyDescent="0.3">
      <c r="BB1044489" s="38"/>
    </row>
    <row r="1044490" spans="54:54" ht="15.75" customHeight="1" x14ac:dyDescent="0.3">
      <c r="BB1044490" s="38"/>
    </row>
    <row r="1044491" spans="54:54" ht="15.75" customHeight="1" x14ac:dyDescent="0.3">
      <c r="BB1044491" s="38"/>
    </row>
    <row r="1044492" spans="54:54" ht="15.75" customHeight="1" x14ac:dyDescent="0.3">
      <c r="BB1044492" s="38"/>
    </row>
    <row r="1044493" spans="54:54" ht="15.75" customHeight="1" x14ac:dyDescent="0.3">
      <c r="BB1044493" s="38"/>
    </row>
    <row r="1044494" spans="54:54" ht="15.75" customHeight="1" x14ac:dyDescent="0.3">
      <c r="BB1044494" s="38"/>
    </row>
    <row r="1044495" spans="54:54" ht="15.75" customHeight="1" x14ac:dyDescent="0.3">
      <c r="BB1044495" s="38"/>
    </row>
    <row r="1044496" spans="54:54" ht="15.75" customHeight="1" x14ac:dyDescent="0.3">
      <c r="BB1044496" s="38"/>
    </row>
    <row r="1044497" spans="54:54" ht="15.75" customHeight="1" x14ac:dyDescent="0.3">
      <c r="BB1044497" s="38"/>
    </row>
    <row r="1044498" spans="54:54" ht="15.75" customHeight="1" x14ac:dyDescent="0.3">
      <c r="BB1044498" s="38"/>
    </row>
    <row r="1044499" spans="54:54" ht="15.75" customHeight="1" x14ac:dyDescent="0.3">
      <c r="BB1044499" s="38"/>
    </row>
    <row r="1044500" spans="54:54" ht="15.75" customHeight="1" x14ac:dyDescent="0.3">
      <c r="BB1044500" s="38"/>
    </row>
    <row r="1044501" spans="54:54" ht="15.75" customHeight="1" x14ac:dyDescent="0.3">
      <c r="BB1044501" s="38"/>
    </row>
    <row r="1044502" spans="54:54" ht="15.75" customHeight="1" x14ac:dyDescent="0.3">
      <c r="BB1044502" s="38"/>
    </row>
    <row r="1044503" spans="54:54" ht="15.75" customHeight="1" x14ac:dyDescent="0.3">
      <c r="BB1044503" s="38"/>
    </row>
    <row r="1044504" spans="54:54" ht="15.75" customHeight="1" x14ac:dyDescent="0.3">
      <c r="BB1044504" s="38"/>
    </row>
    <row r="1044505" spans="54:54" ht="15.75" customHeight="1" x14ac:dyDescent="0.3">
      <c r="BB1044505" s="38"/>
    </row>
    <row r="1044506" spans="54:54" ht="15.75" customHeight="1" x14ac:dyDescent="0.3">
      <c r="BB1044506" s="38"/>
    </row>
    <row r="1044507" spans="54:54" ht="15.75" customHeight="1" x14ac:dyDescent="0.3">
      <c r="BB1044507" s="38"/>
    </row>
    <row r="1044508" spans="54:54" ht="15.75" customHeight="1" x14ac:dyDescent="0.3">
      <c r="BB1044508" s="38"/>
    </row>
    <row r="1044509" spans="54:54" ht="15.75" customHeight="1" x14ac:dyDescent="0.3">
      <c r="BB1044509" s="38"/>
    </row>
    <row r="1044510" spans="54:54" ht="15.75" customHeight="1" x14ac:dyDescent="0.3">
      <c r="BB1044510" s="38"/>
    </row>
    <row r="1044511" spans="54:54" ht="15.75" customHeight="1" x14ac:dyDescent="0.3">
      <c r="BB1044511" s="38"/>
    </row>
    <row r="1044512" spans="54:54" ht="15.75" customHeight="1" x14ac:dyDescent="0.3">
      <c r="BB1044512" s="38"/>
    </row>
    <row r="1044513" spans="54:54" ht="15.75" customHeight="1" x14ac:dyDescent="0.3">
      <c r="BB1044513" s="38"/>
    </row>
    <row r="1044514" spans="54:54" ht="15.75" customHeight="1" x14ac:dyDescent="0.3">
      <c r="BB1044514" s="38"/>
    </row>
    <row r="1044515" spans="54:54" ht="15.75" customHeight="1" x14ac:dyDescent="0.3">
      <c r="BB1044515" s="38"/>
    </row>
    <row r="1044516" spans="54:54" ht="15.75" customHeight="1" x14ac:dyDescent="0.3">
      <c r="BB1044516" s="38"/>
    </row>
    <row r="1044517" spans="54:54" ht="15.75" customHeight="1" x14ac:dyDescent="0.3">
      <c r="BB1044517" s="38"/>
    </row>
    <row r="1044518" spans="54:54" ht="15.75" customHeight="1" x14ac:dyDescent="0.3">
      <c r="BB1044518" s="38"/>
    </row>
    <row r="1044519" spans="54:54" ht="15.75" customHeight="1" x14ac:dyDescent="0.3">
      <c r="BB1044519" s="38"/>
    </row>
    <row r="1044520" spans="54:54" ht="15.75" customHeight="1" x14ac:dyDescent="0.3">
      <c r="BB1044520" s="38"/>
    </row>
    <row r="1044521" spans="54:54" ht="15.75" customHeight="1" x14ac:dyDescent="0.3">
      <c r="BB1044521" s="38"/>
    </row>
    <row r="1044522" spans="54:54" ht="15.75" customHeight="1" x14ac:dyDescent="0.3">
      <c r="BB1044522" s="38"/>
    </row>
    <row r="1044523" spans="54:54" ht="15.75" customHeight="1" x14ac:dyDescent="0.3">
      <c r="BB1044523" s="38"/>
    </row>
    <row r="1044524" spans="54:54" ht="15.75" customHeight="1" x14ac:dyDescent="0.3">
      <c r="BB1044524" s="38"/>
    </row>
    <row r="1044525" spans="54:54" ht="15.75" customHeight="1" x14ac:dyDescent="0.3">
      <c r="BB1044525" s="38"/>
    </row>
    <row r="1044526" spans="54:54" ht="15.75" customHeight="1" x14ac:dyDescent="0.3">
      <c r="BB1044526" s="38"/>
    </row>
    <row r="1044527" spans="54:54" ht="15.75" customHeight="1" x14ac:dyDescent="0.3">
      <c r="BB1044527" s="38"/>
    </row>
    <row r="1044528" spans="54:54" ht="15.75" customHeight="1" x14ac:dyDescent="0.3">
      <c r="BB1044528" s="38"/>
    </row>
    <row r="1044529" spans="54:54" ht="15.75" customHeight="1" x14ac:dyDescent="0.3">
      <c r="BB1044529" s="38"/>
    </row>
    <row r="1044530" spans="54:54" ht="15.75" customHeight="1" x14ac:dyDescent="0.3">
      <c r="BB1044530" s="38"/>
    </row>
    <row r="1044531" spans="54:54" ht="15.75" customHeight="1" x14ac:dyDescent="0.3">
      <c r="BB1044531" s="38"/>
    </row>
    <row r="1044532" spans="54:54" ht="15.75" customHeight="1" x14ac:dyDescent="0.3">
      <c r="BB1044532" s="38"/>
    </row>
    <row r="1044533" spans="54:54" ht="15.75" customHeight="1" x14ac:dyDescent="0.3">
      <c r="BB1044533" s="38"/>
    </row>
    <row r="1044534" spans="54:54" ht="15.75" customHeight="1" x14ac:dyDescent="0.3">
      <c r="BB1044534" s="38"/>
    </row>
    <row r="1044535" spans="54:54" ht="15.75" customHeight="1" x14ac:dyDescent="0.3">
      <c r="BB1044535" s="38"/>
    </row>
    <row r="1044536" spans="54:54" ht="15.75" customHeight="1" x14ac:dyDescent="0.3">
      <c r="BB1044536" s="38"/>
    </row>
    <row r="1044537" spans="54:54" ht="15.75" customHeight="1" x14ac:dyDescent="0.3">
      <c r="BB1044537" s="38"/>
    </row>
    <row r="1044538" spans="54:54" ht="15.75" customHeight="1" x14ac:dyDescent="0.3">
      <c r="BB1044538" s="38"/>
    </row>
    <row r="1044539" spans="54:54" ht="15.75" customHeight="1" x14ac:dyDescent="0.3">
      <c r="BB1044539" s="38"/>
    </row>
    <row r="1044540" spans="54:54" ht="15.75" customHeight="1" x14ac:dyDescent="0.3">
      <c r="BB1044540" s="38"/>
    </row>
    <row r="1044541" spans="54:54" ht="15.75" customHeight="1" x14ac:dyDescent="0.3">
      <c r="BB1044541" s="38"/>
    </row>
    <row r="1044542" spans="54:54" ht="15.75" customHeight="1" x14ac:dyDescent="0.3">
      <c r="BB1044542" s="38"/>
    </row>
    <row r="1044543" spans="54:54" ht="15.75" customHeight="1" x14ac:dyDescent="0.3">
      <c r="BB1044543" s="38"/>
    </row>
    <row r="1044544" spans="54:54" ht="15.75" customHeight="1" x14ac:dyDescent="0.3">
      <c r="BB1044544" s="38"/>
    </row>
    <row r="1044545" spans="54:54" ht="15.75" customHeight="1" x14ac:dyDescent="0.3">
      <c r="BB1044545" s="38"/>
    </row>
    <row r="1044546" spans="54:54" ht="15.75" customHeight="1" x14ac:dyDescent="0.3">
      <c r="BB1044546" s="38"/>
    </row>
    <row r="1044547" spans="54:54" ht="15.75" customHeight="1" x14ac:dyDescent="0.3">
      <c r="BB1044547" s="38"/>
    </row>
    <row r="1044548" spans="54:54" ht="15.75" customHeight="1" x14ac:dyDescent="0.3">
      <c r="BB1044548" s="38"/>
    </row>
    <row r="1044549" spans="54:54" ht="15.75" customHeight="1" x14ac:dyDescent="0.3">
      <c r="BB1044549" s="38"/>
    </row>
    <row r="1044550" spans="54:54" ht="15.75" customHeight="1" x14ac:dyDescent="0.3">
      <c r="BB1044550" s="38"/>
    </row>
    <row r="1044551" spans="54:54" ht="15.75" customHeight="1" x14ac:dyDescent="0.3">
      <c r="BB1044551" s="38"/>
    </row>
    <row r="1044552" spans="54:54" ht="15.75" customHeight="1" x14ac:dyDescent="0.3">
      <c r="BB1044552" s="38"/>
    </row>
    <row r="1044553" spans="54:54" ht="15.75" customHeight="1" x14ac:dyDescent="0.3">
      <c r="BB1044553" s="38"/>
    </row>
    <row r="1044554" spans="54:54" ht="15.75" customHeight="1" x14ac:dyDescent="0.3">
      <c r="BB1044554" s="38"/>
    </row>
    <row r="1044555" spans="54:54" ht="15.75" customHeight="1" x14ac:dyDescent="0.3">
      <c r="BB1044555" s="38"/>
    </row>
    <row r="1044556" spans="54:54" ht="15.75" customHeight="1" x14ac:dyDescent="0.3">
      <c r="BB1044556" s="38"/>
    </row>
    <row r="1044557" spans="54:54" ht="15.75" customHeight="1" x14ac:dyDescent="0.3">
      <c r="BB1044557" s="38"/>
    </row>
    <row r="1044558" spans="54:54" ht="15.75" customHeight="1" x14ac:dyDescent="0.3">
      <c r="BB1044558" s="38"/>
    </row>
    <row r="1044559" spans="54:54" ht="15.75" customHeight="1" x14ac:dyDescent="0.3">
      <c r="BB1044559" s="38"/>
    </row>
    <row r="1044560" spans="54:54" ht="15.75" customHeight="1" x14ac:dyDescent="0.3">
      <c r="BB1044560" s="38"/>
    </row>
    <row r="1044561" spans="54:54" ht="15.75" customHeight="1" x14ac:dyDescent="0.3">
      <c r="BB1044561" s="38"/>
    </row>
    <row r="1044562" spans="54:54" ht="15.75" customHeight="1" x14ac:dyDescent="0.3">
      <c r="BB1044562" s="38"/>
    </row>
    <row r="1044563" spans="54:54" ht="15.75" customHeight="1" x14ac:dyDescent="0.3">
      <c r="BB1044563" s="38"/>
    </row>
    <row r="1044564" spans="54:54" ht="15.75" customHeight="1" x14ac:dyDescent="0.3">
      <c r="BB1044564" s="38"/>
    </row>
    <row r="1044565" spans="54:54" ht="15.75" customHeight="1" x14ac:dyDescent="0.3">
      <c r="BB1044565" s="38"/>
    </row>
    <row r="1044566" spans="54:54" ht="15.75" customHeight="1" x14ac:dyDescent="0.3">
      <c r="BB1044566" s="38"/>
    </row>
    <row r="1044567" spans="54:54" ht="15.75" customHeight="1" x14ac:dyDescent="0.3">
      <c r="BB1044567" s="38"/>
    </row>
    <row r="1044568" spans="54:54" ht="15.75" customHeight="1" x14ac:dyDescent="0.3">
      <c r="BB1044568" s="38"/>
    </row>
    <row r="1044569" spans="54:54" ht="15.75" customHeight="1" x14ac:dyDescent="0.3">
      <c r="BB1044569" s="38"/>
    </row>
    <row r="1044570" spans="54:54" ht="15.75" customHeight="1" x14ac:dyDescent="0.3">
      <c r="BB1044570" s="38"/>
    </row>
    <row r="1044571" spans="54:54" ht="15.75" customHeight="1" x14ac:dyDescent="0.3">
      <c r="BB1044571" s="38"/>
    </row>
    <row r="1044572" spans="54:54" ht="15.75" customHeight="1" x14ac:dyDescent="0.3">
      <c r="BB1044572" s="38"/>
    </row>
    <row r="1044573" spans="54:54" ht="15.75" customHeight="1" x14ac:dyDescent="0.3">
      <c r="BB1044573" s="38"/>
    </row>
    <row r="1044574" spans="54:54" ht="15.75" customHeight="1" x14ac:dyDescent="0.3">
      <c r="BB1044574" s="38"/>
    </row>
    <row r="1044575" spans="54:54" ht="15.75" customHeight="1" x14ac:dyDescent="0.3">
      <c r="BB1044575" s="38"/>
    </row>
    <row r="1044576" spans="54:54" ht="15.75" customHeight="1" x14ac:dyDescent="0.3">
      <c r="BB1044576" s="38"/>
    </row>
    <row r="1044577" spans="54:54" ht="15.75" customHeight="1" x14ac:dyDescent="0.3">
      <c r="BB1044577" s="38"/>
    </row>
    <row r="1044578" spans="54:54" ht="15.75" customHeight="1" x14ac:dyDescent="0.3">
      <c r="BB1044578" s="38"/>
    </row>
    <row r="1044579" spans="54:54" ht="15.75" customHeight="1" x14ac:dyDescent="0.3">
      <c r="BB1044579" s="38"/>
    </row>
    <row r="1044580" spans="54:54" ht="15.75" customHeight="1" x14ac:dyDescent="0.3">
      <c r="BB1044580" s="38"/>
    </row>
    <row r="1044581" spans="54:54" ht="15.75" customHeight="1" x14ac:dyDescent="0.3">
      <c r="BB1044581" s="38"/>
    </row>
    <row r="1044582" spans="54:54" ht="15.75" customHeight="1" x14ac:dyDescent="0.3">
      <c r="BB1044582" s="38"/>
    </row>
    <row r="1044583" spans="54:54" ht="15.75" customHeight="1" x14ac:dyDescent="0.3">
      <c r="BB1044583" s="38"/>
    </row>
    <row r="1044584" spans="54:54" ht="15.75" customHeight="1" x14ac:dyDescent="0.3">
      <c r="BB1044584" s="38"/>
    </row>
    <row r="1044585" spans="54:54" ht="15.75" customHeight="1" x14ac:dyDescent="0.3">
      <c r="BB1044585" s="38"/>
    </row>
    <row r="1044586" spans="54:54" ht="15.75" customHeight="1" x14ac:dyDescent="0.3">
      <c r="BB1044586" s="38"/>
    </row>
    <row r="1044587" spans="54:54" ht="15.75" customHeight="1" x14ac:dyDescent="0.3">
      <c r="BB1044587" s="38"/>
    </row>
    <row r="1044588" spans="54:54" ht="15.75" customHeight="1" x14ac:dyDescent="0.3">
      <c r="BB1044588" s="38"/>
    </row>
    <row r="1044589" spans="54:54" ht="15.75" customHeight="1" x14ac:dyDescent="0.3">
      <c r="BB1044589" s="38"/>
    </row>
    <row r="1044590" spans="54:54" ht="15.75" customHeight="1" x14ac:dyDescent="0.3">
      <c r="BB1044590" s="38"/>
    </row>
    <row r="1044591" spans="54:54" ht="15.75" customHeight="1" x14ac:dyDescent="0.3">
      <c r="BB1044591" s="38"/>
    </row>
    <row r="1044592" spans="54:54" ht="15.75" customHeight="1" x14ac:dyDescent="0.3">
      <c r="BB1044592" s="38"/>
    </row>
    <row r="1044593" spans="54:54" ht="15.75" customHeight="1" x14ac:dyDescent="0.3">
      <c r="BB1044593" s="38"/>
    </row>
    <row r="1044594" spans="54:54" ht="15.75" customHeight="1" x14ac:dyDescent="0.3">
      <c r="BB1044594" s="38"/>
    </row>
    <row r="1044595" spans="54:54" ht="15.75" customHeight="1" x14ac:dyDescent="0.3">
      <c r="BB1044595" s="38"/>
    </row>
    <row r="1044596" spans="54:54" ht="15.75" customHeight="1" x14ac:dyDescent="0.3">
      <c r="BB1044596" s="38"/>
    </row>
    <row r="1044597" spans="54:54" ht="15.75" customHeight="1" x14ac:dyDescent="0.3">
      <c r="BB1044597" s="38"/>
    </row>
    <row r="1044598" spans="54:54" ht="15.75" customHeight="1" x14ac:dyDescent="0.3">
      <c r="BB1044598" s="38"/>
    </row>
    <row r="1044599" spans="54:54" ht="15.75" customHeight="1" x14ac:dyDescent="0.3">
      <c r="BB1044599" s="38"/>
    </row>
    <row r="1044600" spans="54:54" ht="15.75" customHeight="1" x14ac:dyDescent="0.3">
      <c r="BB1044600" s="38"/>
    </row>
    <row r="1044601" spans="54:54" ht="15.75" customHeight="1" x14ac:dyDescent="0.3">
      <c r="BB1044601" s="38"/>
    </row>
    <row r="1044602" spans="54:54" ht="15.75" customHeight="1" x14ac:dyDescent="0.3">
      <c r="BB1044602" s="38"/>
    </row>
    <row r="1044603" spans="54:54" ht="15.75" customHeight="1" x14ac:dyDescent="0.3">
      <c r="BB1044603" s="38"/>
    </row>
    <row r="1044604" spans="54:54" ht="15.75" customHeight="1" x14ac:dyDescent="0.3">
      <c r="BB1044604" s="38"/>
    </row>
    <row r="1044605" spans="54:54" ht="15.75" customHeight="1" x14ac:dyDescent="0.3">
      <c r="BB1044605" s="38"/>
    </row>
    <row r="1044606" spans="54:54" ht="15.75" customHeight="1" x14ac:dyDescent="0.3">
      <c r="BB1044606" s="38"/>
    </row>
    <row r="1044607" spans="54:54" ht="15.75" customHeight="1" x14ac:dyDescent="0.3">
      <c r="BB1044607" s="38"/>
    </row>
    <row r="1044608" spans="54:54" ht="15.75" customHeight="1" x14ac:dyDescent="0.3">
      <c r="BB1044608" s="38"/>
    </row>
    <row r="1044609" spans="54:54" ht="15.75" customHeight="1" x14ac:dyDescent="0.3">
      <c r="BB1044609" s="38"/>
    </row>
    <row r="1044610" spans="54:54" ht="15.75" customHeight="1" x14ac:dyDescent="0.3">
      <c r="BB1044610" s="38"/>
    </row>
    <row r="1044611" spans="54:54" ht="15.75" customHeight="1" x14ac:dyDescent="0.3">
      <c r="BB1044611" s="38"/>
    </row>
    <row r="1044612" spans="54:54" ht="15.75" customHeight="1" x14ac:dyDescent="0.3">
      <c r="BB1044612" s="38"/>
    </row>
    <row r="1044613" spans="54:54" ht="15.75" customHeight="1" x14ac:dyDescent="0.3">
      <c r="BB1044613" s="38"/>
    </row>
    <row r="1044614" spans="54:54" ht="15.75" customHeight="1" x14ac:dyDescent="0.3">
      <c r="BB1044614" s="38"/>
    </row>
    <row r="1044615" spans="54:54" ht="15.75" customHeight="1" x14ac:dyDescent="0.3">
      <c r="BB1044615" s="38"/>
    </row>
    <row r="1044616" spans="54:54" ht="15.75" customHeight="1" x14ac:dyDescent="0.3">
      <c r="BB1044616" s="38"/>
    </row>
    <row r="1044617" spans="54:54" ht="15.75" customHeight="1" x14ac:dyDescent="0.3">
      <c r="BB1044617" s="38"/>
    </row>
    <row r="1044618" spans="54:54" ht="15.75" customHeight="1" x14ac:dyDescent="0.3">
      <c r="BB1044618" s="38"/>
    </row>
    <row r="1044619" spans="54:54" ht="15.75" customHeight="1" x14ac:dyDescent="0.3">
      <c r="BB1044619" s="38"/>
    </row>
    <row r="1044620" spans="54:54" ht="15.75" customHeight="1" x14ac:dyDescent="0.3">
      <c r="BB1044620" s="38"/>
    </row>
    <row r="1044621" spans="54:54" ht="15.75" customHeight="1" x14ac:dyDescent="0.3">
      <c r="BB1044621" s="38"/>
    </row>
    <row r="1044622" spans="54:54" ht="15.75" customHeight="1" x14ac:dyDescent="0.3">
      <c r="BB1044622" s="38"/>
    </row>
    <row r="1044623" spans="54:54" ht="15.75" customHeight="1" x14ac:dyDescent="0.3">
      <c r="BB1044623" s="38"/>
    </row>
    <row r="1044624" spans="54:54" ht="15.75" customHeight="1" x14ac:dyDescent="0.3">
      <c r="BB1044624" s="38"/>
    </row>
    <row r="1044625" spans="54:54" ht="15.75" customHeight="1" x14ac:dyDescent="0.3">
      <c r="BB1044625" s="38"/>
    </row>
    <row r="1044626" spans="54:54" ht="15.75" customHeight="1" x14ac:dyDescent="0.3">
      <c r="BB1044626" s="38"/>
    </row>
    <row r="1044627" spans="54:54" ht="15.75" customHeight="1" x14ac:dyDescent="0.3">
      <c r="BB1044627" s="38"/>
    </row>
    <row r="1044628" spans="54:54" ht="15.75" customHeight="1" x14ac:dyDescent="0.3">
      <c r="BB1044628" s="38"/>
    </row>
    <row r="1044629" spans="54:54" ht="15.75" customHeight="1" x14ac:dyDescent="0.3">
      <c r="BB1044629" s="38"/>
    </row>
    <row r="1044630" spans="54:54" ht="15.75" customHeight="1" x14ac:dyDescent="0.3">
      <c r="BB1044630" s="38"/>
    </row>
    <row r="1044631" spans="54:54" ht="15.75" customHeight="1" x14ac:dyDescent="0.3">
      <c r="BB1044631" s="38"/>
    </row>
    <row r="1044632" spans="54:54" ht="15.75" customHeight="1" x14ac:dyDescent="0.3">
      <c r="BB1044632" s="38"/>
    </row>
    <row r="1044633" spans="54:54" ht="15.75" customHeight="1" x14ac:dyDescent="0.3">
      <c r="BB1044633" s="38"/>
    </row>
    <row r="1044634" spans="54:54" ht="15.75" customHeight="1" x14ac:dyDescent="0.3">
      <c r="BB1044634" s="38"/>
    </row>
    <row r="1044635" spans="54:54" ht="15.75" customHeight="1" x14ac:dyDescent="0.3">
      <c r="BB1044635" s="38"/>
    </row>
    <row r="1044636" spans="54:54" ht="15.75" customHeight="1" x14ac:dyDescent="0.3">
      <c r="BB1044636" s="38"/>
    </row>
    <row r="1044637" spans="54:54" ht="15.75" customHeight="1" x14ac:dyDescent="0.3">
      <c r="BB1044637" s="38"/>
    </row>
    <row r="1044638" spans="54:54" ht="15.75" customHeight="1" x14ac:dyDescent="0.3">
      <c r="BB1044638" s="38"/>
    </row>
    <row r="1044639" spans="54:54" ht="15.75" customHeight="1" x14ac:dyDescent="0.3">
      <c r="BB1044639" s="38"/>
    </row>
    <row r="1044640" spans="54:54" ht="15.75" customHeight="1" x14ac:dyDescent="0.3">
      <c r="BB1044640" s="38"/>
    </row>
    <row r="1044641" spans="54:54" ht="15.75" customHeight="1" x14ac:dyDescent="0.3">
      <c r="BB1044641" s="38"/>
    </row>
    <row r="1044642" spans="54:54" ht="15.75" customHeight="1" x14ac:dyDescent="0.3">
      <c r="BB1044642" s="38"/>
    </row>
    <row r="1044643" spans="54:54" ht="15.75" customHeight="1" x14ac:dyDescent="0.3">
      <c r="BB1044643" s="38"/>
    </row>
    <row r="1044644" spans="54:54" ht="15.75" customHeight="1" x14ac:dyDescent="0.3">
      <c r="BB1044644" s="38"/>
    </row>
    <row r="1044645" spans="54:54" ht="15.75" customHeight="1" x14ac:dyDescent="0.3">
      <c r="BB1044645" s="38"/>
    </row>
    <row r="1044646" spans="54:54" ht="15.75" customHeight="1" x14ac:dyDescent="0.3">
      <c r="BB1044646" s="38"/>
    </row>
    <row r="1044647" spans="54:54" ht="15.75" customHeight="1" x14ac:dyDescent="0.3">
      <c r="BB1044647" s="38"/>
    </row>
    <row r="1044648" spans="54:54" ht="15.75" customHeight="1" x14ac:dyDescent="0.3">
      <c r="BB1044648" s="38"/>
    </row>
    <row r="1044649" spans="54:54" ht="15.75" customHeight="1" x14ac:dyDescent="0.3">
      <c r="BB1044649" s="38"/>
    </row>
    <row r="1044650" spans="54:54" ht="15.75" customHeight="1" x14ac:dyDescent="0.3">
      <c r="BB1044650" s="38"/>
    </row>
    <row r="1044651" spans="54:54" ht="15.75" customHeight="1" x14ac:dyDescent="0.3">
      <c r="BB1044651" s="38"/>
    </row>
    <row r="1044652" spans="54:54" ht="15.75" customHeight="1" x14ac:dyDescent="0.3">
      <c r="BB1044652" s="38"/>
    </row>
    <row r="1044653" spans="54:54" ht="15.75" customHeight="1" x14ac:dyDescent="0.3">
      <c r="BB1044653" s="38"/>
    </row>
    <row r="1044654" spans="54:54" ht="15.75" customHeight="1" x14ac:dyDescent="0.3">
      <c r="BB1044654" s="38"/>
    </row>
    <row r="1044655" spans="54:54" ht="15.75" customHeight="1" x14ac:dyDescent="0.3">
      <c r="BB1044655" s="38"/>
    </row>
    <row r="1044656" spans="54:54" ht="15.75" customHeight="1" x14ac:dyDescent="0.3">
      <c r="BB1044656" s="38"/>
    </row>
    <row r="1044657" spans="54:54" ht="15.75" customHeight="1" x14ac:dyDescent="0.3">
      <c r="BB1044657" s="38"/>
    </row>
    <row r="1044658" spans="54:54" ht="15.75" customHeight="1" x14ac:dyDescent="0.3">
      <c r="BB1044658" s="38"/>
    </row>
    <row r="1044659" spans="54:54" ht="15.75" customHeight="1" x14ac:dyDescent="0.3">
      <c r="BB1044659" s="38"/>
    </row>
    <row r="1044660" spans="54:54" ht="15.75" customHeight="1" x14ac:dyDescent="0.3">
      <c r="BB1044660" s="38"/>
    </row>
    <row r="1044661" spans="54:54" ht="15.75" customHeight="1" x14ac:dyDescent="0.3">
      <c r="BB1044661" s="38"/>
    </row>
    <row r="1044662" spans="54:54" ht="15.75" customHeight="1" x14ac:dyDescent="0.3">
      <c r="BB1044662" s="38"/>
    </row>
    <row r="1044663" spans="54:54" ht="15.75" customHeight="1" x14ac:dyDescent="0.3">
      <c r="BB1044663" s="38"/>
    </row>
    <row r="1044664" spans="54:54" ht="15.75" customHeight="1" x14ac:dyDescent="0.3">
      <c r="BB1044664" s="38"/>
    </row>
    <row r="1044665" spans="54:54" ht="15.75" customHeight="1" x14ac:dyDescent="0.3">
      <c r="BB1044665" s="38"/>
    </row>
    <row r="1044666" spans="54:54" ht="15.75" customHeight="1" x14ac:dyDescent="0.3">
      <c r="BB1044666" s="38"/>
    </row>
    <row r="1044667" spans="54:54" ht="15.75" customHeight="1" x14ac:dyDescent="0.3">
      <c r="BB1044667" s="38"/>
    </row>
    <row r="1044668" spans="54:54" ht="15.75" customHeight="1" x14ac:dyDescent="0.3">
      <c r="BB1044668" s="38"/>
    </row>
    <row r="1044669" spans="54:54" ht="15.75" customHeight="1" x14ac:dyDescent="0.3">
      <c r="BB1044669" s="38"/>
    </row>
    <row r="1044670" spans="54:54" ht="15.75" customHeight="1" x14ac:dyDescent="0.3">
      <c r="BB1044670" s="38"/>
    </row>
    <row r="1044671" spans="54:54" ht="15.75" customHeight="1" x14ac:dyDescent="0.3">
      <c r="BB1044671" s="38"/>
    </row>
    <row r="1044672" spans="54:54" ht="15.75" customHeight="1" x14ac:dyDescent="0.3">
      <c r="BB1044672" s="38"/>
    </row>
    <row r="1044673" spans="54:54" ht="15.75" customHeight="1" x14ac:dyDescent="0.3">
      <c r="BB1044673" s="38"/>
    </row>
    <row r="1044674" spans="54:54" ht="15.75" customHeight="1" x14ac:dyDescent="0.3">
      <c r="BB1044674" s="38"/>
    </row>
    <row r="1044675" spans="54:54" ht="15.75" customHeight="1" x14ac:dyDescent="0.3">
      <c r="BB1044675" s="38"/>
    </row>
    <row r="1044676" spans="54:54" ht="15.75" customHeight="1" x14ac:dyDescent="0.3">
      <c r="BB1044676" s="38"/>
    </row>
    <row r="1044677" spans="54:54" ht="15.75" customHeight="1" x14ac:dyDescent="0.3">
      <c r="BB1044677" s="38"/>
    </row>
    <row r="1044678" spans="54:54" ht="15.75" customHeight="1" x14ac:dyDescent="0.3">
      <c r="BB1044678" s="38"/>
    </row>
    <row r="1044679" spans="54:54" ht="15.75" customHeight="1" x14ac:dyDescent="0.3">
      <c r="BB1044679" s="38"/>
    </row>
    <row r="1044680" spans="54:54" ht="15.75" customHeight="1" x14ac:dyDescent="0.3">
      <c r="BB1044680" s="38"/>
    </row>
    <row r="1044681" spans="54:54" ht="15.75" customHeight="1" x14ac:dyDescent="0.3">
      <c r="BB1044681" s="38"/>
    </row>
    <row r="1044682" spans="54:54" ht="15.75" customHeight="1" x14ac:dyDescent="0.3">
      <c r="BB1044682" s="38"/>
    </row>
    <row r="1044683" spans="54:54" ht="15.75" customHeight="1" x14ac:dyDescent="0.3">
      <c r="BB1044683" s="38"/>
    </row>
    <row r="1044684" spans="54:54" ht="15.75" customHeight="1" x14ac:dyDescent="0.3">
      <c r="BB1044684" s="38"/>
    </row>
    <row r="1044685" spans="54:54" ht="15.75" customHeight="1" x14ac:dyDescent="0.3">
      <c r="BB1044685" s="38"/>
    </row>
    <row r="1044686" spans="54:54" ht="15.75" customHeight="1" x14ac:dyDescent="0.3">
      <c r="BB1044686" s="38"/>
    </row>
    <row r="1044687" spans="54:54" ht="15.75" customHeight="1" x14ac:dyDescent="0.3">
      <c r="BB1044687" s="38"/>
    </row>
    <row r="1044688" spans="54:54" ht="15.75" customHeight="1" x14ac:dyDescent="0.3">
      <c r="BB1044688" s="38"/>
    </row>
    <row r="1044689" spans="54:54" ht="15.75" customHeight="1" x14ac:dyDescent="0.3">
      <c r="BB1044689" s="38"/>
    </row>
    <row r="1044690" spans="54:54" ht="15.75" customHeight="1" x14ac:dyDescent="0.3">
      <c r="BB1044690" s="38"/>
    </row>
    <row r="1044691" spans="54:54" ht="15.75" customHeight="1" x14ac:dyDescent="0.3">
      <c r="BB1044691" s="38"/>
    </row>
    <row r="1044692" spans="54:54" ht="15.75" customHeight="1" x14ac:dyDescent="0.3">
      <c r="BB1044692" s="38"/>
    </row>
    <row r="1044693" spans="54:54" ht="15.75" customHeight="1" x14ac:dyDescent="0.3">
      <c r="BB1044693" s="38"/>
    </row>
    <row r="1044694" spans="54:54" ht="15.75" customHeight="1" x14ac:dyDescent="0.3">
      <c r="BB1044694" s="38"/>
    </row>
    <row r="1044695" spans="54:54" ht="15.75" customHeight="1" x14ac:dyDescent="0.3">
      <c r="BB1044695" s="38"/>
    </row>
    <row r="1044696" spans="54:54" ht="15.75" customHeight="1" x14ac:dyDescent="0.3">
      <c r="BB1044696" s="38"/>
    </row>
    <row r="1044697" spans="54:54" ht="15.75" customHeight="1" x14ac:dyDescent="0.3">
      <c r="BB1044697" s="38"/>
    </row>
    <row r="1044698" spans="54:54" ht="15.75" customHeight="1" x14ac:dyDescent="0.3">
      <c r="BB1044698" s="38"/>
    </row>
    <row r="1044699" spans="54:54" ht="15.75" customHeight="1" x14ac:dyDescent="0.3">
      <c r="BB1044699" s="38"/>
    </row>
    <row r="1044700" spans="54:54" ht="15.75" customHeight="1" x14ac:dyDescent="0.3">
      <c r="BB1044700" s="38"/>
    </row>
    <row r="1044701" spans="54:54" ht="15.75" customHeight="1" x14ac:dyDescent="0.3">
      <c r="BB1044701" s="38"/>
    </row>
    <row r="1044702" spans="54:54" ht="15.75" customHeight="1" x14ac:dyDescent="0.3">
      <c r="BB1044702" s="38"/>
    </row>
    <row r="1044703" spans="54:54" ht="15.75" customHeight="1" x14ac:dyDescent="0.3">
      <c r="BB1044703" s="38"/>
    </row>
    <row r="1044704" spans="54:54" ht="15.75" customHeight="1" x14ac:dyDescent="0.3">
      <c r="BB1044704" s="38"/>
    </row>
    <row r="1044705" spans="54:54" ht="15.75" customHeight="1" x14ac:dyDescent="0.3">
      <c r="BB1044705" s="38"/>
    </row>
    <row r="1044706" spans="54:54" ht="15.75" customHeight="1" x14ac:dyDescent="0.3">
      <c r="BB1044706" s="38"/>
    </row>
    <row r="1044707" spans="54:54" ht="15.75" customHeight="1" x14ac:dyDescent="0.3">
      <c r="BB1044707" s="38"/>
    </row>
    <row r="1044708" spans="54:54" ht="15.75" customHeight="1" x14ac:dyDescent="0.3">
      <c r="BB1044708" s="38"/>
    </row>
    <row r="1044709" spans="54:54" ht="15.75" customHeight="1" x14ac:dyDescent="0.3">
      <c r="BB1044709" s="38"/>
    </row>
    <row r="1044710" spans="54:54" ht="15.75" customHeight="1" x14ac:dyDescent="0.3">
      <c r="BB1044710" s="38"/>
    </row>
    <row r="1044711" spans="54:54" ht="15.75" customHeight="1" x14ac:dyDescent="0.3">
      <c r="BB1044711" s="38"/>
    </row>
    <row r="1044712" spans="54:54" ht="15.75" customHeight="1" x14ac:dyDescent="0.3">
      <c r="BB1044712" s="38"/>
    </row>
    <row r="1044713" spans="54:54" ht="15.75" customHeight="1" x14ac:dyDescent="0.3">
      <c r="BB1044713" s="38"/>
    </row>
    <row r="1044714" spans="54:54" ht="15.75" customHeight="1" x14ac:dyDescent="0.3">
      <c r="BB1044714" s="38"/>
    </row>
    <row r="1044715" spans="54:54" ht="15.75" customHeight="1" x14ac:dyDescent="0.3">
      <c r="BB1044715" s="38"/>
    </row>
    <row r="1044716" spans="54:54" ht="15.75" customHeight="1" x14ac:dyDescent="0.3">
      <c r="BB1044716" s="38"/>
    </row>
    <row r="1044717" spans="54:54" ht="15.75" customHeight="1" x14ac:dyDescent="0.3">
      <c r="BB1044717" s="38"/>
    </row>
    <row r="1044718" spans="54:54" ht="15.75" customHeight="1" x14ac:dyDescent="0.3">
      <c r="BB1044718" s="38"/>
    </row>
    <row r="1044719" spans="54:54" ht="15.75" customHeight="1" x14ac:dyDescent="0.3">
      <c r="BB1044719" s="38"/>
    </row>
    <row r="1044720" spans="54:54" ht="15.75" customHeight="1" x14ac:dyDescent="0.3">
      <c r="BB1044720" s="38"/>
    </row>
    <row r="1044721" spans="54:54" ht="15.75" customHeight="1" x14ac:dyDescent="0.3">
      <c r="BB1044721" s="38"/>
    </row>
    <row r="1044722" spans="54:54" ht="15.75" customHeight="1" x14ac:dyDescent="0.3">
      <c r="BB1044722" s="38"/>
    </row>
    <row r="1044723" spans="54:54" ht="15.75" customHeight="1" x14ac:dyDescent="0.3">
      <c r="BB1044723" s="38"/>
    </row>
    <row r="1044724" spans="54:54" ht="15.75" customHeight="1" x14ac:dyDescent="0.3">
      <c r="BB1044724" s="38"/>
    </row>
    <row r="1044725" spans="54:54" ht="15.75" customHeight="1" x14ac:dyDescent="0.3">
      <c r="BB1044725" s="38"/>
    </row>
    <row r="1044726" spans="54:54" ht="15.75" customHeight="1" x14ac:dyDescent="0.3">
      <c r="BB1044726" s="38"/>
    </row>
    <row r="1044727" spans="54:54" ht="15.75" customHeight="1" x14ac:dyDescent="0.3">
      <c r="BB1044727" s="38"/>
    </row>
    <row r="1044728" spans="54:54" ht="15.75" customHeight="1" x14ac:dyDescent="0.3">
      <c r="BB1044728" s="38"/>
    </row>
    <row r="1044729" spans="54:54" ht="15.75" customHeight="1" x14ac:dyDescent="0.3">
      <c r="BB1044729" s="38"/>
    </row>
    <row r="1044730" spans="54:54" ht="15.75" customHeight="1" x14ac:dyDescent="0.3">
      <c r="BB1044730" s="38"/>
    </row>
    <row r="1044731" spans="54:54" ht="15.75" customHeight="1" x14ac:dyDescent="0.3">
      <c r="BB1044731" s="38"/>
    </row>
    <row r="1044732" spans="54:54" ht="15.75" customHeight="1" x14ac:dyDescent="0.3">
      <c r="BB1044732" s="38"/>
    </row>
    <row r="1044733" spans="54:54" ht="15.75" customHeight="1" x14ac:dyDescent="0.3">
      <c r="BB1044733" s="38"/>
    </row>
    <row r="1044734" spans="54:54" ht="15.75" customHeight="1" x14ac:dyDescent="0.3">
      <c r="BB1044734" s="38"/>
    </row>
    <row r="1044735" spans="54:54" ht="15.75" customHeight="1" x14ac:dyDescent="0.3">
      <c r="BB1044735" s="38"/>
    </row>
    <row r="1044736" spans="54:54" ht="15.75" customHeight="1" x14ac:dyDescent="0.3">
      <c r="BB1044736" s="38"/>
    </row>
    <row r="1044737" spans="54:54" ht="15.75" customHeight="1" x14ac:dyDescent="0.3">
      <c r="BB1044737" s="38"/>
    </row>
    <row r="1044738" spans="54:54" ht="15.75" customHeight="1" x14ac:dyDescent="0.3">
      <c r="BB1044738" s="38"/>
    </row>
    <row r="1044739" spans="54:54" ht="15.75" customHeight="1" x14ac:dyDescent="0.3">
      <c r="BB1044739" s="38"/>
    </row>
    <row r="1044740" spans="54:54" ht="15.75" customHeight="1" x14ac:dyDescent="0.3">
      <c r="BB1044740" s="38"/>
    </row>
    <row r="1044741" spans="54:54" ht="15.75" customHeight="1" x14ac:dyDescent="0.3">
      <c r="BB1044741" s="38"/>
    </row>
    <row r="1044742" spans="54:54" ht="15.75" customHeight="1" x14ac:dyDescent="0.3">
      <c r="BB1044742" s="38"/>
    </row>
    <row r="1044743" spans="54:54" ht="15.75" customHeight="1" x14ac:dyDescent="0.3">
      <c r="BB1044743" s="38"/>
    </row>
    <row r="1044744" spans="54:54" ht="15.75" customHeight="1" x14ac:dyDescent="0.3">
      <c r="BB1044744" s="38"/>
    </row>
    <row r="1044745" spans="54:54" ht="15.75" customHeight="1" x14ac:dyDescent="0.3">
      <c r="BB1044745" s="38"/>
    </row>
    <row r="1044746" spans="54:54" ht="15.75" customHeight="1" x14ac:dyDescent="0.3">
      <c r="BB1044746" s="38"/>
    </row>
    <row r="1044747" spans="54:54" ht="15.75" customHeight="1" x14ac:dyDescent="0.3">
      <c r="BB1044747" s="38"/>
    </row>
    <row r="1044748" spans="54:54" ht="15.75" customHeight="1" x14ac:dyDescent="0.3">
      <c r="BB1044748" s="38"/>
    </row>
    <row r="1044749" spans="54:54" ht="15.75" customHeight="1" x14ac:dyDescent="0.3">
      <c r="BB1044749" s="38"/>
    </row>
    <row r="1044750" spans="54:54" ht="15.75" customHeight="1" x14ac:dyDescent="0.3">
      <c r="BB1044750" s="38"/>
    </row>
    <row r="1044751" spans="54:54" ht="15.75" customHeight="1" x14ac:dyDescent="0.3">
      <c r="BB1044751" s="38"/>
    </row>
    <row r="1044752" spans="54:54" ht="15.75" customHeight="1" x14ac:dyDescent="0.3">
      <c r="BB1044752" s="38"/>
    </row>
    <row r="1044753" spans="54:54" ht="15.75" customHeight="1" x14ac:dyDescent="0.3">
      <c r="BB1044753" s="38"/>
    </row>
    <row r="1044754" spans="54:54" ht="15.75" customHeight="1" x14ac:dyDescent="0.3">
      <c r="BB1044754" s="38"/>
    </row>
    <row r="1044755" spans="54:54" ht="15.75" customHeight="1" x14ac:dyDescent="0.3">
      <c r="BB1044755" s="38"/>
    </row>
    <row r="1044756" spans="54:54" ht="15.75" customHeight="1" x14ac:dyDescent="0.3">
      <c r="BB1044756" s="38"/>
    </row>
    <row r="1044757" spans="54:54" ht="15.75" customHeight="1" x14ac:dyDescent="0.3">
      <c r="BB1044757" s="38"/>
    </row>
    <row r="1044758" spans="54:54" ht="15.75" customHeight="1" x14ac:dyDescent="0.3">
      <c r="BB1044758" s="38"/>
    </row>
    <row r="1044759" spans="54:54" ht="15.75" customHeight="1" x14ac:dyDescent="0.3">
      <c r="BB1044759" s="38"/>
    </row>
    <row r="1044760" spans="54:54" ht="15.75" customHeight="1" x14ac:dyDescent="0.3">
      <c r="BB1044760" s="38"/>
    </row>
    <row r="1044761" spans="54:54" ht="15.75" customHeight="1" x14ac:dyDescent="0.3">
      <c r="BB1044761" s="38"/>
    </row>
    <row r="1044762" spans="54:54" ht="15.75" customHeight="1" x14ac:dyDescent="0.3">
      <c r="BB1044762" s="38"/>
    </row>
    <row r="1044763" spans="54:54" ht="15.75" customHeight="1" x14ac:dyDescent="0.3">
      <c r="BB1044763" s="38"/>
    </row>
    <row r="1044764" spans="54:54" ht="15.75" customHeight="1" x14ac:dyDescent="0.3">
      <c r="BB1044764" s="38"/>
    </row>
    <row r="1044765" spans="54:54" ht="15.75" customHeight="1" x14ac:dyDescent="0.3">
      <c r="BB1044765" s="38"/>
    </row>
    <row r="1044766" spans="54:54" ht="15.75" customHeight="1" x14ac:dyDescent="0.3">
      <c r="BB1044766" s="38"/>
    </row>
    <row r="1044767" spans="54:54" ht="15.75" customHeight="1" x14ac:dyDescent="0.3">
      <c r="BB1044767" s="38"/>
    </row>
    <row r="1044768" spans="54:54" ht="15.75" customHeight="1" x14ac:dyDescent="0.3">
      <c r="BB1044768" s="38"/>
    </row>
    <row r="1044769" spans="54:54" ht="15.75" customHeight="1" x14ac:dyDescent="0.3">
      <c r="BB1044769" s="38"/>
    </row>
    <row r="1044770" spans="54:54" ht="15.75" customHeight="1" x14ac:dyDescent="0.3">
      <c r="BB1044770" s="38"/>
    </row>
    <row r="1044771" spans="54:54" ht="15.75" customHeight="1" x14ac:dyDescent="0.3">
      <c r="BB1044771" s="38"/>
    </row>
    <row r="1044772" spans="54:54" ht="15.75" customHeight="1" x14ac:dyDescent="0.3">
      <c r="BB1044772" s="38"/>
    </row>
    <row r="1044773" spans="54:54" ht="15.75" customHeight="1" x14ac:dyDescent="0.3">
      <c r="BB1044773" s="38"/>
    </row>
    <row r="1044774" spans="54:54" ht="15.75" customHeight="1" x14ac:dyDescent="0.3">
      <c r="BB1044774" s="38"/>
    </row>
    <row r="1044775" spans="54:54" ht="15.75" customHeight="1" x14ac:dyDescent="0.3">
      <c r="BB1044775" s="38"/>
    </row>
    <row r="1044776" spans="54:54" ht="15.75" customHeight="1" x14ac:dyDescent="0.3">
      <c r="BB1044776" s="38"/>
    </row>
    <row r="1044777" spans="54:54" ht="15.75" customHeight="1" x14ac:dyDescent="0.3">
      <c r="BB1044777" s="38"/>
    </row>
    <row r="1044778" spans="54:54" ht="15.75" customHeight="1" x14ac:dyDescent="0.3">
      <c r="BB1044778" s="38"/>
    </row>
    <row r="1044779" spans="54:54" ht="15.75" customHeight="1" x14ac:dyDescent="0.3">
      <c r="BB1044779" s="38"/>
    </row>
    <row r="1044780" spans="54:54" ht="15.75" customHeight="1" x14ac:dyDescent="0.3">
      <c r="BB1044780" s="38"/>
    </row>
    <row r="1044781" spans="54:54" ht="15.75" customHeight="1" x14ac:dyDescent="0.3">
      <c r="BB1044781" s="38"/>
    </row>
    <row r="1044782" spans="54:54" ht="15.75" customHeight="1" x14ac:dyDescent="0.3">
      <c r="BB1044782" s="38"/>
    </row>
    <row r="1044783" spans="54:54" ht="15.75" customHeight="1" x14ac:dyDescent="0.3">
      <c r="BB1044783" s="38"/>
    </row>
    <row r="1044784" spans="54:54" ht="15.75" customHeight="1" x14ac:dyDescent="0.3">
      <c r="BB1044784" s="38"/>
    </row>
    <row r="1044785" spans="54:54" ht="15.75" customHeight="1" x14ac:dyDescent="0.3">
      <c r="BB1044785" s="38"/>
    </row>
    <row r="1044786" spans="54:54" ht="15.75" customHeight="1" x14ac:dyDescent="0.3">
      <c r="BB1044786" s="38"/>
    </row>
    <row r="1044787" spans="54:54" ht="15.75" customHeight="1" x14ac:dyDescent="0.3">
      <c r="BB1044787" s="38"/>
    </row>
    <row r="1044788" spans="54:54" ht="15.75" customHeight="1" x14ac:dyDescent="0.3">
      <c r="BB1044788" s="38"/>
    </row>
    <row r="1044789" spans="54:54" ht="15.75" customHeight="1" x14ac:dyDescent="0.3">
      <c r="BB1044789" s="38"/>
    </row>
    <row r="1044790" spans="54:54" ht="15.75" customHeight="1" x14ac:dyDescent="0.3">
      <c r="BB1044790" s="38"/>
    </row>
    <row r="1044791" spans="54:54" ht="15.75" customHeight="1" x14ac:dyDescent="0.3">
      <c r="BB1044791" s="38"/>
    </row>
    <row r="1044792" spans="54:54" ht="15.75" customHeight="1" x14ac:dyDescent="0.3">
      <c r="BB1044792" s="38"/>
    </row>
    <row r="1044793" spans="54:54" ht="15.75" customHeight="1" x14ac:dyDescent="0.3">
      <c r="BB1044793" s="38"/>
    </row>
    <row r="1044794" spans="54:54" ht="15.75" customHeight="1" x14ac:dyDescent="0.3">
      <c r="BB1044794" s="38"/>
    </row>
    <row r="1044795" spans="54:54" ht="15.75" customHeight="1" x14ac:dyDescent="0.3">
      <c r="BB1044795" s="38"/>
    </row>
    <row r="1044796" spans="54:54" ht="15.75" customHeight="1" x14ac:dyDescent="0.3">
      <c r="BB1044796" s="38"/>
    </row>
    <row r="1044797" spans="54:54" ht="15.75" customHeight="1" x14ac:dyDescent="0.3">
      <c r="BB1044797" s="38"/>
    </row>
    <row r="1044798" spans="54:54" ht="15.75" customHeight="1" x14ac:dyDescent="0.3">
      <c r="BB1044798" s="38"/>
    </row>
    <row r="1044799" spans="54:54" ht="15.75" customHeight="1" x14ac:dyDescent="0.3">
      <c r="BB1044799" s="38"/>
    </row>
    <row r="1044800" spans="54:54" ht="15.75" customHeight="1" x14ac:dyDescent="0.3">
      <c r="BB1044800" s="38"/>
    </row>
    <row r="1044801" spans="54:54" ht="15.75" customHeight="1" x14ac:dyDescent="0.3">
      <c r="BB1044801" s="38"/>
    </row>
    <row r="1044802" spans="54:54" ht="15.75" customHeight="1" x14ac:dyDescent="0.3">
      <c r="BB1044802" s="38"/>
    </row>
    <row r="1044803" spans="54:54" ht="15.75" customHeight="1" x14ac:dyDescent="0.3">
      <c r="BB1044803" s="38"/>
    </row>
    <row r="1044804" spans="54:54" ht="15.75" customHeight="1" x14ac:dyDescent="0.3">
      <c r="BB1044804" s="38"/>
    </row>
    <row r="1044805" spans="54:54" ht="15.75" customHeight="1" x14ac:dyDescent="0.3">
      <c r="BB1044805" s="38"/>
    </row>
    <row r="1044806" spans="54:54" ht="15.75" customHeight="1" x14ac:dyDescent="0.3">
      <c r="BB1044806" s="38"/>
    </row>
    <row r="1044807" spans="54:54" ht="15.75" customHeight="1" x14ac:dyDescent="0.3">
      <c r="BB1044807" s="38"/>
    </row>
    <row r="1044808" spans="54:54" ht="15.75" customHeight="1" x14ac:dyDescent="0.3">
      <c r="BB1044808" s="38"/>
    </row>
    <row r="1044809" spans="54:54" ht="15.75" customHeight="1" x14ac:dyDescent="0.3">
      <c r="BB1044809" s="38"/>
    </row>
    <row r="1044810" spans="54:54" ht="15.75" customHeight="1" x14ac:dyDescent="0.3">
      <c r="BB1044810" s="38"/>
    </row>
    <row r="1044811" spans="54:54" ht="15.75" customHeight="1" x14ac:dyDescent="0.3">
      <c r="BB1044811" s="38"/>
    </row>
    <row r="1044812" spans="54:54" ht="15.75" customHeight="1" x14ac:dyDescent="0.3">
      <c r="BB1044812" s="38"/>
    </row>
    <row r="1044813" spans="54:54" ht="15.75" customHeight="1" x14ac:dyDescent="0.3">
      <c r="BB1044813" s="38"/>
    </row>
    <row r="1044814" spans="54:54" ht="15.75" customHeight="1" x14ac:dyDescent="0.3">
      <c r="BB1044814" s="38"/>
    </row>
    <row r="1044815" spans="54:54" ht="15.75" customHeight="1" x14ac:dyDescent="0.3">
      <c r="BB1044815" s="38"/>
    </row>
    <row r="1044816" spans="54:54" ht="15.75" customHeight="1" x14ac:dyDescent="0.3">
      <c r="BB1044816" s="38"/>
    </row>
    <row r="1044817" spans="54:54" ht="15.75" customHeight="1" x14ac:dyDescent="0.3">
      <c r="BB1044817" s="38"/>
    </row>
    <row r="1044818" spans="54:54" ht="15.75" customHeight="1" x14ac:dyDescent="0.3">
      <c r="BB1044818" s="38"/>
    </row>
    <row r="1044819" spans="54:54" ht="15.75" customHeight="1" x14ac:dyDescent="0.3">
      <c r="BB1044819" s="38"/>
    </row>
    <row r="1044820" spans="54:54" ht="15.75" customHeight="1" x14ac:dyDescent="0.3">
      <c r="BB1044820" s="38"/>
    </row>
    <row r="1044821" spans="54:54" ht="15.75" customHeight="1" x14ac:dyDescent="0.3">
      <c r="BB1044821" s="38"/>
    </row>
    <row r="1044822" spans="54:54" ht="15.75" customHeight="1" x14ac:dyDescent="0.3">
      <c r="BB1044822" s="38"/>
    </row>
    <row r="1044823" spans="54:54" ht="15.75" customHeight="1" x14ac:dyDescent="0.3">
      <c r="BB1044823" s="38"/>
    </row>
    <row r="1044824" spans="54:54" ht="15.75" customHeight="1" x14ac:dyDescent="0.3">
      <c r="BB1044824" s="38"/>
    </row>
    <row r="1044825" spans="54:54" ht="15.75" customHeight="1" x14ac:dyDescent="0.3">
      <c r="BB1044825" s="38"/>
    </row>
    <row r="1044826" spans="54:54" ht="15.75" customHeight="1" x14ac:dyDescent="0.3">
      <c r="BB1044826" s="38"/>
    </row>
    <row r="1044827" spans="54:54" ht="15.75" customHeight="1" x14ac:dyDescent="0.3">
      <c r="BB1044827" s="38"/>
    </row>
    <row r="1044828" spans="54:54" ht="15.75" customHeight="1" x14ac:dyDescent="0.3">
      <c r="BB1044828" s="38"/>
    </row>
    <row r="1044829" spans="54:54" ht="15.75" customHeight="1" x14ac:dyDescent="0.3">
      <c r="BB1044829" s="38"/>
    </row>
    <row r="1044830" spans="54:54" ht="15.75" customHeight="1" x14ac:dyDescent="0.3">
      <c r="BB1044830" s="38"/>
    </row>
    <row r="1044831" spans="54:54" ht="15.75" customHeight="1" x14ac:dyDescent="0.3">
      <c r="BB1044831" s="38"/>
    </row>
    <row r="1044832" spans="54:54" ht="15.75" customHeight="1" x14ac:dyDescent="0.3">
      <c r="BB1044832" s="38"/>
    </row>
    <row r="1044833" spans="54:54" ht="15.75" customHeight="1" x14ac:dyDescent="0.3">
      <c r="BB1044833" s="38"/>
    </row>
    <row r="1044834" spans="54:54" ht="15.75" customHeight="1" x14ac:dyDescent="0.3">
      <c r="BB1044834" s="38"/>
    </row>
    <row r="1044835" spans="54:54" ht="15.75" customHeight="1" x14ac:dyDescent="0.3">
      <c r="BB1044835" s="38"/>
    </row>
    <row r="1044836" spans="54:54" ht="15.75" customHeight="1" x14ac:dyDescent="0.3">
      <c r="BB1044836" s="38"/>
    </row>
    <row r="1044837" spans="54:54" ht="15.75" customHeight="1" x14ac:dyDescent="0.3">
      <c r="BB1044837" s="38"/>
    </row>
    <row r="1044838" spans="54:54" ht="15.75" customHeight="1" x14ac:dyDescent="0.3">
      <c r="BB1044838" s="38"/>
    </row>
    <row r="1044839" spans="54:54" ht="15.75" customHeight="1" x14ac:dyDescent="0.3">
      <c r="BB1044839" s="38"/>
    </row>
    <row r="1044840" spans="54:54" ht="15.75" customHeight="1" x14ac:dyDescent="0.3">
      <c r="BB1044840" s="38"/>
    </row>
    <row r="1044841" spans="54:54" ht="15.75" customHeight="1" x14ac:dyDescent="0.3">
      <c r="BB1044841" s="38"/>
    </row>
    <row r="1044842" spans="54:54" ht="15.75" customHeight="1" x14ac:dyDescent="0.3">
      <c r="BB1044842" s="38"/>
    </row>
    <row r="1044843" spans="54:54" ht="15.75" customHeight="1" x14ac:dyDescent="0.3">
      <c r="BB1044843" s="38"/>
    </row>
    <row r="1044844" spans="54:54" ht="15.75" customHeight="1" x14ac:dyDescent="0.3">
      <c r="BB1044844" s="38"/>
    </row>
    <row r="1044845" spans="54:54" ht="15.75" customHeight="1" x14ac:dyDescent="0.3">
      <c r="BB1044845" s="38"/>
    </row>
    <row r="1044846" spans="54:54" ht="15.75" customHeight="1" x14ac:dyDescent="0.3">
      <c r="BB1044846" s="38"/>
    </row>
    <row r="1044847" spans="54:54" ht="15.75" customHeight="1" x14ac:dyDescent="0.3">
      <c r="BB1044847" s="38"/>
    </row>
    <row r="1044848" spans="54:54" ht="15.75" customHeight="1" x14ac:dyDescent="0.3">
      <c r="BB1044848" s="38"/>
    </row>
    <row r="1044849" spans="54:54" ht="15.75" customHeight="1" x14ac:dyDescent="0.3">
      <c r="BB1044849" s="38"/>
    </row>
    <row r="1044850" spans="54:54" ht="15.75" customHeight="1" x14ac:dyDescent="0.3">
      <c r="BB1044850" s="38"/>
    </row>
    <row r="1044851" spans="54:54" ht="15.75" customHeight="1" x14ac:dyDescent="0.3">
      <c r="BB1044851" s="38"/>
    </row>
    <row r="1044852" spans="54:54" ht="15.75" customHeight="1" x14ac:dyDescent="0.3">
      <c r="BB1044852" s="38"/>
    </row>
    <row r="1044853" spans="54:54" ht="15.75" customHeight="1" x14ac:dyDescent="0.3">
      <c r="BB1044853" s="38"/>
    </row>
    <row r="1044854" spans="54:54" ht="15.75" customHeight="1" x14ac:dyDescent="0.3">
      <c r="BB1044854" s="38"/>
    </row>
    <row r="1044855" spans="54:54" ht="15.75" customHeight="1" x14ac:dyDescent="0.3">
      <c r="BB1044855" s="38"/>
    </row>
    <row r="1044856" spans="54:54" ht="15.75" customHeight="1" x14ac:dyDescent="0.3">
      <c r="BB1044856" s="38"/>
    </row>
    <row r="1044857" spans="54:54" ht="15.75" customHeight="1" x14ac:dyDescent="0.3">
      <c r="BB1044857" s="38"/>
    </row>
    <row r="1044858" spans="54:54" ht="15.75" customHeight="1" x14ac:dyDescent="0.3">
      <c r="BB1044858" s="38"/>
    </row>
    <row r="1044859" spans="54:54" ht="15.75" customHeight="1" x14ac:dyDescent="0.3">
      <c r="BB1044859" s="38"/>
    </row>
    <row r="1044860" spans="54:54" ht="15.75" customHeight="1" x14ac:dyDescent="0.3">
      <c r="BB1044860" s="38"/>
    </row>
    <row r="1044861" spans="54:54" ht="15.75" customHeight="1" x14ac:dyDescent="0.3">
      <c r="BB1044861" s="38"/>
    </row>
    <row r="1044862" spans="54:54" ht="15.75" customHeight="1" x14ac:dyDescent="0.3">
      <c r="BB1044862" s="38"/>
    </row>
    <row r="1044863" spans="54:54" ht="15.75" customHeight="1" x14ac:dyDescent="0.3">
      <c r="BB1044863" s="38"/>
    </row>
    <row r="1044864" spans="54:54" ht="15.75" customHeight="1" x14ac:dyDescent="0.3">
      <c r="BB1044864" s="38"/>
    </row>
    <row r="1044865" spans="54:54" ht="15.75" customHeight="1" x14ac:dyDescent="0.3">
      <c r="BB1044865" s="38"/>
    </row>
    <row r="1044866" spans="54:54" ht="15.75" customHeight="1" x14ac:dyDescent="0.3">
      <c r="BB1044866" s="38"/>
    </row>
    <row r="1044867" spans="54:54" ht="15.75" customHeight="1" x14ac:dyDescent="0.3">
      <c r="BB1044867" s="38"/>
    </row>
    <row r="1044868" spans="54:54" ht="15.75" customHeight="1" x14ac:dyDescent="0.3">
      <c r="BB1044868" s="38"/>
    </row>
    <row r="1044869" spans="54:54" ht="15.75" customHeight="1" x14ac:dyDescent="0.3">
      <c r="BB1044869" s="38"/>
    </row>
    <row r="1044870" spans="54:54" ht="15.75" customHeight="1" x14ac:dyDescent="0.3">
      <c r="BB1044870" s="38"/>
    </row>
    <row r="1044871" spans="54:54" ht="15.75" customHeight="1" x14ac:dyDescent="0.3">
      <c r="BB1044871" s="38"/>
    </row>
    <row r="1044872" spans="54:54" ht="15.75" customHeight="1" x14ac:dyDescent="0.3">
      <c r="BB1044872" s="38"/>
    </row>
    <row r="1044873" spans="54:54" ht="15.75" customHeight="1" x14ac:dyDescent="0.3">
      <c r="BB1044873" s="38"/>
    </row>
    <row r="1044874" spans="54:54" ht="15.75" customHeight="1" x14ac:dyDescent="0.3">
      <c r="BB1044874" s="38"/>
    </row>
    <row r="1044875" spans="54:54" ht="15.75" customHeight="1" x14ac:dyDescent="0.3">
      <c r="BB1044875" s="38"/>
    </row>
    <row r="1044876" spans="54:54" ht="15.75" customHeight="1" x14ac:dyDescent="0.3">
      <c r="BB1044876" s="38"/>
    </row>
    <row r="1044877" spans="54:54" ht="15.75" customHeight="1" x14ac:dyDescent="0.3">
      <c r="BB1044877" s="38"/>
    </row>
    <row r="1044878" spans="54:54" ht="15.75" customHeight="1" x14ac:dyDescent="0.3">
      <c r="BB1044878" s="38"/>
    </row>
    <row r="1044879" spans="54:54" ht="15.75" customHeight="1" x14ac:dyDescent="0.3">
      <c r="BB1044879" s="38"/>
    </row>
    <row r="1044880" spans="54:54" ht="15.75" customHeight="1" x14ac:dyDescent="0.3">
      <c r="BB1044880" s="38"/>
    </row>
    <row r="1044881" spans="54:54" ht="15.75" customHeight="1" x14ac:dyDescent="0.3">
      <c r="BB1044881" s="38"/>
    </row>
    <row r="1044882" spans="54:54" ht="15.75" customHeight="1" x14ac:dyDescent="0.3">
      <c r="BB1044882" s="38"/>
    </row>
    <row r="1044883" spans="54:54" ht="15.75" customHeight="1" x14ac:dyDescent="0.3">
      <c r="BB1044883" s="38"/>
    </row>
    <row r="1044884" spans="54:54" ht="15.75" customHeight="1" x14ac:dyDescent="0.3">
      <c r="BB1044884" s="38"/>
    </row>
    <row r="1044885" spans="54:54" ht="15.75" customHeight="1" x14ac:dyDescent="0.3">
      <c r="BB1044885" s="38"/>
    </row>
    <row r="1044886" spans="54:54" ht="15.75" customHeight="1" x14ac:dyDescent="0.3">
      <c r="BB1044886" s="38"/>
    </row>
    <row r="1044887" spans="54:54" ht="15.75" customHeight="1" x14ac:dyDescent="0.3">
      <c r="BB1044887" s="38"/>
    </row>
    <row r="1044888" spans="54:54" ht="15.75" customHeight="1" x14ac:dyDescent="0.3">
      <c r="BB1044888" s="38"/>
    </row>
    <row r="1044889" spans="54:54" ht="15.75" customHeight="1" x14ac:dyDescent="0.3">
      <c r="BB1044889" s="38"/>
    </row>
    <row r="1044890" spans="54:54" ht="15.75" customHeight="1" x14ac:dyDescent="0.3">
      <c r="BB1044890" s="38"/>
    </row>
    <row r="1044891" spans="54:54" ht="15.75" customHeight="1" x14ac:dyDescent="0.3">
      <c r="BB1044891" s="38"/>
    </row>
    <row r="1044892" spans="54:54" ht="15.75" customHeight="1" x14ac:dyDescent="0.3">
      <c r="BB1044892" s="38"/>
    </row>
    <row r="1044893" spans="54:54" ht="15.75" customHeight="1" x14ac:dyDescent="0.3">
      <c r="BB1044893" s="38"/>
    </row>
    <row r="1044894" spans="54:54" ht="15.75" customHeight="1" x14ac:dyDescent="0.3">
      <c r="BB1044894" s="38"/>
    </row>
    <row r="1044895" spans="54:54" ht="15.75" customHeight="1" x14ac:dyDescent="0.3">
      <c r="BB1044895" s="38"/>
    </row>
    <row r="1044896" spans="54:54" ht="15.75" customHeight="1" x14ac:dyDescent="0.3">
      <c r="BB1044896" s="38"/>
    </row>
    <row r="1044897" spans="54:54" ht="15.75" customHeight="1" x14ac:dyDescent="0.3">
      <c r="BB1044897" s="38"/>
    </row>
    <row r="1044898" spans="54:54" ht="15.75" customHeight="1" x14ac:dyDescent="0.3">
      <c r="BB1044898" s="38"/>
    </row>
    <row r="1044899" spans="54:54" ht="15.75" customHeight="1" x14ac:dyDescent="0.3">
      <c r="BB1044899" s="38"/>
    </row>
    <row r="1044900" spans="54:54" ht="15.75" customHeight="1" x14ac:dyDescent="0.3">
      <c r="BB1044900" s="38"/>
    </row>
    <row r="1044901" spans="54:54" ht="15.75" customHeight="1" x14ac:dyDescent="0.3">
      <c r="BB1044901" s="38"/>
    </row>
    <row r="1044902" spans="54:54" ht="15.75" customHeight="1" x14ac:dyDescent="0.3">
      <c r="BB1044902" s="38"/>
    </row>
    <row r="1044903" spans="54:54" ht="15.75" customHeight="1" x14ac:dyDescent="0.3">
      <c r="BB1044903" s="38"/>
    </row>
    <row r="1044904" spans="54:54" ht="15.75" customHeight="1" x14ac:dyDescent="0.3">
      <c r="BB1044904" s="38"/>
    </row>
    <row r="1044905" spans="54:54" ht="15.75" customHeight="1" x14ac:dyDescent="0.3">
      <c r="BB1044905" s="38"/>
    </row>
    <row r="1044906" spans="54:54" ht="15.75" customHeight="1" x14ac:dyDescent="0.3">
      <c r="BB1044906" s="38"/>
    </row>
    <row r="1044907" spans="54:54" ht="15.75" customHeight="1" x14ac:dyDescent="0.3">
      <c r="BB1044907" s="38"/>
    </row>
    <row r="1044908" spans="54:54" ht="15.75" customHeight="1" x14ac:dyDescent="0.3">
      <c r="BB1044908" s="38"/>
    </row>
    <row r="1044909" spans="54:54" ht="15.75" customHeight="1" x14ac:dyDescent="0.3">
      <c r="BB1044909" s="38"/>
    </row>
    <row r="1044910" spans="54:54" ht="15.75" customHeight="1" x14ac:dyDescent="0.3">
      <c r="BB1044910" s="38"/>
    </row>
    <row r="1044911" spans="54:54" ht="15.75" customHeight="1" x14ac:dyDescent="0.3">
      <c r="BB1044911" s="38"/>
    </row>
    <row r="1044912" spans="54:54" ht="15.75" customHeight="1" x14ac:dyDescent="0.3">
      <c r="BB1044912" s="38"/>
    </row>
    <row r="1044913" spans="54:54" ht="15.75" customHeight="1" x14ac:dyDescent="0.3">
      <c r="BB1044913" s="38"/>
    </row>
    <row r="1044914" spans="54:54" ht="15.75" customHeight="1" x14ac:dyDescent="0.3">
      <c r="BB1044914" s="38"/>
    </row>
    <row r="1044915" spans="54:54" ht="15.75" customHeight="1" x14ac:dyDescent="0.3">
      <c r="BB1044915" s="38"/>
    </row>
    <row r="1044916" spans="54:54" ht="15.75" customHeight="1" x14ac:dyDescent="0.3">
      <c r="BB1044916" s="38"/>
    </row>
    <row r="1044917" spans="54:54" ht="15.75" customHeight="1" x14ac:dyDescent="0.3">
      <c r="BB1044917" s="38"/>
    </row>
    <row r="1044918" spans="54:54" ht="15.75" customHeight="1" x14ac:dyDescent="0.3">
      <c r="BB1044918" s="38"/>
    </row>
    <row r="1044919" spans="54:54" ht="15.75" customHeight="1" x14ac:dyDescent="0.3">
      <c r="BB1044919" s="38"/>
    </row>
    <row r="1044920" spans="54:54" ht="15.75" customHeight="1" x14ac:dyDescent="0.3">
      <c r="BB1044920" s="38"/>
    </row>
    <row r="1044921" spans="54:54" ht="15.75" customHeight="1" x14ac:dyDescent="0.3">
      <c r="BB1044921" s="38"/>
    </row>
    <row r="1044922" spans="54:54" ht="15.75" customHeight="1" x14ac:dyDescent="0.3">
      <c r="BB1044922" s="38"/>
    </row>
    <row r="1044923" spans="54:54" ht="15.75" customHeight="1" x14ac:dyDescent="0.3">
      <c r="BB1044923" s="38"/>
    </row>
    <row r="1044924" spans="54:54" ht="15.75" customHeight="1" x14ac:dyDescent="0.3">
      <c r="BB1044924" s="38"/>
    </row>
    <row r="1044925" spans="54:54" ht="15.75" customHeight="1" x14ac:dyDescent="0.3">
      <c r="BB1044925" s="38"/>
    </row>
    <row r="1044926" spans="54:54" ht="15.75" customHeight="1" x14ac:dyDescent="0.3">
      <c r="BB1044926" s="38"/>
    </row>
    <row r="1044927" spans="54:54" ht="15.75" customHeight="1" x14ac:dyDescent="0.3">
      <c r="BB1044927" s="38"/>
    </row>
    <row r="1044928" spans="54:54" ht="15.75" customHeight="1" x14ac:dyDescent="0.3">
      <c r="BB1044928" s="38"/>
    </row>
    <row r="1044929" spans="54:54" ht="15.75" customHeight="1" x14ac:dyDescent="0.3">
      <c r="BB1044929" s="38"/>
    </row>
    <row r="1044930" spans="54:54" ht="15.75" customHeight="1" x14ac:dyDescent="0.3">
      <c r="BB1044930" s="38"/>
    </row>
    <row r="1044931" spans="54:54" ht="15.75" customHeight="1" x14ac:dyDescent="0.3">
      <c r="BB1044931" s="38"/>
    </row>
    <row r="1044932" spans="54:54" ht="15.75" customHeight="1" x14ac:dyDescent="0.3">
      <c r="BB1044932" s="38"/>
    </row>
    <row r="1044933" spans="54:54" ht="15.75" customHeight="1" x14ac:dyDescent="0.3">
      <c r="BB1044933" s="38"/>
    </row>
    <row r="1044934" spans="54:54" ht="15.75" customHeight="1" x14ac:dyDescent="0.3">
      <c r="BB1044934" s="38"/>
    </row>
    <row r="1044935" spans="54:54" ht="15.75" customHeight="1" x14ac:dyDescent="0.3">
      <c r="BB1044935" s="38"/>
    </row>
    <row r="1044936" spans="54:54" ht="15.75" customHeight="1" x14ac:dyDescent="0.3">
      <c r="BB1044936" s="38"/>
    </row>
    <row r="1044937" spans="54:54" ht="15.75" customHeight="1" x14ac:dyDescent="0.3">
      <c r="BB1044937" s="38"/>
    </row>
    <row r="1044938" spans="54:54" ht="15.75" customHeight="1" x14ac:dyDescent="0.3">
      <c r="BB1044938" s="38"/>
    </row>
    <row r="1044939" spans="54:54" ht="15.75" customHeight="1" x14ac:dyDescent="0.3">
      <c r="BB1044939" s="38"/>
    </row>
    <row r="1044940" spans="54:54" ht="15.75" customHeight="1" x14ac:dyDescent="0.3">
      <c r="BB1044940" s="38"/>
    </row>
    <row r="1044941" spans="54:54" ht="15.75" customHeight="1" x14ac:dyDescent="0.3">
      <c r="BB1044941" s="38"/>
    </row>
    <row r="1044942" spans="54:54" ht="15.75" customHeight="1" x14ac:dyDescent="0.3">
      <c r="BB1044942" s="38"/>
    </row>
    <row r="1044943" spans="54:54" ht="15.75" customHeight="1" x14ac:dyDescent="0.3">
      <c r="BB1044943" s="38"/>
    </row>
    <row r="1044944" spans="54:54" ht="15.75" customHeight="1" x14ac:dyDescent="0.3">
      <c r="BB1044944" s="38"/>
    </row>
    <row r="1044945" spans="54:54" ht="15.75" customHeight="1" x14ac:dyDescent="0.3">
      <c r="BB1044945" s="38"/>
    </row>
    <row r="1044946" spans="54:54" ht="15.75" customHeight="1" x14ac:dyDescent="0.3">
      <c r="BB1044946" s="38"/>
    </row>
    <row r="1044947" spans="54:54" ht="15.75" customHeight="1" x14ac:dyDescent="0.3">
      <c r="BB1044947" s="38"/>
    </row>
    <row r="1044948" spans="54:54" ht="15.75" customHeight="1" x14ac:dyDescent="0.3">
      <c r="BB1044948" s="38"/>
    </row>
    <row r="1044949" spans="54:54" ht="15.75" customHeight="1" x14ac:dyDescent="0.3">
      <c r="BB1044949" s="38"/>
    </row>
    <row r="1044950" spans="54:54" ht="15.75" customHeight="1" x14ac:dyDescent="0.3">
      <c r="BB1044950" s="38"/>
    </row>
    <row r="1044951" spans="54:54" ht="15.75" customHeight="1" x14ac:dyDescent="0.3">
      <c r="BB1044951" s="38"/>
    </row>
    <row r="1044952" spans="54:54" ht="15.75" customHeight="1" x14ac:dyDescent="0.3">
      <c r="BB1044952" s="38"/>
    </row>
    <row r="1044953" spans="54:54" ht="15.75" customHeight="1" x14ac:dyDescent="0.3">
      <c r="BB1044953" s="38"/>
    </row>
    <row r="1044954" spans="54:54" ht="15.75" customHeight="1" x14ac:dyDescent="0.3">
      <c r="BB1044954" s="38"/>
    </row>
    <row r="1044955" spans="54:54" ht="15.75" customHeight="1" x14ac:dyDescent="0.3">
      <c r="BB1044955" s="38"/>
    </row>
    <row r="1044956" spans="54:54" ht="15.75" customHeight="1" x14ac:dyDescent="0.3">
      <c r="BB1044956" s="38"/>
    </row>
    <row r="1044957" spans="54:54" ht="15.75" customHeight="1" x14ac:dyDescent="0.3">
      <c r="BB1044957" s="38"/>
    </row>
    <row r="1044958" spans="54:54" ht="15.75" customHeight="1" x14ac:dyDescent="0.3">
      <c r="BB1044958" s="38"/>
    </row>
    <row r="1044959" spans="54:54" ht="15.75" customHeight="1" x14ac:dyDescent="0.3">
      <c r="BB1044959" s="38"/>
    </row>
    <row r="1044960" spans="54:54" ht="15.75" customHeight="1" x14ac:dyDescent="0.3">
      <c r="BB1044960" s="38"/>
    </row>
    <row r="1044961" spans="54:54" ht="15.75" customHeight="1" x14ac:dyDescent="0.3">
      <c r="BB1044961" s="38"/>
    </row>
    <row r="1044962" spans="54:54" ht="15.75" customHeight="1" x14ac:dyDescent="0.3">
      <c r="BB1044962" s="38"/>
    </row>
    <row r="1044963" spans="54:54" ht="15.75" customHeight="1" x14ac:dyDescent="0.3">
      <c r="BB1044963" s="38"/>
    </row>
    <row r="1044964" spans="54:54" ht="15.75" customHeight="1" x14ac:dyDescent="0.3">
      <c r="BB1044964" s="38"/>
    </row>
    <row r="1044965" spans="54:54" ht="15.75" customHeight="1" x14ac:dyDescent="0.3">
      <c r="BB1044965" s="38"/>
    </row>
    <row r="1044966" spans="54:54" ht="15.75" customHeight="1" x14ac:dyDescent="0.3">
      <c r="BB1044966" s="38"/>
    </row>
    <row r="1044967" spans="54:54" ht="15.75" customHeight="1" x14ac:dyDescent="0.3">
      <c r="BB1044967" s="38"/>
    </row>
    <row r="1044968" spans="54:54" ht="15.75" customHeight="1" x14ac:dyDescent="0.3">
      <c r="BB1044968" s="38"/>
    </row>
    <row r="1044969" spans="54:54" ht="15.75" customHeight="1" x14ac:dyDescent="0.3">
      <c r="BB1044969" s="38"/>
    </row>
    <row r="1044970" spans="54:54" ht="15.75" customHeight="1" x14ac:dyDescent="0.3">
      <c r="BB1044970" s="38"/>
    </row>
    <row r="1044971" spans="54:54" ht="15.75" customHeight="1" x14ac:dyDescent="0.3">
      <c r="BB1044971" s="38"/>
    </row>
    <row r="1044972" spans="54:54" ht="15.75" customHeight="1" x14ac:dyDescent="0.3">
      <c r="BB1044972" s="38"/>
    </row>
    <row r="1044973" spans="54:54" ht="15.75" customHeight="1" x14ac:dyDescent="0.3">
      <c r="BB1044973" s="38"/>
    </row>
    <row r="1044974" spans="54:54" ht="15.75" customHeight="1" x14ac:dyDescent="0.3">
      <c r="BB1044974" s="38"/>
    </row>
    <row r="1044975" spans="54:54" ht="15.75" customHeight="1" x14ac:dyDescent="0.3">
      <c r="BB1044975" s="38"/>
    </row>
    <row r="1044976" spans="54:54" ht="15.75" customHeight="1" x14ac:dyDescent="0.3">
      <c r="BB1044976" s="38"/>
    </row>
    <row r="1044977" spans="54:54" ht="15.75" customHeight="1" x14ac:dyDescent="0.3">
      <c r="BB1044977" s="38"/>
    </row>
    <row r="1044978" spans="54:54" ht="15.75" customHeight="1" x14ac:dyDescent="0.3">
      <c r="BB1044978" s="38"/>
    </row>
    <row r="1044979" spans="54:54" ht="15.75" customHeight="1" x14ac:dyDescent="0.3">
      <c r="BB1044979" s="38"/>
    </row>
    <row r="1044980" spans="54:54" ht="15.75" customHeight="1" x14ac:dyDescent="0.3">
      <c r="BB1044980" s="38"/>
    </row>
    <row r="1044981" spans="54:54" ht="15.75" customHeight="1" x14ac:dyDescent="0.3">
      <c r="BB1044981" s="38"/>
    </row>
    <row r="1044982" spans="54:54" ht="15.75" customHeight="1" x14ac:dyDescent="0.3">
      <c r="BB1044982" s="38"/>
    </row>
    <row r="1044983" spans="54:54" ht="15.75" customHeight="1" x14ac:dyDescent="0.3">
      <c r="BB1044983" s="38"/>
    </row>
    <row r="1044984" spans="54:54" ht="15.75" customHeight="1" x14ac:dyDescent="0.3">
      <c r="BB1044984" s="38"/>
    </row>
    <row r="1044985" spans="54:54" ht="15.75" customHeight="1" x14ac:dyDescent="0.3">
      <c r="BB1044985" s="38"/>
    </row>
    <row r="1044986" spans="54:54" ht="15.75" customHeight="1" x14ac:dyDescent="0.3">
      <c r="BB1044986" s="38"/>
    </row>
    <row r="1044987" spans="54:54" ht="15.75" customHeight="1" x14ac:dyDescent="0.3">
      <c r="BB1044987" s="38"/>
    </row>
    <row r="1044988" spans="54:54" ht="15.75" customHeight="1" x14ac:dyDescent="0.3">
      <c r="BB1044988" s="38"/>
    </row>
    <row r="1044989" spans="54:54" ht="15.75" customHeight="1" x14ac:dyDescent="0.3">
      <c r="BB1044989" s="38"/>
    </row>
    <row r="1044990" spans="54:54" ht="15.75" customHeight="1" x14ac:dyDescent="0.3">
      <c r="BB1044990" s="38"/>
    </row>
    <row r="1044991" spans="54:54" ht="15.75" customHeight="1" x14ac:dyDescent="0.3">
      <c r="BB1044991" s="38"/>
    </row>
    <row r="1044992" spans="54:54" ht="15.75" customHeight="1" x14ac:dyDescent="0.3">
      <c r="BB1044992" s="38"/>
    </row>
    <row r="1044993" spans="54:54" ht="15.75" customHeight="1" x14ac:dyDescent="0.3">
      <c r="BB1044993" s="38"/>
    </row>
    <row r="1044994" spans="54:54" ht="15.75" customHeight="1" x14ac:dyDescent="0.3">
      <c r="BB1044994" s="38"/>
    </row>
    <row r="1044995" spans="54:54" ht="15.75" customHeight="1" x14ac:dyDescent="0.3">
      <c r="BB1044995" s="38"/>
    </row>
    <row r="1044996" spans="54:54" ht="15.75" customHeight="1" x14ac:dyDescent="0.3">
      <c r="BB1044996" s="38"/>
    </row>
    <row r="1044997" spans="54:54" ht="15.75" customHeight="1" x14ac:dyDescent="0.3">
      <c r="BB1044997" s="38"/>
    </row>
    <row r="1044998" spans="54:54" ht="15.75" customHeight="1" x14ac:dyDescent="0.3">
      <c r="BB1044998" s="38"/>
    </row>
    <row r="1044999" spans="54:54" ht="15.75" customHeight="1" x14ac:dyDescent="0.3">
      <c r="BB1044999" s="38"/>
    </row>
    <row r="1045000" spans="54:54" ht="15.75" customHeight="1" x14ac:dyDescent="0.3">
      <c r="BB1045000" s="38"/>
    </row>
    <row r="1045001" spans="54:54" ht="15.75" customHeight="1" x14ac:dyDescent="0.3">
      <c r="BB1045001" s="38"/>
    </row>
    <row r="1045002" spans="54:54" ht="15.75" customHeight="1" x14ac:dyDescent="0.3">
      <c r="BB1045002" s="38"/>
    </row>
    <row r="1045003" spans="54:54" ht="15.75" customHeight="1" x14ac:dyDescent="0.3">
      <c r="BB1045003" s="38"/>
    </row>
    <row r="1045004" spans="54:54" ht="15.75" customHeight="1" x14ac:dyDescent="0.3">
      <c r="BB1045004" s="38"/>
    </row>
    <row r="1045005" spans="54:54" ht="15.75" customHeight="1" x14ac:dyDescent="0.3">
      <c r="BB1045005" s="38"/>
    </row>
    <row r="1045006" spans="54:54" ht="15.75" customHeight="1" x14ac:dyDescent="0.3">
      <c r="BB1045006" s="38"/>
    </row>
    <row r="1045007" spans="54:54" ht="15.75" customHeight="1" x14ac:dyDescent="0.3">
      <c r="BB1045007" s="38"/>
    </row>
    <row r="1045008" spans="54:54" ht="15.75" customHeight="1" x14ac:dyDescent="0.3">
      <c r="BB1045008" s="38"/>
    </row>
    <row r="1045009" spans="54:54" ht="15.75" customHeight="1" x14ac:dyDescent="0.3">
      <c r="BB1045009" s="38"/>
    </row>
    <row r="1045010" spans="54:54" ht="15.75" customHeight="1" x14ac:dyDescent="0.3">
      <c r="BB1045010" s="38"/>
    </row>
    <row r="1045011" spans="54:54" ht="15.75" customHeight="1" x14ac:dyDescent="0.3">
      <c r="BB1045011" s="38"/>
    </row>
    <row r="1045012" spans="54:54" ht="15.75" customHeight="1" x14ac:dyDescent="0.3">
      <c r="BB1045012" s="38"/>
    </row>
    <row r="1045013" spans="54:54" ht="15.75" customHeight="1" x14ac:dyDescent="0.3">
      <c r="BB1045013" s="38"/>
    </row>
    <row r="1045014" spans="54:54" ht="15.75" customHeight="1" x14ac:dyDescent="0.3">
      <c r="BB1045014" s="38"/>
    </row>
    <row r="1045015" spans="54:54" ht="15.75" customHeight="1" x14ac:dyDescent="0.3">
      <c r="BB1045015" s="38"/>
    </row>
    <row r="1045016" spans="54:54" ht="15.75" customHeight="1" x14ac:dyDescent="0.3">
      <c r="BB1045016" s="38"/>
    </row>
    <row r="1045017" spans="54:54" ht="15.75" customHeight="1" x14ac:dyDescent="0.3">
      <c r="BB1045017" s="38"/>
    </row>
    <row r="1045018" spans="54:54" ht="15.75" customHeight="1" x14ac:dyDescent="0.3">
      <c r="BB1045018" s="38"/>
    </row>
    <row r="1045019" spans="54:54" ht="15.75" customHeight="1" x14ac:dyDescent="0.3">
      <c r="BB1045019" s="38"/>
    </row>
    <row r="1045020" spans="54:54" ht="15.75" customHeight="1" x14ac:dyDescent="0.3">
      <c r="BB1045020" s="38"/>
    </row>
    <row r="1045021" spans="54:54" ht="15.75" customHeight="1" x14ac:dyDescent="0.3">
      <c r="BB1045021" s="38"/>
    </row>
    <row r="1045022" spans="54:54" ht="15.75" customHeight="1" x14ac:dyDescent="0.3">
      <c r="BB1045022" s="38"/>
    </row>
    <row r="1045023" spans="54:54" ht="15.75" customHeight="1" x14ac:dyDescent="0.3">
      <c r="BB1045023" s="38"/>
    </row>
    <row r="1045024" spans="54:54" ht="15.75" customHeight="1" x14ac:dyDescent="0.3">
      <c r="BB1045024" s="38"/>
    </row>
    <row r="1045025" spans="54:54" ht="15.75" customHeight="1" x14ac:dyDescent="0.3">
      <c r="BB1045025" s="38"/>
    </row>
    <row r="1045026" spans="54:54" ht="15.75" customHeight="1" x14ac:dyDescent="0.3">
      <c r="BB1045026" s="38"/>
    </row>
    <row r="1045027" spans="54:54" ht="15.75" customHeight="1" x14ac:dyDescent="0.3">
      <c r="BB1045027" s="38"/>
    </row>
    <row r="1045028" spans="54:54" ht="15.75" customHeight="1" x14ac:dyDescent="0.3">
      <c r="BB1045028" s="38"/>
    </row>
    <row r="1045029" spans="54:54" ht="15.75" customHeight="1" x14ac:dyDescent="0.3">
      <c r="BB1045029" s="38"/>
    </row>
    <row r="1045030" spans="54:54" ht="15.75" customHeight="1" x14ac:dyDescent="0.3">
      <c r="BB1045030" s="38"/>
    </row>
    <row r="1045031" spans="54:54" ht="15.75" customHeight="1" x14ac:dyDescent="0.3">
      <c r="BB1045031" s="38"/>
    </row>
    <row r="1045032" spans="54:54" ht="15.75" customHeight="1" x14ac:dyDescent="0.3">
      <c r="BB1045032" s="38"/>
    </row>
    <row r="1045033" spans="54:54" ht="15.75" customHeight="1" x14ac:dyDescent="0.3">
      <c r="BB1045033" s="38"/>
    </row>
    <row r="1045034" spans="54:54" ht="15.75" customHeight="1" x14ac:dyDescent="0.3">
      <c r="BB1045034" s="38"/>
    </row>
    <row r="1045035" spans="54:54" ht="15.75" customHeight="1" x14ac:dyDescent="0.3">
      <c r="BB1045035" s="38"/>
    </row>
    <row r="1045036" spans="54:54" ht="15.75" customHeight="1" x14ac:dyDescent="0.3">
      <c r="BB1045036" s="38"/>
    </row>
    <row r="1045037" spans="54:54" ht="15.75" customHeight="1" x14ac:dyDescent="0.3">
      <c r="BB1045037" s="38"/>
    </row>
    <row r="1045038" spans="54:54" ht="15.75" customHeight="1" x14ac:dyDescent="0.3">
      <c r="BB1045038" s="38"/>
    </row>
    <row r="1045039" spans="54:54" ht="15.75" customHeight="1" x14ac:dyDescent="0.3">
      <c r="BB1045039" s="38"/>
    </row>
    <row r="1045040" spans="54:54" ht="15.75" customHeight="1" x14ac:dyDescent="0.3">
      <c r="BB1045040" s="38"/>
    </row>
    <row r="1045041" spans="54:54" ht="15.75" customHeight="1" x14ac:dyDescent="0.3">
      <c r="BB1045041" s="38"/>
    </row>
    <row r="1045042" spans="54:54" ht="15.75" customHeight="1" x14ac:dyDescent="0.3">
      <c r="BB1045042" s="38"/>
    </row>
    <row r="1045043" spans="54:54" ht="15.75" customHeight="1" x14ac:dyDescent="0.3">
      <c r="BB1045043" s="38"/>
    </row>
    <row r="1045044" spans="54:54" ht="15.75" customHeight="1" x14ac:dyDescent="0.3">
      <c r="BB1045044" s="38"/>
    </row>
    <row r="1045045" spans="54:54" ht="15.75" customHeight="1" x14ac:dyDescent="0.3">
      <c r="BB1045045" s="38"/>
    </row>
    <row r="1045046" spans="54:54" ht="15.75" customHeight="1" x14ac:dyDescent="0.3">
      <c r="BB1045046" s="38"/>
    </row>
    <row r="1045047" spans="54:54" ht="15.75" customHeight="1" x14ac:dyDescent="0.3">
      <c r="BB1045047" s="38"/>
    </row>
    <row r="1045048" spans="54:54" ht="15.75" customHeight="1" x14ac:dyDescent="0.3">
      <c r="BB1045048" s="38"/>
    </row>
    <row r="1045049" spans="54:54" ht="15.75" customHeight="1" x14ac:dyDescent="0.3">
      <c r="BB1045049" s="38"/>
    </row>
    <row r="1045050" spans="54:54" ht="15.75" customHeight="1" x14ac:dyDescent="0.3">
      <c r="BB1045050" s="38"/>
    </row>
    <row r="1045051" spans="54:54" ht="15.75" customHeight="1" x14ac:dyDescent="0.3">
      <c r="BB1045051" s="38"/>
    </row>
    <row r="1045052" spans="54:54" ht="15.75" customHeight="1" x14ac:dyDescent="0.3">
      <c r="BB1045052" s="38"/>
    </row>
    <row r="1045053" spans="54:54" ht="15.75" customHeight="1" x14ac:dyDescent="0.3">
      <c r="BB1045053" s="38"/>
    </row>
    <row r="1045054" spans="54:54" ht="15.75" customHeight="1" x14ac:dyDescent="0.3">
      <c r="BB1045054" s="38"/>
    </row>
    <row r="1045055" spans="54:54" ht="15.75" customHeight="1" x14ac:dyDescent="0.3">
      <c r="BB1045055" s="38"/>
    </row>
    <row r="1045056" spans="54:54" ht="15.75" customHeight="1" x14ac:dyDescent="0.3">
      <c r="BB1045056" s="38"/>
    </row>
    <row r="1045057" spans="54:54" ht="15.75" customHeight="1" x14ac:dyDescent="0.3">
      <c r="BB1045057" s="38"/>
    </row>
    <row r="1045058" spans="54:54" ht="15.75" customHeight="1" x14ac:dyDescent="0.3">
      <c r="BB1045058" s="38"/>
    </row>
    <row r="1045059" spans="54:54" ht="15.75" customHeight="1" x14ac:dyDescent="0.3">
      <c r="BB1045059" s="38"/>
    </row>
    <row r="1045060" spans="54:54" ht="15.75" customHeight="1" x14ac:dyDescent="0.3">
      <c r="BB1045060" s="38"/>
    </row>
    <row r="1045061" spans="54:54" ht="15.75" customHeight="1" x14ac:dyDescent="0.3">
      <c r="BB1045061" s="38"/>
    </row>
    <row r="1045062" spans="54:54" ht="15.75" customHeight="1" x14ac:dyDescent="0.3">
      <c r="BB1045062" s="38"/>
    </row>
    <row r="1045063" spans="54:54" ht="15.75" customHeight="1" x14ac:dyDescent="0.3">
      <c r="BB1045063" s="38"/>
    </row>
    <row r="1045064" spans="54:54" ht="15.75" customHeight="1" x14ac:dyDescent="0.3">
      <c r="BB1045064" s="38"/>
    </row>
    <row r="1045065" spans="54:54" ht="15.75" customHeight="1" x14ac:dyDescent="0.3">
      <c r="BB1045065" s="38"/>
    </row>
    <row r="1045066" spans="54:54" ht="15.75" customHeight="1" x14ac:dyDescent="0.3">
      <c r="BB1045066" s="38"/>
    </row>
    <row r="1045067" spans="54:54" ht="15.75" customHeight="1" x14ac:dyDescent="0.3">
      <c r="BB1045067" s="38"/>
    </row>
    <row r="1045068" spans="54:54" ht="15.75" customHeight="1" x14ac:dyDescent="0.3">
      <c r="BB1045068" s="38"/>
    </row>
    <row r="1045069" spans="54:54" ht="15.75" customHeight="1" x14ac:dyDescent="0.3">
      <c r="BB1045069" s="38"/>
    </row>
    <row r="1045070" spans="54:54" ht="15.75" customHeight="1" x14ac:dyDescent="0.3">
      <c r="BB1045070" s="38"/>
    </row>
    <row r="1045071" spans="54:54" ht="15.75" customHeight="1" x14ac:dyDescent="0.3">
      <c r="BB1045071" s="38"/>
    </row>
    <row r="1045072" spans="54:54" ht="15.75" customHeight="1" x14ac:dyDescent="0.3">
      <c r="BB1045072" s="38"/>
    </row>
    <row r="1045073" spans="54:54" ht="15.75" customHeight="1" x14ac:dyDescent="0.3">
      <c r="BB1045073" s="38"/>
    </row>
    <row r="1045074" spans="54:54" ht="15.75" customHeight="1" x14ac:dyDescent="0.3">
      <c r="BB1045074" s="38"/>
    </row>
    <row r="1045075" spans="54:54" ht="15.75" customHeight="1" x14ac:dyDescent="0.3">
      <c r="BB1045075" s="38"/>
    </row>
    <row r="1045076" spans="54:54" ht="15.75" customHeight="1" x14ac:dyDescent="0.3">
      <c r="BB1045076" s="38"/>
    </row>
    <row r="1045077" spans="54:54" ht="15.75" customHeight="1" x14ac:dyDescent="0.3">
      <c r="BB1045077" s="38"/>
    </row>
    <row r="1045078" spans="54:54" ht="15.75" customHeight="1" x14ac:dyDescent="0.3">
      <c r="BB1045078" s="38"/>
    </row>
    <row r="1045079" spans="54:54" ht="15.75" customHeight="1" x14ac:dyDescent="0.3">
      <c r="BB1045079" s="38"/>
    </row>
    <row r="1045080" spans="54:54" ht="15.75" customHeight="1" x14ac:dyDescent="0.3">
      <c r="BB1045080" s="38"/>
    </row>
    <row r="1045081" spans="54:54" ht="15.75" customHeight="1" x14ac:dyDescent="0.3">
      <c r="BB1045081" s="38"/>
    </row>
    <row r="1045082" spans="54:54" ht="15.75" customHeight="1" x14ac:dyDescent="0.3">
      <c r="BB1045082" s="38"/>
    </row>
    <row r="1045083" spans="54:54" ht="15.75" customHeight="1" x14ac:dyDescent="0.3">
      <c r="BB1045083" s="38"/>
    </row>
    <row r="1045084" spans="54:54" ht="15.75" customHeight="1" x14ac:dyDescent="0.3">
      <c r="BB1045084" s="38"/>
    </row>
    <row r="1045085" spans="54:54" ht="15.75" customHeight="1" x14ac:dyDescent="0.3">
      <c r="BB1045085" s="38"/>
    </row>
    <row r="1045086" spans="54:54" ht="15.75" customHeight="1" x14ac:dyDescent="0.3">
      <c r="BB1045086" s="38"/>
    </row>
    <row r="1045087" spans="54:54" ht="15.75" customHeight="1" x14ac:dyDescent="0.3">
      <c r="BB1045087" s="38"/>
    </row>
    <row r="1045088" spans="54:54" ht="15.75" customHeight="1" x14ac:dyDescent="0.3">
      <c r="BB1045088" s="38"/>
    </row>
    <row r="1045089" spans="54:54" ht="15.75" customHeight="1" x14ac:dyDescent="0.3">
      <c r="BB1045089" s="38"/>
    </row>
    <row r="1045090" spans="54:54" ht="15.75" customHeight="1" x14ac:dyDescent="0.3">
      <c r="BB1045090" s="38"/>
    </row>
    <row r="1045091" spans="54:54" ht="15.75" customHeight="1" x14ac:dyDescent="0.3">
      <c r="BB1045091" s="38"/>
    </row>
    <row r="1045092" spans="54:54" ht="15.75" customHeight="1" x14ac:dyDescent="0.3">
      <c r="BB1045092" s="38"/>
    </row>
    <row r="1045093" spans="54:54" ht="15.75" customHeight="1" x14ac:dyDescent="0.3">
      <c r="BB1045093" s="38"/>
    </row>
    <row r="1045094" spans="54:54" ht="15.75" customHeight="1" x14ac:dyDescent="0.3">
      <c r="BB1045094" s="38"/>
    </row>
    <row r="1045095" spans="54:54" ht="15.75" customHeight="1" x14ac:dyDescent="0.3">
      <c r="BB1045095" s="38"/>
    </row>
    <row r="1045096" spans="54:54" ht="15.75" customHeight="1" x14ac:dyDescent="0.3">
      <c r="BB1045096" s="38"/>
    </row>
    <row r="1045097" spans="54:54" ht="15.75" customHeight="1" x14ac:dyDescent="0.3">
      <c r="BB1045097" s="38"/>
    </row>
    <row r="1045098" spans="54:54" ht="15.75" customHeight="1" x14ac:dyDescent="0.3">
      <c r="BB1045098" s="38"/>
    </row>
    <row r="1045099" spans="54:54" ht="15.75" customHeight="1" x14ac:dyDescent="0.3">
      <c r="BB1045099" s="38"/>
    </row>
    <row r="1045100" spans="54:54" ht="15.75" customHeight="1" x14ac:dyDescent="0.3">
      <c r="BB1045100" s="38"/>
    </row>
    <row r="1045101" spans="54:54" ht="15.75" customHeight="1" x14ac:dyDescent="0.3">
      <c r="BB1045101" s="38"/>
    </row>
    <row r="1045102" spans="54:54" ht="15.75" customHeight="1" x14ac:dyDescent="0.3">
      <c r="BB1045102" s="38"/>
    </row>
    <row r="1045103" spans="54:54" ht="15.75" customHeight="1" x14ac:dyDescent="0.3">
      <c r="BB1045103" s="38"/>
    </row>
    <row r="1045104" spans="54:54" ht="15.75" customHeight="1" x14ac:dyDescent="0.3">
      <c r="BB1045104" s="38"/>
    </row>
    <row r="1045105" spans="54:54" ht="15.75" customHeight="1" x14ac:dyDescent="0.3">
      <c r="BB1045105" s="38"/>
    </row>
    <row r="1045106" spans="54:54" ht="15.75" customHeight="1" x14ac:dyDescent="0.3">
      <c r="BB1045106" s="38"/>
    </row>
    <row r="1045107" spans="54:54" ht="15.75" customHeight="1" x14ac:dyDescent="0.3">
      <c r="BB1045107" s="38"/>
    </row>
    <row r="1045108" spans="54:54" ht="15.75" customHeight="1" x14ac:dyDescent="0.3">
      <c r="BB1045108" s="38"/>
    </row>
    <row r="1045109" spans="54:54" ht="15.75" customHeight="1" x14ac:dyDescent="0.3">
      <c r="BB1045109" s="38"/>
    </row>
    <row r="1045110" spans="54:54" ht="15.75" customHeight="1" x14ac:dyDescent="0.3">
      <c r="BB1045110" s="38"/>
    </row>
    <row r="1045111" spans="54:54" ht="15.75" customHeight="1" x14ac:dyDescent="0.3">
      <c r="BB1045111" s="38"/>
    </row>
    <row r="1045112" spans="54:54" ht="15.75" customHeight="1" x14ac:dyDescent="0.3">
      <c r="BB1045112" s="38"/>
    </row>
    <row r="1045113" spans="54:54" ht="15.75" customHeight="1" x14ac:dyDescent="0.3">
      <c r="BB1045113" s="38"/>
    </row>
    <row r="1045114" spans="54:54" ht="15.75" customHeight="1" x14ac:dyDescent="0.3">
      <c r="BB1045114" s="38"/>
    </row>
    <row r="1045115" spans="54:54" ht="15.75" customHeight="1" x14ac:dyDescent="0.3">
      <c r="BB1045115" s="38"/>
    </row>
    <row r="1045116" spans="54:54" ht="15.75" customHeight="1" x14ac:dyDescent="0.3">
      <c r="BB1045116" s="38"/>
    </row>
    <row r="1045117" spans="54:54" ht="15.75" customHeight="1" x14ac:dyDescent="0.3">
      <c r="BB1045117" s="38"/>
    </row>
    <row r="1045118" spans="54:54" ht="15.75" customHeight="1" x14ac:dyDescent="0.3">
      <c r="BB1045118" s="38"/>
    </row>
    <row r="1045119" spans="54:54" ht="15.75" customHeight="1" x14ac:dyDescent="0.3">
      <c r="BB1045119" s="38"/>
    </row>
    <row r="1045120" spans="54:54" ht="15.75" customHeight="1" x14ac:dyDescent="0.3">
      <c r="BB1045120" s="38"/>
    </row>
    <row r="1045121" spans="54:54" ht="15.75" customHeight="1" x14ac:dyDescent="0.3">
      <c r="BB1045121" s="38"/>
    </row>
    <row r="1045122" spans="54:54" ht="15.75" customHeight="1" x14ac:dyDescent="0.3">
      <c r="BB1045122" s="38"/>
    </row>
    <row r="1045123" spans="54:54" ht="15.75" customHeight="1" x14ac:dyDescent="0.3">
      <c r="BB1045123" s="38"/>
    </row>
    <row r="1045124" spans="54:54" ht="15.75" customHeight="1" x14ac:dyDescent="0.3">
      <c r="BB1045124" s="38"/>
    </row>
    <row r="1045125" spans="54:54" ht="15.75" customHeight="1" x14ac:dyDescent="0.3">
      <c r="BB1045125" s="38"/>
    </row>
    <row r="1045126" spans="54:54" ht="15.75" customHeight="1" x14ac:dyDescent="0.3">
      <c r="BB1045126" s="38"/>
    </row>
    <row r="1045127" spans="54:54" ht="15.75" customHeight="1" x14ac:dyDescent="0.3">
      <c r="BB1045127" s="38"/>
    </row>
    <row r="1045128" spans="54:54" ht="15.75" customHeight="1" x14ac:dyDescent="0.3">
      <c r="BB1045128" s="38"/>
    </row>
    <row r="1045129" spans="54:54" ht="15.75" customHeight="1" x14ac:dyDescent="0.3">
      <c r="BB1045129" s="38"/>
    </row>
    <row r="1045130" spans="54:54" ht="15.75" customHeight="1" x14ac:dyDescent="0.3">
      <c r="BB1045130" s="38"/>
    </row>
    <row r="1045131" spans="54:54" ht="15.75" customHeight="1" x14ac:dyDescent="0.3">
      <c r="BB1045131" s="38"/>
    </row>
    <row r="1045132" spans="54:54" ht="15.75" customHeight="1" x14ac:dyDescent="0.3">
      <c r="BB1045132" s="38"/>
    </row>
    <row r="1045133" spans="54:54" ht="15.75" customHeight="1" x14ac:dyDescent="0.3">
      <c r="BB1045133" s="38"/>
    </row>
    <row r="1045134" spans="54:54" ht="15.75" customHeight="1" x14ac:dyDescent="0.3">
      <c r="BB1045134" s="38"/>
    </row>
    <row r="1045135" spans="54:54" ht="15.75" customHeight="1" x14ac:dyDescent="0.3">
      <c r="BB1045135" s="38"/>
    </row>
    <row r="1045136" spans="54:54" ht="15.75" customHeight="1" x14ac:dyDescent="0.3">
      <c r="BB1045136" s="38"/>
    </row>
    <row r="1045137" spans="54:54" ht="15.75" customHeight="1" x14ac:dyDescent="0.3">
      <c r="BB1045137" s="38"/>
    </row>
    <row r="1045138" spans="54:54" ht="15.75" customHeight="1" x14ac:dyDescent="0.3">
      <c r="BB1045138" s="38"/>
    </row>
    <row r="1045139" spans="54:54" ht="15.75" customHeight="1" x14ac:dyDescent="0.3">
      <c r="BB1045139" s="38"/>
    </row>
    <row r="1045140" spans="54:54" ht="15.75" customHeight="1" x14ac:dyDescent="0.3">
      <c r="BB1045140" s="38"/>
    </row>
    <row r="1045141" spans="54:54" ht="15.75" customHeight="1" x14ac:dyDescent="0.3">
      <c r="BB1045141" s="38"/>
    </row>
    <row r="1045142" spans="54:54" ht="15.75" customHeight="1" x14ac:dyDescent="0.3">
      <c r="BB1045142" s="38"/>
    </row>
    <row r="1045143" spans="54:54" ht="15.75" customHeight="1" x14ac:dyDescent="0.3">
      <c r="BB1045143" s="38"/>
    </row>
    <row r="1045144" spans="54:54" ht="15.75" customHeight="1" x14ac:dyDescent="0.3">
      <c r="BB1045144" s="38"/>
    </row>
    <row r="1045145" spans="54:54" ht="15.75" customHeight="1" x14ac:dyDescent="0.3">
      <c r="BB1045145" s="38"/>
    </row>
    <row r="1045146" spans="54:54" ht="15.75" customHeight="1" x14ac:dyDescent="0.3">
      <c r="BB1045146" s="38"/>
    </row>
    <row r="1045147" spans="54:54" ht="15.75" customHeight="1" x14ac:dyDescent="0.3">
      <c r="BB1045147" s="38"/>
    </row>
    <row r="1045148" spans="54:54" ht="15.75" customHeight="1" x14ac:dyDescent="0.3">
      <c r="BB1045148" s="38"/>
    </row>
    <row r="1045149" spans="54:54" ht="15.75" customHeight="1" x14ac:dyDescent="0.3">
      <c r="BB1045149" s="38"/>
    </row>
    <row r="1045150" spans="54:54" ht="15.75" customHeight="1" x14ac:dyDescent="0.3">
      <c r="BB1045150" s="38"/>
    </row>
    <row r="1045151" spans="54:54" ht="15.75" customHeight="1" x14ac:dyDescent="0.3">
      <c r="BB1045151" s="38"/>
    </row>
    <row r="1045152" spans="54:54" ht="15.75" customHeight="1" x14ac:dyDescent="0.3">
      <c r="BB1045152" s="38"/>
    </row>
    <row r="1045153" spans="54:54" ht="15.75" customHeight="1" x14ac:dyDescent="0.3">
      <c r="BB1045153" s="38"/>
    </row>
    <row r="1045154" spans="54:54" ht="15.75" customHeight="1" x14ac:dyDescent="0.3">
      <c r="BB1045154" s="38"/>
    </row>
    <row r="1045155" spans="54:54" ht="15.75" customHeight="1" x14ac:dyDescent="0.3">
      <c r="BB1045155" s="38"/>
    </row>
    <row r="1045156" spans="54:54" ht="15.75" customHeight="1" x14ac:dyDescent="0.3">
      <c r="BB1045156" s="38"/>
    </row>
    <row r="1045157" spans="54:54" ht="15.75" customHeight="1" x14ac:dyDescent="0.3">
      <c r="BB1045157" s="38"/>
    </row>
    <row r="1045158" spans="54:54" ht="15.75" customHeight="1" x14ac:dyDescent="0.3">
      <c r="BB1045158" s="38"/>
    </row>
    <row r="1045159" spans="54:54" ht="15.75" customHeight="1" x14ac:dyDescent="0.3">
      <c r="BB1045159" s="38"/>
    </row>
    <row r="1045160" spans="54:54" ht="15.75" customHeight="1" x14ac:dyDescent="0.3">
      <c r="BB1045160" s="38"/>
    </row>
    <row r="1045161" spans="54:54" ht="15.75" customHeight="1" x14ac:dyDescent="0.3">
      <c r="BB1045161" s="38"/>
    </row>
    <row r="1045162" spans="54:54" ht="15.75" customHeight="1" x14ac:dyDescent="0.3">
      <c r="BB1045162" s="38"/>
    </row>
    <row r="1045163" spans="54:54" ht="15.75" customHeight="1" x14ac:dyDescent="0.3">
      <c r="BB1045163" s="38"/>
    </row>
    <row r="1045164" spans="54:54" ht="15.75" customHeight="1" x14ac:dyDescent="0.3">
      <c r="BB1045164" s="38"/>
    </row>
    <row r="1045165" spans="54:54" ht="15.75" customHeight="1" x14ac:dyDescent="0.3">
      <c r="BB1045165" s="38"/>
    </row>
    <row r="1045166" spans="54:54" ht="15.75" customHeight="1" x14ac:dyDescent="0.3">
      <c r="BB1045166" s="38"/>
    </row>
    <row r="1045167" spans="54:54" ht="15.75" customHeight="1" x14ac:dyDescent="0.3">
      <c r="BB1045167" s="38"/>
    </row>
    <row r="1045168" spans="54:54" ht="15.75" customHeight="1" x14ac:dyDescent="0.3">
      <c r="BB1045168" s="38"/>
    </row>
    <row r="1045169" spans="54:54" ht="15.75" customHeight="1" x14ac:dyDescent="0.3">
      <c r="BB1045169" s="38"/>
    </row>
    <row r="1045170" spans="54:54" ht="15.75" customHeight="1" x14ac:dyDescent="0.3">
      <c r="BB1045170" s="38"/>
    </row>
    <row r="1045171" spans="54:54" ht="15.75" customHeight="1" x14ac:dyDescent="0.3">
      <c r="BB1045171" s="38"/>
    </row>
    <row r="1045172" spans="54:54" ht="15.75" customHeight="1" x14ac:dyDescent="0.3">
      <c r="BB1045172" s="38"/>
    </row>
    <row r="1045173" spans="54:54" ht="15.75" customHeight="1" x14ac:dyDescent="0.3">
      <c r="BB1045173" s="38"/>
    </row>
    <row r="1045174" spans="54:54" ht="15.75" customHeight="1" x14ac:dyDescent="0.3">
      <c r="BB1045174" s="38"/>
    </row>
    <row r="1045175" spans="54:54" ht="15.75" customHeight="1" x14ac:dyDescent="0.3">
      <c r="BB1045175" s="38"/>
    </row>
    <row r="1045176" spans="54:54" ht="15.75" customHeight="1" x14ac:dyDescent="0.3">
      <c r="BB1045176" s="38"/>
    </row>
    <row r="1045177" spans="54:54" ht="15.75" customHeight="1" x14ac:dyDescent="0.3">
      <c r="BB1045177" s="38"/>
    </row>
    <row r="1045178" spans="54:54" ht="15.75" customHeight="1" x14ac:dyDescent="0.3">
      <c r="BB1045178" s="38"/>
    </row>
    <row r="1045179" spans="54:54" ht="15.75" customHeight="1" x14ac:dyDescent="0.3">
      <c r="BB1045179" s="38"/>
    </row>
    <row r="1045180" spans="54:54" ht="15.75" customHeight="1" x14ac:dyDescent="0.3">
      <c r="BB1045180" s="38"/>
    </row>
    <row r="1045181" spans="54:54" ht="15.75" customHeight="1" x14ac:dyDescent="0.3">
      <c r="BB1045181" s="38"/>
    </row>
    <row r="1045182" spans="54:54" ht="15.75" customHeight="1" x14ac:dyDescent="0.3">
      <c r="BB1045182" s="38"/>
    </row>
    <row r="1045183" spans="54:54" ht="15.75" customHeight="1" x14ac:dyDescent="0.3">
      <c r="BB1045183" s="38"/>
    </row>
    <row r="1045184" spans="54:54" ht="15.75" customHeight="1" x14ac:dyDescent="0.3">
      <c r="BB1045184" s="38"/>
    </row>
    <row r="1045185" spans="54:54" ht="15.75" customHeight="1" x14ac:dyDescent="0.3">
      <c r="BB1045185" s="38"/>
    </row>
    <row r="1045186" spans="54:54" ht="15.75" customHeight="1" x14ac:dyDescent="0.3">
      <c r="BB1045186" s="38"/>
    </row>
    <row r="1045187" spans="54:54" ht="15.75" customHeight="1" x14ac:dyDescent="0.3">
      <c r="BB1045187" s="38"/>
    </row>
    <row r="1045188" spans="54:54" ht="15.75" customHeight="1" x14ac:dyDescent="0.3">
      <c r="BB1045188" s="38"/>
    </row>
    <row r="1045189" spans="54:54" ht="15.75" customHeight="1" x14ac:dyDescent="0.3">
      <c r="BB1045189" s="38"/>
    </row>
    <row r="1045190" spans="54:54" ht="15.75" customHeight="1" x14ac:dyDescent="0.3">
      <c r="BB1045190" s="38"/>
    </row>
    <row r="1045191" spans="54:54" ht="15.75" customHeight="1" x14ac:dyDescent="0.3">
      <c r="BB1045191" s="38"/>
    </row>
    <row r="1045192" spans="54:54" ht="15.75" customHeight="1" x14ac:dyDescent="0.3">
      <c r="BB1045192" s="38"/>
    </row>
    <row r="1045193" spans="54:54" ht="15.75" customHeight="1" x14ac:dyDescent="0.3">
      <c r="BB1045193" s="38"/>
    </row>
    <row r="1045194" spans="54:54" ht="15.75" customHeight="1" x14ac:dyDescent="0.3">
      <c r="BB1045194" s="38"/>
    </row>
    <row r="1045195" spans="54:54" ht="15.75" customHeight="1" x14ac:dyDescent="0.3">
      <c r="BB1045195" s="38"/>
    </row>
    <row r="1045196" spans="54:54" ht="15.75" customHeight="1" x14ac:dyDescent="0.3">
      <c r="BB1045196" s="38"/>
    </row>
    <row r="1045197" spans="54:54" ht="15.75" customHeight="1" x14ac:dyDescent="0.3">
      <c r="BB1045197" s="38"/>
    </row>
    <row r="1045198" spans="54:54" ht="15.75" customHeight="1" x14ac:dyDescent="0.3">
      <c r="BB1045198" s="38"/>
    </row>
    <row r="1045199" spans="54:54" ht="15.75" customHeight="1" x14ac:dyDescent="0.3">
      <c r="BB1045199" s="38"/>
    </row>
    <row r="1045200" spans="54:54" ht="15.75" customHeight="1" x14ac:dyDescent="0.3">
      <c r="BB1045200" s="38"/>
    </row>
    <row r="1045201" spans="54:54" ht="15.75" customHeight="1" x14ac:dyDescent="0.3">
      <c r="BB1045201" s="38"/>
    </row>
    <row r="1045202" spans="54:54" ht="15.75" customHeight="1" x14ac:dyDescent="0.3">
      <c r="BB1045202" s="38"/>
    </row>
    <row r="1045203" spans="54:54" ht="15.75" customHeight="1" x14ac:dyDescent="0.3">
      <c r="BB1045203" s="38"/>
    </row>
    <row r="1045204" spans="54:54" ht="15.75" customHeight="1" x14ac:dyDescent="0.3">
      <c r="BB1045204" s="38"/>
    </row>
    <row r="1045205" spans="54:54" ht="15.75" customHeight="1" x14ac:dyDescent="0.3">
      <c r="BB1045205" s="38"/>
    </row>
    <row r="1045206" spans="54:54" ht="15.75" customHeight="1" x14ac:dyDescent="0.3">
      <c r="BB1045206" s="38"/>
    </row>
    <row r="1045207" spans="54:54" ht="15.75" customHeight="1" x14ac:dyDescent="0.3">
      <c r="BB1045207" s="38"/>
    </row>
    <row r="1045208" spans="54:54" ht="15.75" customHeight="1" x14ac:dyDescent="0.3">
      <c r="BB1045208" s="38"/>
    </row>
    <row r="1045209" spans="54:54" ht="15.75" customHeight="1" x14ac:dyDescent="0.3">
      <c r="BB1045209" s="38"/>
    </row>
    <row r="1045210" spans="54:54" ht="15.75" customHeight="1" x14ac:dyDescent="0.3">
      <c r="BB1045210" s="38"/>
    </row>
    <row r="1045211" spans="54:54" ht="15.75" customHeight="1" x14ac:dyDescent="0.3">
      <c r="BB1045211" s="38"/>
    </row>
    <row r="1045212" spans="54:54" ht="15.75" customHeight="1" x14ac:dyDescent="0.3">
      <c r="BB1045212" s="38"/>
    </row>
    <row r="1045213" spans="54:54" ht="15.75" customHeight="1" x14ac:dyDescent="0.3">
      <c r="BB1045213" s="38"/>
    </row>
    <row r="1045214" spans="54:54" ht="15.75" customHeight="1" x14ac:dyDescent="0.3">
      <c r="BB1045214" s="38"/>
    </row>
    <row r="1045215" spans="54:54" ht="15.75" customHeight="1" x14ac:dyDescent="0.3">
      <c r="BB1045215" s="38"/>
    </row>
    <row r="1045216" spans="54:54" ht="15.75" customHeight="1" x14ac:dyDescent="0.3">
      <c r="BB1045216" s="38"/>
    </row>
    <row r="1045217" spans="54:54" ht="15.75" customHeight="1" x14ac:dyDescent="0.3">
      <c r="BB1045217" s="38"/>
    </row>
    <row r="1045218" spans="54:54" ht="15.75" customHeight="1" x14ac:dyDescent="0.3">
      <c r="BB1045218" s="38"/>
    </row>
    <row r="1045219" spans="54:54" ht="15.75" customHeight="1" x14ac:dyDescent="0.3">
      <c r="BB1045219" s="38"/>
    </row>
    <row r="1045220" spans="54:54" ht="15.75" customHeight="1" x14ac:dyDescent="0.3">
      <c r="BB1045220" s="38"/>
    </row>
    <row r="1045221" spans="54:54" ht="15.75" customHeight="1" x14ac:dyDescent="0.3">
      <c r="BB1045221" s="38"/>
    </row>
    <row r="1045222" spans="54:54" ht="15.75" customHeight="1" x14ac:dyDescent="0.3">
      <c r="BB1045222" s="38"/>
    </row>
    <row r="1045223" spans="54:54" ht="15.75" customHeight="1" x14ac:dyDescent="0.3">
      <c r="BB1045223" s="38"/>
    </row>
    <row r="1045224" spans="54:54" ht="15.75" customHeight="1" x14ac:dyDescent="0.3">
      <c r="BB1045224" s="38"/>
    </row>
    <row r="1045225" spans="54:54" ht="15.75" customHeight="1" x14ac:dyDescent="0.3">
      <c r="BB1045225" s="38"/>
    </row>
    <row r="1045226" spans="54:54" ht="15.75" customHeight="1" x14ac:dyDescent="0.3">
      <c r="BB1045226" s="38"/>
    </row>
    <row r="1045227" spans="54:54" ht="15.75" customHeight="1" x14ac:dyDescent="0.3">
      <c r="BB1045227" s="38"/>
    </row>
    <row r="1045228" spans="54:54" ht="15.75" customHeight="1" x14ac:dyDescent="0.3">
      <c r="BB1045228" s="38"/>
    </row>
    <row r="1045229" spans="54:54" ht="15.75" customHeight="1" x14ac:dyDescent="0.3">
      <c r="BB1045229" s="38"/>
    </row>
    <row r="1045230" spans="54:54" ht="15.75" customHeight="1" x14ac:dyDescent="0.3">
      <c r="BB1045230" s="38"/>
    </row>
    <row r="1045231" spans="54:54" ht="15.75" customHeight="1" x14ac:dyDescent="0.3">
      <c r="BB1045231" s="38"/>
    </row>
    <row r="1045232" spans="54:54" ht="15.75" customHeight="1" x14ac:dyDescent="0.3">
      <c r="BB1045232" s="38"/>
    </row>
    <row r="1045233" spans="54:54" ht="15.75" customHeight="1" x14ac:dyDescent="0.3">
      <c r="BB1045233" s="38"/>
    </row>
    <row r="1045234" spans="54:54" ht="15.75" customHeight="1" x14ac:dyDescent="0.3">
      <c r="BB1045234" s="38"/>
    </row>
    <row r="1045235" spans="54:54" ht="15.75" customHeight="1" x14ac:dyDescent="0.3">
      <c r="BB1045235" s="38"/>
    </row>
    <row r="1045236" spans="54:54" ht="15.75" customHeight="1" x14ac:dyDescent="0.3">
      <c r="BB1045236" s="38"/>
    </row>
    <row r="1045237" spans="54:54" ht="15.75" customHeight="1" x14ac:dyDescent="0.3">
      <c r="BB1045237" s="38"/>
    </row>
    <row r="1045238" spans="54:54" ht="15.75" customHeight="1" x14ac:dyDescent="0.3">
      <c r="BB1045238" s="38"/>
    </row>
    <row r="1045239" spans="54:54" ht="15.75" customHeight="1" x14ac:dyDescent="0.3">
      <c r="BB1045239" s="38"/>
    </row>
    <row r="1045240" spans="54:54" ht="15.75" customHeight="1" x14ac:dyDescent="0.3">
      <c r="BB1045240" s="38"/>
    </row>
    <row r="1045241" spans="54:54" ht="15.75" customHeight="1" x14ac:dyDescent="0.3">
      <c r="BB1045241" s="38"/>
    </row>
    <row r="1045242" spans="54:54" ht="15.75" customHeight="1" x14ac:dyDescent="0.3">
      <c r="BB1045242" s="38"/>
    </row>
    <row r="1045243" spans="54:54" ht="15.75" customHeight="1" x14ac:dyDescent="0.3">
      <c r="BB1045243" s="38"/>
    </row>
    <row r="1045244" spans="54:54" ht="15.75" customHeight="1" x14ac:dyDescent="0.3">
      <c r="BB1045244" s="38"/>
    </row>
    <row r="1045245" spans="54:54" ht="15.75" customHeight="1" x14ac:dyDescent="0.3">
      <c r="BB1045245" s="38"/>
    </row>
    <row r="1045246" spans="54:54" ht="15.75" customHeight="1" x14ac:dyDescent="0.3">
      <c r="BB1045246" s="38"/>
    </row>
    <row r="1045247" spans="54:54" ht="15.75" customHeight="1" x14ac:dyDescent="0.3">
      <c r="BB1045247" s="38"/>
    </row>
    <row r="1045248" spans="54:54" ht="15.75" customHeight="1" x14ac:dyDescent="0.3">
      <c r="BB1045248" s="38"/>
    </row>
    <row r="1045249" spans="54:54" ht="15.75" customHeight="1" x14ac:dyDescent="0.3">
      <c r="BB1045249" s="38"/>
    </row>
    <row r="1045250" spans="54:54" ht="15.75" customHeight="1" x14ac:dyDescent="0.3">
      <c r="BB1045250" s="38"/>
    </row>
    <row r="1045251" spans="54:54" ht="15.75" customHeight="1" x14ac:dyDescent="0.3">
      <c r="BB1045251" s="38"/>
    </row>
    <row r="1045252" spans="54:54" ht="15.75" customHeight="1" x14ac:dyDescent="0.3">
      <c r="BB1045252" s="38"/>
    </row>
    <row r="1045253" spans="54:54" ht="15.75" customHeight="1" x14ac:dyDescent="0.3">
      <c r="BB1045253" s="38"/>
    </row>
    <row r="1045254" spans="54:54" ht="15.75" customHeight="1" x14ac:dyDescent="0.3">
      <c r="BB1045254" s="38"/>
    </row>
    <row r="1045255" spans="54:54" ht="15.75" customHeight="1" x14ac:dyDescent="0.3">
      <c r="BB1045255" s="38"/>
    </row>
    <row r="1045256" spans="54:54" ht="15.75" customHeight="1" x14ac:dyDescent="0.3">
      <c r="BB1045256" s="38"/>
    </row>
    <row r="1045257" spans="54:54" ht="15.75" customHeight="1" x14ac:dyDescent="0.3">
      <c r="BB1045257" s="38"/>
    </row>
    <row r="1045258" spans="54:54" ht="15.75" customHeight="1" x14ac:dyDescent="0.3">
      <c r="BB1045258" s="38"/>
    </row>
    <row r="1045259" spans="54:54" ht="15.75" customHeight="1" x14ac:dyDescent="0.3">
      <c r="BB1045259" s="38"/>
    </row>
    <row r="1045260" spans="54:54" ht="15.75" customHeight="1" x14ac:dyDescent="0.3">
      <c r="BB1045260" s="38"/>
    </row>
    <row r="1045261" spans="54:54" ht="15.75" customHeight="1" x14ac:dyDescent="0.3">
      <c r="BB1045261" s="38"/>
    </row>
    <row r="1045262" spans="54:54" ht="15.75" customHeight="1" x14ac:dyDescent="0.3">
      <c r="BB1045262" s="38"/>
    </row>
    <row r="1045263" spans="54:54" ht="15.75" customHeight="1" x14ac:dyDescent="0.3">
      <c r="BB1045263" s="38"/>
    </row>
    <row r="1045264" spans="54:54" ht="15.75" customHeight="1" x14ac:dyDescent="0.3">
      <c r="BB1045264" s="38"/>
    </row>
    <row r="1045265" spans="54:54" ht="15.75" customHeight="1" x14ac:dyDescent="0.3">
      <c r="BB1045265" s="38"/>
    </row>
    <row r="1045266" spans="54:54" ht="15.75" customHeight="1" x14ac:dyDescent="0.3">
      <c r="BB1045266" s="38"/>
    </row>
    <row r="1045267" spans="54:54" ht="15.75" customHeight="1" x14ac:dyDescent="0.3">
      <c r="BB1045267" s="38"/>
    </row>
    <row r="1045268" spans="54:54" ht="15.75" customHeight="1" x14ac:dyDescent="0.3">
      <c r="BB1045268" s="38"/>
    </row>
    <row r="1045269" spans="54:54" ht="15.75" customHeight="1" x14ac:dyDescent="0.3">
      <c r="BB1045269" s="38"/>
    </row>
    <row r="1045270" spans="54:54" ht="15.75" customHeight="1" x14ac:dyDescent="0.3">
      <c r="BB1045270" s="38"/>
    </row>
    <row r="1045271" spans="54:54" ht="15.75" customHeight="1" x14ac:dyDescent="0.3">
      <c r="BB1045271" s="38"/>
    </row>
    <row r="1045272" spans="54:54" ht="15.75" customHeight="1" x14ac:dyDescent="0.3">
      <c r="BB1045272" s="38"/>
    </row>
    <row r="1045273" spans="54:54" ht="15.75" customHeight="1" x14ac:dyDescent="0.3">
      <c r="BB1045273" s="38"/>
    </row>
    <row r="1045274" spans="54:54" ht="15.75" customHeight="1" x14ac:dyDescent="0.3">
      <c r="BB1045274" s="38"/>
    </row>
    <row r="1045275" spans="54:54" ht="15.75" customHeight="1" x14ac:dyDescent="0.3">
      <c r="BB1045275" s="38"/>
    </row>
    <row r="1045276" spans="54:54" ht="15.75" customHeight="1" x14ac:dyDescent="0.3">
      <c r="BB1045276" s="38"/>
    </row>
    <row r="1045277" spans="54:54" ht="15.75" customHeight="1" x14ac:dyDescent="0.3">
      <c r="BB1045277" s="38"/>
    </row>
    <row r="1045278" spans="54:54" ht="15.75" customHeight="1" x14ac:dyDescent="0.3">
      <c r="BB1045278" s="38"/>
    </row>
    <row r="1045279" spans="54:54" ht="15.75" customHeight="1" x14ac:dyDescent="0.3">
      <c r="BB1045279" s="38"/>
    </row>
    <row r="1045280" spans="54:54" ht="15.75" customHeight="1" x14ac:dyDescent="0.3">
      <c r="BB1045280" s="38"/>
    </row>
    <row r="1045281" spans="54:54" ht="15.75" customHeight="1" x14ac:dyDescent="0.3">
      <c r="BB1045281" s="38"/>
    </row>
    <row r="1045282" spans="54:54" ht="15.75" customHeight="1" x14ac:dyDescent="0.3">
      <c r="BB1045282" s="38"/>
    </row>
    <row r="1045283" spans="54:54" ht="15.75" customHeight="1" x14ac:dyDescent="0.3">
      <c r="BB1045283" s="38"/>
    </row>
    <row r="1045284" spans="54:54" ht="15.75" customHeight="1" x14ac:dyDescent="0.3">
      <c r="BB1045284" s="38"/>
    </row>
    <row r="1045285" spans="54:54" ht="15.75" customHeight="1" x14ac:dyDescent="0.3">
      <c r="BB1045285" s="38"/>
    </row>
    <row r="1045286" spans="54:54" ht="15.75" customHeight="1" x14ac:dyDescent="0.3">
      <c r="BB1045286" s="38"/>
    </row>
    <row r="1045287" spans="54:54" ht="15.75" customHeight="1" x14ac:dyDescent="0.3">
      <c r="BB1045287" s="38"/>
    </row>
    <row r="1045288" spans="54:54" ht="15.75" customHeight="1" x14ac:dyDescent="0.3">
      <c r="BB1045288" s="38"/>
    </row>
    <row r="1045289" spans="54:54" ht="15.75" customHeight="1" x14ac:dyDescent="0.3">
      <c r="BB1045289" s="38"/>
    </row>
    <row r="1045290" spans="54:54" ht="15.75" customHeight="1" x14ac:dyDescent="0.3">
      <c r="BB1045290" s="38"/>
    </row>
    <row r="1045291" spans="54:54" ht="15.75" customHeight="1" x14ac:dyDescent="0.3">
      <c r="BB1045291" s="38"/>
    </row>
    <row r="1045292" spans="54:54" ht="15.75" customHeight="1" x14ac:dyDescent="0.3">
      <c r="BB1045292" s="38"/>
    </row>
    <row r="1045293" spans="54:54" ht="15.75" customHeight="1" x14ac:dyDescent="0.3">
      <c r="BB1045293" s="38"/>
    </row>
    <row r="1045294" spans="54:54" ht="15.75" customHeight="1" x14ac:dyDescent="0.3">
      <c r="BB1045294" s="38"/>
    </row>
    <row r="1045295" spans="54:54" ht="15.75" customHeight="1" x14ac:dyDescent="0.3">
      <c r="BB1045295" s="38"/>
    </row>
    <row r="1045296" spans="54:54" ht="15.75" customHeight="1" x14ac:dyDescent="0.3">
      <c r="BB1045296" s="38"/>
    </row>
    <row r="1045297" spans="54:54" ht="15.75" customHeight="1" x14ac:dyDescent="0.3">
      <c r="BB1045297" s="38"/>
    </row>
    <row r="1045298" spans="54:54" ht="15.75" customHeight="1" x14ac:dyDescent="0.3">
      <c r="BB1045298" s="38"/>
    </row>
    <row r="1045299" spans="54:54" ht="15.75" customHeight="1" x14ac:dyDescent="0.3">
      <c r="BB1045299" s="38"/>
    </row>
    <row r="1045300" spans="54:54" ht="15.75" customHeight="1" x14ac:dyDescent="0.3">
      <c r="BB1045300" s="38"/>
    </row>
    <row r="1045301" spans="54:54" ht="15.75" customHeight="1" x14ac:dyDescent="0.3">
      <c r="BB1045301" s="38"/>
    </row>
    <row r="1045302" spans="54:54" ht="15.75" customHeight="1" x14ac:dyDescent="0.3">
      <c r="BB1045302" s="38"/>
    </row>
    <row r="1045303" spans="54:54" ht="15.75" customHeight="1" x14ac:dyDescent="0.3">
      <c r="BB1045303" s="38"/>
    </row>
    <row r="1045304" spans="54:54" ht="15.75" customHeight="1" x14ac:dyDescent="0.3">
      <c r="BB1045304" s="38"/>
    </row>
    <row r="1045305" spans="54:54" ht="15.75" customHeight="1" x14ac:dyDescent="0.3">
      <c r="BB1045305" s="38"/>
    </row>
    <row r="1045306" spans="54:54" ht="15.75" customHeight="1" x14ac:dyDescent="0.3">
      <c r="BB1045306" s="38"/>
    </row>
    <row r="1045307" spans="54:54" ht="15.75" customHeight="1" x14ac:dyDescent="0.3">
      <c r="BB1045307" s="38"/>
    </row>
    <row r="1045308" spans="54:54" ht="15.75" customHeight="1" x14ac:dyDescent="0.3">
      <c r="BB1045308" s="38"/>
    </row>
    <row r="1045309" spans="54:54" ht="15.75" customHeight="1" x14ac:dyDescent="0.3">
      <c r="BB1045309" s="38"/>
    </row>
    <row r="1045310" spans="54:54" ht="15.75" customHeight="1" x14ac:dyDescent="0.3">
      <c r="BB1045310" s="38"/>
    </row>
    <row r="1045311" spans="54:54" ht="15.75" customHeight="1" x14ac:dyDescent="0.3">
      <c r="BB1045311" s="38"/>
    </row>
    <row r="1045312" spans="54:54" ht="15.75" customHeight="1" x14ac:dyDescent="0.3">
      <c r="BB1045312" s="38"/>
    </row>
    <row r="1045313" spans="54:54" ht="15.75" customHeight="1" x14ac:dyDescent="0.3">
      <c r="BB1045313" s="38"/>
    </row>
    <row r="1045314" spans="54:54" ht="15.75" customHeight="1" x14ac:dyDescent="0.3">
      <c r="BB1045314" s="38"/>
    </row>
    <row r="1045315" spans="54:54" ht="15.75" customHeight="1" x14ac:dyDescent="0.3">
      <c r="BB1045315" s="38"/>
    </row>
    <row r="1045316" spans="54:54" ht="15.75" customHeight="1" x14ac:dyDescent="0.3">
      <c r="BB1045316" s="38"/>
    </row>
    <row r="1045317" spans="54:54" ht="15.75" customHeight="1" x14ac:dyDescent="0.3">
      <c r="BB1045317" s="38"/>
    </row>
    <row r="1045318" spans="54:54" ht="15.75" customHeight="1" x14ac:dyDescent="0.3">
      <c r="BB1045318" s="38"/>
    </row>
    <row r="1045319" spans="54:54" ht="15.75" customHeight="1" x14ac:dyDescent="0.3">
      <c r="BB1045319" s="38"/>
    </row>
    <row r="1045320" spans="54:54" ht="15.75" customHeight="1" x14ac:dyDescent="0.3">
      <c r="BB1045320" s="38"/>
    </row>
    <row r="1045321" spans="54:54" ht="15.75" customHeight="1" x14ac:dyDescent="0.3">
      <c r="BB1045321" s="38"/>
    </row>
    <row r="1045322" spans="54:54" ht="15.75" customHeight="1" x14ac:dyDescent="0.3">
      <c r="BB1045322" s="38"/>
    </row>
    <row r="1045323" spans="54:54" ht="15.75" customHeight="1" x14ac:dyDescent="0.3">
      <c r="BB1045323" s="38"/>
    </row>
    <row r="1045324" spans="54:54" ht="15.75" customHeight="1" x14ac:dyDescent="0.3">
      <c r="BB1045324" s="38"/>
    </row>
    <row r="1045325" spans="54:54" ht="15.75" customHeight="1" x14ac:dyDescent="0.3">
      <c r="BB1045325" s="38"/>
    </row>
    <row r="1045326" spans="54:54" ht="15.75" customHeight="1" x14ac:dyDescent="0.3">
      <c r="BB1045326" s="38"/>
    </row>
    <row r="1045327" spans="54:54" ht="15.75" customHeight="1" x14ac:dyDescent="0.3">
      <c r="BB1045327" s="38"/>
    </row>
    <row r="1045328" spans="54:54" ht="15.75" customHeight="1" x14ac:dyDescent="0.3">
      <c r="BB1045328" s="38"/>
    </row>
    <row r="1045329" spans="54:54" ht="15.75" customHeight="1" x14ac:dyDescent="0.3">
      <c r="BB1045329" s="38"/>
    </row>
    <row r="1045330" spans="54:54" ht="15.75" customHeight="1" x14ac:dyDescent="0.3">
      <c r="BB1045330" s="38"/>
    </row>
    <row r="1045331" spans="54:54" ht="15.75" customHeight="1" x14ac:dyDescent="0.3">
      <c r="BB1045331" s="38"/>
    </row>
    <row r="1045332" spans="54:54" ht="15.75" customHeight="1" x14ac:dyDescent="0.3">
      <c r="BB1045332" s="38"/>
    </row>
    <row r="1045333" spans="54:54" ht="15.75" customHeight="1" x14ac:dyDescent="0.3">
      <c r="BB1045333" s="38"/>
    </row>
    <row r="1045334" spans="54:54" ht="15.75" customHeight="1" x14ac:dyDescent="0.3">
      <c r="BB1045334" s="38"/>
    </row>
    <row r="1045335" spans="54:54" ht="15.75" customHeight="1" x14ac:dyDescent="0.3">
      <c r="BB1045335" s="38"/>
    </row>
    <row r="1045336" spans="54:54" ht="15.75" customHeight="1" x14ac:dyDescent="0.3">
      <c r="BB1045336" s="38"/>
    </row>
    <row r="1045337" spans="54:54" ht="15.75" customHeight="1" x14ac:dyDescent="0.3">
      <c r="BB1045337" s="38"/>
    </row>
    <row r="1045338" spans="54:54" ht="15.75" customHeight="1" x14ac:dyDescent="0.3">
      <c r="BB1045338" s="38"/>
    </row>
    <row r="1045339" spans="54:54" ht="15.75" customHeight="1" x14ac:dyDescent="0.3">
      <c r="BB1045339" s="38"/>
    </row>
    <row r="1045340" spans="54:54" ht="15.75" customHeight="1" x14ac:dyDescent="0.3">
      <c r="BB1045340" s="38"/>
    </row>
    <row r="1045341" spans="54:54" ht="15.75" customHeight="1" x14ac:dyDescent="0.3">
      <c r="BB1045341" s="38"/>
    </row>
    <row r="1045342" spans="54:54" ht="15.75" customHeight="1" x14ac:dyDescent="0.3">
      <c r="BB1045342" s="38"/>
    </row>
    <row r="1045343" spans="54:54" ht="15.75" customHeight="1" x14ac:dyDescent="0.3">
      <c r="BB1045343" s="38"/>
    </row>
    <row r="1045344" spans="54:54" ht="15.75" customHeight="1" x14ac:dyDescent="0.3">
      <c r="BB1045344" s="38"/>
    </row>
    <row r="1045345" spans="54:54" ht="15.75" customHeight="1" x14ac:dyDescent="0.3">
      <c r="BB1045345" s="38"/>
    </row>
    <row r="1045346" spans="54:54" ht="15.75" customHeight="1" x14ac:dyDescent="0.3">
      <c r="BB1045346" s="38"/>
    </row>
    <row r="1045347" spans="54:54" ht="15.75" customHeight="1" x14ac:dyDescent="0.3">
      <c r="BB1045347" s="38"/>
    </row>
    <row r="1045348" spans="54:54" ht="15.75" customHeight="1" x14ac:dyDescent="0.3">
      <c r="BB1045348" s="38"/>
    </row>
    <row r="1045349" spans="54:54" ht="15.75" customHeight="1" x14ac:dyDescent="0.3">
      <c r="BB1045349" s="38"/>
    </row>
    <row r="1045350" spans="54:54" ht="15.75" customHeight="1" x14ac:dyDescent="0.3">
      <c r="BB1045350" s="38"/>
    </row>
    <row r="1045351" spans="54:54" ht="15.75" customHeight="1" x14ac:dyDescent="0.3">
      <c r="BB1045351" s="38"/>
    </row>
    <row r="1045352" spans="54:54" ht="15.75" customHeight="1" x14ac:dyDescent="0.3">
      <c r="BB1045352" s="38"/>
    </row>
    <row r="1045353" spans="54:54" ht="15.75" customHeight="1" x14ac:dyDescent="0.3">
      <c r="BB1045353" s="38"/>
    </row>
    <row r="1045354" spans="54:54" ht="15.75" customHeight="1" x14ac:dyDescent="0.3">
      <c r="BB1045354" s="38"/>
    </row>
    <row r="1045355" spans="54:54" ht="15.75" customHeight="1" x14ac:dyDescent="0.3">
      <c r="BB1045355" s="38"/>
    </row>
    <row r="1045356" spans="54:54" ht="15.75" customHeight="1" x14ac:dyDescent="0.3">
      <c r="BB1045356" s="38"/>
    </row>
    <row r="1045357" spans="54:54" ht="15.75" customHeight="1" x14ac:dyDescent="0.3">
      <c r="BB1045357" s="38"/>
    </row>
    <row r="1045358" spans="54:54" ht="15.75" customHeight="1" x14ac:dyDescent="0.3">
      <c r="BB1045358" s="38"/>
    </row>
    <row r="1045359" spans="54:54" ht="15.75" customHeight="1" x14ac:dyDescent="0.3">
      <c r="BB1045359" s="38"/>
    </row>
    <row r="1045360" spans="54:54" ht="15.75" customHeight="1" x14ac:dyDescent="0.3">
      <c r="BB1045360" s="38"/>
    </row>
    <row r="1045361" spans="54:54" ht="15.75" customHeight="1" x14ac:dyDescent="0.3">
      <c r="BB1045361" s="38"/>
    </row>
    <row r="1045362" spans="54:54" ht="15.75" customHeight="1" x14ac:dyDescent="0.3">
      <c r="BB1045362" s="38"/>
    </row>
    <row r="1045363" spans="54:54" ht="15.75" customHeight="1" x14ac:dyDescent="0.3">
      <c r="BB1045363" s="38"/>
    </row>
    <row r="1045364" spans="54:54" ht="15.75" customHeight="1" x14ac:dyDescent="0.3">
      <c r="BB1045364" s="38"/>
    </row>
    <row r="1045365" spans="54:54" ht="15.75" customHeight="1" x14ac:dyDescent="0.3">
      <c r="BB1045365" s="38"/>
    </row>
    <row r="1045366" spans="54:54" ht="15.75" customHeight="1" x14ac:dyDescent="0.3">
      <c r="BB1045366" s="38"/>
    </row>
    <row r="1045367" spans="54:54" ht="15.75" customHeight="1" x14ac:dyDescent="0.3">
      <c r="BB1045367" s="38"/>
    </row>
    <row r="1045368" spans="54:54" ht="15.75" customHeight="1" x14ac:dyDescent="0.3">
      <c r="BB1045368" s="38"/>
    </row>
    <row r="1045369" spans="54:54" ht="15.75" customHeight="1" x14ac:dyDescent="0.3">
      <c r="BB1045369" s="38"/>
    </row>
    <row r="1045370" spans="54:54" ht="15.75" customHeight="1" x14ac:dyDescent="0.3">
      <c r="BB1045370" s="38"/>
    </row>
    <row r="1045371" spans="54:54" ht="15.75" customHeight="1" x14ac:dyDescent="0.3">
      <c r="BB1045371" s="38"/>
    </row>
    <row r="1045372" spans="54:54" ht="15.75" customHeight="1" x14ac:dyDescent="0.3">
      <c r="BB1045372" s="38"/>
    </row>
    <row r="1045373" spans="54:54" ht="15.75" customHeight="1" x14ac:dyDescent="0.3">
      <c r="BB1045373" s="38"/>
    </row>
    <row r="1045374" spans="54:54" ht="15.75" customHeight="1" x14ac:dyDescent="0.3">
      <c r="BB1045374" s="38"/>
    </row>
    <row r="1045375" spans="54:54" ht="15.75" customHeight="1" x14ac:dyDescent="0.3">
      <c r="BB1045375" s="38"/>
    </row>
    <row r="1045376" spans="54:54" ht="15.75" customHeight="1" x14ac:dyDescent="0.3">
      <c r="BB1045376" s="38"/>
    </row>
    <row r="1045377" spans="54:54" ht="15.75" customHeight="1" x14ac:dyDescent="0.3">
      <c r="BB1045377" s="38"/>
    </row>
    <row r="1045378" spans="54:54" ht="15.75" customHeight="1" x14ac:dyDescent="0.3">
      <c r="BB1045378" s="38"/>
    </row>
    <row r="1045379" spans="54:54" ht="15.75" customHeight="1" x14ac:dyDescent="0.3">
      <c r="BB1045379" s="38"/>
    </row>
    <row r="1045380" spans="54:54" ht="15.75" customHeight="1" x14ac:dyDescent="0.3">
      <c r="BB1045380" s="38"/>
    </row>
    <row r="1045381" spans="54:54" ht="15.75" customHeight="1" x14ac:dyDescent="0.3">
      <c r="BB1045381" s="38"/>
    </row>
    <row r="1045382" spans="54:54" ht="15.75" customHeight="1" x14ac:dyDescent="0.3">
      <c r="BB1045382" s="38"/>
    </row>
    <row r="1045383" spans="54:54" ht="15.75" customHeight="1" x14ac:dyDescent="0.3">
      <c r="BB1045383" s="38"/>
    </row>
    <row r="1045384" spans="54:54" ht="15.75" customHeight="1" x14ac:dyDescent="0.3">
      <c r="BB1045384" s="38"/>
    </row>
    <row r="1045385" spans="54:54" ht="15.75" customHeight="1" x14ac:dyDescent="0.3">
      <c r="BB1045385" s="38"/>
    </row>
    <row r="1045386" spans="54:54" ht="15.75" customHeight="1" x14ac:dyDescent="0.3">
      <c r="BB1045386" s="38"/>
    </row>
    <row r="1045387" spans="54:54" ht="15.75" customHeight="1" x14ac:dyDescent="0.3">
      <c r="BB1045387" s="38"/>
    </row>
    <row r="1045388" spans="54:54" ht="15.75" customHeight="1" x14ac:dyDescent="0.3">
      <c r="BB1045388" s="38"/>
    </row>
    <row r="1045389" spans="54:54" ht="15.75" customHeight="1" x14ac:dyDescent="0.3">
      <c r="BB1045389" s="38"/>
    </row>
    <row r="1045390" spans="54:54" ht="15.75" customHeight="1" x14ac:dyDescent="0.3">
      <c r="BB1045390" s="38"/>
    </row>
    <row r="1045391" spans="54:54" ht="15.75" customHeight="1" x14ac:dyDescent="0.3">
      <c r="BB1045391" s="38"/>
    </row>
    <row r="1045392" spans="54:54" ht="15.75" customHeight="1" x14ac:dyDescent="0.3">
      <c r="BB1045392" s="38"/>
    </row>
    <row r="1045393" spans="54:54" ht="15.75" customHeight="1" x14ac:dyDescent="0.3">
      <c r="BB1045393" s="38"/>
    </row>
    <row r="1045394" spans="54:54" ht="15.75" customHeight="1" x14ac:dyDescent="0.3">
      <c r="BB1045394" s="38"/>
    </row>
    <row r="1045395" spans="54:54" ht="15.75" customHeight="1" x14ac:dyDescent="0.3">
      <c r="BB1045395" s="38"/>
    </row>
    <row r="1045396" spans="54:54" ht="15.75" customHeight="1" x14ac:dyDescent="0.3">
      <c r="BB1045396" s="38"/>
    </row>
    <row r="1045397" spans="54:54" ht="15.75" customHeight="1" x14ac:dyDescent="0.3">
      <c r="BB1045397" s="38"/>
    </row>
    <row r="1045398" spans="54:54" ht="15.75" customHeight="1" x14ac:dyDescent="0.3">
      <c r="BB1045398" s="38"/>
    </row>
    <row r="1045399" spans="54:54" ht="15.75" customHeight="1" x14ac:dyDescent="0.3">
      <c r="BB1045399" s="38"/>
    </row>
    <row r="1045400" spans="54:54" ht="15.75" customHeight="1" x14ac:dyDescent="0.3">
      <c r="BB1045400" s="38"/>
    </row>
    <row r="1045401" spans="54:54" ht="15.75" customHeight="1" x14ac:dyDescent="0.3">
      <c r="BB1045401" s="38"/>
    </row>
    <row r="1045402" spans="54:54" ht="15.75" customHeight="1" x14ac:dyDescent="0.3">
      <c r="BB1045402" s="38"/>
    </row>
    <row r="1045403" spans="54:54" ht="15.75" customHeight="1" x14ac:dyDescent="0.3">
      <c r="BB1045403" s="38"/>
    </row>
    <row r="1045404" spans="54:54" ht="15.75" customHeight="1" x14ac:dyDescent="0.3">
      <c r="BB1045404" s="38"/>
    </row>
    <row r="1045405" spans="54:54" ht="15.75" customHeight="1" x14ac:dyDescent="0.3">
      <c r="BB1045405" s="38"/>
    </row>
    <row r="1045406" spans="54:54" ht="15.75" customHeight="1" x14ac:dyDescent="0.3">
      <c r="BB1045406" s="38"/>
    </row>
    <row r="1045407" spans="54:54" ht="15.75" customHeight="1" x14ac:dyDescent="0.3">
      <c r="BB1045407" s="38"/>
    </row>
    <row r="1045408" spans="54:54" ht="15.75" customHeight="1" x14ac:dyDescent="0.3">
      <c r="BB1045408" s="38"/>
    </row>
    <row r="1045409" spans="54:54" ht="15.75" customHeight="1" x14ac:dyDescent="0.3">
      <c r="BB1045409" s="38"/>
    </row>
    <row r="1045410" spans="54:54" ht="15.75" customHeight="1" x14ac:dyDescent="0.3">
      <c r="BB1045410" s="38"/>
    </row>
    <row r="1045411" spans="54:54" ht="15.75" customHeight="1" x14ac:dyDescent="0.3">
      <c r="BB1045411" s="38"/>
    </row>
    <row r="1045412" spans="54:54" ht="15.75" customHeight="1" x14ac:dyDescent="0.3">
      <c r="BB1045412" s="38"/>
    </row>
    <row r="1045413" spans="54:54" ht="15.75" customHeight="1" x14ac:dyDescent="0.3">
      <c r="BB1045413" s="38"/>
    </row>
    <row r="1045414" spans="54:54" ht="15.75" customHeight="1" x14ac:dyDescent="0.3">
      <c r="BB1045414" s="38"/>
    </row>
    <row r="1045415" spans="54:54" ht="15.75" customHeight="1" x14ac:dyDescent="0.3">
      <c r="BB1045415" s="38"/>
    </row>
    <row r="1045416" spans="54:54" ht="15.75" customHeight="1" x14ac:dyDescent="0.3">
      <c r="BB1045416" s="38"/>
    </row>
    <row r="1045417" spans="54:54" ht="15.75" customHeight="1" x14ac:dyDescent="0.3">
      <c r="BB1045417" s="38"/>
    </row>
    <row r="1045418" spans="54:54" ht="15.75" customHeight="1" x14ac:dyDescent="0.3">
      <c r="BB1045418" s="38"/>
    </row>
    <row r="1045419" spans="54:54" ht="15.75" customHeight="1" x14ac:dyDescent="0.3">
      <c r="BB1045419" s="38"/>
    </row>
    <row r="1045420" spans="54:54" ht="15.75" customHeight="1" x14ac:dyDescent="0.3">
      <c r="BB1045420" s="38"/>
    </row>
    <row r="1045421" spans="54:54" ht="15.75" customHeight="1" x14ac:dyDescent="0.3">
      <c r="BB1045421" s="38"/>
    </row>
    <row r="1045422" spans="54:54" ht="15.75" customHeight="1" x14ac:dyDescent="0.3">
      <c r="BB1045422" s="38"/>
    </row>
    <row r="1045423" spans="54:54" ht="15.75" customHeight="1" x14ac:dyDescent="0.3">
      <c r="BB1045423" s="38"/>
    </row>
    <row r="1045424" spans="54:54" ht="15.75" customHeight="1" x14ac:dyDescent="0.3">
      <c r="BB1045424" s="38"/>
    </row>
    <row r="1045425" spans="54:54" ht="15.75" customHeight="1" x14ac:dyDescent="0.3">
      <c r="BB1045425" s="38"/>
    </row>
    <row r="1045426" spans="54:54" ht="15.75" customHeight="1" x14ac:dyDescent="0.3">
      <c r="BB1045426" s="38"/>
    </row>
    <row r="1045427" spans="54:54" ht="15.75" customHeight="1" x14ac:dyDescent="0.3">
      <c r="BB1045427" s="38"/>
    </row>
    <row r="1045428" spans="54:54" ht="15.75" customHeight="1" x14ac:dyDescent="0.3">
      <c r="BB1045428" s="38"/>
    </row>
    <row r="1045429" spans="54:54" ht="15.75" customHeight="1" x14ac:dyDescent="0.3">
      <c r="BB1045429" s="38"/>
    </row>
    <row r="1045430" spans="54:54" ht="15.75" customHeight="1" x14ac:dyDescent="0.3">
      <c r="BB1045430" s="38"/>
    </row>
    <row r="1045431" spans="54:54" ht="15.75" customHeight="1" x14ac:dyDescent="0.3">
      <c r="BB1045431" s="38"/>
    </row>
    <row r="1045432" spans="54:54" ht="15.75" customHeight="1" x14ac:dyDescent="0.3">
      <c r="BB1045432" s="38"/>
    </row>
    <row r="1045433" spans="54:54" ht="15.75" customHeight="1" x14ac:dyDescent="0.3">
      <c r="BB1045433" s="38"/>
    </row>
    <row r="1045434" spans="54:54" ht="15.75" customHeight="1" x14ac:dyDescent="0.3">
      <c r="BB1045434" s="38"/>
    </row>
    <row r="1045435" spans="54:54" ht="15.75" customHeight="1" x14ac:dyDescent="0.3">
      <c r="BB1045435" s="38"/>
    </row>
    <row r="1045436" spans="54:54" ht="15.75" customHeight="1" x14ac:dyDescent="0.3">
      <c r="BB1045436" s="38"/>
    </row>
    <row r="1045437" spans="54:54" ht="15.75" customHeight="1" x14ac:dyDescent="0.3">
      <c r="BB1045437" s="38"/>
    </row>
    <row r="1045438" spans="54:54" ht="15.75" customHeight="1" x14ac:dyDescent="0.3">
      <c r="BB1045438" s="38"/>
    </row>
    <row r="1045439" spans="54:54" ht="15.75" customHeight="1" x14ac:dyDescent="0.3">
      <c r="BB1045439" s="38"/>
    </row>
    <row r="1045440" spans="54:54" ht="15.75" customHeight="1" x14ac:dyDescent="0.3">
      <c r="BB1045440" s="38"/>
    </row>
    <row r="1045441" spans="54:54" ht="15.75" customHeight="1" x14ac:dyDescent="0.3">
      <c r="BB1045441" s="38"/>
    </row>
    <row r="1045442" spans="54:54" ht="15.75" customHeight="1" x14ac:dyDescent="0.3">
      <c r="BB1045442" s="38"/>
    </row>
    <row r="1045443" spans="54:54" ht="15.75" customHeight="1" x14ac:dyDescent="0.3">
      <c r="BB1045443" s="38"/>
    </row>
    <row r="1045444" spans="54:54" ht="15.75" customHeight="1" x14ac:dyDescent="0.3">
      <c r="BB1045444" s="38"/>
    </row>
    <row r="1045445" spans="54:54" ht="15.75" customHeight="1" x14ac:dyDescent="0.3">
      <c r="BB1045445" s="38"/>
    </row>
    <row r="1045446" spans="54:54" ht="15.75" customHeight="1" x14ac:dyDescent="0.3">
      <c r="BB1045446" s="38"/>
    </row>
    <row r="1045447" spans="54:54" ht="15.75" customHeight="1" x14ac:dyDescent="0.3">
      <c r="BB1045447" s="38"/>
    </row>
    <row r="1045448" spans="54:54" ht="15.75" customHeight="1" x14ac:dyDescent="0.3">
      <c r="BB1045448" s="38"/>
    </row>
    <row r="1045449" spans="54:54" ht="15.75" customHeight="1" x14ac:dyDescent="0.3">
      <c r="BB1045449" s="38"/>
    </row>
    <row r="1045450" spans="54:54" ht="15.75" customHeight="1" x14ac:dyDescent="0.3">
      <c r="BB1045450" s="38"/>
    </row>
    <row r="1045451" spans="54:54" ht="15.75" customHeight="1" x14ac:dyDescent="0.3">
      <c r="BB1045451" s="38"/>
    </row>
    <row r="1045452" spans="54:54" ht="15.75" customHeight="1" x14ac:dyDescent="0.3">
      <c r="BB1045452" s="38"/>
    </row>
    <row r="1045453" spans="54:54" ht="15.75" customHeight="1" x14ac:dyDescent="0.3">
      <c r="BB1045453" s="38"/>
    </row>
    <row r="1045454" spans="54:54" ht="15.75" customHeight="1" x14ac:dyDescent="0.3">
      <c r="BB1045454" s="38"/>
    </row>
    <row r="1045455" spans="54:54" ht="15.75" customHeight="1" x14ac:dyDescent="0.3">
      <c r="BB1045455" s="38"/>
    </row>
    <row r="1045456" spans="54:54" ht="15.75" customHeight="1" x14ac:dyDescent="0.3">
      <c r="BB1045456" s="38"/>
    </row>
    <row r="1045457" spans="54:54" ht="15.75" customHeight="1" x14ac:dyDescent="0.3">
      <c r="BB1045457" s="38"/>
    </row>
    <row r="1045458" spans="54:54" ht="15.75" customHeight="1" x14ac:dyDescent="0.3">
      <c r="BB1045458" s="38"/>
    </row>
    <row r="1045459" spans="54:54" ht="15.75" customHeight="1" x14ac:dyDescent="0.3">
      <c r="BB1045459" s="38"/>
    </row>
    <row r="1045460" spans="54:54" ht="15.75" customHeight="1" x14ac:dyDescent="0.3">
      <c r="BB1045460" s="38"/>
    </row>
    <row r="1045461" spans="54:54" ht="15.75" customHeight="1" x14ac:dyDescent="0.3">
      <c r="BB1045461" s="38"/>
    </row>
    <row r="1045462" spans="54:54" ht="15.75" customHeight="1" x14ac:dyDescent="0.3">
      <c r="BB1045462" s="38"/>
    </row>
    <row r="1045463" spans="54:54" ht="15.75" customHeight="1" x14ac:dyDescent="0.3">
      <c r="BB1045463" s="38"/>
    </row>
    <row r="1045464" spans="54:54" ht="15.75" customHeight="1" x14ac:dyDescent="0.3">
      <c r="BB1045464" s="38"/>
    </row>
    <row r="1045465" spans="54:54" ht="15.75" customHeight="1" x14ac:dyDescent="0.3">
      <c r="BB1045465" s="38"/>
    </row>
    <row r="1045466" spans="54:54" ht="15.75" customHeight="1" x14ac:dyDescent="0.3">
      <c r="BB1045466" s="38"/>
    </row>
    <row r="1045467" spans="54:54" ht="15.75" customHeight="1" x14ac:dyDescent="0.3">
      <c r="BB1045467" s="38"/>
    </row>
    <row r="1045468" spans="54:54" ht="15.75" customHeight="1" x14ac:dyDescent="0.3">
      <c r="BB1045468" s="38"/>
    </row>
    <row r="1045469" spans="54:54" ht="15.75" customHeight="1" x14ac:dyDescent="0.3">
      <c r="BB1045469" s="38"/>
    </row>
    <row r="1045470" spans="54:54" ht="15.75" customHeight="1" x14ac:dyDescent="0.3">
      <c r="BB1045470" s="38"/>
    </row>
    <row r="1045471" spans="54:54" ht="15.75" customHeight="1" x14ac:dyDescent="0.3">
      <c r="BB1045471" s="38"/>
    </row>
    <row r="1045472" spans="54:54" ht="15.75" customHeight="1" x14ac:dyDescent="0.3">
      <c r="BB1045472" s="38"/>
    </row>
    <row r="1045473" spans="54:54" ht="15.75" customHeight="1" x14ac:dyDescent="0.3">
      <c r="BB1045473" s="38"/>
    </row>
    <row r="1045474" spans="54:54" ht="15.75" customHeight="1" x14ac:dyDescent="0.3">
      <c r="BB1045474" s="38"/>
    </row>
    <row r="1045475" spans="54:54" ht="15.75" customHeight="1" x14ac:dyDescent="0.3">
      <c r="BB1045475" s="38"/>
    </row>
    <row r="1045476" spans="54:54" ht="15.75" customHeight="1" x14ac:dyDescent="0.3">
      <c r="BB1045476" s="38"/>
    </row>
    <row r="1045477" spans="54:54" ht="15.75" customHeight="1" x14ac:dyDescent="0.3">
      <c r="BB1045477" s="38"/>
    </row>
    <row r="1045478" spans="54:54" ht="15.75" customHeight="1" x14ac:dyDescent="0.3">
      <c r="BB1045478" s="38"/>
    </row>
    <row r="1045479" spans="54:54" ht="15.75" customHeight="1" x14ac:dyDescent="0.3">
      <c r="BB1045479" s="38"/>
    </row>
    <row r="1045480" spans="54:54" ht="15.75" customHeight="1" x14ac:dyDescent="0.3">
      <c r="BB1045480" s="38"/>
    </row>
    <row r="1045481" spans="54:54" ht="15.75" customHeight="1" x14ac:dyDescent="0.3">
      <c r="BB1045481" s="38"/>
    </row>
    <row r="1045482" spans="54:54" ht="15.75" customHeight="1" x14ac:dyDescent="0.3">
      <c r="BB1045482" s="38"/>
    </row>
    <row r="1045483" spans="54:54" ht="15.75" customHeight="1" x14ac:dyDescent="0.3">
      <c r="BB1045483" s="38"/>
    </row>
    <row r="1045484" spans="54:54" ht="15.75" customHeight="1" x14ac:dyDescent="0.3">
      <c r="BB1045484" s="38"/>
    </row>
    <row r="1045485" spans="54:54" ht="15.75" customHeight="1" x14ac:dyDescent="0.3">
      <c r="BB1045485" s="38"/>
    </row>
    <row r="1045486" spans="54:54" ht="15.75" customHeight="1" x14ac:dyDescent="0.3">
      <c r="BB1045486" s="38"/>
    </row>
    <row r="1045487" spans="54:54" ht="15.75" customHeight="1" x14ac:dyDescent="0.3">
      <c r="BB1045487" s="38"/>
    </row>
    <row r="1045488" spans="54:54" ht="15.75" customHeight="1" x14ac:dyDescent="0.3">
      <c r="BB1045488" s="38"/>
    </row>
    <row r="1045489" spans="54:54" ht="15.75" customHeight="1" x14ac:dyDescent="0.3">
      <c r="BB1045489" s="38"/>
    </row>
    <row r="1045490" spans="54:54" ht="15.75" customHeight="1" x14ac:dyDescent="0.3">
      <c r="BB1045490" s="38"/>
    </row>
    <row r="1045491" spans="54:54" ht="15.75" customHeight="1" x14ac:dyDescent="0.3">
      <c r="BB1045491" s="38"/>
    </row>
    <row r="1045492" spans="54:54" ht="15.75" customHeight="1" x14ac:dyDescent="0.3">
      <c r="BB1045492" s="38"/>
    </row>
    <row r="1045493" spans="54:54" ht="15.75" customHeight="1" x14ac:dyDescent="0.3">
      <c r="BB1045493" s="38"/>
    </row>
    <row r="1045494" spans="54:54" ht="15.75" customHeight="1" x14ac:dyDescent="0.3">
      <c r="BB1045494" s="38"/>
    </row>
    <row r="1045495" spans="54:54" ht="15.75" customHeight="1" x14ac:dyDescent="0.3">
      <c r="BB1045495" s="38"/>
    </row>
    <row r="1045496" spans="54:54" ht="15.75" customHeight="1" x14ac:dyDescent="0.3">
      <c r="BB1045496" s="38"/>
    </row>
    <row r="1045497" spans="54:54" ht="15.75" customHeight="1" x14ac:dyDescent="0.3">
      <c r="BB1045497" s="38"/>
    </row>
    <row r="1045498" spans="54:54" ht="15.75" customHeight="1" x14ac:dyDescent="0.3">
      <c r="BB1045498" s="38"/>
    </row>
    <row r="1045499" spans="54:54" ht="15.75" customHeight="1" x14ac:dyDescent="0.3">
      <c r="BB1045499" s="38"/>
    </row>
    <row r="1045500" spans="54:54" ht="15.75" customHeight="1" x14ac:dyDescent="0.3">
      <c r="BB1045500" s="38"/>
    </row>
    <row r="1045501" spans="54:54" ht="15.75" customHeight="1" x14ac:dyDescent="0.3">
      <c r="BB1045501" s="38"/>
    </row>
    <row r="1045502" spans="54:54" ht="15.75" customHeight="1" x14ac:dyDescent="0.3">
      <c r="BB1045502" s="38"/>
    </row>
    <row r="1045503" spans="54:54" ht="15.75" customHeight="1" x14ac:dyDescent="0.3">
      <c r="BB1045503" s="38"/>
    </row>
    <row r="1045504" spans="54:54" ht="15.75" customHeight="1" x14ac:dyDescent="0.3">
      <c r="BB1045504" s="38"/>
    </row>
    <row r="1045505" spans="54:54" ht="15.75" customHeight="1" x14ac:dyDescent="0.3">
      <c r="BB1045505" s="38"/>
    </row>
    <row r="1045506" spans="54:54" ht="15.75" customHeight="1" x14ac:dyDescent="0.3">
      <c r="BB1045506" s="38"/>
    </row>
    <row r="1045507" spans="54:54" ht="15.75" customHeight="1" x14ac:dyDescent="0.3">
      <c r="BB1045507" s="38"/>
    </row>
    <row r="1045508" spans="54:54" ht="15.75" customHeight="1" x14ac:dyDescent="0.3">
      <c r="BB1045508" s="38"/>
    </row>
    <row r="1045509" spans="54:54" ht="15.75" customHeight="1" x14ac:dyDescent="0.3">
      <c r="BB1045509" s="38"/>
    </row>
    <row r="1045510" spans="54:54" ht="15.75" customHeight="1" x14ac:dyDescent="0.3">
      <c r="BB1045510" s="38"/>
    </row>
    <row r="1045511" spans="54:54" ht="15.75" customHeight="1" x14ac:dyDescent="0.3">
      <c r="BB1045511" s="38"/>
    </row>
    <row r="1045512" spans="54:54" ht="15.75" customHeight="1" x14ac:dyDescent="0.3">
      <c r="BB1045512" s="38"/>
    </row>
    <row r="1045513" spans="54:54" ht="15.75" customHeight="1" x14ac:dyDescent="0.3">
      <c r="BB1045513" s="38"/>
    </row>
    <row r="1045514" spans="54:54" ht="15.75" customHeight="1" x14ac:dyDescent="0.3">
      <c r="BB1045514" s="38"/>
    </row>
    <row r="1045515" spans="54:54" ht="15.75" customHeight="1" x14ac:dyDescent="0.3">
      <c r="BB1045515" s="38"/>
    </row>
    <row r="1045516" spans="54:54" ht="15.75" customHeight="1" x14ac:dyDescent="0.3">
      <c r="BB1045516" s="38"/>
    </row>
    <row r="1045517" spans="54:54" ht="15.75" customHeight="1" x14ac:dyDescent="0.3">
      <c r="BB1045517" s="38"/>
    </row>
    <row r="1045518" spans="54:54" ht="15.75" customHeight="1" x14ac:dyDescent="0.3">
      <c r="BB1045518" s="38"/>
    </row>
    <row r="1045519" spans="54:54" ht="15.75" customHeight="1" x14ac:dyDescent="0.3">
      <c r="BB1045519" s="38"/>
    </row>
    <row r="1045520" spans="54:54" ht="15.75" customHeight="1" x14ac:dyDescent="0.3">
      <c r="BB1045520" s="38"/>
    </row>
    <row r="1045521" spans="54:54" ht="15.75" customHeight="1" x14ac:dyDescent="0.3">
      <c r="BB1045521" s="38"/>
    </row>
    <row r="1045522" spans="54:54" ht="15.75" customHeight="1" x14ac:dyDescent="0.3">
      <c r="BB1045522" s="38"/>
    </row>
    <row r="1045523" spans="54:54" ht="15.75" customHeight="1" x14ac:dyDescent="0.3">
      <c r="BB1045523" s="38"/>
    </row>
    <row r="1045524" spans="54:54" ht="15.75" customHeight="1" x14ac:dyDescent="0.3">
      <c r="BB1045524" s="38"/>
    </row>
    <row r="1045525" spans="54:54" ht="15.75" customHeight="1" x14ac:dyDescent="0.3">
      <c r="BB1045525" s="38"/>
    </row>
    <row r="1045526" spans="54:54" ht="15.75" customHeight="1" x14ac:dyDescent="0.3">
      <c r="BB1045526" s="38"/>
    </row>
    <row r="1045527" spans="54:54" ht="15.75" customHeight="1" x14ac:dyDescent="0.3">
      <c r="BB1045527" s="38"/>
    </row>
    <row r="1045528" spans="54:54" ht="15.75" customHeight="1" x14ac:dyDescent="0.3">
      <c r="BB1045528" s="38"/>
    </row>
    <row r="1045529" spans="54:54" ht="15.75" customHeight="1" x14ac:dyDescent="0.3">
      <c r="BB1045529" s="38"/>
    </row>
    <row r="1045530" spans="54:54" ht="15.75" customHeight="1" x14ac:dyDescent="0.3">
      <c r="BB1045530" s="38"/>
    </row>
    <row r="1045531" spans="54:54" ht="15.75" customHeight="1" x14ac:dyDescent="0.3">
      <c r="BB1045531" s="38"/>
    </row>
    <row r="1045532" spans="54:54" ht="15.75" customHeight="1" x14ac:dyDescent="0.3">
      <c r="BB1045532" s="38"/>
    </row>
    <row r="1045533" spans="54:54" ht="15.75" customHeight="1" x14ac:dyDescent="0.3">
      <c r="BB1045533" s="38"/>
    </row>
    <row r="1045534" spans="54:54" ht="15.75" customHeight="1" x14ac:dyDescent="0.3">
      <c r="BB1045534" s="38"/>
    </row>
    <row r="1045535" spans="54:54" ht="15.75" customHeight="1" x14ac:dyDescent="0.3">
      <c r="BB1045535" s="38"/>
    </row>
    <row r="1045536" spans="54:54" ht="15.75" customHeight="1" x14ac:dyDescent="0.3">
      <c r="BB1045536" s="38"/>
    </row>
    <row r="1045537" spans="54:54" ht="15.75" customHeight="1" x14ac:dyDescent="0.3">
      <c r="BB1045537" s="38"/>
    </row>
    <row r="1045538" spans="54:54" ht="15.75" customHeight="1" x14ac:dyDescent="0.3">
      <c r="BB1045538" s="38"/>
    </row>
    <row r="1045539" spans="54:54" ht="15.75" customHeight="1" x14ac:dyDescent="0.3">
      <c r="BB1045539" s="38"/>
    </row>
    <row r="1045540" spans="54:54" ht="15.75" customHeight="1" x14ac:dyDescent="0.3">
      <c r="BB1045540" s="38"/>
    </row>
    <row r="1045541" spans="54:54" ht="15.75" customHeight="1" x14ac:dyDescent="0.3">
      <c r="BB1045541" s="38"/>
    </row>
    <row r="1045542" spans="54:54" ht="15.75" customHeight="1" x14ac:dyDescent="0.3">
      <c r="BB1045542" s="38"/>
    </row>
    <row r="1045543" spans="54:54" ht="15.75" customHeight="1" x14ac:dyDescent="0.3">
      <c r="BB1045543" s="38"/>
    </row>
    <row r="1045544" spans="54:54" ht="15.75" customHeight="1" x14ac:dyDescent="0.3">
      <c r="BB1045544" s="38"/>
    </row>
    <row r="1045545" spans="54:54" ht="15.75" customHeight="1" x14ac:dyDescent="0.3">
      <c r="BB1045545" s="38"/>
    </row>
    <row r="1045546" spans="54:54" ht="15.75" customHeight="1" x14ac:dyDescent="0.3">
      <c r="BB1045546" s="38"/>
    </row>
    <row r="1045547" spans="54:54" ht="15.75" customHeight="1" x14ac:dyDescent="0.3">
      <c r="BB1045547" s="38"/>
    </row>
    <row r="1045548" spans="54:54" ht="15.75" customHeight="1" x14ac:dyDescent="0.3">
      <c r="BB1045548" s="38"/>
    </row>
    <row r="1045549" spans="54:54" ht="15.75" customHeight="1" x14ac:dyDescent="0.3">
      <c r="BB1045549" s="38"/>
    </row>
    <row r="1045550" spans="54:54" ht="15.75" customHeight="1" x14ac:dyDescent="0.3">
      <c r="BB1045550" s="38"/>
    </row>
    <row r="1045551" spans="54:54" ht="15.75" customHeight="1" x14ac:dyDescent="0.3">
      <c r="BB1045551" s="38"/>
    </row>
    <row r="1045552" spans="54:54" ht="15.75" customHeight="1" x14ac:dyDescent="0.3">
      <c r="BB1045552" s="38"/>
    </row>
    <row r="1045553" spans="54:54" ht="15.75" customHeight="1" x14ac:dyDescent="0.3">
      <c r="BB1045553" s="38"/>
    </row>
    <row r="1045554" spans="54:54" ht="15.75" customHeight="1" x14ac:dyDescent="0.3">
      <c r="BB1045554" s="38"/>
    </row>
    <row r="1045555" spans="54:54" ht="15.75" customHeight="1" x14ac:dyDescent="0.3">
      <c r="BB1045555" s="38"/>
    </row>
    <row r="1045556" spans="54:54" ht="15.75" customHeight="1" x14ac:dyDescent="0.3">
      <c r="BB1045556" s="38"/>
    </row>
    <row r="1045557" spans="54:54" ht="15.75" customHeight="1" x14ac:dyDescent="0.3">
      <c r="BB1045557" s="38"/>
    </row>
    <row r="1045558" spans="54:54" ht="15.75" customHeight="1" x14ac:dyDescent="0.3">
      <c r="BB1045558" s="38"/>
    </row>
    <row r="1045559" spans="54:54" ht="15.75" customHeight="1" x14ac:dyDescent="0.3">
      <c r="BB1045559" s="38"/>
    </row>
    <row r="1045560" spans="54:54" ht="15.75" customHeight="1" x14ac:dyDescent="0.3">
      <c r="BB1045560" s="38"/>
    </row>
    <row r="1045561" spans="54:54" ht="15.75" customHeight="1" x14ac:dyDescent="0.3">
      <c r="BB1045561" s="38"/>
    </row>
    <row r="1045562" spans="54:54" ht="15.75" customHeight="1" x14ac:dyDescent="0.3">
      <c r="BB1045562" s="38"/>
    </row>
    <row r="1045563" spans="54:54" ht="15.75" customHeight="1" x14ac:dyDescent="0.3">
      <c r="BB1045563" s="38"/>
    </row>
    <row r="1045564" spans="54:54" ht="15.75" customHeight="1" x14ac:dyDescent="0.3">
      <c r="BB1045564" s="38"/>
    </row>
    <row r="1045565" spans="54:54" ht="15.75" customHeight="1" x14ac:dyDescent="0.3">
      <c r="BB1045565" s="38"/>
    </row>
    <row r="1045566" spans="54:54" ht="15.75" customHeight="1" x14ac:dyDescent="0.3">
      <c r="BB1045566" s="38"/>
    </row>
    <row r="1045567" spans="54:54" ht="15.75" customHeight="1" x14ac:dyDescent="0.3">
      <c r="BB1045567" s="38"/>
    </row>
    <row r="1045568" spans="54:54" ht="15.75" customHeight="1" x14ac:dyDescent="0.3">
      <c r="BB1045568" s="38"/>
    </row>
    <row r="1045569" spans="54:54" ht="15.75" customHeight="1" x14ac:dyDescent="0.3">
      <c r="BB1045569" s="38"/>
    </row>
    <row r="1045570" spans="54:54" ht="15.75" customHeight="1" x14ac:dyDescent="0.3">
      <c r="BB1045570" s="38"/>
    </row>
    <row r="1045571" spans="54:54" ht="15.75" customHeight="1" x14ac:dyDescent="0.3">
      <c r="BB1045571" s="38"/>
    </row>
    <row r="1045572" spans="54:54" ht="15.75" customHeight="1" x14ac:dyDescent="0.3">
      <c r="BB1045572" s="38"/>
    </row>
    <row r="1045573" spans="54:54" ht="15.75" customHeight="1" x14ac:dyDescent="0.3">
      <c r="BB1045573" s="38"/>
    </row>
    <row r="1045574" spans="54:54" ht="15.75" customHeight="1" x14ac:dyDescent="0.3">
      <c r="BB1045574" s="38"/>
    </row>
    <row r="1045575" spans="54:54" ht="15.75" customHeight="1" x14ac:dyDescent="0.3">
      <c r="BB1045575" s="38"/>
    </row>
    <row r="1045576" spans="54:54" ht="15.75" customHeight="1" x14ac:dyDescent="0.3">
      <c r="BB1045576" s="38"/>
    </row>
    <row r="1045577" spans="54:54" ht="15.75" customHeight="1" x14ac:dyDescent="0.3">
      <c r="BB1045577" s="38"/>
    </row>
    <row r="1045578" spans="54:54" ht="15.75" customHeight="1" x14ac:dyDescent="0.3">
      <c r="BB1045578" s="38"/>
    </row>
    <row r="1045579" spans="54:54" ht="15.75" customHeight="1" x14ac:dyDescent="0.3">
      <c r="BB1045579" s="38"/>
    </row>
    <row r="1045580" spans="54:54" ht="15.75" customHeight="1" x14ac:dyDescent="0.3">
      <c r="BB1045580" s="38"/>
    </row>
    <row r="1045581" spans="54:54" ht="15.75" customHeight="1" x14ac:dyDescent="0.3">
      <c r="BB1045581" s="38"/>
    </row>
    <row r="1045582" spans="54:54" ht="15.75" customHeight="1" x14ac:dyDescent="0.3">
      <c r="BB1045582" s="38"/>
    </row>
    <row r="1045583" spans="54:54" ht="15.75" customHeight="1" x14ac:dyDescent="0.3">
      <c r="BB1045583" s="38"/>
    </row>
    <row r="1045584" spans="54:54" ht="15.75" customHeight="1" x14ac:dyDescent="0.3">
      <c r="BB1045584" s="38"/>
    </row>
    <row r="1045585" spans="54:54" ht="15.75" customHeight="1" x14ac:dyDescent="0.3">
      <c r="BB1045585" s="38"/>
    </row>
    <row r="1045586" spans="54:54" ht="15.75" customHeight="1" x14ac:dyDescent="0.3">
      <c r="BB1045586" s="38"/>
    </row>
    <row r="1045587" spans="54:54" ht="15.75" customHeight="1" x14ac:dyDescent="0.3">
      <c r="BB1045587" s="38"/>
    </row>
    <row r="1045588" spans="54:54" ht="15.75" customHeight="1" x14ac:dyDescent="0.3">
      <c r="BB1045588" s="38"/>
    </row>
    <row r="1045589" spans="54:54" ht="15.75" customHeight="1" x14ac:dyDescent="0.3">
      <c r="BB1045589" s="38"/>
    </row>
    <row r="1045590" spans="54:54" ht="15.75" customHeight="1" x14ac:dyDescent="0.3">
      <c r="BB1045590" s="38"/>
    </row>
    <row r="1045591" spans="54:54" ht="15.75" customHeight="1" x14ac:dyDescent="0.3">
      <c r="BB1045591" s="38"/>
    </row>
    <row r="1045592" spans="54:54" ht="15.75" customHeight="1" x14ac:dyDescent="0.3">
      <c r="BB1045592" s="38"/>
    </row>
    <row r="1045593" spans="54:54" ht="15.75" customHeight="1" x14ac:dyDescent="0.3">
      <c r="BB1045593" s="38"/>
    </row>
    <row r="1045594" spans="54:54" ht="15.75" customHeight="1" x14ac:dyDescent="0.3">
      <c r="BB1045594" s="38"/>
    </row>
    <row r="1045595" spans="54:54" ht="15.75" customHeight="1" x14ac:dyDescent="0.3">
      <c r="BB1045595" s="38"/>
    </row>
    <row r="1045596" spans="54:54" ht="15.75" customHeight="1" x14ac:dyDescent="0.3">
      <c r="BB1045596" s="38"/>
    </row>
    <row r="1045597" spans="54:54" ht="15.75" customHeight="1" x14ac:dyDescent="0.3">
      <c r="BB1045597" s="38"/>
    </row>
    <row r="1045598" spans="54:54" ht="15.75" customHeight="1" x14ac:dyDescent="0.3">
      <c r="BB1045598" s="38"/>
    </row>
    <row r="1045599" spans="54:54" ht="15.75" customHeight="1" x14ac:dyDescent="0.3">
      <c r="BB1045599" s="38"/>
    </row>
    <row r="1045600" spans="54:54" ht="15.75" customHeight="1" x14ac:dyDescent="0.3">
      <c r="BB1045600" s="38"/>
    </row>
    <row r="1045601" spans="54:54" ht="15.75" customHeight="1" x14ac:dyDescent="0.3">
      <c r="BB1045601" s="38"/>
    </row>
    <row r="1045602" spans="54:54" ht="15.75" customHeight="1" x14ac:dyDescent="0.3">
      <c r="BB1045602" s="38"/>
    </row>
    <row r="1045603" spans="54:54" ht="15.75" customHeight="1" x14ac:dyDescent="0.3">
      <c r="BB1045603" s="38"/>
    </row>
    <row r="1045604" spans="54:54" ht="15.75" customHeight="1" x14ac:dyDescent="0.3">
      <c r="BB1045604" s="38"/>
    </row>
    <row r="1045605" spans="54:54" ht="15.75" customHeight="1" x14ac:dyDescent="0.3">
      <c r="BB1045605" s="38"/>
    </row>
    <row r="1045606" spans="54:54" ht="15.75" customHeight="1" x14ac:dyDescent="0.3">
      <c r="BB1045606" s="38"/>
    </row>
    <row r="1045607" spans="54:54" ht="15.75" customHeight="1" x14ac:dyDescent="0.3">
      <c r="BB1045607" s="38"/>
    </row>
    <row r="1045608" spans="54:54" ht="15.75" customHeight="1" x14ac:dyDescent="0.3">
      <c r="BB1045608" s="38"/>
    </row>
    <row r="1045609" spans="54:54" ht="15.75" customHeight="1" x14ac:dyDescent="0.3">
      <c r="BB1045609" s="38"/>
    </row>
    <row r="1045610" spans="54:54" ht="15.75" customHeight="1" x14ac:dyDescent="0.3">
      <c r="BB1045610" s="38"/>
    </row>
    <row r="1045611" spans="54:54" ht="15.75" customHeight="1" x14ac:dyDescent="0.3">
      <c r="BB1045611" s="38"/>
    </row>
    <row r="1045612" spans="54:54" ht="15.75" customHeight="1" x14ac:dyDescent="0.3">
      <c r="BB1045612" s="38"/>
    </row>
    <row r="1045613" spans="54:54" ht="15.75" customHeight="1" x14ac:dyDescent="0.3">
      <c r="BB1045613" s="38"/>
    </row>
    <row r="1045614" spans="54:54" ht="15.75" customHeight="1" x14ac:dyDescent="0.3">
      <c r="BB1045614" s="38"/>
    </row>
    <row r="1045615" spans="54:54" ht="15.75" customHeight="1" x14ac:dyDescent="0.3">
      <c r="BB1045615" s="38"/>
    </row>
    <row r="1045616" spans="54:54" ht="15.75" customHeight="1" x14ac:dyDescent="0.3">
      <c r="BB1045616" s="38"/>
    </row>
    <row r="1045617" spans="54:54" ht="15.75" customHeight="1" x14ac:dyDescent="0.3">
      <c r="BB1045617" s="38"/>
    </row>
    <row r="1045618" spans="54:54" ht="15.75" customHeight="1" x14ac:dyDescent="0.3">
      <c r="BB1045618" s="38"/>
    </row>
    <row r="1045619" spans="54:54" ht="15.75" customHeight="1" x14ac:dyDescent="0.3">
      <c r="BB1045619" s="38"/>
    </row>
    <row r="1045620" spans="54:54" ht="15.75" customHeight="1" x14ac:dyDescent="0.3">
      <c r="BB1045620" s="38"/>
    </row>
    <row r="1045621" spans="54:54" ht="15.75" customHeight="1" x14ac:dyDescent="0.3">
      <c r="BB1045621" s="38"/>
    </row>
    <row r="1045622" spans="54:54" ht="15.75" customHeight="1" x14ac:dyDescent="0.3">
      <c r="BB1045622" s="38"/>
    </row>
    <row r="1045623" spans="54:54" ht="15.75" customHeight="1" x14ac:dyDescent="0.3">
      <c r="BB1045623" s="38"/>
    </row>
    <row r="1045624" spans="54:54" ht="15.75" customHeight="1" x14ac:dyDescent="0.3">
      <c r="BB1045624" s="38"/>
    </row>
    <row r="1045625" spans="54:54" ht="15.75" customHeight="1" x14ac:dyDescent="0.3">
      <c r="BB1045625" s="38"/>
    </row>
    <row r="1045626" spans="54:54" ht="15.75" customHeight="1" x14ac:dyDescent="0.3">
      <c r="BB1045626" s="38"/>
    </row>
    <row r="1045627" spans="54:54" ht="15.75" customHeight="1" x14ac:dyDescent="0.3">
      <c r="BB1045627" s="38"/>
    </row>
    <row r="1045628" spans="54:54" ht="15.75" customHeight="1" x14ac:dyDescent="0.3">
      <c r="BB1045628" s="38"/>
    </row>
    <row r="1045629" spans="54:54" ht="15.75" customHeight="1" x14ac:dyDescent="0.3">
      <c r="BB1045629" s="38"/>
    </row>
    <row r="1045630" spans="54:54" ht="15.75" customHeight="1" x14ac:dyDescent="0.3">
      <c r="BB1045630" s="38"/>
    </row>
    <row r="1045631" spans="54:54" ht="15.75" customHeight="1" x14ac:dyDescent="0.3">
      <c r="BB1045631" s="38"/>
    </row>
    <row r="1045632" spans="54:54" ht="15.75" customHeight="1" x14ac:dyDescent="0.3">
      <c r="BB1045632" s="38"/>
    </row>
    <row r="1045633" spans="54:54" ht="15.75" customHeight="1" x14ac:dyDescent="0.3">
      <c r="BB1045633" s="38"/>
    </row>
    <row r="1045634" spans="54:54" ht="15.75" customHeight="1" x14ac:dyDescent="0.3">
      <c r="BB1045634" s="38"/>
    </row>
    <row r="1045635" spans="54:54" ht="15.75" customHeight="1" x14ac:dyDescent="0.3">
      <c r="BB1045635" s="38"/>
    </row>
    <row r="1045636" spans="54:54" ht="15.75" customHeight="1" x14ac:dyDescent="0.3">
      <c r="BB1045636" s="38"/>
    </row>
    <row r="1045637" spans="54:54" ht="15.75" customHeight="1" x14ac:dyDescent="0.3">
      <c r="BB1045637" s="38"/>
    </row>
    <row r="1045638" spans="54:54" ht="15.75" customHeight="1" x14ac:dyDescent="0.3">
      <c r="BB1045638" s="38"/>
    </row>
    <row r="1045639" spans="54:54" ht="15.75" customHeight="1" x14ac:dyDescent="0.3">
      <c r="BB1045639" s="38"/>
    </row>
    <row r="1045640" spans="54:54" ht="15.75" customHeight="1" x14ac:dyDescent="0.3">
      <c r="BB1045640" s="38"/>
    </row>
    <row r="1045641" spans="54:54" ht="15.75" customHeight="1" x14ac:dyDescent="0.3">
      <c r="BB1045641" s="38"/>
    </row>
    <row r="1045642" spans="54:54" ht="15.75" customHeight="1" x14ac:dyDescent="0.3">
      <c r="BB1045642" s="38"/>
    </row>
    <row r="1045643" spans="54:54" ht="15.75" customHeight="1" x14ac:dyDescent="0.3">
      <c r="BB1045643" s="38"/>
    </row>
    <row r="1045644" spans="54:54" ht="15.75" customHeight="1" x14ac:dyDescent="0.3">
      <c r="BB1045644" s="38"/>
    </row>
    <row r="1045645" spans="54:54" ht="15.75" customHeight="1" x14ac:dyDescent="0.3">
      <c r="BB1045645" s="38"/>
    </row>
    <row r="1045646" spans="54:54" ht="15.75" customHeight="1" x14ac:dyDescent="0.3">
      <c r="BB1045646" s="38"/>
    </row>
    <row r="1045647" spans="54:54" ht="15.75" customHeight="1" x14ac:dyDescent="0.3">
      <c r="BB1045647" s="38"/>
    </row>
    <row r="1045648" spans="54:54" ht="15.75" customHeight="1" x14ac:dyDescent="0.3">
      <c r="BB1045648" s="38"/>
    </row>
    <row r="1045649" spans="54:54" ht="15.75" customHeight="1" x14ac:dyDescent="0.3">
      <c r="BB1045649" s="38"/>
    </row>
    <row r="1045650" spans="54:54" ht="15.75" customHeight="1" x14ac:dyDescent="0.3">
      <c r="BB1045650" s="38"/>
    </row>
    <row r="1045651" spans="54:54" ht="15.75" customHeight="1" x14ac:dyDescent="0.3">
      <c r="BB1045651" s="38"/>
    </row>
    <row r="1045652" spans="54:54" ht="15.75" customHeight="1" x14ac:dyDescent="0.3">
      <c r="BB1045652" s="38"/>
    </row>
    <row r="1045653" spans="54:54" ht="15.75" customHeight="1" x14ac:dyDescent="0.3">
      <c r="BB1045653" s="38"/>
    </row>
    <row r="1045654" spans="54:54" ht="15.75" customHeight="1" x14ac:dyDescent="0.3">
      <c r="BB1045654" s="38"/>
    </row>
    <row r="1045655" spans="54:54" ht="15.75" customHeight="1" x14ac:dyDescent="0.3">
      <c r="BB1045655" s="38"/>
    </row>
    <row r="1045656" spans="54:54" ht="15.75" customHeight="1" x14ac:dyDescent="0.3">
      <c r="BB1045656" s="38"/>
    </row>
    <row r="1045657" spans="54:54" ht="15.75" customHeight="1" x14ac:dyDescent="0.3">
      <c r="BB1045657" s="38"/>
    </row>
    <row r="1045658" spans="54:54" ht="15.75" customHeight="1" x14ac:dyDescent="0.3">
      <c r="BB1045658" s="38"/>
    </row>
    <row r="1045659" spans="54:54" ht="15.75" customHeight="1" x14ac:dyDescent="0.3">
      <c r="BB1045659" s="38"/>
    </row>
    <row r="1045660" spans="54:54" ht="15.75" customHeight="1" x14ac:dyDescent="0.3">
      <c r="BB1045660" s="38"/>
    </row>
    <row r="1045661" spans="54:54" ht="15.75" customHeight="1" x14ac:dyDescent="0.3">
      <c r="BB1045661" s="38"/>
    </row>
    <row r="1045662" spans="54:54" ht="15.75" customHeight="1" x14ac:dyDescent="0.3">
      <c r="BB1045662" s="38"/>
    </row>
    <row r="1045663" spans="54:54" ht="15.75" customHeight="1" x14ac:dyDescent="0.3">
      <c r="BB1045663" s="38"/>
    </row>
    <row r="1045664" spans="54:54" ht="15.75" customHeight="1" x14ac:dyDescent="0.3">
      <c r="BB1045664" s="38"/>
    </row>
    <row r="1045665" spans="54:54" ht="15.75" customHeight="1" x14ac:dyDescent="0.3">
      <c r="BB1045665" s="38"/>
    </row>
    <row r="1045666" spans="54:54" ht="15.75" customHeight="1" x14ac:dyDescent="0.3">
      <c r="BB1045666" s="38"/>
    </row>
    <row r="1045667" spans="54:54" ht="15.75" customHeight="1" x14ac:dyDescent="0.3">
      <c r="BB1045667" s="38"/>
    </row>
    <row r="1045668" spans="54:54" ht="15.75" customHeight="1" x14ac:dyDescent="0.3">
      <c r="BB1045668" s="38"/>
    </row>
    <row r="1045669" spans="54:54" ht="15.75" customHeight="1" x14ac:dyDescent="0.3">
      <c r="BB1045669" s="38"/>
    </row>
    <row r="1045670" spans="54:54" ht="15.75" customHeight="1" x14ac:dyDescent="0.3">
      <c r="BB1045670" s="38"/>
    </row>
    <row r="1045671" spans="54:54" ht="15.75" customHeight="1" x14ac:dyDescent="0.3">
      <c r="BB1045671" s="38"/>
    </row>
    <row r="1045672" spans="54:54" ht="15.75" customHeight="1" x14ac:dyDescent="0.3">
      <c r="BB1045672" s="38"/>
    </row>
    <row r="1045673" spans="54:54" ht="15.75" customHeight="1" x14ac:dyDescent="0.3">
      <c r="BB1045673" s="38"/>
    </row>
    <row r="1045674" spans="54:54" ht="15.75" customHeight="1" x14ac:dyDescent="0.3">
      <c r="BB1045674" s="38"/>
    </row>
    <row r="1045675" spans="54:54" ht="15.75" customHeight="1" x14ac:dyDescent="0.3">
      <c r="BB1045675" s="38"/>
    </row>
    <row r="1045676" spans="54:54" ht="15.75" customHeight="1" x14ac:dyDescent="0.3">
      <c r="BB1045676" s="38"/>
    </row>
    <row r="1045677" spans="54:54" ht="15.75" customHeight="1" x14ac:dyDescent="0.3">
      <c r="BB1045677" s="38"/>
    </row>
    <row r="1045678" spans="54:54" ht="15.75" customHeight="1" x14ac:dyDescent="0.3">
      <c r="BB1045678" s="38"/>
    </row>
    <row r="1045679" spans="54:54" ht="15.75" customHeight="1" x14ac:dyDescent="0.3">
      <c r="BB1045679" s="38"/>
    </row>
    <row r="1045680" spans="54:54" ht="15.75" customHeight="1" x14ac:dyDescent="0.3">
      <c r="BB1045680" s="38"/>
    </row>
    <row r="1045681" spans="54:54" ht="15.75" customHeight="1" x14ac:dyDescent="0.3">
      <c r="BB1045681" s="38"/>
    </row>
    <row r="1045682" spans="54:54" ht="15.75" customHeight="1" x14ac:dyDescent="0.3">
      <c r="BB1045682" s="38"/>
    </row>
    <row r="1045683" spans="54:54" ht="15.75" customHeight="1" x14ac:dyDescent="0.3">
      <c r="BB1045683" s="38"/>
    </row>
    <row r="1045684" spans="54:54" ht="15.75" customHeight="1" x14ac:dyDescent="0.3">
      <c r="BB1045684" s="38"/>
    </row>
    <row r="1045685" spans="54:54" ht="15.75" customHeight="1" x14ac:dyDescent="0.3">
      <c r="BB1045685" s="38"/>
    </row>
    <row r="1045686" spans="54:54" ht="15.75" customHeight="1" x14ac:dyDescent="0.3">
      <c r="BB1045686" s="38"/>
    </row>
    <row r="1045687" spans="54:54" ht="15.75" customHeight="1" x14ac:dyDescent="0.3">
      <c r="BB1045687" s="38"/>
    </row>
    <row r="1045688" spans="54:54" ht="15.75" customHeight="1" x14ac:dyDescent="0.3">
      <c r="BB1045688" s="38"/>
    </row>
    <row r="1045689" spans="54:54" ht="15.75" customHeight="1" x14ac:dyDescent="0.3">
      <c r="BB1045689" s="38"/>
    </row>
    <row r="1045690" spans="54:54" ht="15.75" customHeight="1" x14ac:dyDescent="0.3">
      <c r="BB1045690" s="38"/>
    </row>
    <row r="1045691" spans="54:54" ht="15.75" customHeight="1" x14ac:dyDescent="0.3">
      <c r="BB1045691" s="38"/>
    </row>
    <row r="1045692" spans="54:54" ht="15.75" customHeight="1" x14ac:dyDescent="0.3">
      <c r="BB1045692" s="38"/>
    </row>
    <row r="1045693" spans="54:54" ht="15.75" customHeight="1" x14ac:dyDescent="0.3">
      <c r="BB1045693" s="38"/>
    </row>
    <row r="1045694" spans="54:54" ht="15.75" customHeight="1" x14ac:dyDescent="0.3">
      <c r="BB1045694" s="38"/>
    </row>
    <row r="1045695" spans="54:54" ht="15.75" customHeight="1" x14ac:dyDescent="0.3">
      <c r="BB1045695" s="38"/>
    </row>
    <row r="1045696" spans="54:54" ht="15.75" customHeight="1" x14ac:dyDescent="0.3">
      <c r="BB1045696" s="38"/>
    </row>
    <row r="1045697" spans="54:54" ht="15.75" customHeight="1" x14ac:dyDescent="0.3">
      <c r="BB1045697" s="38"/>
    </row>
    <row r="1045698" spans="54:54" ht="15.75" customHeight="1" x14ac:dyDescent="0.3">
      <c r="BB1045698" s="38"/>
    </row>
    <row r="1045699" spans="54:54" ht="15.75" customHeight="1" x14ac:dyDescent="0.3">
      <c r="BB1045699" s="38"/>
    </row>
    <row r="1045700" spans="54:54" ht="15.75" customHeight="1" x14ac:dyDescent="0.3">
      <c r="BB1045700" s="38"/>
    </row>
    <row r="1045701" spans="54:54" ht="15.75" customHeight="1" x14ac:dyDescent="0.3">
      <c r="BB1045701" s="38"/>
    </row>
    <row r="1045702" spans="54:54" ht="15.75" customHeight="1" x14ac:dyDescent="0.3">
      <c r="BB1045702" s="38"/>
    </row>
    <row r="1045703" spans="54:54" ht="15.75" customHeight="1" x14ac:dyDescent="0.3">
      <c r="BB1045703" s="38"/>
    </row>
    <row r="1045704" spans="54:54" ht="15.75" customHeight="1" x14ac:dyDescent="0.3">
      <c r="BB1045704" s="38"/>
    </row>
    <row r="1045705" spans="54:54" ht="15.75" customHeight="1" x14ac:dyDescent="0.3">
      <c r="BB1045705" s="38"/>
    </row>
    <row r="1045706" spans="54:54" ht="15.75" customHeight="1" x14ac:dyDescent="0.3">
      <c r="BB1045706" s="38"/>
    </row>
    <row r="1045707" spans="54:54" ht="15.75" customHeight="1" x14ac:dyDescent="0.3">
      <c r="BB1045707" s="38"/>
    </row>
    <row r="1045708" spans="54:54" ht="15.75" customHeight="1" x14ac:dyDescent="0.3">
      <c r="BB1045708" s="38"/>
    </row>
    <row r="1045709" spans="54:54" ht="15.75" customHeight="1" x14ac:dyDescent="0.3">
      <c r="BB1045709" s="38"/>
    </row>
    <row r="1045710" spans="54:54" ht="15.75" customHeight="1" x14ac:dyDescent="0.3">
      <c r="BB1045710" s="38"/>
    </row>
    <row r="1045711" spans="54:54" ht="15.75" customHeight="1" x14ac:dyDescent="0.3">
      <c r="BB1045711" s="38"/>
    </row>
    <row r="1045712" spans="54:54" ht="15.75" customHeight="1" x14ac:dyDescent="0.3">
      <c r="BB1045712" s="38"/>
    </row>
    <row r="1045713" spans="54:54" ht="15.75" customHeight="1" x14ac:dyDescent="0.3">
      <c r="BB1045713" s="38"/>
    </row>
    <row r="1045714" spans="54:54" ht="15.75" customHeight="1" x14ac:dyDescent="0.3">
      <c r="BB1045714" s="38"/>
    </row>
    <row r="1045715" spans="54:54" ht="15.75" customHeight="1" x14ac:dyDescent="0.3">
      <c r="BB1045715" s="38"/>
    </row>
    <row r="1045716" spans="54:54" ht="15.75" customHeight="1" x14ac:dyDescent="0.3">
      <c r="BB1045716" s="38"/>
    </row>
    <row r="1045717" spans="54:54" ht="15.75" customHeight="1" x14ac:dyDescent="0.3">
      <c r="BB1045717" s="38"/>
    </row>
    <row r="1045718" spans="54:54" ht="15.75" customHeight="1" x14ac:dyDescent="0.3">
      <c r="BB1045718" s="38"/>
    </row>
    <row r="1045719" spans="54:54" ht="15.75" customHeight="1" x14ac:dyDescent="0.3">
      <c r="BB1045719" s="38"/>
    </row>
    <row r="1045720" spans="54:54" ht="15.75" customHeight="1" x14ac:dyDescent="0.3">
      <c r="BB1045720" s="38"/>
    </row>
    <row r="1045721" spans="54:54" ht="15.75" customHeight="1" x14ac:dyDescent="0.3">
      <c r="BB1045721" s="38"/>
    </row>
    <row r="1045722" spans="54:54" ht="15.75" customHeight="1" x14ac:dyDescent="0.3">
      <c r="BB1045722" s="38"/>
    </row>
    <row r="1045723" spans="54:54" ht="15.75" customHeight="1" x14ac:dyDescent="0.3">
      <c r="BB1045723" s="38"/>
    </row>
    <row r="1045724" spans="54:54" ht="15.75" customHeight="1" x14ac:dyDescent="0.3">
      <c r="BB1045724" s="38"/>
    </row>
    <row r="1045725" spans="54:54" ht="15.75" customHeight="1" x14ac:dyDescent="0.3">
      <c r="BB1045725" s="38"/>
    </row>
    <row r="1045726" spans="54:54" ht="15.75" customHeight="1" x14ac:dyDescent="0.3">
      <c r="BB1045726" s="38"/>
    </row>
    <row r="1045727" spans="54:54" ht="15.75" customHeight="1" x14ac:dyDescent="0.3">
      <c r="BB1045727" s="38"/>
    </row>
    <row r="1045728" spans="54:54" ht="15.75" customHeight="1" x14ac:dyDescent="0.3">
      <c r="BB1045728" s="38"/>
    </row>
    <row r="1045729" spans="54:54" ht="15.75" customHeight="1" x14ac:dyDescent="0.3">
      <c r="BB1045729" s="38"/>
    </row>
    <row r="1045730" spans="54:54" ht="15.75" customHeight="1" x14ac:dyDescent="0.3">
      <c r="BB1045730" s="38"/>
    </row>
    <row r="1045731" spans="54:54" ht="15.75" customHeight="1" x14ac:dyDescent="0.3">
      <c r="BB1045731" s="38"/>
    </row>
    <row r="1045732" spans="54:54" ht="15.75" customHeight="1" x14ac:dyDescent="0.3">
      <c r="BB1045732" s="38"/>
    </row>
    <row r="1045733" spans="54:54" ht="15.75" customHeight="1" x14ac:dyDescent="0.3">
      <c r="BB1045733" s="38"/>
    </row>
    <row r="1045734" spans="54:54" ht="15.75" customHeight="1" x14ac:dyDescent="0.3">
      <c r="BB1045734" s="38"/>
    </row>
    <row r="1045735" spans="54:54" ht="15.75" customHeight="1" x14ac:dyDescent="0.3">
      <c r="BB1045735" s="38"/>
    </row>
    <row r="1045736" spans="54:54" ht="15.75" customHeight="1" x14ac:dyDescent="0.3">
      <c r="BB1045736" s="38"/>
    </row>
    <row r="1045737" spans="54:54" ht="15.75" customHeight="1" x14ac:dyDescent="0.3">
      <c r="BB1045737" s="38"/>
    </row>
    <row r="1045738" spans="54:54" ht="15.75" customHeight="1" x14ac:dyDescent="0.3">
      <c r="BB1045738" s="38"/>
    </row>
    <row r="1045739" spans="54:54" ht="15.75" customHeight="1" x14ac:dyDescent="0.3">
      <c r="BB1045739" s="38"/>
    </row>
    <row r="1045740" spans="54:54" ht="15.75" customHeight="1" x14ac:dyDescent="0.3">
      <c r="BB1045740" s="38"/>
    </row>
    <row r="1045741" spans="54:54" ht="15.75" customHeight="1" x14ac:dyDescent="0.3">
      <c r="BB1045741" s="38"/>
    </row>
    <row r="1045742" spans="54:54" ht="15.75" customHeight="1" x14ac:dyDescent="0.3">
      <c r="BB1045742" s="38"/>
    </row>
    <row r="1045743" spans="54:54" ht="15.75" customHeight="1" x14ac:dyDescent="0.3">
      <c r="BB1045743" s="38"/>
    </row>
    <row r="1045744" spans="54:54" ht="15.75" customHeight="1" x14ac:dyDescent="0.3">
      <c r="BB1045744" s="38"/>
    </row>
    <row r="1045745" spans="54:54" ht="15.75" customHeight="1" x14ac:dyDescent="0.3">
      <c r="BB1045745" s="38"/>
    </row>
    <row r="1045746" spans="54:54" ht="15.75" customHeight="1" x14ac:dyDescent="0.3">
      <c r="BB1045746" s="38"/>
    </row>
    <row r="1045747" spans="54:54" ht="15.75" customHeight="1" x14ac:dyDescent="0.3">
      <c r="BB1045747" s="38"/>
    </row>
    <row r="1045748" spans="54:54" ht="15.75" customHeight="1" x14ac:dyDescent="0.3">
      <c r="BB1045748" s="38"/>
    </row>
    <row r="1045749" spans="54:54" ht="15.75" customHeight="1" x14ac:dyDescent="0.3">
      <c r="BB1045749" s="38"/>
    </row>
    <row r="1045750" spans="54:54" ht="15.75" customHeight="1" x14ac:dyDescent="0.3">
      <c r="BB1045750" s="38"/>
    </row>
    <row r="1045751" spans="54:54" ht="15.75" customHeight="1" x14ac:dyDescent="0.3">
      <c r="BB1045751" s="38"/>
    </row>
    <row r="1045752" spans="54:54" ht="15.75" customHeight="1" x14ac:dyDescent="0.3">
      <c r="BB1045752" s="38"/>
    </row>
    <row r="1045753" spans="54:54" ht="15.75" customHeight="1" x14ac:dyDescent="0.3">
      <c r="BB1045753" s="38"/>
    </row>
    <row r="1045754" spans="54:54" ht="15.75" customHeight="1" x14ac:dyDescent="0.3">
      <c r="BB1045754" s="38"/>
    </row>
    <row r="1045755" spans="54:54" ht="15.75" customHeight="1" x14ac:dyDescent="0.3">
      <c r="BB1045755" s="38"/>
    </row>
    <row r="1045756" spans="54:54" ht="15.75" customHeight="1" x14ac:dyDescent="0.3">
      <c r="BB1045756" s="38"/>
    </row>
    <row r="1045757" spans="54:54" ht="15.75" customHeight="1" x14ac:dyDescent="0.3">
      <c r="BB1045757" s="38"/>
    </row>
    <row r="1045758" spans="54:54" ht="15.75" customHeight="1" x14ac:dyDescent="0.3">
      <c r="BB1045758" s="38"/>
    </row>
    <row r="1045759" spans="54:54" ht="15.75" customHeight="1" x14ac:dyDescent="0.3">
      <c r="BB1045759" s="38"/>
    </row>
    <row r="1045760" spans="54:54" ht="15.75" customHeight="1" x14ac:dyDescent="0.3">
      <c r="BB1045760" s="38"/>
    </row>
    <row r="1045761" spans="54:54" ht="15.75" customHeight="1" x14ac:dyDescent="0.3">
      <c r="BB1045761" s="38"/>
    </row>
    <row r="1045762" spans="54:54" ht="15.75" customHeight="1" x14ac:dyDescent="0.3">
      <c r="BB1045762" s="38"/>
    </row>
    <row r="1045763" spans="54:54" ht="15.75" customHeight="1" x14ac:dyDescent="0.3">
      <c r="BB1045763" s="38"/>
    </row>
    <row r="1045764" spans="54:54" ht="15.75" customHeight="1" x14ac:dyDescent="0.3">
      <c r="BB1045764" s="38"/>
    </row>
    <row r="1045765" spans="54:54" ht="15.75" customHeight="1" x14ac:dyDescent="0.3">
      <c r="BB1045765" s="38"/>
    </row>
    <row r="1045766" spans="54:54" ht="15.75" customHeight="1" x14ac:dyDescent="0.3">
      <c r="BB1045766" s="38"/>
    </row>
    <row r="1045767" spans="54:54" ht="15.75" customHeight="1" x14ac:dyDescent="0.3">
      <c r="BB1045767" s="38"/>
    </row>
    <row r="1045768" spans="54:54" ht="15.75" customHeight="1" x14ac:dyDescent="0.3">
      <c r="BB1045768" s="38"/>
    </row>
    <row r="1045769" spans="54:54" ht="15.75" customHeight="1" x14ac:dyDescent="0.3">
      <c r="BB1045769" s="38"/>
    </row>
    <row r="1045770" spans="54:54" ht="15.75" customHeight="1" x14ac:dyDescent="0.3">
      <c r="BB1045770" s="38"/>
    </row>
    <row r="1045771" spans="54:54" ht="15.75" customHeight="1" x14ac:dyDescent="0.3">
      <c r="BB1045771" s="38"/>
    </row>
    <row r="1045772" spans="54:54" ht="15.75" customHeight="1" x14ac:dyDescent="0.3">
      <c r="BB1045772" s="38"/>
    </row>
    <row r="1045773" spans="54:54" ht="15.75" customHeight="1" x14ac:dyDescent="0.3">
      <c r="BB1045773" s="38"/>
    </row>
    <row r="1045774" spans="54:54" ht="15.75" customHeight="1" x14ac:dyDescent="0.3">
      <c r="BB1045774" s="38"/>
    </row>
    <row r="1045775" spans="54:54" ht="15.75" customHeight="1" x14ac:dyDescent="0.3">
      <c r="BB1045775" s="38"/>
    </row>
    <row r="1045776" spans="54:54" ht="15.75" customHeight="1" x14ac:dyDescent="0.3">
      <c r="BB1045776" s="38"/>
    </row>
    <row r="1045777" spans="54:54" ht="15.75" customHeight="1" x14ac:dyDescent="0.3">
      <c r="BB1045777" s="38"/>
    </row>
    <row r="1045778" spans="54:54" ht="15.75" customHeight="1" x14ac:dyDescent="0.3">
      <c r="BB1045778" s="38"/>
    </row>
    <row r="1045779" spans="54:54" ht="15.75" customHeight="1" x14ac:dyDescent="0.3">
      <c r="BB1045779" s="38"/>
    </row>
    <row r="1045780" spans="54:54" ht="15.75" customHeight="1" x14ac:dyDescent="0.3">
      <c r="BB1045780" s="38"/>
    </row>
    <row r="1045781" spans="54:54" ht="15.75" customHeight="1" x14ac:dyDescent="0.3">
      <c r="BB1045781" s="38"/>
    </row>
    <row r="1045782" spans="54:54" ht="15.75" customHeight="1" x14ac:dyDescent="0.3">
      <c r="BB1045782" s="38"/>
    </row>
    <row r="1045783" spans="54:54" ht="15.75" customHeight="1" x14ac:dyDescent="0.3">
      <c r="BB1045783" s="38"/>
    </row>
    <row r="1045784" spans="54:54" ht="15.75" customHeight="1" x14ac:dyDescent="0.3">
      <c r="BB1045784" s="38"/>
    </row>
    <row r="1045785" spans="54:54" ht="15.75" customHeight="1" x14ac:dyDescent="0.3">
      <c r="BB1045785" s="38"/>
    </row>
    <row r="1045786" spans="54:54" ht="15.75" customHeight="1" x14ac:dyDescent="0.3">
      <c r="BB1045786" s="38"/>
    </row>
    <row r="1045787" spans="54:54" ht="15.75" customHeight="1" x14ac:dyDescent="0.3">
      <c r="BB1045787" s="38"/>
    </row>
    <row r="1045788" spans="54:54" ht="15.75" customHeight="1" x14ac:dyDescent="0.3">
      <c r="BB1045788" s="38"/>
    </row>
    <row r="1045789" spans="54:54" ht="15.75" customHeight="1" x14ac:dyDescent="0.3">
      <c r="BB1045789" s="38"/>
    </row>
    <row r="1045790" spans="54:54" ht="15.75" customHeight="1" x14ac:dyDescent="0.3">
      <c r="BB1045790" s="38"/>
    </row>
    <row r="1045791" spans="54:54" ht="15.75" customHeight="1" x14ac:dyDescent="0.3">
      <c r="BB1045791" s="38"/>
    </row>
    <row r="1045792" spans="54:54" ht="15.75" customHeight="1" x14ac:dyDescent="0.3">
      <c r="BB1045792" s="38"/>
    </row>
    <row r="1045793" spans="54:54" ht="15.75" customHeight="1" x14ac:dyDescent="0.3">
      <c r="BB1045793" s="38"/>
    </row>
    <row r="1045794" spans="54:54" ht="15.75" customHeight="1" x14ac:dyDescent="0.3">
      <c r="BB1045794" s="38"/>
    </row>
    <row r="1045795" spans="54:54" ht="15.75" customHeight="1" x14ac:dyDescent="0.3">
      <c r="BB1045795" s="38"/>
    </row>
    <row r="1045796" spans="54:54" ht="15.75" customHeight="1" x14ac:dyDescent="0.3">
      <c r="BB1045796" s="38"/>
    </row>
    <row r="1045797" spans="54:54" ht="15.75" customHeight="1" x14ac:dyDescent="0.3">
      <c r="BB1045797" s="38"/>
    </row>
    <row r="1045798" spans="54:54" ht="15.75" customHeight="1" x14ac:dyDescent="0.3">
      <c r="BB1045798" s="38"/>
    </row>
    <row r="1045799" spans="54:54" ht="15.75" customHeight="1" x14ac:dyDescent="0.3">
      <c r="BB1045799" s="38"/>
    </row>
    <row r="1045800" spans="54:54" ht="15.75" customHeight="1" x14ac:dyDescent="0.3">
      <c r="BB1045800" s="38"/>
    </row>
    <row r="1045801" spans="54:54" ht="15.75" customHeight="1" x14ac:dyDescent="0.3">
      <c r="BB1045801" s="38"/>
    </row>
    <row r="1045802" spans="54:54" ht="15.75" customHeight="1" x14ac:dyDescent="0.3">
      <c r="BB1045802" s="38"/>
    </row>
    <row r="1045803" spans="54:54" ht="15.75" customHeight="1" x14ac:dyDescent="0.3">
      <c r="BB1045803" s="38"/>
    </row>
    <row r="1045804" spans="54:54" ht="15.75" customHeight="1" x14ac:dyDescent="0.3">
      <c r="BB1045804" s="38"/>
    </row>
    <row r="1045805" spans="54:54" ht="15.75" customHeight="1" x14ac:dyDescent="0.3">
      <c r="BB1045805" s="38"/>
    </row>
    <row r="1045806" spans="54:54" ht="15.75" customHeight="1" x14ac:dyDescent="0.3">
      <c r="BB1045806" s="38"/>
    </row>
    <row r="1045807" spans="54:54" ht="15.75" customHeight="1" x14ac:dyDescent="0.3">
      <c r="BB1045807" s="38"/>
    </row>
    <row r="1045808" spans="54:54" ht="15.75" customHeight="1" x14ac:dyDescent="0.3">
      <c r="BB1045808" s="38"/>
    </row>
    <row r="1045809" spans="54:54" ht="15.75" customHeight="1" x14ac:dyDescent="0.3">
      <c r="BB1045809" s="38"/>
    </row>
    <row r="1045810" spans="54:54" ht="15.75" customHeight="1" x14ac:dyDescent="0.3">
      <c r="BB1045810" s="38"/>
    </row>
    <row r="1045811" spans="54:54" ht="15.75" customHeight="1" x14ac:dyDescent="0.3">
      <c r="BB1045811" s="38"/>
    </row>
    <row r="1045812" spans="54:54" ht="15.75" customHeight="1" x14ac:dyDescent="0.3">
      <c r="BB1045812" s="38"/>
    </row>
    <row r="1045813" spans="54:54" ht="15.75" customHeight="1" x14ac:dyDescent="0.3">
      <c r="BB1045813" s="38"/>
    </row>
    <row r="1045814" spans="54:54" ht="15.75" customHeight="1" x14ac:dyDescent="0.3">
      <c r="BB1045814" s="38"/>
    </row>
    <row r="1045815" spans="54:54" ht="15.75" customHeight="1" x14ac:dyDescent="0.3">
      <c r="BB1045815" s="38"/>
    </row>
    <row r="1045816" spans="54:54" ht="15.75" customHeight="1" x14ac:dyDescent="0.3">
      <c r="BB1045816" s="38"/>
    </row>
    <row r="1045817" spans="54:54" ht="15.75" customHeight="1" x14ac:dyDescent="0.3">
      <c r="BB1045817" s="38"/>
    </row>
    <row r="1045818" spans="54:54" ht="15.75" customHeight="1" x14ac:dyDescent="0.3">
      <c r="BB1045818" s="38"/>
    </row>
    <row r="1045819" spans="54:54" ht="15.75" customHeight="1" x14ac:dyDescent="0.3">
      <c r="BB1045819" s="38"/>
    </row>
    <row r="1045820" spans="54:54" ht="15.75" customHeight="1" x14ac:dyDescent="0.3">
      <c r="BB1045820" s="38"/>
    </row>
    <row r="1045821" spans="54:54" ht="15.75" customHeight="1" x14ac:dyDescent="0.3">
      <c r="BB1045821" s="38"/>
    </row>
    <row r="1045822" spans="54:54" ht="15.75" customHeight="1" x14ac:dyDescent="0.3">
      <c r="BB1045822" s="38"/>
    </row>
    <row r="1045823" spans="54:54" ht="15.75" customHeight="1" x14ac:dyDescent="0.3">
      <c r="BB1045823" s="38"/>
    </row>
    <row r="1045824" spans="54:54" ht="15.75" customHeight="1" x14ac:dyDescent="0.3">
      <c r="BB1045824" s="38"/>
    </row>
    <row r="1045825" spans="54:54" ht="15.75" customHeight="1" x14ac:dyDescent="0.3">
      <c r="BB1045825" s="38"/>
    </row>
    <row r="1045826" spans="54:54" ht="15.75" customHeight="1" x14ac:dyDescent="0.3">
      <c r="BB1045826" s="38"/>
    </row>
    <row r="1045827" spans="54:54" ht="15.75" customHeight="1" x14ac:dyDescent="0.3">
      <c r="BB1045827" s="38"/>
    </row>
    <row r="1045828" spans="54:54" ht="15.75" customHeight="1" x14ac:dyDescent="0.3">
      <c r="BB1045828" s="38"/>
    </row>
    <row r="1045829" spans="54:54" ht="15.75" customHeight="1" x14ac:dyDescent="0.3">
      <c r="BB1045829" s="38"/>
    </row>
    <row r="1045830" spans="54:54" ht="15.75" customHeight="1" x14ac:dyDescent="0.3">
      <c r="BB1045830" s="38"/>
    </row>
    <row r="1045831" spans="54:54" ht="15.75" customHeight="1" x14ac:dyDescent="0.3">
      <c r="BB1045831" s="38"/>
    </row>
    <row r="1045832" spans="54:54" ht="15.75" customHeight="1" x14ac:dyDescent="0.3">
      <c r="BB1045832" s="38"/>
    </row>
    <row r="1045833" spans="54:54" ht="15.75" customHeight="1" x14ac:dyDescent="0.3">
      <c r="BB1045833" s="38"/>
    </row>
    <row r="1045834" spans="54:54" ht="15.75" customHeight="1" x14ac:dyDescent="0.3">
      <c r="BB1045834" s="38"/>
    </row>
    <row r="1045835" spans="54:54" ht="15.75" customHeight="1" x14ac:dyDescent="0.3">
      <c r="BB1045835" s="38"/>
    </row>
    <row r="1045836" spans="54:54" ht="15.75" customHeight="1" x14ac:dyDescent="0.3">
      <c r="BB1045836" s="38"/>
    </row>
    <row r="1045837" spans="54:54" ht="15.75" customHeight="1" x14ac:dyDescent="0.3">
      <c r="BB1045837" s="38"/>
    </row>
    <row r="1045838" spans="54:54" ht="15.75" customHeight="1" x14ac:dyDescent="0.3">
      <c r="BB1045838" s="38"/>
    </row>
    <row r="1045839" spans="54:54" ht="15.75" customHeight="1" x14ac:dyDescent="0.3">
      <c r="BB1045839" s="38"/>
    </row>
    <row r="1045840" spans="54:54" ht="15.75" customHeight="1" x14ac:dyDescent="0.3">
      <c r="BB1045840" s="38"/>
    </row>
    <row r="1045841" spans="54:54" ht="15.75" customHeight="1" x14ac:dyDescent="0.3">
      <c r="BB1045841" s="38"/>
    </row>
    <row r="1045842" spans="54:54" ht="15.75" customHeight="1" x14ac:dyDescent="0.3">
      <c r="BB1045842" s="38"/>
    </row>
    <row r="1045843" spans="54:54" ht="15.75" customHeight="1" x14ac:dyDescent="0.3">
      <c r="BB1045843" s="38"/>
    </row>
    <row r="1045844" spans="54:54" ht="15.75" customHeight="1" x14ac:dyDescent="0.3">
      <c r="BB1045844" s="38"/>
    </row>
    <row r="1045845" spans="54:54" ht="15.75" customHeight="1" x14ac:dyDescent="0.3">
      <c r="BB1045845" s="38"/>
    </row>
    <row r="1045846" spans="54:54" ht="15.75" customHeight="1" x14ac:dyDescent="0.3">
      <c r="BB1045846" s="38"/>
    </row>
    <row r="1045847" spans="54:54" ht="15.75" customHeight="1" x14ac:dyDescent="0.3">
      <c r="BB1045847" s="38"/>
    </row>
    <row r="1045848" spans="54:54" ht="15.75" customHeight="1" x14ac:dyDescent="0.3">
      <c r="BB1045848" s="38"/>
    </row>
    <row r="1045849" spans="54:54" ht="15.75" customHeight="1" x14ac:dyDescent="0.3">
      <c r="BB1045849" s="38"/>
    </row>
    <row r="1045850" spans="54:54" ht="15.75" customHeight="1" x14ac:dyDescent="0.3">
      <c r="BB1045850" s="38"/>
    </row>
    <row r="1045851" spans="54:54" ht="15.75" customHeight="1" x14ac:dyDescent="0.3">
      <c r="BB1045851" s="38"/>
    </row>
    <row r="1045852" spans="54:54" ht="15.75" customHeight="1" x14ac:dyDescent="0.3">
      <c r="BB1045852" s="38"/>
    </row>
    <row r="1045853" spans="54:54" ht="15.75" customHeight="1" x14ac:dyDescent="0.3">
      <c r="BB1045853" s="38"/>
    </row>
    <row r="1045854" spans="54:54" ht="15.75" customHeight="1" x14ac:dyDescent="0.3">
      <c r="BB1045854" s="38"/>
    </row>
    <row r="1045855" spans="54:54" ht="15.75" customHeight="1" x14ac:dyDescent="0.3">
      <c r="BB1045855" s="38"/>
    </row>
    <row r="1045856" spans="54:54" ht="15.75" customHeight="1" x14ac:dyDescent="0.3">
      <c r="BB1045856" s="38"/>
    </row>
    <row r="1045857" spans="54:54" ht="15.75" customHeight="1" x14ac:dyDescent="0.3">
      <c r="BB1045857" s="38"/>
    </row>
    <row r="1045858" spans="54:54" ht="15.75" customHeight="1" x14ac:dyDescent="0.3">
      <c r="BB1045858" s="38"/>
    </row>
    <row r="1045859" spans="54:54" ht="15.75" customHeight="1" x14ac:dyDescent="0.3">
      <c r="BB1045859" s="38"/>
    </row>
    <row r="1045860" spans="54:54" ht="15.75" customHeight="1" x14ac:dyDescent="0.3">
      <c r="BB1045860" s="38"/>
    </row>
    <row r="1045861" spans="54:54" ht="15.75" customHeight="1" x14ac:dyDescent="0.3">
      <c r="BB1045861" s="38"/>
    </row>
    <row r="1045862" spans="54:54" ht="15.75" customHeight="1" x14ac:dyDescent="0.3">
      <c r="BB1045862" s="38"/>
    </row>
    <row r="1045863" spans="54:54" ht="15.75" customHeight="1" x14ac:dyDescent="0.3">
      <c r="BB1045863" s="38"/>
    </row>
    <row r="1045864" spans="54:54" ht="15.75" customHeight="1" x14ac:dyDescent="0.3">
      <c r="BB1045864" s="38"/>
    </row>
    <row r="1045865" spans="54:54" ht="15.75" customHeight="1" x14ac:dyDescent="0.3">
      <c r="BB1045865" s="38"/>
    </row>
    <row r="1045866" spans="54:54" ht="15.75" customHeight="1" x14ac:dyDescent="0.3">
      <c r="BB1045866" s="38"/>
    </row>
    <row r="1045867" spans="54:54" ht="15.75" customHeight="1" x14ac:dyDescent="0.3">
      <c r="BB1045867" s="38"/>
    </row>
    <row r="1045868" spans="54:54" ht="15.75" customHeight="1" x14ac:dyDescent="0.3">
      <c r="BB1045868" s="38"/>
    </row>
    <row r="1045869" spans="54:54" ht="15.75" customHeight="1" x14ac:dyDescent="0.3">
      <c r="BB1045869" s="38"/>
    </row>
    <row r="1045870" spans="54:54" ht="15.75" customHeight="1" x14ac:dyDescent="0.3">
      <c r="BB1045870" s="38"/>
    </row>
    <row r="1045871" spans="54:54" ht="15.75" customHeight="1" x14ac:dyDescent="0.3">
      <c r="BB1045871" s="38"/>
    </row>
    <row r="1045872" spans="54:54" ht="15.75" customHeight="1" x14ac:dyDescent="0.3">
      <c r="BB1045872" s="38"/>
    </row>
    <row r="1045873" spans="54:54" ht="15.75" customHeight="1" x14ac:dyDescent="0.3">
      <c r="BB1045873" s="38"/>
    </row>
    <row r="1045874" spans="54:54" ht="15.75" customHeight="1" x14ac:dyDescent="0.3">
      <c r="BB1045874" s="38"/>
    </row>
    <row r="1045875" spans="54:54" ht="15.75" customHeight="1" x14ac:dyDescent="0.3">
      <c r="BB1045875" s="38"/>
    </row>
    <row r="1045876" spans="54:54" ht="15.75" customHeight="1" x14ac:dyDescent="0.3">
      <c r="BB1045876" s="38"/>
    </row>
    <row r="1045877" spans="54:54" ht="15.75" customHeight="1" x14ac:dyDescent="0.3">
      <c r="BB1045877" s="38"/>
    </row>
    <row r="1045878" spans="54:54" ht="15.75" customHeight="1" x14ac:dyDescent="0.3">
      <c r="BB1045878" s="38"/>
    </row>
    <row r="1045879" spans="54:54" ht="15.75" customHeight="1" x14ac:dyDescent="0.3">
      <c r="BB1045879" s="38"/>
    </row>
    <row r="1045880" spans="54:54" ht="15.75" customHeight="1" x14ac:dyDescent="0.3">
      <c r="BB1045880" s="38"/>
    </row>
    <row r="1045881" spans="54:54" ht="15.75" customHeight="1" x14ac:dyDescent="0.3">
      <c r="BB1045881" s="38"/>
    </row>
    <row r="1045882" spans="54:54" ht="15.75" customHeight="1" x14ac:dyDescent="0.3">
      <c r="BB1045882" s="38"/>
    </row>
    <row r="1045883" spans="54:54" ht="15.75" customHeight="1" x14ac:dyDescent="0.3">
      <c r="BB1045883" s="38"/>
    </row>
    <row r="1045884" spans="54:54" ht="15.75" customHeight="1" x14ac:dyDescent="0.3">
      <c r="BB1045884" s="38"/>
    </row>
    <row r="1045885" spans="54:54" ht="15.75" customHeight="1" x14ac:dyDescent="0.3">
      <c r="BB1045885" s="38"/>
    </row>
    <row r="1045886" spans="54:54" ht="15.75" customHeight="1" x14ac:dyDescent="0.3">
      <c r="BB1045886" s="38"/>
    </row>
    <row r="1045887" spans="54:54" ht="15.75" customHeight="1" x14ac:dyDescent="0.3">
      <c r="BB1045887" s="38"/>
    </row>
    <row r="1045888" spans="54:54" ht="15.75" customHeight="1" x14ac:dyDescent="0.3">
      <c r="BB1045888" s="38"/>
    </row>
    <row r="1045889" spans="54:54" ht="15.75" customHeight="1" x14ac:dyDescent="0.3">
      <c r="BB1045889" s="38"/>
    </row>
    <row r="1045890" spans="54:54" ht="15.75" customHeight="1" x14ac:dyDescent="0.3">
      <c r="BB1045890" s="38"/>
    </row>
    <row r="1045891" spans="54:54" ht="15.75" customHeight="1" x14ac:dyDescent="0.3">
      <c r="BB1045891" s="38"/>
    </row>
    <row r="1045892" spans="54:54" ht="15.75" customHeight="1" x14ac:dyDescent="0.3">
      <c r="BB1045892" s="38"/>
    </row>
    <row r="1045893" spans="54:54" ht="15.75" customHeight="1" x14ac:dyDescent="0.3">
      <c r="BB1045893" s="38"/>
    </row>
    <row r="1045894" spans="54:54" ht="15.75" customHeight="1" x14ac:dyDescent="0.3">
      <c r="BB1045894" s="38"/>
    </row>
    <row r="1045895" spans="54:54" ht="15.75" customHeight="1" x14ac:dyDescent="0.3">
      <c r="BB1045895" s="38"/>
    </row>
    <row r="1045896" spans="54:54" ht="15.75" customHeight="1" x14ac:dyDescent="0.3">
      <c r="BB1045896" s="38"/>
    </row>
    <row r="1045897" spans="54:54" ht="15.75" customHeight="1" x14ac:dyDescent="0.3">
      <c r="BB1045897" s="38"/>
    </row>
    <row r="1045898" spans="54:54" ht="15.75" customHeight="1" x14ac:dyDescent="0.3">
      <c r="BB1045898" s="38"/>
    </row>
    <row r="1045899" spans="54:54" ht="15.75" customHeight="1" x14ac:dyDescent="0.3">
      <c r="BB1045899" s="38"/>
    </row>
    <row r="1045900" spans="54:54" ht="15.75" customHeight="1" x14ac:dyDescent="0.3">
      <c r="BB1045900" s="38"/>
    </row>
    <row r="1045901" spans="54:54" ht="15.75" customHeight="1" x14ac:dyDescent="0.3">
      <c r="BB1045901" s="38"/>
    </row>
    <row r="1045902" spans="54:54" ht="15.75" customHeight="1" x14ac:dyDescent="0.3">
      <c r="BB1045902" s="38"/>
    </row>
    <row r="1045903" spans="54:54" ht="15.75" customHeight="1" x14ac:dyDescent="0.3">
      <c r="BB1045903" s="38"/>
    </row>
    <row r="1045904" spans="54:54" ht="15.75" customHeight="1" x14ac:dyDescent="0.3">
      <c r="BB1045904" s="38"/>
    </row>
    <row r="1045905" spans="54:54" ht="15.75" customHeight="1" x14ac:dyDescent="0.3">
      <c r="BB1045905" s="38"/>
    </row>
    <row r="1045906" spans="54:54" ht="15.75" customHeight="1" x14ac:dyDescent="0.3">
      <c r="BB1045906" s="38"/>
    </row>
    <row r="1045907" spans="54:54" ht="15.75" customHeight="1" x14ac:dyDescent="0.3">
      <c r="BB1045907" s="38"/>
    </row>
    <row r="1045908" spans="54:54" ht="15.75" customHeight="1" x14ac:dyDescent="0.3">
      <c r="BB1045908" s="38"/>
    </row>
    <row r="1045909" spans="54:54" ht="15.75" customHeight="1" x14ac:dyDescent="0.3">
      <c r="BB1045909" s="38"/>
    </row>
    <row r="1045910" spans="54:54" ht="15.75" customHeight="1" x14ac:dyDescent="0.3">
      <c r="BB1045910" s="38"/>
    </row>
    <row r="1045911" spans="54:54" ht="15.75" customHeight="1" x14ac:dyDescent="0.3">
      <c r="BB1045911" s="38"/>
    </row>
    <row r="1045912" spans="54:54" ht="15.75" customHeight="1" x14ac:dyDescent="0.3">
      <c r="BB1045912" s="38"/>
    </row>
    <row r="1045913" spans="54:54" ht="15.75" customHeight="1" x14ac:dyDescent="0.3">
      <c r="BB1045913" s="38"/>
    </row>
    <row r="1045914" spans="54:54" ht="15.75" customHeight="1" x14ac:dyDescent="0.3">
      <c r="BB1045914" s="38"/>
    </row>
    <row r="1045915" spans="54:54" ht="15.75" customHeight="1" x14ac:dyDescent="0.3">
      <c r="BB1045915" s="38"/>
    </row>
    <row r="1045916" spans="54:54" ht="15.75" customHeight="1" x14ac:dyDescent="0.3">
      <c r="BB1045916" s="38"/>
    </row>
    <row r="1045917" spans="54:54" ht="15.75" customHeight="1" x14ac:dyDescent="0.3">
      <c r="BB1045917" s="38"/>
    </row>
    <row r="1045918" spans="54:54" ht="15.75" customHeight="1" x14ac:dyDescent="0.3">
      <c r="BB1045918" s="38"/>
    </row>
    <row r="1045919" spans="54:54" ht="15.75" customHeight="1" x14ac:dyDescent="0.3">
      <c r="BB1045919" s="38"/>
    </row>
    <row r="1045920" spans="54:54" ht="15.75" customHeight="1" x14ac:dyDescent="0.3">
      <c r="BB1045920" s="38"/>
    </row>
    <row r="1045921" spans="54:54" ht="15.75" customHeight="1" x14ac:dyDescent="0.3">
      <c r="BB1045921" s="38"/>
    </row>
    <row r="1045922" spans="54:54" ht="15.75" customHeight="1" x14ac:dyDescent="0.3">
      <c r="BB1045922" s="38"/>
    </row>
    <row r="1045923" spans="54:54" ht="15.75" customHeight="1" x14ac:dyDescent="0.3">
      <c r="BB1045923" s="38"/>
    </row>
    <row r="1045924" spans="54:54" ht="15.75" customHeight="1" x14ac:dyDescent="0.3">
      <c r="BB1045924" s="38"/>
    </row>
    <row r="1045925" spans="54:54" ht="15.75" customHeight="1" x14ac:dyDescent="0.3">
      <c r="BB1045925" s="38"/>
    </row>
    <row r="1045926" spans="54:54" ht="15.75" customHeight="1" x14ac:dyDescent="0.3">
      <c r="BB1045926" s="38"/>
    </row>
    <row r="1045927" spans="54:54" ht="15.75" customHeight="1" x14ac:dyDescent="0.3">
      <c r="BB1045927" s="38"/>
    </row>
    <row r="1045928" spans="54:54" ht="15.75" customHeight="1" x14ac:dyDescent="0.3">
      <c r="BB1045928" s="38"/>
    </row>
    <row r="1045929" spans="54:54" ht="15.75" customHeight="1" x14ac:dyDescent="0.3">
      <c r="BB1045929" s="38"/>
    </row>
    <row r="1045930" spans="54:54" ht="15.75" customHeight="1" x14ac:dyDescent="0.3">
      <c r="BB1045930" s="38"/>
    </row>
    <row r="1045931" spans="54:54" ht="15.75" customHeight="1" x14ac:dyDescent="0.3">
      <c r="BB1045931" s="38"/>
    </row>
    <row r="1045932" spans="54:54" ht="15.75" customHeight="1" x14ac:dyDescent="0.3">
      <c r="BB1045932" s="38"/>
    </row>
    <row r="1045933" spans="54:54" ht="15.75" customHeight="1" x14ac:dyDescent="0.3">
      <c r="BB1045933" s="38"/>
    </row>
    <row r="1045934" spans="54:54" ht="15.75" customHeight="1" x14ac:dyDescent="0.3">
      <c r="BB1045934" s="38"/>
    </row>
    <row r="1045935" spans="54:54" ht="15.75" customHeight="1" x14ac:dyDescent="0.3">
      <c r="BB1045935" s="38"/>
    </row>
    <row r="1045936" spans="54:54" ht="15.75" customHeight="1" x14ac:dyDescent="0.3">
      <c r="BB1045936" s="38"/>
    </row>
    <row r="1045937" spans="54:54" ht="15.75" customHeight="1" x14ac:dyDescent="0.3">
      <c r="BB1045937" s="38"/>
    </row>
    <row r="1045938" spans="54:54" ht="15.75" customHeight="1" x14ac:dyDescent="0.3">
      <c r="BB1045938" s="38"/>
    </row>
    <row r="1045939" spans="54:54" ht="15.75" customHeight="1" x14ac:dyDescent="0.3">
      <c r="BB1045939" s="38"/>
    </row>
    <row r="1045940" spans="54:54" ht="15.75" customHeight="1" x14ac:dyDescent="0.3">
      <c r="BB1045940" s="38"/>
    </row>
    <row r="1045941" spans="54:54" ht="15.75" customHeight="1" x14ac:dyDescent="0.3">
      <c r="BB1045941" s="38"/>
    </row>
    <row r="1045942" spans="54:54" ht="15.75" customHeight="1" x14ac:dyDescent="0.3">
      <c r="BB1045942" s="38"/>
    </row>
    <row r="1045943" spans="54:54" ht="15.75" customHeight="1" x14ac:dyDescent="0.3">
      <c r="BB1045943" s="38"/>
    </row>
    <row r="1045944" spans="54:54" ht="15.75" customHeight="1" x14ac:dyDescent="0.3">
      <c r="BB1045944" s="38"/>
    </row>
    <row r="1045945" spans="54:54" ht="15.75" customHeight="1" x14ac:dyDescent="0.3">
      <c r="BB1045945" s="38"/>
    </row>
    <row r="1045946" spans="54:54" ht="15.75" customHeight="1" x14ac:dyDescent="0.3">
      <c r="BB1045946" s="38"/>
    </row>
    <row r="1045947" spans="54:54" ht="15.75" customHeight="1" x14ac:dyDescent="0.3">
      <c r="BB1045947" s="38"/>
    </row>
    <row r="1045948" spans="54:54" ht="15.75" customHeight="1" x14ac:dyDescent="0.3">
      <c r="BB1045948" s="38"/>
    </row>
    <row r="1045949" spans="54:54" ht="15.75" customHeight="1" x14ac:dyDescent="0.3">
      <c r="BB1045949" s="38"/>
    </row>
    <row r="1045950" spans="54:54" ht="15.75" customHeight="1" x14ac:dyDescent="0.3">
      <c r="BB1045950" s="38"/>
    </row>
    <row r="1045951" spans="54:54" ht="15.75" customHeight="1" x14ac:dyDescent="0.3">
      <c r="BB1045951" s="38"/>
    </row>
    <row r="1045952" spans="54:54" ht="15.75" customHeight="1" x14ac:dyDescent="0.3">
      <c r="BB1045952" s="38"/>
    </row>
    <row r="1045953" spans="54:54" ht="15.75" customHeight="1" x14ac:dyDescent="0.3">
      <c r="BB1045953" s="38"/>
    </row>
    <row r="1045954" spans="54:54" ht="15.75" customHeight="1" x14ac:dyDescent="0.3">
      <c r="BB1045954" s="38"/>
    </row>
    <row r="1045955" spans="54:54" ht="15.75" customHeight="1" x14ac:dyDescent="0.3">
      <c r="BB1045955" s="38"/>
    </row>
    <row r="1045956" spans="54:54" ht="15.75" customHeight="1" x14ac:dyDescent="0.3">
      <c r="BB1045956" s="38"/>
    </row>
    <row r="1045957" spans="54:54" ht="15.75" customHeight="1" x14ac:dyDescent="0.3">
      <c r="BB1045957" s="38"/>
    </row>
    <row r="1045958" spans="54:54" ht="15.75" customHeight="1" x14ac:dyDescent="0.3">
      <c r="BB1045958" s="38"/>
    </row>
    <row r="1045959" spans="54:54" ht="15.75" customHeight="1" x14ac:dyDescent="0.3">
      <c r="BB1045959" s="38"/>
    </row>
    <row r="1045960" spans="54:54" ht="15.75" customHeight="1" x14ac:dyDescent="0.3">
      <c r="BB1045960" s="38"/>
    </row>
    <row r="1045961" spans="54:54" ht="15.75" customHeight="1" x14ac:dyDescent="0.3">
      <c r="BB1045961" s="38"/>
    </row>
    <row r="1045962" spans="54:54" ht="15.75" customHeight="1" x14ac:dyDescent="0.3">
      <c r="BB1045962" s="38"/>
    </row>
    <row r="1045963" spans="54:54" ht="15.75" customHeight="1" x14ac:dyDescent="0.3">
      <c r="BB1045963" s="38"/>
    </row>
    <row r="1045964" spans="54:54" ht="15.75" customHeight="1" x14ac:dyDescent="0.3">
      <c r="BB1045964" s="38"/>
    </row>
    <row r="1045965" spans="54:54" ht="15.75" customHeight="1" x14ac:dyDescent="0.3">
      <c r="BB1045965" s="38"/>
    </row>
    <row r="1045966" spans="54:54" ht="15.75" customHeight="1" x14ac:dyDescent="0.3">
      <c r="BB1045966" s="38"/>
    </row>
    <row r="1045967" spans="54:54" ht="15.75" customHeight="1" x14ac:dyDescent="0.3">
      <c r="BB1045967" s="38"/>
    </row>
    <row r="1045968" spans="54:54" ht="15.75" customHeight="1" x14ac:dyDescent="0.3">
      <c r="BB1045968" s="38"/>
    </row>
    <row r="1045969" spans="54:54" ht="15.75" customHeight="1" x14ac:dyDescent="0.3">
      <c r="BB1045969" s="38"/>
    </row>
    <row r="1045970" spans="54:54" ht="15.75" customHeight="1" x14ac:dyDescent="0.3">
      <c r="BB1045970" s="38"/>
    </row>
    <row r="1045971" spans="54:54" ht="15.75" customHeight="1" x14ac:dyDescent="0.3">
      <c r="BB1045971" s="38"/>
    </row>
    <row r="1045972" spans="54:54" ht="15.75" customHeight="1" x14ac:dyDescent="0.3">
      <c r="BB1045972" s="38"/>
    </row>
    <row r="1045973" spans="54:54" ht="15.75" customHeight="1" x14ac:dyDescent="0.3">
      <c r="BB1045973" s="38"/>
    </row>
    <row r="1045974" spans="54:54" ht="15.75" customHeight="1" x14ac:dyDescent="0.3">
      <c r="BB1045974" s="38"/>
    </row>
    <row r="1045975" spans="54:54" ht="15.75" customHeight="1" x14ac:dyDescent="0.3">
      <c r="BB1045975" s="38"/>
    </row>
    <row r="1045976" spans="54:54" ht="15.75" customHeight="1" x14ac:dyDescent="0.3">
      <c r="BB1045976" s="38"/>
    </row>
    <row r="1045977" spans="54:54" ht="15.75" customHeight="1" x14ac:dyDescent="0.3">
      <c r="BB1045977" s="38"/>
    </row>
    <row r="1045978" spans="54:54" ht="15.75" customHeight="1" x14ac:dyDescent="0.3">
      <c r="BB1045978" s="38"/>
    </row>
    <row r="1045979" spans="54:54" ht="15.75" customHeight="1" x14ac:dyDescent="0.3">
      <c r="BB1045979" s="38"/>
    </row>
    <row r="1045980" spans="54:54" ht="15.75" customHeight="1" x14ac:dyDescent="0.3">
      <c r="BB1045980" s="38"/>
    </row>
    <row r="1045981" spans="54:54" ht="15.75" customHeight="1" x14ac:dyDescent="0.3">
      <c r="BB1045981" s="38"/>
    </row>
    <row r="1045982" spans="54:54" ht="15.75" customHeight="1" x14ac:dyDescent="0.3">
      <c r="BB1045982" s="38"/>
    </row>
    <row r="1045983" spans="54:54" ht="15.75" customHeight="1" x14ac:dyDescent="0.3">
      <c r="BB1045983" s="38"/>
    </row>
    <row r="1045984" spans="54:54" ht="15.75" customHeight="1" x14ac:dyDescent="0.3">
      <c r="BB1045984" s="38"/>
    </row>
    <row r="1045985" spans="54:54" ht="15.75" customHeight="1" x14ac:dyDescent="0.3">
      <c r="BB1045985" s="38"/>
    </row>
    <row r="1045986" spans="54:54" ht="15.75" customHeight="1" x14ac:dyDescent="0.3">
      <c r="BB1045986" s="38"/>
    </row>
    <row r="1045987" spans="54:54" ht="15.75" customHeight="1" x14ac:dyDescent="0.3">
      <c r="BB1045987" s="38"/>
    </row>
    <row r="1045988" spans="54:54" ht="15.75" customHeight="1" x14ac:dyDescent="0.3">
      <c r="BB1045988" s="38"/>
    </row>
    <row r="1045989" spans="54:54" ht="15.75" customHeight="1" x14ac:dyDescent="0.3">
      <c r="BB1045989" s="38"/>
    </row>
    <row r="1045990" spans="54:54" ht="15.75" customHeight="1" x14ac:dyDescent="0.3">
      <c r="BB1045990" s="38"/>
    </row>
    <row r="1045991" spans="54:54" ht="15.75" customHeight="1" x14ac:dyDescent="0.3">
      <c r="BB1045991" s="38"/>
    </row>
    <row r="1045992" spans="54:54" ht="15.75" customHeight="1" x14ac:dyDescent="0.3">
      <c r="BB1045992" s="38"/>
    </row>
    <row r="1045993" spans="54:54" ht="15.75" customHeight="1" x14ac:dyDescent="0.3">
      <c r="BB1045993" s="38"/>
    </row>
    <row r="1045994" spans="54:54" ht="15.75" customHeight="1" x14ac:dyDescent="0.3">
      <c r="BB1045994" s="38"/>
    </row>
    <row r="1045995" spans="54:54" ht="15.75" customHeight="1" x14ac:dyDescent="0.3">
      <c r="BB1045995" s="38"/>
    </row>
    <row r="1045996" spans="54:54" ht="15.75" customHeight="1" x14ac:dyDescent="0.3">
      <c r="BB1045996" s="38"/>
    </row>
    <row r="1045997" spans="54:54" ht="15.75" customHeight="1" x14ac:dyDescent="0.3">
      <c r="BB1045997" s="38"/>
    </row>
    <row r="1045998" spans="54:54" ht="15.75" customHeight="1" x14ac:dyDescent="0.3">
      <c r="BB1045998" s="38"/>
    </row>
    <row r="1045999" spans="54:54" ht="15.75" customHeight="1" x14ac:dyDescent="0.3">
      <c r="BB1045999" s="38"/>
    </row>
    <row r="1046000" spans="54:54" ht="15.75" customHeight="1" x14ac:dyDescent="0.3">
      <c r="BB1046000" s="38"/>
    </row>
    <row r="1046001" spans="54:54" ht="15.75" customHeight="1" x14ac:dyDescent="0.3">
      <c r="BB1046001" s="38"/>
    </row>
    <row r="1046002" spans="54:54" ht="15.75" customHeight="1" x14ac:dyDescent="0.3">
      <c r="BB1046002" s="38"/>
    </row>
    <row r="1046003" spans="54:54" ht="15.75" customHeight="1" x14ac:dyDescent="0.3">
      <c r="BB1046003" s="38"/>
    </row>
    <row r="1046004" spans="54:54" ht="15.75" customHeight="1" x14ac:dyDescent="0.3">
      <c r="BB1046004" s="38"/>
    </row>
    <row r="1046005" spans="54:54" ht="15.75" customHeight="1" x14ac:dyDescent="0.3">
      <c r="BB1046005" s="38"/>
    </row>
    <row r="1046006" spans="54:54" ht="15.75" customHeight="1" x14ac:dyDescent="0.3">
      <c r="BB1046006" s="38"/>
    </row>
    <row r="1046007" spans="54:54" ht="15.75" customHeight="1" x14ac:dyDescent="0.3">
      <c r="BB1046007" s="38"/>
    </row>
    <row r="1046008" spans="54:54" ht="15.75" customHeight="1" x14ac:dyDescent="0.3">
      <c r="BB1046008" s="38"/>
    </row>
    <row r="1046009" spans="54:54" ht="15.75" customHeight="1" x14ac:dyDescent="0.3">
      <c r="BB1046009" s="38"/>
    </row>
    <row r="1046010" spans="54:54" ht="15.75" customHeight="1" x14ac:dyDescent="0.3">
      <c r="BB1046010" s="38"/>
    </row>
    <row r="1046011" spans="54:54" ht="15.75" customHeight="1" x14ac:dyDescent="0.3">
      <c r="BB1046011" s="38"/>
    </row>
    <row r="1046012" spans="54:54" ht="15.75" customHeight="1" x14ac:dyDescent="0.3">
      <c r="BB1046012" s="38"/>
    </row>
    <row r="1046013" spans="54:54" ht="15.75" customHeight="1" x14ac:dyDescent="0.3">
      <c r="BB1046013" s="38"/>
    </row>
    <row r="1046014" spans="54:54" ht="15.75" customHeight="1" x14ac:dyDescent="0.3">
      <c r="BB1046014" s="38"/>
    </row>
    <row r="1046015" spans="54:54" ht="15.75" customHeight="1" x14ac:dyDescent="0.3">
      <c r="BB1046015" s="38"/>
    </row>
    <row r="1046016" spans="54:54" ht="15.75" customHeight="1" x14ac:dyDescent="0.3">
      <c r="BB1046016" s="38"/>
    </row>
    <row r="1046017" spans="54:54" ht="15.75" customHeight="1" x14ac:dyDescent="0.3">
      <c r="BB1046017" s="38"/>
    </row>
    <row r="1046018" spans="54:54" ht="15.75" customHeight="1" x14ac:dyDescent="0.3">
      <c r="BB1046018" s="38"/>
    </row>
    <row r="1046019" spans="54:54" ht="15.75" customHeight="1" x14ac:dyDescent="0.3">
      <c r="BB1046019" s="38"/>
    </row>
    <row r="1046020" spans="54:54" ht="15.75" customHeight="1" x14ac:dyDescent="0.3">
      <c r="BB1046020" s="38"/>
    </row>
    <row r="1046021" spans="54:54" ht="15.75" customHeight="1" x14ac:dyDescent="0.3">
      <c r="BB1046021" s="38"/>
    </row>
    <row r="1046022" spans="54:54" ht="15.75" customHeight="1" x14ac:dyDescent="0.3">
      <c r="BB1046022" s="38"/>
    </row>
    <row r="1046023" spans="54:54" ht="15.75" customHeight="1" x14ac:dyDescent="0.3">
      <c r="BB1046023" s="38"/>
    </row>
    <row r="1046024" spans="54:54" ht="15.75" customHeight="1" x14ac:dyDescent="0.3">
      <c r="BB1046024" s="38"/>
    </row>
    <row r="1046025" spans="54:54" ht="15.75" customHeight="1" x14ac:dyDescent="0.3">
      <c r="BB1046025" s="38"/>
    </row>
    <row r="1046026" spans="54:54" ht="15.75" customHeight="1" x14ac:dyDescent="0.3">
      <c r="BB1046026" s="38"/>
    </row>
    <row r="1046027" spans="54:54" ht="15.75" customHeight="1" x14ac:dyDescent="0.3">
      <c r="BB1046027" s="38"/>
    </row>
    <row r="1046028" spans="54:54" ht="15.75" customHeight="1" x14ac:dyDescent="0.3">
      <c r="BB1046028" s="38"/>
    </row>
    <row r="1046029" spans="54:54" ht="15.75" customHeight="1" x14ac:dyDescent="0.3">
      <c r="BB1046029" s="38"/>
    </row>
    <row r="1046030" spans="54:54" ht="15.75" customHeight="1" x14ac:dyDescent="0.3">
      <c r="BB1046030" s="38"/>
    </row>
    <row r="1046031" spans="54:54" ht="15.75" customHeight="1" x14ac:dyDescent="0.3">
      <c r="BB1046031" s="38"/>
    </row>
    <row r="1046032" spans="54:54" ht="15.75" customHeight="1" x14ac:dyDescent="0.3">
      <c r="BB1046032" s="38"/>
    </row>
    <row r="1046033" spans="54:54" ht="15.75" customHeight="1" x14ac:dyDescent="0.3">
      <c r="BB1046033" s="38"/>
    </row>
    <row r="1046034" spans="54:54" ht="15.75" customHeight="1" x14ac:dyDescent="0.3">
      <c r="BB1046034" s="38"/>
    </row>
    <row r="1046035" spans="54:54" ht="15.75" customHeight="1" x14ac:dyDescent="0.3">
      <c r="BB1046035" s="38"/>
    </row>
    <row r="1046036" spans="54:54" ht="15.75" customHeight="1" x14ac:dyDescent="0.3">
      <c r="BB1046036" s="38"/>
    </row>
    <row r="1046037" spans="54:54" ht="15.75" customHeight="1" x14ac:dyDescent="0.3">
      <c r="BB1046037" s="38"/>
    </row>
    <row r="1046038" spans="54:54" ht="15.75" customHeight="1" x14ac:dyDescent="0.3">
      <c r="BB1046038" s="38"/>
    </row>
    <row r="1046039" spans="54:54" ht="15.75" customHeight="1" x14ac:dyDescent="0.3">
      <c r="BB1046039" s="38"/>
    </row>
    <row r="1046040" spans="54:54" ht="15.75" customHeight="1" x14ac:dyDescent="0.3">
      <c r="BB1046040" s="38"/>
    </row>
    <row r="1046041" spans="54:54" ht="15.75" customHeight="1" x14ac:dyDescent="0.3">
      <c r="BB1046041" s="38"/>
    </row>
    <row r="1046042" spans="54:54" ht="15.75" customHeight="1" x14ac:dyDescent="0.3">
      <c r="BB1046042" s="38"/>
    </row>
    <row r="1046043" spans="54:54" ht="15.75" customHeight="1" x14ac:dyDescent="0.3">
      <c r="BB1046043" s="38"/>
    </row>
    <row r="1046044" spans="54:54" ht="15.75" customHeight="1" x14ac:dyDescent="0.3">
      <c r="BB1046044" s="38"/>
    </row>
    <row r="1046045" spans="54:54" ht="15.75" customHeight="1" x14ac:dyDescent="0.3">
      <c r="BB1046045" s="38"/>
    </row>
    <row r="1046046" spans="54:54" ht="15.75" customHeight="1" x14ac:dyDescent="0.3">
      <c r="BB1046046" s="38"/>
    </row>
    <row r="1046047" spans="54:54" ht="15.75" customHeight="1" x14ac:dyDescent="0.3">
      <c r="BB1046047" s="38"/>
    </row>
    <row r="1046048" spans="54:54" ht="15.75" customHeight="1" x14ac:dyDescent="0.3">
      <c r="BB1046048" s="38"/>
    </row>
    <row r="1046049" spans="54:54" ht="15.75" customHeight="1" x14ac:dyDescent="0.3">
      <c r="BB1046049" s="38"/>
    </row>
    <row r="1046050" spans="54:54" ht="15.75" customHeight="1" x14ac:dyDescent="0.3">
      <c r="BB1046050" s="38"/>
    </row>
    <row r="1046051" spans="54:54" ht="15.75" customHeight="1" x14ac:dyDescent="0.3">
      <c r="BB1046051" s="38"/>
    </row>
    <row r="1046052" spans="54:54" ht="15.75" customHeight="1" x14ac:dyDescent="0.3">
      <c r="BB1046052" s="38"/>
    </row>
    <row r="1046053" spans="54:54" ht="15.75" customHeight="1" x14ac:dyDescent="0.3">
      <c r="BB1046053" s="38"/>
    </row>
    <row r="1046054" spans="54:54" ht="15.75" customHeight="1" x14ac:dyDescent="0.3">
      <c r="BB1046054" s="38"/>
    </row>
    <row r="1046055" spans="54:54" ht="15.75" customHeight="1" x14ac:dyDescent="0.3">
      <c r="BB1046055" s="38"/>
    </row>
    <row r="1046056" spans="54:54" ht="15.75" customHeight="1" x14ac:dyDescent="0.3">
      <c r="BB1046056" s="38"/>
    </row>
    <row r="1046057" spans="54:54" ht="15.75" customHeight="1" x14ac:dyDescent="0.3">
      <c r="BB1046057" s="38"/>
    </row>
    <row r="1046058" spans="54:54" ht="15.75" customHeight="1" x14ac:dyDescent="0.3">
      <c r="BB1046058" s="38"/>
    </row>
    <row r="1046059" spans="54:54" ht="15.75" customHeight="1" x14ac:dyDescent="0.3">
      <c r="BB1046059" s="38"/>
    </row>
    <row r="1046060" spans="54:54" ht="15.75" customHeight="1" x14ac:dyDescent="0.3">
      <c r="BB1046060" s="38"/>
    </row>
    <row r="1046061" spans="54:54" ht="15.75" customHeight="1" x14ac:dyDescent="0.3">
      <c r="BB1046061" s="38"/>
    </row>
    <row r="1046062" spans="54:54" ht="15.75" customHeight="1" x14ac:dyDescent="0.3">
      <c r="BB1046062" s="38"/>
    </row>
    <row r="1046063" spans="54:54" ht="15.75" customHeight="1" x14ac:dyDescent="0.3">
      <c r="BB1046063" s="38"/>
    </row>
    <row r="1046064" spans="54:54" ht="15.75" customHeight="1" x14ac:dyDescent="0.3">
      <c r="BB1046064" s="38"/>
    </row>
    <row r="1046065" spans="54:54" ht="15.75" customHeight="1" x14ac:dyDescent="0.3">
      <c r="BB1046065" s="38"/>
    </row>
    <row r="1046066" spans="54:54" ht="15.75" customHeight="1" x14ac:dyDescent="0.3">
      <c r="BB1046066" s="38"/>
    </row>
    <row r="1046067" spans="54:54" ht="15.75" customHeight="1" x14ac:dyDescent="0.3">
      <c r="BB1046067" s="38"/>
    </row>
    <row r="1046068" spans="54:54" ht="15.75" customHeight="1" x14ac:dyDescent="0.3">
      <c r="BB1046068" s="38"/>
    </row>
    <row r="1046069" spans="54:54" ht="15.75" customHeight="1" x14ac:dyDescent="0.3">
      <c r="BB1046069" s="38"/>
    </row>
    <row r="1046070" spans="54:54" ht="15.75" customHeight="1" x14ac:dyDescent="0.3">
      <c r="BB1046070" s="38"/>
    </row>
    <row r="1046071" spans="54:54" ht="15.75" customHeight="1" x14ac:dyDescent="0.3">
      <c r="BB1046071" s="38"/>
    </row>
    <row r="1046072" spans="54:54" ht="15.75" customHeight="1" x14ac:dyDescent="0.3">
      <c r="BB1046072" s="38"/>
    </row>
    <row r="1046073" spans="54:54" ht="15.75" customHeight="1" x14ac:dyDescent="0.3">
      <c r="BB1046073" s="38"/>
    </row>
    <row r="1046074" spans="54:54" ht="15.75" customHeight="1" x14ac:dyDescent="0.3">
      <c r="BB1046074" s="38"/>
    </row>
    <row r="1046075" spans="54:54" ht="15.75" customHeight="1" x14ac:dyDescent="0.3">
      <c r="BB1046075" s="38"/>
    </row>
    <row r="1046076" spans="54:54" ht="15.75" customHeight="1" x14ac:dyDescent="0.3">
      <c r="BB1046076" s="38"/>
    </row>
    <row r="1046077" spans="54:54" ht="15.75" customHeight="1" x14ac:dyDescent="0.3">
      <c r="BB1046077" s="38"/>
    </row>
    <row r="1046078" spans="54:54" ht="15.75" customHeight="1" x14ac:dyDescent="0.3">
      <c r="BB1046078" s="38"/>
    </row>
    <row r="1046079" spans="54:54" ht="15.75" customHeight="1" x14ac:dyDescent="0.3">
      <c r="BB1046079" s="38"/>
    </row>
    <row r="1046080" spans="54:54" ht="15.75" customHeight="1" x14ac:dyDescent="0.3">
      <c r="BB1046080" s="38"/>
    </row>
    <row r="1046081" spans="54:54" ht="15.75" customHeight="1" x14ac:dyDescent="0.3">
      <c r="BB1046081" s="38"/>
    </row>
    <row r="1046082" spans="54:54" ht="15.75" customHeight="1" x14ac:dyDescent="0.3">
      <c r="BB1046082" s="38"/>
    </row>
    <row r="1046083" spans="54:54" ht="15.75" customHeight="1" x14ac:dyDescent="0.3">
      <c r="BB1046083" s="38"/>
    </row>
    <row r="1046084" spans="54:54" ht="15.75" customHeight="1" x14ac:dyDescent="0.3">
      <c r="BB1046084" s="38"/>
    </row>
    <row r="1046085" spans="54:54" ht="15.75" customHeight="1" x14ac:dyDescent="0.3">
      <c r="BB1046085" s="38"/>
    </row>
    <row r="1046086" spans="54:54" ht="15.75" customHeight="1" x14ac:dyDescent="0.3">
      <c r="BB1046086" s="38"/>
    </row>
    <row r="1046087" spans="54:54" ht="15.75" customHeight="1" x14ac:dyDescent="0.3">
      <c r="BB1046087" s="38"/>
    </row>
    <row r="1046088" spans="54:54" ht="15.75" customHeight="1" x14ac:dyDescent="0.3">
      <c r="BB1046088" s="38"/>
    </row>
    <row r="1046089" spans="54:54" ht="15.75" customHeight="1" x14ac:dyDescent="0.3">
      <c r="BB1046089" s="38"/>
    </row>
    <row r="1046090" spans="54:54" ht="15.75" customHeight="1" x14ac:dyDescent="0.3">
      <c r="BB1046090" s="38"/>
    </row>
    <row r="1046091" spans="54:54" ht="15.75" customHeight="1" x14ac:dyDescent="0.3">
      <c r="BB1046091" s="38"/>
    </row>
    <row r="1046092" spans="54:54" ht="15.75" customHeight="1" x14ac:dyDescent="0.3">
      <c r="BB1046092" s="38"/>
    </row>
    <row r="1046093" spans="54:54" ht="15.75" customHeight="1" x14ac:dyDescent="0.3">
      <c r="BB1046093" s="38"/>
    </row>
    <row r="1046094" spans="54:54" ht="15.75" customHeight="1" x14ac:dyDescent="0.3">
      <c r="BB1046094" s="38"/>
    </row>
    <row r="1046095" spans="54:54" ht="15.75" customHeight="1" x14ac:dyDescent="0.3">
      <c r="BB1046095" s="38"/>
    </row>
    <row r="1046096" spans="54:54" ht="15.75" customHeight="1" x14ac:dyDescent="0.3">
      <c r="BB1046096" s="38"/>
    </row>
    <row r="1046097" spans="54:54" ht="15.75" customHeight="1" x14ac:dyDescent="0.3">
      <c r="BB1046097" s="38"/>
    </row>
    <row r="1046098" spans="54:54" ht="15.75" customHeight="1" x14ac:dyDescent="0.3">
      <c r="BB1046098" s="38"/>
    </row>
    <row r="1046099" spans="54:54" ht="15.75" customHeight="1" x14ac:dyDescent="0.3">
      <c r="BB1046099" s="38"/>
    </row>
    <row r="1046100" spans="54:54" ht="15.75" customHeight="1" x14ac:dyDescent="0.3">
      <c r="BB1046100" s="38"/>
    </row>
    <row r="1046101" spans="54:54" ht="15.75" customHeight="1" x14ac:dyDescent="0.3">
      <c r="BB1046101" s="38"/>
    </row>
    <row r="1046102" spans="54:54" ht="15.75" customHeight="1" x14ac:dyDescent="0.3">
      <c r="BB1046102" s="38"/>
    </row>
    <row r="1046103" spans="54:54" ht="15.75" customHeight="1" x14ac:dyDescent="0.3">
      <c r="BB1046103" s="38"/>
    </row>
    <row r="1046104" spans="54:54" ht="15.75" customHeight="1" x14ac:dyDescent="0.3">
      <c r="BB1046104" s="38"/>
    </row>
    <row r="1046105" spans="54:54" ht="15.75" customHeight="1" x14ac:dyDescent="0.3">
      <c r="BB1046105" s="38"/>
    </row>
    <row r="1046106" spans="54:54" ht="15.75" customHeight="1" x14ac:dyDescent="0.3">
      <c r="BB1046106" s="38"/>
    </row>
    <row r="1046107" spans="54:54" ht="15.75" customHeight="1" x14ac:dyDescent="0.3">
      <c r="BB1046107" s="38"/>
    </row>
    <row r="1046108" spans="54:54" ht="15.75" customHeight="1" x14ac:dyDescent="0.3">
      <c r="BB1046108" s="38"/>
    </row>
    <row r="1046109" spans="54:54" ht="15.75" customHeight="1" x14ac:dyDescent="0.3">
      <c r="BB1046109" s="38"/>
    </row>
    <row r="1046110" spans="54:54" ht="15.75" customHeight="1" x14ac:dyDescent="0.3">
      <c r="BB1046110" s="38"/>
    </row>
    <row r="1046111" spans="54:54" ht="15.75" customHeight="1" x14ac:dyDescent="0.3">
      <c r="BB1046111" s="38"/>
    </row>
    <row r="1046112" spans="54:54" ht="15.75" customHeight="1" x14ac:dyDescent="0.3">
      <c r="BB1046112" s="38"/>
    </row>
    <row r="1046113" spans="54:54" ht="15.75" customHeight="1" x14ac:dyDescent="0.3">
      <c r="BB1046113" s="38"/>
    </row>
    <row r="1046114" spans="54:54" ht="15.75" customHeight="1" x14ac:dyDescent="0.3">
      <c r="BB1046114" s="38"/>
    </row>
    <row r="1046115" spans="54:54" ht="15.75" customHeight="1" x14ac:dyDescent="0.3">
      <c r="BB1046115" s="38"/>
    </row>
    <row r="1046116" spans="54:54" ht="15.75" customHeight="1" x14ac:dyDescent="0.3">
      <c r="BB1046116" s="38"/>
    </row>
    <row r="1046117" spans="54:54" ht="15.75" customHeight="1" x14ac:dyDescent="0.3">
      <c r="BB1046117" s="38"/>
    </row>
    <row r="1046118" spans="54:54" ht="15.75" customHeight="1" x14ac:dyDescent="0.3">
      <c r="BB1046118" s="38"/>
    </row>
    <row r="1046119" spans="54:54" ht="15.75" customHeight="1" x14ac:dyDescent="0.3">
      <c r="BB1046119" s="38"/>
    </row>
    <row r="1046120" spans="54:54" ht="15.75" customHeight="1" x14ac:dyDescent="0.3">
      <c r="BB1046120" s="38"/>
    </row>
    <row r="1046121" spans="54:54" ht="15.75" customHeight="1" x14ac:dyDescent="0.3">
      <c r="BB1046121" s="38"/>
    </row>
    <row r="1046122" spans="54:54" ht="15.75" customHeight="1" x14ac:dyDescent="0.3">
      <c r="BB1046122" s="38"/>
    </row>
    <row r="1046123" spans="54:54" ht="15.75" customHeight="1" x14ac:dyDescent="0.3">
      <c r="BB1046123" s="38"/>
    </row>
    <row r="1046124" spans="54:54" ht="15.75" customHeight="1" x14ac:dyDescent="0.3">
      <c r="BB1046124" s="38"/>
    </row>
    <row r="1046125" spans="54:54" ht="15.75" customHeight="1" x14ac:dyDescent="0.3">
      <c r="BB1046125" s="38"/>
    </row>
    <row r="1046126" spans="54:54" ht="15.75" customHeight="1" x14ac:dyDescent="0.3">
      <c r="BB1046126" s="38"/>
    </row>
    <row r="1046127" spans="54:54" ht="15.75" customHeight="1" x14ac:dyDescent="0.3">
      <c r="BB1046127" s="38"/>
    </row>
    <row r="1046128" spans="54:54" ht="15.75" customHeight="1" x14ac:dyDescent="0.3">
      <c r="BB1046128" s="38"/>
    </row>
    <row r="1046129" spans="54:54" ht="15.75" customHeight="1" x14ac:dyDescent="0.3">
      <c r="BB1046129" s="38"/>
    </row>
    <row r="1046130" spans="54:54" ht="15.75" customHeight="1" x14ac:dyDescent="0.3">
      <c r="BB1046130" s="38"/>
    </row>
    <row r="1046131" spans="54:54" ht="15.75" customHeight="1" x14ac:dyDescent="0.3">
      <c r="BB1046131" s="38"/>
    </row>
    <row r="1046132" spans="54:54" ht="15.75" customHeight="1" x14ac:dyDescent="0.3">
      <c r="BB1046132" s="38"/>
    </row>
    <row r="1046133" spans="54:54" ht="15.75" customHeight="1" x14ac:dyDescent="0.3">
      <c r="BB1046133" s="38"/>
    </row>
    <row r="1046134" spans="54:54" ht="15.75" customHeight="1" x14ac:dyDescent="0.3">
      <c r="BB1046134" s="38"/>
    </row>
    <row r="1046135" spans="54:54" ht="15.75" customHeight="1" x14ac:dyDescent="0.3">
      <c r="BB1046135" s="38"/>
    </row>
    <row r="1046136" spans="54:54" ht="15.75" customHeight="1" x14ac:dyDescent="0.3">
      <c r="BB1046136" s="38"/>
    </row>
    <row r="1046137" spans="54:54" ht="15.75" customHeight="1" x14ac:dyDescent="0.3">
      <c r="BB1046137" s="38"/>
    </row>
    <row r="1046138" spans="54:54" ht="15.75" customHeight="1" x14ac:dyDescent="0.3">
      <c r="BB1046138" s="38"/>
    </row>
    <row r="1046139" spans="54:54" ht="15.75" customHeight="1" x14ac:dyDescent="0.3">
      <c r="BB1046139" s="38"/>
    </row>
    <row r="1046140" spans="54:54" ht="15.75" customHeight="1" x14ac:dyDescent="0.3">
      <c r="BB1046140" s="38"/>
    </row>
    <row r="1046141" spans="54:54" ht="15.75" customHeight="1" x14ac:dyDescent="0.3">
      <c r="BB1046141" s="38"/>
    </row>
    <row r="1046142" spans="54:54" ht="15.75" customHeight="1" x14ac:dyDescent="0.3">
      <c r="BB1046142" s="38"/>
    </row>
    <row r="1046143" spans="54:54" ht="15.75" customHeight="1" x14ac:dyDescent="0.3">
      <c r="BB1046143" s="38"/>
    </row>
    <row r="1046144" spans="54:54" ht="15.75" customHeight="1" x14ac:dyDescent="0.3">
      <c r="BB1046144" s="38"/>
    </row>
    <row r="1046145" spans="54:54" ht="15.75" customHeight="1" x14ac:dyDescent="0.3">
      <c r="BB1046145" s="38"/>
    </row>
    <row r="1046146" spans="54:54" ht="15.75" customHeight="1" x14ac:dyDescent="0.3">
      <c r="BB1046146" s="38"/>
    </row>
    <row r="1046147" spans="54:54" ht="15.75" customHeight="1" x14ac:dyDescent="0.3">
      <c r="BB1046147" s="38"/>
    </row>
    <row r="1046148" spans="54:54" ht="15.75" customHeight="1" x14ac:dyDescent="0.3">
      <c r="BB1046148" s="38"/>
    </row>
    <row r="1046149" spans="54:54" ht="15.75" customHeight="1" x14ac:dyDescent="0.3">
      <c r="BB1046149" s="38"/>
    </row>
    <row r="1046150" spans="54:54" ht="15.75" customHeight="1" x14ac:dyDescent="0.3">
      <c r="BB1046150" s="38"/>
    </row>
    <row r="1046151" spans="54:54" ht="15.75" customHeight="1" x14ac:dyDescent="0.3">
      <c r="BB1046151" s="38"/>
    </row>
    <row r="1046152" spans="54:54" ht="15.75" customHeight="1" x14ac:dyDescent="0.3">
      <c r="BB1046152" s="38"/>
    </row>
    <row r="1046153" spans="54:54" ht="15.75" customHeight="1" x14ac:dyDescent="0.3">
      <c r="BB1046153" s="38"/>
    </row>
    <row r="1046154" spans="54:54" ht="15.75" customHeight="1" x14ac:dyDescent="0.3">
      <c r="BB1046154" s="38"/>
    </row>
    <row r="1046155" spans="54:54" ht="15.75" customHeight="1" x14ac:dyDescent="0.3">
      <c r="BB1046155" s="38"/>
    </row>
    <row r="1046156" spans="54:54" ht="15.75" customHeight="1" x14ac:dyDescent="0.3">
      <c r="BB1046156" s="38"/>
    </row>
    <row r="1046157" spans="54:54" ht="15.75" customHeight="1" x14ac:dyDescent="0.3">
      <c r="BB1046157" s="38"/>
    </row>
    <row r="1046158" spans="54:54" ht="15.75" customHeight="1" x14ac:dyDescent="0.3">
      <c r="BB1046158" s="38"/>
    </row>
    <row r="1046159" spans="54:54" ht="15.75" customHeight="1" x14ac:dyDescent="0.3">
      <c r="BB1046159" s="38"/>
    </row>
    <row r="1046160" spans="54:54" ht="15.75" customHeight="1" x14ac:dyDescent="0.3">
      <c r="BB1046160" s="38"/>
    </row>
    <row r="1046161" spans="54:54" ht="15.75" customHeight="1" x14ac:dyDescent="0.3">
      <c r="BB1046161" s="38"/>
    </row>
    <row r="1046162" spans="54:54" ht="15.75" customHeight="1" x14ac:dyDescent="0.3">
      <c r="BB1046162" s="38"/>
    </row>
    <row r="1046163" spans="54:54" ht="15.75" customHeight="1" x14ac:dyDescent="0.3">
      <c r="BB1046163" s="38"/>
    </row>
    <row r="1046164" spans="54:54" ht="15.75" customHeight="1" x14ac:dyDescent="0.3">
      <c r="BB1046164" s="38"/>
    </row>
    <row r="1046165" spans="54:54" ht="15.75" customHeight="1" x14ac:dyDescent="0.3">
      <c r="BB1046165" s="38"/>
    </row>
    <row r="1046166" spans="54:54" ht="15.75" customHeight="1" x14ac:dyDescent="0.3">
      <c r="BB1046166" s="38"/>
    </row>
    <row r="1046167" spans="54:54" ht="15.75" customHeight="1" x14ac:dyDescent="0.3">
      <c r="BB1046167" s="38"/>
    </row>
    <row r="1046168" spans="54:54" ht="15.75" customHeight="1" x14ac:dyDescent="0.3">
      <c r="BB1046168" s="38"/>
    </row>
    <row r="1046169" spans="54:54" ht="15.75" customHeight="1" x14ac:dyDescent="0.3">
      <c r="BB1046169" s="38"/>
    </row>
    <row r="1046170" spans="54:54" ht="15.75" customHeight="1" x14ac:dyDescent="0.3">
      <c r="BB1046170" s="38"/>
    </row>
    <row r="1046171" spans="54:54" ht="15.75" customHeight="1" x14ac:dyDescent="0.3">
      <c r="BB1046171" s="38"/>
    </row>
    <row r="1046172" spans="54:54" ht="15.75" customHeight="1" x14ac:dyDescent="0.3">
      <c r="BB1046172" s="38"/>
    </row>
    <row r="1046173" spans="54:54" ht="15.75" customHeight="1" x14ac:dyDescent="0.3">
      <c r="BB1046173" s="38"/>
    </row>
    <row r="1046174" spans="54:54" ht="15.75" customHeight="1" x14ac:dyDescent="0.3">
      <c r="BB1046174" s="38"/>
    </row>
    <row r="1046175" spans="54:54" ht="15.75" customHeight="1" x14ac:dyDescent="0.3">
      <c r="BB1046175" s="38"/>
    </row>
    <row r="1046176" spans="54:54" ht="15.75" customHeight="1" x14ac:dyDescent="0.3">
      <c r="BB1046176" s="38"/>
    </row>
    <row r="1046177" spans="54:54" ht="15.75" customHeight="1" x14ac:dyDescent="0.3">
      <c r="BB1046177" s="38"/>
    </row>
    <row r="1046178" spans="54:54" ht="15.75" customHeight="1" x14ac:dyDescent="0.3">
      <c r="BB1046178" s="38"/>
    </row>
    <row r="1046179" spans="54:54" ht="15.75" customHeight="1" x14ac:dyDescent="0.3">
      <c r="BB1046179" s="38"/>
    </row>
    <row r="1046180" spans="54:54" ht="15.75" customHeight="1" x14ac:dyDescent="0.3">
      <c r="BB1046180" s="38"/>
    </row>
    <row r="1046181" spans="54:54" ht="15.75" customHeight="1" x14ac:dyDescent="0.3">
      <c r="BB1046181" s="38"/>
    </row>
    <row r="1046182" spans="54:54" ht="15.75" customHeight="1" x14ac:dyDescent="0.3">
      <c r="BB1046182" s="38"/>
    </row>
    <row r="1046183" spans="54:54" ht="15.75" customHeight="1" x14ac:dyDescent="0.3">
      <c r="BB1046183" s="38"/>
    </row>
    <row r="1046184" spans="54:54" ht="15.75" customHeight="1" x14ac:dyDescent="0.3">
      <c r="BB1046184" s="38"/>
    </row>
    <row r="1046185" spans="54:54" ht="15.75" customHeight="1" x14ac:dyDescent="0.3">
      <c r="BB1046185" s="38"/>
    </row>
    <row r="1046186" spans="54:54" ht="15.75" customHeight="1" x14ac:dyDescent="0.3">
      <c r="BB1046186" s="38"/>
    </row>
    <row r="1046187" spans="54:54" ht="15.75" customHeight="1" x14ac:dyDescent="0.3">
      <c r="BB1046187" s="38"/>
    </row>
    <row r="1046188" spans="54:54" ht="15.75" customHeight="1" x14ac:dyDescent="0.3">
      <c r="BB1046188" s="38"/>
    </row>
    <row r="1046189" spans="54:54" ht="15.75" customHeight="1" x14ac:dyDescent="0.3">
      <c r="BB1046189" s="38"/>
    </row>
    <row r="1046190" spans="54:54" ht="15.75" customHeight="1" x14ac:dyDescent="0.3">
      <c r="BB1046190" s="38"/>
    </row>
    <row r="1046191" spans="54:54" ht="15.75" customHeight="1" x14ac:dyDescent="0.3">
      <c r="BB1046191" s="38"/>
    </row>
    <row r="1046192" spans="54:54" ht="15.75" customHeight="1" x14ac:dyDescent="0.3">
      <c r="BB1046192" s="38"/>
    </row>
    <row r="1046193" spans="54:54" ht="15.75" customHeight="1" x14ac:dyDescent="0.3">
      <c r="BB1046193" s="38"/>
    </row>
    <row r="1046194" spans="54:54" ht="15.75" customHeight="1" x14ac:dyDescent="0.3">
      <c r="BB1046194" s="38"/>
    </row>
    <row r="1046195" spans="54:54" ht="15.75" customHeight="1" x14ac:dyDescent="0.3">
      <c r="BB1046195" s="38"/>
    </row>
    <row r="1046196" spans="54:54" ht="15.75" customHeight="1" x14ac:dyDescent="0.3">
      <c r="BB1046196" s="38"/>
    </row>
    <row r="1046197" spans="54:54" ht="15.75" customHeight="1" x14ac:dyDescent="0.3">
      <c r="BB1046197" s="38"/>
    </row>
    <row r="1046198" spans="54:54" ht="15.75" customHeight="1" x14ac:dyDescent="0.3">
      <c r="BB1046198" s="38"/>
    </row>
    <row r="1046199" spans="54:54" ht="15.75" customHeight="1" x14ac:dyDescent="0.3">
      <c r="BB1046199" s="38"/>
    </row>
    <row r="1046200" spans="54:54" ht="15.75" customHeight="1" x14ac:dyDescent="0.3">
      <c r="BB1046200" s="38"/>
    </row>
    <row r="1046201" spans="54:54" ht="15.75" customHeight="1" x14ac:dyDescent="0.3">
      <c r="BB1046201" s="38"/>
    </row>
    <row r="1046202" spans="54:54" ht="15.75" customHeight="1" x14ac:dyDescent="0.3">
      <c r="BB1046202" s="38"/>
    </row>
    <row r="1046203" spans="54:54" ht="15.75" customHeight="1" x14ac:dyDescent="0.3">
      <c r="BB1046203" s="38"/>
    </row>
    <row r="1046204" spans="54:54" ht="15.75" customHeight="1" x14ac:dyDescent="0.3">
      <c r="BB1046204" s="38"/>
    </row>
    <row r="1046205" spans="54:54" ht="15.75" customHeight="1" x14ac:dyDescent="0.3">
      <c r="BB1046205" s="38"/>
    </row>
    <row r="1046206" spans="54:54" ht="15.75" customHeight="1" x14ac:dyDescent="0.3">
      <c r="BB1046206" s="38"/>
    </row>
    <row r="1046207" spans="54:54" ht="15.75" customHeight="1" x14ac:dyDescent="0.3">
      <c r="BB1046207" s="38"/>
    </row>
    <row r="1046208" spans="54:54" ht="15.75" customHeight="1" x14ac:dyDescent="0.3">
      <c r="BB1046208" s="38"/>
    </row>
    <row r="1046209" spans="54:54" ht="15.75" customHeight="1" x14ac:dyDescent="0.3">
      <c r="BB1046209" s="38"/>
    </row>
    <row r="1046210" spans="54:54" ht="15.75" customHeight="1" x14ac:dyDescent="0.3">
      <c r="BB1046210" s="38"/>
    </row>
    <row r="1046211" spans="54:54" ht="15.75" customHeight="1" x14ac:dyDescent="0.3">
      <c r="BB1046211" s="38"/>
    </row>
    <row r="1046212" spans="54:54" ht="15.75" customHeight="1" x14ac:dyDescent="0.3">
      <c r="BB1046212" s="38"/>
    </row>
    <row r="1046213" spans="54:54" ht="15.75" customHeight="1" x14ac:dyDescent="0.3">
      <c r="BB1046213" s="38"/>
    </row>
    <row r="1046214" spans="54:54" ht="15.75" customHeight="1" x14ac:dyDescent="0.3">
      <c r="BB1046214" s="38"/>
    </row>
    <row r="1046215" spans="54:54" ht="15.75" customHeight="1" x14ac:dyDescent="0.3">
      <c r="BB1046215" s="38"/>
    </row>
    <row r="1046216" spans="54:54" ht="15.75" customHeight="1" x14ac:dyDescent="0.3">
      <c r="BB1046216" s="38"/>
    </row>
    <row r="1046217" spans="54:54" ht="15.75" customHeight="1" x14ac:dyDescent="0.3">
      <c r="BB1046217" s="38"/>
    </row>
    <row r="1046218" spans="54:54" ht="15.75" customHeight="1" x14ac:dyDescent="0.3">
      <c r="BB1046218" s="38"/>
    </row>
    <row r="1046219" spans="54:54" ht="15.75" customHeight="1" x14ac:dyDescent="0.3">
      <c r="BB1046219" s="38"/>
    </row>
    <row r="1046220" spans="54:54" ht="15.75" customHeight="1" x14ac:dyDescent="0.3">
      <c r="BB1046220" s="38"/>
    </row>
    <row r="1046221" spans="54:54" ht="15.75" customHeight="1" x14ac:dyDescent="0.3">
      <c r="BB1046221" s="38"/>
    </row>
    <row r="1046222" spans="54:54" ht="15.75" customHeight="1" x14ac:dyDescent="0.3">
      <c r="BB1046222" s="38"/>
    </row>
    <row r="1046223" spans="54:54" ht="15.75" customHeight="1" x14ac:dyDescent="0.3">
      <c r="BB1046223" s="38"/>
    </row>
    <row r="1046224" spans="54:54" ht="15.75" customHeight="1" x14ac:dyDescent="0.3">
      <c r="BB1046224" s="38"/>
    </row>
    <row r="1046225" spans="54:54" ht="15.75" customHeight="1" x14ac:dyDescent="0.3">
      <c r="BB1046225" s="38"/>
    </row>
    <row r="1046226" spans="54:54" ht="15.75" customHeight="1" x14ac:dyDescent="0.3">
      <c r="BB1046226" s="38"/>
    </row>
    <row r="1046227" spans="54:54" ht="15.75" customHeight="1" x14ac:dyDescent="0.3">
      <c r="BB1046227" s="38"/>
    </row>
    <row r="1046228" spans="54:54" ht="15.75" customHeight="1" x14ac:dyDescent="0.3">
      <c r="BB1046228" s="38"/>
    </row>
    <row r="1046229" spans="54:54" ht="15.75" customHeight="1" x14ac:dyDescent="0.3">
      <c r="BB1046229" s="38"/>
    </row>
    <row r="1046230" spans="54:54" ht="15.75" customHeight="1" x14ac:dyDescent="0.3">
      <c r="BB1046230" s="38"/>
    </row>
    <row r="1046231" spans="54:54" ht="15.75" customHeight="1" x14ac:dyDescent="0.3">
      <c r="BB1046231" s="38"/>
    </row>
    <row r="1046232" spans="54:54" ht="15.75" customHeight="1" x14ac:dyDescent="0.3">
      <c r="BB1046232" s="38"/>
    </row>
    <row r="1046233" spans="54:54" ht="15.75" customHeight="1" x14ac:dyDescent="0.3">
      <c r="BB1046233" s="38"/>
    </row>
    <row r="1046234" spans="54:54" ht="15.75" customHeight="1" x14ac:dyDescent="0.3">
      <c r="BB1046234" s="38"/>
    </row>
    <row r="1046235" spans="54:54" ht="15.75" customHeight="1" x14ac:dyDescent="0.3">
      <c r="BB1046235" s="38"/>
    </row>
    <row r="1046236" spans="54:54" ht="15.75" customHeight="1" x14ac:dyDescent="0.3">
      <c r="BB1046236" s="38"/>
    </row>
    <row r="1046237" spans="54:54" ht="15.75" customHeight="1" x14ac:dyDescent="0.3">
      <c r="BB1046237" s="38"/>
    </row>
    <row r="1046238" spans="54:54" ht="15.75" customHeight="1" x14ac:dyDescent="0.3">
      <c r="BB1046238" s="38"/>
    </row>
    <row r="1046239" spans="54:54" ht="15.75" customHeight="1" x14ac:dyDescent="0.3">
      <c r="BB1046239" s="38"/>
    </row>
    <row r="1046240" spans="54:54" ht="15.75" customHeight="1" x14ac:dyDescent="0.3">
      <c r="BB1046240" s="38"/>
    </row>
    <row r="1046241" spans="54:54" ht="15.75" customHeight="1" x14ac:dyDescent="0.3">
      <c r="BB1046241" s="38"/>
    </row>
    <row r="1046242" spans="54:54" ht="15.75" customHeight="1" x14ac:dyDescent="0.3">
      <c r="BB1046242" s="38"/>
    </row>
    <row r="1046243" spans="54:54" ht="15.75" customHeight="1" x14ac:dyDescent="0.3">
      <c r="BB1046243" s="38"/>
    </row>
    <row r="1046244" spans="54:54" ht="15.75" customHeight="1" x14ac:dyDescent="0.3">
      <c r="BB1046244" s="38"/>
    </row>
    <row r="1046245" spans="54:54" ht="15.75" customHeight="1" x14ac:dyDescent="0.3">
      <c r="BB1046245" s="38"/>
    </row>
    <row r="1046246" spans="54:54" ht="15.75" customHeight="1" x14ac:dyDescent="0.3">
      <c r="BB1046246" s="38"/>
    </row>
    <row r="1046247" spans="54:54" ht="15.75" customHeight="1" x14ac:dyDescent="0.3">
      <c r="BB1046247" s="38"/>
    </row>
    <row r="1046248" spans="54:54" ht="15.75" customHeight="1" x14ac:dyDescent="0.3">
      <c r="BB1046248" s="38"/>
    </row>
    <row r="1046249" spans="54:54" ht="15.75" customHeight="1" x14ac:dyDescent="0.3">
      <c r="BB1046249" s="38"/>
    </row>
    <row r="1046250" spans="54:54" ht="15.75" customHeight="1" x14ac:dyDescent="0.3">
      <c r="BB1046250" s="38"/>
    </row>
    <row r="1046251" spans="54:54" ht="15.75" customHeight="1" x14ac:dyDescent="0.3">
      <c r="BB1046251" s="38"/>
    </row>
    <row r="1046252" spans="54:54" ht="15.75" customHeight="1" x14ac:dyDescent="0.3">
      <c r="BB1046252" s="38"/>
    </row>
    <row r="1046253" spans="54:54" ht="15.75" customHeight="1" x14ac:dyDescent="0.3">
      <c r="BB1046253" s="38"/>
    </row>
    <row r="1046254" spans="54:54" ht="15.75" customHeight="1" x14ac:dyDescent="0.3">
      <c r="BB1046254" s="38"/>
    </row>
    <row r="1046255" spans="54:54" ht="15.75" customHeight="1" x14ac:dyDescent="0.3">
      <c r="BB1046255" s="38"/>
    </row>
    <row r="1046256" spans="54:54" ht="15.75" customHeight="1" x14ac:dyDescent="0.3">
      <c r="BB1046256" s="38"/>
    </row>
    <row r="1046257" spans="54:54" ht="15.75" customHeight="1" x14ac:dyDescent="0.3">
      <c r="BB1046257" s="38"/>
    </row>
    <row r="1046258" spans="54:54" ht="15.75" customHeight="1" x14ac:dyDescent="0.3">
      <c r="BB1046258" s="38"/>
    </row>
    <row r="1046259" spans="54:54" ht="15.75" customHeight="1" x14ac:dyDescent="0.3">
      <c r="BB1046259" s="38"/>
    </row>
    <row r="1046260" spans="54:54" ht="15.75" customHeight="1" x14ac:dyDescent="0.3">
      <c r="BB1046260" s="38"/>
    </row>
    <row r="1046261" spans="54:54" ht="15.75" customHeight="1" x14ac:dyDescent="0.3">
      <c r="BB1046261" s="38"/>
    </row>
    <row r="1046262" spans="54:54" ht="15.75" customHeight="1" x14ac:dyDescent="0.3">
      <c r="BB1046262" s="38"/>
    </row>
    <row r="1046263" spans="54:54" ht="15.75" customHeight="1" x14ac:dyDescent="0.3">
      <c r="BB1046263" s="38"/>
    </row>
    <row r="1046264" spans="54:54" ht="15.75" customHeight="1" x14ac:dyDescent="0.3">
      <c r="BB1046264" s="38"/>
    </row>
    <row r="1046265" spans="54:54" ht="15.75" customHeight="1" x14ac:dyDescent="0.3">
      <c r="BB1046265" s="38"/>
    </row>
    <row r="1046266" spans="54:54" ht="15.75" customHeight="1" x14ac:dyDescent="0.3">
      <c r="BB1046266" s="38"/>
    </row>
    <row r="1046267" spans="54:54" ht="15.75" customHeight="1" x14ac:dyDescent="0.3">
      <c r="BB1046267" s="38"/>
    </row>
    <row r="1046268" spans="54:54" ht="15.75" customHeight="1" x14ac:dyDescent="0.3">
      <c r="BB1046268" s="38"/>
    </row>
    <row r="1046269" spans="54:54" ht="15.75" customHeight="1" x14ac:dyDescent="0.3">
      <c r="BB1046269" s="38"/>
    </row>
    <row r="1046270" spans="54:54" ht="15.75" customHeight="1" x14ac:dyDescent="0.3">
      <c r="BB1046270" s="38"/>
    </row>
    <row r="1046271" spans="54:54" ht="15.75" customHeight="1" x14ac:dyDescent="0.3">
      <c r="BB1046271" s="38"/>
    </row>
    <row r="1046272" spans="54:54" ht="15.75" customHeight="1" x14ac:dyDescent="0.3">
      <c r="BB1046272" s="38"/>
    </row>
    <row r="1046273" spans="54:54" ht="15.75" customHeight="1" x14ac:dyDescent="0.3">
      <c r="BB1046273" s="38"/>
    </row>
    <row r="1046274" spans="54:54" ht="15.75" customHeight="1" x14ac:dyDescent="0.3">
      <c r="BB1046274" s="38"/>
    </row>
    <row r="1046275" spans="54:54" ht="15.75" customHeight="1" x14ac:dyDescent="0.3">
      <c r="BB1046275" s="38"/>
    </row>
    <row r="1046276" spans="54:54" ht="15.75" customHeight="1" x14ac:dyDescent="0.3">
      <c r="BB1046276" s="38"/>
    </row>
    <row r="1046277" spans="54:54" ht="15.75" customHeight="1" x14ac:dyDescent="0.3">
      <c r="BB1046277" s="38"/>
    </row>
    <row r="1046278" spans="54:54" ht="15.75" customHeight="1" x14ac:dyDescent="0.3">
      <c r="BB1046278" s="38"/>
    </row>
    <row r="1046279" spans="54:54" ht="15.75" customHeight="1" x14ac:dyDescent="0.3">
      <c r="BB1046279" s="38"/>
    </row>
    <row r="1046280" spans="54:54" ht="15.75" customHeight="1" x14ac:dyDescent="0.3">
      <c r="BB1046280" s="38"/>
    </row>
    <row r="1046281" spans="54:54" ht="15.75" customHeight="1" x14ac:dyDescent="0.3">
      <c r="BB1046281" s="38"/>
    </row>
    <row r="1046282" spans="54:54" ht="15.75" customHeight="1" x14ac:dyDescent="0.3">
      <c r="BB1046282" s="38"/>
    </row>
    <row r="1046283" spans="54:54" ht="15.75" customHeight="1" x14ac:dyDescent="0.3">
      <c r="BB1046283" s="38"/>
    </row>
    <row r="1046284" spans="54:54" ht="15.75" customHeight="1" x14ac:dyDescent="0.3">
      <c r="BB1046284" s="38"/>
    </row>
    <row r="1046285" spans="54:54" ht="15.75" customHeight="1" x14ac:dyDescent="0.3">
      <c r="BB1046285" s="38"/>
    </row>
    <row r="1046286" spans="54:54" ht="15.75" customHeight="1" x14ac:dyDescent="0.3">
      <c r="BB1046286" s="38"/>
    </row>
    <row r="1046287" spans="54:54" ht="15.75" customHeight="1" x14ac:dyDescent="0.3">
      <c r="BB1046287" s="38"/>
    </row>
    <row r="1046288" spans="54:54" ht="15.75" customHeight="1" x14ac:dyDescent="0.3">
      <c r="BB1046288" s="38"/>
    </row>
    <row r="1046289" spans="54:54" ht="15.75" customHeight="1" x14ac:dyDescent="0.3">
      <c r="BB1046289" s="38"/>
    </row>
    <row r="1046290" spans="54:54" ht="15.75" customHeight="1" x14ac:dyDescent="0.3">
      <c r="BB1046290" s="38"/>
    </row>
    <row r="1046291" spans="54:54" ht="15.75" customHeight="1" x14ac:dyDescent="0.3">
      <c r="BB1046291" s="38"/>
    </row>
    <row r="1046292" spans="54:54" ht="15.75" customHeight="1" x14ac:dyDescent="0.3">
      <c r="BB1046292" s="38"/>
    </row>
    <row r="1046293" spans="54:54" ht="15.75" customHeight="1" x14ac:dyDescent="0.3">
      <c r="BB1046293" s="38"/>
    </row>
    <row r="1046294" spans="54:54" ht="15.75" customHeight="1" x14ac:dyDescent="0.3">
      <c r="BB1046294" s="38"/>
    </row>
    <row r="1046295" spans="54:54" ht="15.75" customHeight="1" x14ac:dyDescent="0.3">
      <c r="BB1046295" s="38"/>
    </row>
    <row r="1046296" spans="54:54" ht="15.75" customHeight="1" x14ac:dyDescent="0.3">
      <c r="BB1046296" s="38"/>
    </row>
    <row r="1046297" spans="54:54" ht="15.75" customHeight="1" x14ac:dyDescent="0.3">
      <c r="BB1046297" s="38"/>
    </row>
    <row r="1046298" spans="54:54" ht="15.75" customHeight="1" x14ac:dyDescent="0.3">
      <c r="BB1046298" s="38"/>
    </row>
    <row r="1046299" spans="54:54" ht="15.75" customHeight="1" x14ac:dyDescent="0.3">
      <c r="BB1046299" s="38"/>
    </row>
    <row r="1046300" spans="54:54" ht="15.75" customHeight="1" x14ac:dyDescent="0.3">
      <c r="BB1046300" s="38"/>
    </row>
    <row r="1046301" spans="54:54" ht="15.75" customHeight="1" x14ac:dyDescent="0.3">
      <c r="BB1046301" s="38"/>
    </row>
    <row r="1046302" spans="54:54" ht="15.75" customHeight="1" x14ac:dyDescent="0.3">
      <c r="BB1046302" s="38"/>
    </row>
    <row r="1046303" spans="54:54" ht="15.75" customHeight="1" x14ac:dyDescent="0.3">
      <c r="BB1046303" s="38"/>
    </row>
    <row r="1046304" spans="54:54" ht="15.75" customHeight="1" x14ac:dyDescent="0.3">
      <c r="BB1046304" s="38"/>
    </row>
    <row r="1046305" spans="54:54" ht="15.75" customHeight="1" x14ac:dyDescent="0.3">
      <c r="BB1046305" s="38"/>
    </row>
    <row r="1046306" spans="54:54" ht="15.75" customHeight="1" x14ac:dyDescent="0.3">
      <c r="BB1046306" s="38"/>
    </row>
    <row r="1046307" spans="54:54" ht="15.75" customHeight="1" x14ac:dyDescent="0.3">
      <c r="BB1046307" s="38"/>
    </row>
    <row r="1046308" spans="54:54" ht="15.75" customHeight="1" x14ac:dyDescent="0.3">
      <c r="BB1046308" s="38"/>
    </row>
    <row r="1046309" spans="54:54" ht="15.75" customHeight="1" x14ac:dyDescent="0.3">
      <c r="BB1046309" s="38"/>
    </row>
    <row r="1046310" spans="54:54" ht="15.75" customHeight="1" x14ac:dyDescent="0.3">
      <c r="BB1046310" s="38"/>
    </row>
    <row r="1046311" spans="54:54" ht="15.75" customHeight="1" x14ac:dyDescent="0.3">
      <c r="BB1046311" s="38"/>
    </row>
    <row r="1046312" spans="54:54" ht="15.75" customHeight="1" x14ac:dyDescent="0.3">
      <c r="BB1046312" s="38"/>
    </row>
    <row r="1046313" spans="54:54" ht="15.75" customHeight="1" x14ac:dyDescent="0.3">
      <c r="BB1046313" s="38"/>
    </row>
    <row r="1046314" spans="54:54" ht="15.75" customHeight="1" x14ac:dyDescent="0.3">
      <c r="BB1046314" s="38"/>
    </row>
    <row r="1046315" spans="54:54" ht="15.75" customHeight="1" x14ac:dyDescent="0.3">
      <c r="BB1046315" s="38"/>
    </row>
    <row r="1046316" spans="54:54" ht="15.75" customHeight="1" x14ac:dyDescent="0.3">
      <c r="BB1046316" s="38"/>
    </row>
    <row r="1046317" spans="54:54" ht="15.75" customHeight="1" x14ac:dyDescent="0.3">
      <c r="BB1046317" s="38"/>
    </row>
    <row r="1046318" spans="54:54" ht="15.75" customHeight="1" x14ac:dyDescent="0.3">
      <c r="BB1046318" s="38"/>
    </row>
    <row r="1046319" spans="54:54" ht="15.75" customHeight="1" x14ac:dyDescent="0.3">
      <c r="BB1046319" s="38"/>
    </row>
    <row r="1046320" spans="54:54" ht="15.75" customHeight="1" x14ac:dyDescent="0.3">
      <c r="BB1046320" s="38"/>
    </row>
    <row r="1046321" spans="54:54" ht="15.75" customHeight="1" x14ac:dyDescent="0.3">
      <c r="BB1046321" s="38"/>
    </row>
    <row r="1046322" spans="54:54" ht="15.75" customHeight="1" x14ac:dyDescent="0.3">
      <c r="BB1046322" s="38"/>
    </row>
    <row r="1046323" spans="54:54" ht="15.75" customHeight="1" x14ac:dyDescent="0.3">
      <c r="BB1046323" s="38"/>
    </row>
    <row r="1046324" spans="54:54" ht="15.75" customHeight="1" x14ac:dyDescent="0.3">
      <c r="BB1046324" s="38"/>
    </row>
    <row r="1046325" spans="54:54" ht="15.75" customHeight="1" x14ac:dyDescent="0.3">
      <c r="BB1046325" s="38"/>
    </row>
    <row r="1046326" spans="54:54" ht="15.75" customHeight="1" x14ac:dyDescent="0.3">
      <c r="BB1046326" s="38"/>
    </row>
    <row r="1046327" spans="54:54" ht="15.75" customHeight="1" x14ac:dyDescent="0.3">
      <c r="BB1046327" s="38"/>
    </row>
    <row r="1046328" spans="54:54" ht="15.75" customHeight="1" x14ac:dyDescent="0.3">
      <c r="BB1046328" s="38"/>
    </row>
    <row r="1046329" spans="54:54" ht="15.75" customHeight="1" x14ac:dyDescent="0.3">
      <c r="BB1046329" s="38"/>
    </row>
    <row r="1046330" spans="54:54" ht="15.75" customHeight="1" x14ac:dyDescent="0.3">
      <c r="BB1046330" s="38"/>
    </row>
    <row r="1046331" spans="54:54" ht="15.75" customHeight="1" x14ac:dyDescent="0.3">
      <c r="BB1046331" s="38"/>
    </row>
    <row r="1046332" spans="54:54" ht="15.75" customHeight="1" x14ac:dyDescent="0.3">
      <c r="BB1046332" s="38"/>
    </row>
    <row r="1046333" spans="54:54" ht="15.75" customHeight="1" x14ac:dyDescent="0.3">
      <c r="BB1046333" s="38"/>
    </row>
    <row r="1046334" spans="54:54" ht="15.75" customHeight="1" x14ac:dyDescent="0.3">
      <c r="BB1046334" s="38"/>
    </row>
    <row r="1046335" spans="54:54" ht="15.75" customHeight="1" x14ac:dyDescent="0.3">
      <c r="BB1046335" s="38"/>
    </row>
    <row r="1046336" spans="54:54" ht="15.75" customHeight="1" x14ac:dyDescent="0.3">
      <c r="BB1046336" s="38"/>
    </row>
    <row r="1046337" spans="54:54" ht="15.75" customHeight="1" x14ac:dyDescent="0.3">
      <c r="BB1046337" s="38"/>
    </row>
    <row r="1046338" spans="54:54" ht="15.75" customHeight="1" x14ac:dyDescent="0.3">
      <c r="BB1046338" s="38"/>
    </row>
    <row r="1046339" spans="54:54" ht="15.75" customHeight="1" x14ac:dyDescent="0.3">
      <c r="BB1046339" s="38"/>
    </row>
    <row r="1046340" spans="54:54" ht="15.75" customHeight="1" x14ac:dyDescent="0.3">
      <c r="BB1046340" s="38"/>
    </row>
    <row r="1046341" spans="54:54" ht="15.75" customHeight="1" x14ac:dyDescent="0.3">
      <c r="BB1046341" s="38"/>
    </row>
    <row r="1046342" spans="54:54" ht="15.75" customHeight="1" x14ac:dyDescent="0.3">
      <c r="BB1046342" s="38"/>
    </row>
    <row r="1046343" spans="54:54" ht="15.75" customHeight="1" x14ac:dyDescent="0.3">
      <c r="BB1046343" s="38"/>
    </row>
    <row r="1046344" spans="54:54" ht="15.75" customHeight="1" x14ac:dyDescent="0.3">
      <c r="BB1046344" s="38"/>
    </row>
    <row r="1046345" spans="54:54" ht="15.75" customHeight="1" x14ac:dyDescent="0.3">
      <c r="BB1046345" s="38"/>
    </row>
    <row r="1046346" spans="54:54" ht="15.75" customHeight="1" x14ac:dyDescent="0.3">
      <c r="BB1046346" s="38"/>
    </row>
    <row r="1046347" spans="54:54" ht="15.75" customHeight="1" x14ac:dyDescent="0.3">
      <c r="BB1046347" s="38"/>
    </row>
    <row r="1046348" spans="54:54" ht="15.75" customHeight="1" x14ac:dyDescent="0.3">
      <c r="BB1046348" s="38"/>
    </row>
    <row r="1046349" spans="54:54" ht="15.75" customHeight="1" x14ac:dyDescent="0.3">
      <c r="BB1046349" s="38"/>
    </row>
    <row r="1046350" spans="54:54" ht="15.75" customHeight="1" x14ac:dyDescent="0.3">
      <c r="BB1046350" s="38"/>
    </row>
    <row r="1046351" spans="54:54" ht="15.75" customHeight="1" x14ac:dyDescent="0.3">
      <c r="BB1046351" s="38"/>
    </row>
    <row r="1046352" spans="54:54" ht="15.75" customHeight="1" x14ac:dyDescent="0.3">
      <c r="BB1046352" s="38"/>
    </row>
    <row r="1046353" spans="54:54" ht="15.75" customHeight="1" x14ac:dyDescent="0.3">
      <c r="BB1046353" s="38"/>
    </row>
    <row r="1046354" spans="54:54" ht="15.75" customHeight="1" x14ac:dyDescent="0.3">
      <c r="BB1046354" s="38"/>
    </row>
    <row r="1046355" spans="54:54" ht="15.75" customHeight="1" x14ac:dyDescent="0.3">
      <c r="BB1046355" s="38"/>
    </row>
    <row r="1046356" spans="54:54" ht="15.75" customHeight="1" x14ac:dyDescent="0.3">
      <c r="BB1046356" s="38"/>
    </row>
    <row r="1046357" spans="54:54" ht="15.75" customHeight="1" x14ac:dyDescent="0.3">
      <c r="BB1046357" s="38"/>
    </row>
    <row r="1046358" spans="54:54" ht="15.75" customHeight="1" x14ac:dyDescent="0.3">
      <c r="BB1046358" s="38"/>
    </row>
    <row r="1046359" spans="54:54" ht="15.75" customHeight="1" x14ac:dyDescent="0.3">
      <c r="BB1046359" s="38"/>
    </row>
    <row r="1046360" spans="54:54" ht="15.75" customHeight="1" x14ac:dyDescent="0.3">
      <c r="BB1046360" s="38"/>
    </row>
    <row r="1046361" spans="54:54" ht="15.75" customHeight="1" x14ac:dyDescent="0.3">
      <c r="BB1046361" s="38"/>
    </row>
    <row r="1046362" spans="54:54" ht="15.75" customHeight="1" x14ac:dyDescent="0.3">
      <c r="BB1046362" s="38"/>
    </row>
    <row r="1046363" spans="54:54" ht="15.75" customHeight="1" x14ac:dyDescent="0.3">
      <c r="BB1046363" s="38"/>
    </row>
    <row r="1046364" spans="54:54" ht="15.75" customHeight="1" x14ac:dyDescent="0.3">
      <c r="BB1046364" s="38"/>
    </row>
    <row r="1046365" spans="54:54" ht="15.75" customHeight="1" x14ac:dyDescent="0.3">
      <c r="BB1046365" s="38"/>
    </row>
    <row r="1046366" spans="54:54" ht="15.75" customHeight="1" x14ac:dyDescent="0.3">
      <c r="BB1046366" s="38"/>
    </row>
    <row r="1046367" spans="54:54" ht="15.75" customHeight="1" x14ac:dyDescent="0.3">
      <c r="BB1046367" s="38"/>
    </row>
    <row r="1046368" spans="54:54" ht="15.75" customHeight="1" x14ac:dyDescent="0.3">
      <c r="BB1046368" s="38"/>
    </row>
    <row r="1046369" spans="54:54" ht="15.75" customHeight="1" x14ac:dyDescent="0.3">
      <c r="BB1046369" s="38"/>
    </row>
    <row r="1046370" spans="54:54" ht="15.75" customHeight="1" x14ac:dyDescent="0.3">
      <c r="BB1046370" s="38"/>
    </row>
    <row r="1046371" spans="54:54" ht="15.75" customHeight="1" x14ac:dyDescent="0.3">
      <c r="BB1046371" s="38"/>
    </row>
    <row r="1046372" spans="54:54" ht="15.75" customHeight="1" x14ac:dyDescent="0.3">
      <c r="BB1046372" s="38"/>
    </row>
    <row r="1046373" spans="54:54" ht="15.75" customHeight="1" x14ac:dyDescent="0.3">
      <c r="BB1046373" s="38"/>
    </row>
    <row r="1046374" spans="54:54" ht="15.75" customHeight="1" x14ac:dyDescent="0.3">
      <c r="BB1046374" s="38"/>
    </row>
    <row r="1046375" spans="54:54" ht="15.75" customHeight="1" x14ac:dyDescent="0.3">
      <c r="BB1046375" s="38"/>
    </row>
    <row r="1046376" spans="54:54" ht="15.75" customHeight="1" x14ac:dyDescent="0.3">
      <c r="BB1046376" s="38"/>
    </row>
    <row r="1046377" spans="54:54" ht="15.75" customHeight="1" x14ac:dyDescent="0.3">
      <c r="BB1046377" s="38"/>
    </row>
    <row r="1046378" spans="54:54" ht="15.75" customHeight="1" x14ac:dyDescent="0.3">
      <c r="BB1046378" s="38"/>
    </row>
    <row r="1046379" spans="54:54" ht="15.75" customHeight="1" x14ac:dyDescent="0.3">
      <c r="BB1046379" s="38"/>
    </row>
    <row r="1046380" spans="54:54" ht="15.75" customHeight="1" x14ac:dyDescent="0.3">
      <c r="BB1046380" s="38"/>
    </row>
    <row r="1046381" spans="54:54" ht="15.75" customHeight="1" x14ac:dyDescent="0.3">
      <c r="BB1046381" s="38"/>
    </row>
    <row r="1046382" spans="54:54" ht="15.75" customHeight="1" x14ac:dyDescent="0.3">
      <c r="BB1046382" s="38"/>
    </row>
    <row r="1046383" spans="54:54" ht="15.75" customHeight="1" x14ac:dyDescent="0.3">
      <c r="BB1046383" s="38"/>
    </row>
    <row r="1046384" spans="54:54" ht="15.75" customHeight="1" x14ac:dyDescent="0.3">
      <c r="BB1046384" s="38"/>
    </row>
    <row r="1046385" spans="54:54" ht="15.75" customHeight="1" x14ac:dyDescent="0.3">
      <c r="BB1046385" s="38"/>
    </row>
    <row r="1046386" spans="54:54" ht="15.75" customHeight="1" x14ac:dyDescent="0.3">
      <c r="BB1046386" s="38"/>
    </row>
    <row r="1046387" spans="54:54" ht="15.75" customHeight="1" x14ac:dyDescent="0.3">
      <c r="BB1046387" s="38"/>
    </row>
    <row r="1046388" spans="54:54" ht="15.75" customHeight="1" x14ac:dyDescent="0.3">
      <c r="BB1046388" s="38"/>
    </row>
    <row r="1046389" spans="54:54" ht="15.75" customHeight="1" x14ac:dyDescent="0.3">
      <c r="BB1046389" s="38"/>
    </row>
    <row r="1046390" spans="54:54" ht="15.75" customHeight="1" x14ac:dyDescent="0.3">
      <c r="BB1046390" s="38"/>
    </row>
    <row r="1046391" spans="54:54" ht="15.75" customHeight="1" x14ac:dyDescent="0.3">
      <c r="BB1046391" s="38"/>
    </row>
    <row r="1046392" spans="54:54" ht="15.75" customHeight="1" x14ac:dyDescent="0.3">
      <c r="BB1046392" s="38"/>
    </row>
    <row r="1046393" spans="54:54" ht="15.75" customHeight="1" x14ac:dyDescent="0.3">
      <c r="BB1046393" s="38"/>
    </row>
    <row r="1046394" spans="54:54" ht="15.75" customHeight="1" x14ac:dyDescent="0.3">
      <c r="BB1046394" s="38"/>
    </row>
    <row r="1046395" spans="54:54" ht="15.75" customHeight="1" x14ac:dyDescent="0.3">
      <c r="BB1046395" s="38"/>
    </row>
    <row r="1046396" spans="54:54" ht="15.75" customHeight="1" x14ac:dyDescent="0.3">
      <c r="BB1046396" s="38"/>
    </row>
    <row r="1046397" spans="54:54" ht="15.75" customHeight="1" x14ac:dyDescent="0.3">
      <c r="BB1046397" s="38"/>
    </row>
    <row r="1046398" spans="54:54" ht="15.75" customHeight="1" x14ac:dyDescent="0.3">
      <c r="BB1046398" s="38"/>
    </row>
    <row r="1046399" spans="54:54" ht="15.75" customHeight="1" x14ac:dyDescent="0.3">
      <c r="BB1046399" s="38"/>
    </row>
    <row r="1046400" spans="54:54" ht="15.75" customHeight="1" x14ac:dyDescent="0.3">
      <c r="BB1046400" s="38"/>
    </row>
    <row r="1046401" spans="54:54" ht="15.75" customHeight="1" x14ac:dyDescent="0.3">
      <c r="BB1046401" s="38"/>
    </row>
    <row r="1046402" spans="54:54" ht="15.75" customHeight="1" x14ac:dyDescent="0.3">
      <c r="BB1046402" s="38"/>
    </row>
    <row r="1046403" spans="54:54" ht="15.75" customHeight="1" x14ac:dyDescent="0.3">
      <c r="BB1046403" s="38"/>
    </row>
    <row r="1046404" spans="54:54" ht="15.75" customHeight="1" x14ac:dyDescent="0.3">
      <c r="BB1046404" s="38"/>
    </row>
    <row r="1046405" spans="54:54" ht="15.75" customHeight="1" x14ac:dyDescent="0.3">
      <c r="BB1046405" s="38"/>
    </row>
    <row r="1046406" spans="54:54" ht="15.75" customHeight="1" x14ac:dyDescent="0.3">
      <c r="BB1046406" s="38"/>
    </row>
    <row r="1046407" spans="54:54" ht="15.75" customHeight="1" x14ac:dyDescent="0.3">
      <c r="BB1046407" s="38"/>
    </row>
    <row r="1046408" spans="54:54" ht="15.75" customHeight="1" x14ac:dyDescent="0.3">
      <c r="BB1046408" s="38"/>
    </row>
    <row r="1046409" spans="54:54" ht="15.75" customHeight="1" x14ac:dyDescent="0.3">
      <c r="BB1046409" s="38"/>
    </row>
    <row r="1046410" spans="54:54" ht="15.75" customHeight="1" x14ac:dyDescent="0.3">
      <c r="BB1046410" s="38"/>
    </row>
    <row r="1046411" spans="54:54" ht="15.75" customHeight="1" x14ac:dyDescent="0.3">
      <c r="BB1046411" s="38"/>
    </row>
    <row r="1046412" spans="54:54" ht="15.75" customHeight="1" x14ac:dyDescent="0.3">
      <c r="BB1046412" s="38"/>
    </row>
    <row r="1046413" spans="54:54" ht="15.75" customHeight="1" x14ac:dyDescent="0.3">
      <c r="BB1046413" s="38"/>
    </row>
    <row r="1046414" spans="54:54" ht="15.75" customHeight="1" x14ac:dyDescent="0.3">
      <c r="BB1046414" s="38"/>
    </row>
    <row r="1046415" spans="54:54" ht="15.75" customHeight="1" x14ac:dyDescent="0.3">
      <c r="BB1046415" s="38"/>
    </row>
    <row r="1046416" spans="54:54" ht="15.75" customHeight="1" x14ac:dyDescent="0.3">
      <c r="BB1046416" s="38"/>
    </row>
    <row r="1046417" spans="54:54" ht="15.75" customHeight="1" x14ac:dyDescent="0.3">
      <c r="BB1046417" s="38"/>
    </row>
    <row r="1046418" spans="54:54" ht="15.75" customHeight="1" x14ac:dyDescent="0.3">
      <c r="BB1046418" s="38"/>
    </row>
    <row r="1046419" spans="54:54" ht="15.75" customHeight="1" x14ac:dyDescent="0.3">
      <c r="BB1046419" s="38"/>
    </row>
    <row r="1046420" spans="54:54" ht="15.75" customHeight="1" x14ac:dyDescent="0.3">
      <c r="BB1046420" s="38"/>
    </row>
    <row r="1046421" spans="54:54" ht="15.75" customHeight="1" x14ac:dyDescent="0.3">
      <c r="BB1046421" s="38"/>
    </row>
    <row r="1046422" spans="54:54" ht="15.75" customHeight="1" x14ac:dyDescent="0.3">
      <c r="BB1046422" s="38"/>
    </row>
    <row r="1046423" spans="54:54" ht="15.75" customHeight="1" x14ac:dyDescent="0.3">
      <c r="BB1046423" s="38"/>
    </row>
    <row r="1046424" spans="54:54" ht="15.75" customHeight="1" x14ac:dyDescent="0.3">
      <c r="BB1046424" s="38"/>
    </row>
    <row r="1046425" spans="54:54" ht="15.75" customHeight="1" x14ac:dyDescent="0.3">
      <c r="BB1046425" s="38"/>
    </row>
    <row r="1046426" spans="54:54" ht="15.75" customHeight="1" x14ac:dyDescent="0.3">
      <c r="BB1046426" s="38"/>
    </row>
    <row r="1046427" spans="54:54" ht="15.75" customHeight="1" x14ac:dyDescent="0.3">
      <c r="BB1046427" s="38"/>
    </row>
    <row r="1046428" spans="54:54" ht="15.75" customHeight="1" x14ac:dyDescent="0.3">
      <c r="BB1046428" s="38"/>
    </row>
    <row r="1046429" spans="54:54" ht="15.75" customHeight="1" x14ac:dyDescent="0.3">
      <c r="BB1046429" s="38"/>
    </row>
    <row r="1046430" spans="54:54" ht="15.75" customHeight="1" x14ac:dyDescent="0.3">
      <c r="BB1046430" s="38"/>
    </row>
    <row r="1046431" spans="54:54" ht="15.75" customHeight="1" x14ac:dyDescent="0.3">
      <c r="BB1046431" s="38"/>
    </row>
    <row r="1046432" spans="54:54" ht="15.75" customHeight="1" x14ac:dyDescent="0.3">
      <c r="BB1046432" s="38"/>
    </row>
    <row r="1046433" spans="54:54" ht="15.75" customHeight="1" x14ac:dyDescent="0.3">
      <c r="BB1046433" s="38"/>
    </row>
    <row r="1046434" spans="54:54" ht="15.75" customHeight="1" x14ac:dyDescent="0.3">
      <c r="BB1046434" s="38"/>
    </row>
    <row r="1046435" spans="54:54" ht="15.75" customHeight="1" x14ac:dyDescent="0.3">
      <c r="BB1046435" s="38"/>
    </row>
    <row r="1046436" spans="54:54" ht="15.75" customHeight="1" x14ac:dyDescent="0.3">
      <c r="BB1046436" s="38"/>
    </row>
    <row r="1046437" spans="54:54" ht="15.75" customHeight="1" x14ac:dyDescent="0.3">
      <c r="BB1046437" s="38"/>
    </row>
    <row r="1046438" spans="54:54" ht="15.75" customHeight="1" x14ac:dyDescent="0.3">
      <c r="BB1046438" s="38"/>
    </row>
    <row r="1046439" spans="54:54" ht="15.75" customHeight="1" x14ac:dyDescent="0.3">
      <c r="BB1046439" s="38"/>
    </row>
    <row r="1046440" spans="54:54" ht="15.75" customHeight="1" x14ac:dyDescent="0.3">
      <c r="BB1046440" s="38"/>
    </row>
    <row r="1046441" spans="54:54" ht="15.75" customHeight="1" x14ac:dyDescent="0.3">
      <c r="BB1046441" s="38"/>
    </row>
    <row r="1046442" spans="54:54" ht="15.75" customHeight="1" x14ac:dyDescent="0.3">
      <c r="BB1046442" s="38"/>
    </row>
    <row r="1046443" spans="54:54" ht="15.75" customHeight="1" x14ac:dyDescent="0.3">
      <c r="BB1046443" s="38"/>
    </row>
    <row r="1046444" spans="54:54" ht="15.75" customHeight="1" x14ac:dyDescent="0.3">
      <c r="BB1046444" s="38"/>
    </row>
    <row r="1046445" spans="54:54" ht="15.75" customHeight="1" x14ac:dyDescent="0.3">
      <c r="BB1046445" s="38"/>
    </row>
    <row r="1046446" spans="54:54" ht="15.75" customHeight="1" x14ac:dyDescent="0.3">
      <c r="BB1046446" s="38"/>
    </row>
    <row r="1046447" spans="54:54" ht="15.75" customHeight="1" x14ac:dyDescent="0.3">
      <c r="BB1046447" s="38"/>
    </row>
    <row r="1046448" spans="54:54" ht="15.75" customHeight="1" x14ac:dyDescent="0.3">
      <c r="BB1046448" s="38"/>
    </row>
    <row r="1046449" spans="54:54" ht="15.75" customHeight="1" x14ac:dyDescent="0.3">
      <c r="BB1046449" s="38"/>
    </row>
    <row r="1046450" spans="54:54" ht="15.75" customHeight="1" x14ac:dyDescent="0.3">
      <c r="BB1046450" s="38"/>
    </row>
    <row r="1046451" spans="54:54" ht="15.75" customHeight="1" x14ac:dyDescent="0.3">
      <c r="BB1046451" s="38"/>
    </row>
    <row r="1046452" spans="54:54" ht="15.75" customHeight="1" x14ac:dyDescent="0.3">
      <c r="BB1046452" s="38"/>
    </row>
    <row r="1046453" spans="54:54" ht="15.75" customHeight="1" x14ac:dyDescent="0.3">
      <c r="BB1046453" s="38"/>
    </row>
    <row r="1046454" spans="54:54" ht="15.75" customHeight="1" x14ac:dyDescent="0.3">
      <c r="BB1046454" s="38"/>
    </row>
    <row r="1046455" spans="54:54" ht="15.75" customHeight="1" x14ac:dyDescent="0.3">
      <c r="BB1046455" s="38"/>
    </row>
    <row r="1046456" spans="54:54" ht="15.75" customHeight="1" x14ac:dyDescent="0.3">
      <c r="BB1046456" s="38"/>
    </row>
    <row r="1046457" spans="54:54" ht="15.75" customHeight="1" x14ac:dyDescent="0.3">
      <c r="BB1046457" s="38"/>
    </row>
    <row r="1046458" spans="54:54" ht="15.75" customHeight="1" x14ac:dyDescent="0.3">
      <c r="BB1046458" s="38"/>
    </row>
    <row r="1046459" spans="54:54" ht="15.75" customHeight="1" x14ac:dyDescent="0.3">
      <c r="BB1046459" s="38"/>
    </row>
    <row r="1046460" spans="54:54" ht="15.75" customHeight="1" x14ac:dyDescent="0.3">
      <c r="BB1046460" s="38"/>
    </row>
    <row r="1046461" spans="54:54" ht="15.75" customHeight="1" x14ac:dyDescent="0.3">
      <c r="BB1046461" s="38"/>
    </row>
    <row r="1046462" spans="54:54" ht="15.75" customHeight="1" x14ac:dyDescent="0.3">
      <c r="BB1046462" s="38"/>
    </row>
    <row r="1046463" spans="54:54" ht="15.75" customHeight="1" x14ac:dyDescent="0.3">
      <c r="BB1046463" s="38"/>
    </row>
    <row r="1046464" spans="54:54" ht="15.75" customHeight="1" x14ac:dyDescent="0.3">
      <c r="BB1046464" s="38"/>
    </row>
    <row r="1046465" spans="54:54" ht="15.75" customHeight="1" x14ac:dyDescent="0.3">
      <c r="BB1046465" s="38"/>
    </row>
    <row r="1046466" spans="54:54" ht="15.75" customHeight="1" x14ac:dyDescent="0.3">
      <c r="BB1046466" s="38"/>
    </row>
    <row r="1046467" spans="54:54" ht="15.75" customHeight="1" x14ac:dyDescent="0.3">
      <c r="BB1046467" s="38"/>
    </row>
    <row r="1046468" spans="54:54" ht="15.75" customHeight="1" x14ac:dyDescent="0.3">
      <c r="BB1046468" s="38"/>
    </row>
    <row r="1046469" spans="54:54" ht="15.75" customHeight="1" x14ac:dyDescent="0.3">
      <c r="BB1046469" s="38"/>
    </row>
    <row r="1046470" spans="54:54" ht="15.75" customHeight="1" x14ac:dyDescent="0.3">
      <c r="BB1046470" s="38"/>
    </row>
    <row r="1046471" spans="54:54" ht="15.75" customHeight="1" x14ac:dyDescent="0.3">
      <c r="BB1046471" s="38"/>
    </row>
    <row r="1046472" spans="54:54" ht="15.75" customHeight="1" x14ac:dyDescent="0.3">
      <c r="BB1046472" s="38"/>
    </row>
    <row r="1046473" spans="54:54" ht="15.75" customHeight="1" x14ac:dyDescent="0.3">
      <c r="BB1046473" s="38"/>
    </row>
    <row r="1046474" spans="54:54" ht="15.75" customHeight="1" x14ac:dyDescent="0.3">
      <c r="BB1046474" s="38"/>
    </row>
    <row r="1046475" spans="54:54" ht="15.75" customHeight="1" x14ac:dyDescent="0.3">
      <c r="BB1046475" s="38"/>
    </row>
    <row r="1046476" spans="54:54" ht="15.75" customHeight="1" x14ac:dyDescent="0.3">
      <c r="BB1046476" s="38"/>
    </row>
    <row r="1046477" spans="54:54" ht="15.75" customHeight="1" x14ac:dyDescent="0.3">
      <c r="BB1046477" s="38"/>
    </row>
    <row r="1046478" spans="54:54" ht="15.75" customHeight="1" x14ac:dyDescent="0.3">
      <c r="BB1046478" s="38"/>
    </row>
    <row r="1046479" spans="54:54" ht="15.75" customHeight="1" x14ac:dyDescent="0.3">
      <c r="BB1046479" s="38"/>
    </row>
    <row r="1046480" spans="54:54" ht="15.75" customHeight="1" x14ac:dyDescent="0.3">
      <c r="BB1046480" s="38"/>
    </row>
    <row r="1046481" spans="54:54" ht="15.75" customHeight="1" x14ac:dyDescent="0.3">
      <c r="BB1046481" s="38"/>
    </row>
    <row r="1046482" spans="54:54" ht="15.75" customHeight="1" x14ac:dyDescent="0.3">
      <c r="BB1046482" s="38"/>
    </row>
    <row r="1046483" spans="54:54" ht="15.75" customHeight="1" x14ac:dyDescent="0.3">
      <c r="BB1046483" s="38"/>
    </row>
    <row r="1046484" spans="54:54" ht="15.75" customHeight="1" x14ac:dyDescent="0.3">
      <c r="BB1046484" s="38"/>
    </row>
    <row r="1046485" spans="54:54" ht="15.75" customHeight="1" x14ac:dyDescent="0.3">
      <c r="BB1046485" s="38"/>
    </row>
    <row r="1046486" spans="54:54" ht="15.75" customHeight="1" x14ac:dyDescent="0.3">
      <c r="BB1046486" s="38"/>
    </row>
    <row r="1046487" spans="54:54" ht="15.75" customHeight="1" x14ac:dyDescent="0.3">
      <c r="BB1046487" s="38"/>
    </row>
    <row r="1046488" spans="54:54" ht="15.75" customHeight="1" x14ac:dyDescent="0.3">
      <c r="BB1046488" s="38"/>
    </row>
    <row r="1046489" spans="54:54" ht="15.75" customHeight="1" x14ac:dyDescent="0.3">
      <c r="BB1046489" s="38"/>
    </row>
    <row r="1046490" spans="54:54" ht="15.75" customHeight="1" x14ac:dyDescent="0.3">
      <c r="BB1046490" s="38"/>
    </row>
    <row r="1046491" spans="54:54" ht="15.75" customHeight="1" x14ac:dyDescent="0.3">
      <c r="BB1046491" s="38"/>
    </row>
    <row r="1046492" spans="54:54" ht="15.75" customHeight="1" x14ac:dyDescent="0.3">
      <c r="BB1046492" s="38"/>
    </row>
    <row r="1046493" spans="54:54" ht="15.75" customHeight="1" x14ac:dyDescent="0.3">
      <c r="BB1046493" s="38"/>
    </row>
    <row r="1046494" spans="54:54" ht="15.75" customHeight="1" x14ac:dyDescent="0.3">
      <c r="BB1046494" s="38"/>
    </row>
    <row r="1046495" spans="54:54" ht="15.75" customHeight="1" x14ac:dyDescent="0.3">
      <c r="BB1046495" s="38"/>
    </row>
    <row r="1046496" spans="54:54" ht="15.75" customHeight="1" x14ac:dyDescent="0.3">
      <c r="BB1046496" s="38"/>
    </row>
    <row r="1046497" spans="54:54" ht="15.75" customHeight="1" x14ac:dyDescent="0.3">
      <c r="BB1046497" s="38"/>
    </row>
    <row r="1046498" spans="54:54" ht="15.75" customHeight="1" x14ac:dyDescent="0.3">
      <c r="BB1046498" s="38"/>
    </row>
    <row r="1046499" spans="54:54" ht="15.75" customHeight="1" x14ac:dyDescent="0.3">
      <c r="BB1046499" s="38"/>
    </row>
    <row r="1046500" spans="54:54" ht="15.75" customHeight="1" x14ac:dyDescent="0.3">
      <c r="BB1046500" s="38"/>
    </row>
    <row r="1046501" spans="54:54" ht="15.75" customHeight="1" x14ac:dyDescent="0.3">
      <c r="BB1046501" s="38"/>
    </row>
    <row r="1046502" spans="54:54" ht="15.75" customHeight="1" x14ac:dyDescent="0.3">
      <c r="BB1046502" s="38"/>
    </row>
    <row r="1046503" spans="54:54" ht="15.75" customHeight="1" x14ac:dyDescent="0.3">
      <c r="BB1046503" s="38"/>
    </row>
    <row r="1046504" spans="54:54" ht="15.75" customHeight="1" x14ac:dyDescent="0.3">
      <c r="BB1046504" s="38"/>
    </row>
    <row r="1046505" spans="54:54" ht="15.75" customHeight="1" x14ac:dyDescent="0.3">
      <c r="BB1046505" s="38"/>
    </row>
    <row r="1046506" spans="54:54" ht="15.75" customHeight="1" x14ac:dyDescent="0.3">
      <c r="BB1046506" s="38"/>
    </row>
    <row r="1046507" spans="54:54" ht="15.75" customHeight="1" x14ac:dyDescent="0.3">
      <c r="BB1046507" s="38"/>
    </row>
    <row r="1046508" spans="54:54" ht="15.75" customHeight="1" x14ac:dyDescent="0.3">
      <c r="BB1046508" s="38"/>
    </row>
    <row r="1046509" spans="54:54" ht="15.75" customHeight="1" x14ac:dyDescent="0.3">
      <c r="BB1046509" s="38"/>
    </row>
    <row r="1046510" spans="54:54" ht="15.75" customHeight="1" x14ac:dyDescent="0.3">
      <c r="BB1046510" s="38"/>
    </row>
    <row r="1046511" spans="54:54" ht="15.75" customHeight="1" x14ac:dyDescent="0.3">
      <c r="BB1046511" s="38"/>
    </row>
    <row r="1046512" spans="54:54" ht="15.75" customHeight="1" x14ac:dyDescent="0.3">
      <c r="BB1046512" s="38"/>
    </row>
    <row r="1046513" spans="54:54" ht="15.75" customHeight="1" x14ac:dyDescent="0.3">
      <c r="BB1046513" s="38"/>
    </row>
    <row r="1046514" spans="54:54" ht="15.75" customHeight="1" x14ac:dyDescent="0.3">
      <c r="BB1046514" s="38"/>
    </row>
    <row r="1046515" spans="54:54" ht="15.75" customHeight="1" x14ac:dyDescent="0.3">
      <c r="BB1046515" s="38"/>
    </row>
    <row r="1046516" spans="54:54" ht="15.75" customHeight="1" x14ac:dyDescent="0.3">
      <c r="BB1046516" s="38"/>
    </row>
    <row r="1046517" spans="54:54" ht="15.75" customHeight="1" x14ac:dyDescent="0.3">
      <c r="BB1046517" s="38"/>
    </row>
    <row r="1046518" spans="54:54" ht="15.75" customHeight="1" x14ac:dyDescent="0.3">
      <c r="BB1046518" s="38"/>
    </row>
    <row r="1046519" spans="54:54" ht="15.75" customHeight="1" x14ac:dyDescent="0.3">
      <c r="BB1046519" s="38"/>
    </row>
    <row r="1046520" spans="54:54" ht="15.75" customHeight="1" x14ac:dyDescent="0.3">
      <c r="BB1046520" s="38"/>
    </row>
    <row r="1046521" spans="54:54" ht="15.75" customHeight="1" x14ac:dyDescent="0.3">
      <c r="BB1046521" s="38"/>
    </row>
    <row r="1046522" spans="54:54" ht="15.75" customHeight="1" x14ac:dyDescent="0.3">
      <c r="BB1046522" s="38"/>
    </row>
    <row r="1046523" spans="54:54" ht="15.75" customHeight="1" x14ac:dyDescent="0.3">
      <c r="BB1046523" s="38"/>
    </row>
    <row r="1046524" spans="54:54" ht="15.75" customHeight="1" x14ac:dyDescent="0.3">
      <c r="BB1046524" s="38"/>
    </row>
    <row r="1046525" spans="54:54" ht="15.75" customHeight="1" x14ac:dyDescent="0.3">
      <c r="BB1046525" s="38"/>
    </row>
    <row r="1046526" spans="54:54" ht="15.75" customHeight="1" x14ac:dyDescent="0.3">
      <c r="BB1046526" s="38"/>
    </row>
    <row r="1046527" spans="54:54" ht="15.75" customHeight="1" x14ac:dyDescent="0.3">
      <c r="BB1046527" s="38"/>
    </row>
    <row r="1046528" spans="54:54" ht="15.75" customHeight="1" x14ac:dyDescent="0.3">
      <c r="BB1046528" s="38"/>
    </row>
    <row r="1046529" spans="54:54" ht="15.75" customHeight="1" x14ac:dyDescent="0.3">
      <c r="BB1046529" s="38"/>
    </row>
    <row r="1046530" spans="54:54" ht="15.75" customHeight="1" x14ac:dyDescent="0.3">
      <c r="BB1046530" s="38"/>
    </row>
    <row r="1046531" spans="54:54" ht="15.75" customHeight="1" x14ac:dyDescent="0.3">
      <c r="BB1046531" s="38"/>
    </row>
    <row r="1046532" spans="54:54" ht="15.75" customHeight="1" x14ac:dyDescent="0.3">
      <c r="BB1046532" s="38"/>
    </row>
    <row r="1046533" spans="54:54" ht="15.75" customHeight="1" x14ac:dyDescent="0.3">
      <c r="BB1046533" s="38"/>
    </row>
    <row r="1046534" spans="54:54" ht="15.75" customHeight="1" x14ac:dyDescent="0.3">
      <c r="BB1046534" s="38"/>
    </row>
    <row r="1046535" spans="54:54" ht="15.75" customHeight="1" x14ac:dyDescent="0.3">
      <c r="BB1046535" s="38"/>
    </row>
    <row r="1046536" spans="54:54" ht="15.75" customHeight="1" x14ac:dyDescent="0.3">
      <c r="BB1046536" s="38"/>
    </row>
    <row r="1046537" spans="54:54" ht="15.75" customHeight="1" x14ac:dyDescent="0.3">
      <c r="BB1046537" s="38"/>
    </row>
    <row r="1046538" spans="54:54" ht="15.75" customHeight="1" x14ac:dyDescent="0.3">
      <c r="BB1046538" s="38"/>
    </row>
    <row r="1046539" spans="54:54" ht="15.75" customHeight="1" x14ac:dyDescent="0.3">
      <c r="BB1046539" s="38"/>
    </row>
    <row r="1046540" spans="54:54" ht="15.75" customHeight="1" x14ac:dyDescent="0.3">
      <c r="BB1046540" s="38"/>
    </row>
    <row r="1046541" spans="54:54" ht="15.75" customHeight="1" x14ac:dyDescent="0.3">
      <c r="BB1046541" s="38"/>
    </row>
    <row r="1046542" spans="54:54" ht="15.75" customHeight="1" x14ac:dyDescent="0.3">
      <c r="BB1046542" s="38"/>
    </row>
    <row r="1046543" spans="54:54" ht="15.75" customHeight="1" x14ac:dyDescent="0.3">
      <c r="BB1046543" s="38"/>
    </row>
    <row r="1046544" spans="54:54" ht="15.75" customHeight="1" x14ac:dyDescent="0.3">
      <c r="BB1046544" s="38"/>
    </row>
    <row r="1046545" spans="54:54" ht="15.75" customHeight="1" x14ac:dyDescent="0.3">
      <c r="BB1046545" s="38"/>
    </row>
    <row r="1046546" spans="54:54" ht="15.75" customHeight="1" x14ac:dyDescent="0.3">
      <c r="BB1046546" s="38"/>
    </row>
    <row r="1046547" spans="54:54" ht="15.75" customHeight="1" x14ac:dyDescent="0.3">
      <c r="BB1046547" s="38"/>
    </row>
    <row r="1046548" spans="54:54" ht="15.75" customHeight="1" x14ac:dyDescent="0.3">
      <c r="BB1046548" s="38"/>
    </row>
    <row r="1046549" spans="54:54" ht="15.75" customHeight="1" x14ac:dyDescent="0.3">
      <c r="BB1046549" s="38"/>
    </row>
    <row r="1046550" spans="54:54" ht="15.75" customHeight="1" x14ac:dyDescent="0.3">
      <c r="BB1046550" s="38"/>
    </row>
    <row r="1046551" spans="54:54" ht="15.75" customHeight="1" x14ac:dyDescent="0.3">
      <c r="BB1046551" s="38"/>
    </row>
    <row r="1046552" spans="54:54" ht="15.75" customHeight="1" x14ac:dyDescent="0.3">
      <c r="BB1046552" s="38"/>
    </row>
    <row r="1046553" spans="54:54" ht="15.75" customHeight="1" x14ac:dyDescent="0.3">
      <c r="BB1046553" s="38"/>
    </row>
    <row r="1046554" spans="54:54" ht="15.75" customHeight="1" x14ac:dyDescent="0.3">
      <c r="BB1046554" s="38"/>
    </row>
    <row r="1046555" spans="54:54" ht="15.75" customHeight="1" x14ac:dyDescent="0.3">
      <c r="BB1046555" s="38"/>
    </row>
    <row r="1046556" spans="54:54" ht="15.75" customHeight="1" x14ac:dyDescent="0.3">
      <c r="BB1046556" s="38"/>
    </row>
    <row r="1046557" spans="54:54" ht="15.75" customHeight="1" x14ac:dyDescent="0.3">
      <c r="BB1046557" s="38"/>
    </row>
    <row r="1046558" spans="54:54" ht="15.75" customHeight="1" x14ac:dyDescent="0.3">
      <c r="BB1046558" s="38"/>
    </row>
    <row r="1046559" spans="54:54" ht="15.75" customHeight="1" x14ac:dyDescent="0.3">
      <c r="BB1046559" s="38"/>
    </row>
    <row r="1046560" spans="54:54" ht="15.75" customHeight="1" x14ac:dyDescent="0.3">
      <c r="BB1046560" s="38"/>
    </row>
    <row r="1046561" spans="54:54" ht="15.75" customHeight="1" x14ac:dyDescent="0.3">
      <c r="BB1046561" s="38"/>
    </row>
    <row r="1046562" spans="54:54" ht="15.75" customHeight="1" x14ac:dyDescent="0.3">
      <c r="BB1046562" s="38"/>
    </row>
    <row r="1046563" spans="54:54" ht="15.75" customHeight="1" x14ac:dyDescent="0.3">
      <c r="BB1046563" s="38"/>
    </row>
    <row r="1046564" spans="54:54" ht="15.75" customHeight="1" x14ac:dyDescent="0.3">
      <c r="BB1046564" s="38"/>
    </row>
    <row r="1046565" spans="54:54" ht="15.75" customHeight="1" x14ac:dyDescent="0.3">
      <c r="BB1046565" s="38"/>
    </row>
    <row r="1046566" spans="54:54" ht="15.75" customHeight="1" x14ac:dyDescent="0.3">
      <c r="BB1046566" s="38"/>
    </row>
    <row r="1046567" spans="54:54" ht="15.75" customHeight="1" x14ac:dyDescent="0.3">
      <c r="BB1046567" s="38"/>
    </row>
    <row r="1046568" spans="54:54" ht="15.75" customHeight="1" x14ac:dyDescent="0.3">
      <c r="BB1046568" s="38"/>
    </row>
    <row r="1046569" spans="54:54" ht="15.75" customHeight="1" x14ac:dyDescent="0.3">
      <c r="BB1046569" s="38"/>
    </row>
    <row r="1046570" spans="54:54" ht="15.75" customHeight="1" x14ac:dyDescent="0.3">
      <c r="BB1046570" s="38"/>
    </row>
    <row r="1046571" spans="54:54" ht="15.75" customHeight="1" x14ac:dyDescent="0.3">
      <c r="BB1046571" s="38"/>
    </row>
    <row r="1046572" spans="54:54" ht="15.75" customHeight="1" x14ac:dyDescent="0.3">
      <c r="BB1046572" s="38"/>
    </row>
    <row r="1046573" spans="54:54" ht="15.75" customHeight="1" x14ac:dyDescent="0.3">
      <c r="BB1046573" s="38"/>
    </row>
    <row r="1046574" spans="54:54" ht="15.75" customHeight="1" x14ac:dyDescent="0.3">
      <c r="BB1046574" s="38"/>
    </row>
    <row r="1046575" spans="54:54" ht="15.75" customHeight="1" x14ac:dyDescent="0.3">
      <c r="BB1046575" s="38"/>
    </row>
    <row r="1046576" spans="54:54" ht="15.75" customHeight="1" x14ac:dyDescent="0.3">
      <c r="BB1046576" s="38"/>
    </row>
    <row r="1046577" spans="54:54" ht="15.75" customHeight="1" x14ac:dyDescent="0.3">
      <c r="BB1046577" s="38"/>
    </row>
    <row r="1046578" spans="54:54" ht="15.75" customHeight="1" x14ac:dyDescent="0.3">
      <c r="BB1046578" s="38"/>
    </row>
    <row r="1046579" spans="54:54" ht="15.75" customHeight="1" x14ac:dyDescent="0.3">
      <c r="BB1046579" s="38"/>
    </row>
    <row r="1046580" spans="54:54" ht="15.75" customHeight="1" x14ac:dyDescent="0.3">
      <c r="BB1046580" s="38"/>
    </row>
    <row r="1046581" spans="54:54" ht="15.75" customHeight="1" x14ac:dyDescent="0.3">
      <c r="BB1046581" s="38"/>
    </row>
    <row r="1046582" spans="54:54" ht="15.75" customHeight="1" x14ac:dyDescent="0.3">
      <c r="BB1046582" s="38"/>
    </row>
    <row r="1046583" spans="54:54" ht="15.75" customHeight="1" x14ac:dyDescent="0.3">
      <c r="BB1046583" s="38"/>
    </row>
    <row r="1046584" spans="54:54" ht="15.75" customHeight="1" x14ac:dyDescent="0.3">
      <c r="BB1046584" s="38"/>
    </row>
    <row r="1046585" spans="54:54" ht="15.75" customHeight="1" x14ac:dyDescent="0.3">
      <c r="BB1046585" s="38"/>
    </row>
    <row r="1046586" spans="54:54" ht="15.75" customHeight="1" x14ac:dyDescent="0.3">
      <c r="BB1046586" s="38"/>
    </row>
    <row r="1046587" spans="54:54" ht="15.75" customHeight="1" x14ac:dyDescent="0.3">
      <c r="BB1046587" s="38"/>
    </row>
    <row r="1046588" spans="54:54" ht="15.75" customHeight="1" x14ac:dyDescent="0.3">
      <c r="BB1046588" s="38"/>
    </row>
    <row r="1046589" spans="54:54" ht="15.75" customHeight="1" x14ac:dyDescent="0.3">
      <c r="BB1046589" s="38"/>
    </row>
    <row r="1046590" spans="54:54" ht="15.75" customHeight="1" x14ac:dyDescent="0.3">
      <c r="BB1046590" s="38"/>
    </row>
    <row r="1046591" spans="54:54" ht="15.75" customHeight="1" x14ac:dyDescent="0.3">
      <c r="BB1046591" s="38"/>
    </row>
    <row r="1046592" spans="54:54" ht="15.75" customHeight="1" x14ac:dyDescent="0.3">
      <c r="BB1046592" s="38"/>
    </row>
    <row r="1046593" spans="54:54" ht="15.75" customHeight="1" x14ac:dyDescent="0.3">
      <c r="BB1046593" s="38"/>
    </row>
    <row r="1046594" spans="54:54" ht="15.75" customHeight="1" x14ac:dyDescent="0.3">
      <c r="BB1046594" s="38"/>
    </row>
    <row r="1046595" spans="54:54" ht="15.75" customHeight="1" x14ac:dyDescent="0.3">
      <c r="BB1046595" s="38"/>
    </row>
    <row r="1046596" spans="54:54" ht="15.75" customHeight="1" x14ac:dyDescent="0.3">
      <c r="BB1046596" s="38"/>
    </row>
    <row r="1046597" spans="54:54" ht="15.75" customHeight="1" x14ac:dyDescent="0.3">
      <c r="BB1046597" s="38"/>
    </row>
    <row r="1046598" spans="54:54" ht="15.75" customHeight="1" x14ac:dyDescent="0.3">
      <c r="BB1046598" s="38"/>
    </row>
    <row r="1046599" spans="54:54" ht="15.75" customHeight="1" x14ac:dyDescent="0.3">
      <c r="BB1046599" s="38"/>
    </row>
    <row r="1046600" spans="54:54" ht="15.75" customHeight="1" x14ac:dyDescent="0.3">
      <c r="BB1046600" s="38"/>
    </row>
    <row r="1046601" spans="54:54" ht="15.75" customHeight="1" x14ac:dyDescent="0.3">
      <c r="BB1046601" s="38"/>
    </row>
    <row r="1046602" spans="54:54" ht="15.75" customHeight="1" x14ac:dyDescent="0.3">
      <c r="BB1046602" s="38"/>
    </row>
    <row r="1046603" spans="54:54" ht="15.75" customHeight="1" x14ac:dyDescent="0.3">
      <c r="BB1046603" s="38"/>
    </row>
    <row r="1046604" spans="54:54" ht="15.75" customHeight="1" x14ac:dyDescent="0.3">
      <c r="BB1046604" s="38"/>
    </row>
    <row r="1046605" spans="54:54" ht="15.75" customHeight="1" x14ac:dyDescent="0.3">
      <c r="BB1046605" s="38"/>
    </row>
    <row r="1046606" spans="54:54" ht="15.75" customHeight="1" x14ac:dyDescent="0.3">
      <c r="BB1046606" s="38"/>
    </row>
    <row r="1046607" spans="54:54" ht="15.75" customHeight="1" x14ac:dyDescent="0.3">
      <c r="BB1046607" s="38"/>
    </row>
    <row r="1046608" spans="54:54" ht="15.75" customHeight="1" x14ac:dyDescent="0.3">
      <c r="BB1046608" s="38"/>
    </row>
    <row r="1046609" spans="54:54" ht="15.75" customHeight="1" x14ac:dyDescent="0.3">
      <c r="BB1046609" s="38"/>
    </row>
    <row r="1046610" spans="54:54" ht="15.75" customHeight="1" x14ac:dyDescent="0.3">
      <c r="BB1046610" s="38"/>
    </row>
    <row r="1046611" spans="54:54" ht="15.75" customHeight="1" x14ac:dyDescent="0.3">
      <c r="BB1046611" s="38"/>
    </row>
    <row r="1046612" spans="54:54" ht="15.75" customHeight="1" x14ac:dyDescent="0.3">
      <c r="BB1046612" s="38"/>
    </row>
    <row r="1046613" spans="54:54" ht="15.75" customHeight="1" x14ac:dyDescent="0.3">
      <c r="BB1046613" s="38"/>
    </row>
    <row r="1046614" spans="54:54" ht="15.75" customHeight="1" x14ac:dyDescent="0.3">
      <c r="BB1046614" s="38"/>
    </row>
    <row r="1046615" spans="54:54" ht="15.75" customHeight="1" x14ac:dyDescent="0.3">
      <c r="BB1046615" s="38"/>
    </row>
    <row r="1046616" spans="54:54" ht="15.75" customHeight="1" x14ac:dyDescent="0.3">
      <c r="BB1046616" s="38"/>
    </row>
    <row r="1046617" spans="54:54" ht="15.75" customHeight="1" x14ac:dyDescent="0.3">
      <c r="BB1046617" s="38"/>
    </row>
    <row r="1046618" spans="54:54" ht="15.75" customHeight="1" x14ac:dyDescent="0.3">
      <c r="BB1046618" s="38"/>
    </row>
    <row r="1046619" spans="54:54" ht="15.75" customHeight="1" x14ac:dyDescent="0.3">
      <c r="BB1046619" s="38"/>
    </row>
    <row r="1046620" spans="54:54" ht="15.75" customHeight="1" x14ac:dyDescent="0.3">
      <c r="BB1046620" s="38"/>
    </row>
    <row r="1046621" spans="54:54" ht="15.75" customHeight="1" x14ac:dyDescent="0.3">
      <c r="BB1046621" s="38"/>
    </row>
    <row r="1046622" spans="54:54" ht="15.75" customHeight="1" x14ac:dyDescent="0.3">
      <c r="BB1046622" s="38"/>
    </row>
    <row r="1046623" spans="54:54" ht="15.75" customHeight="1" x14ac:dyDescent="0.3">
      <c r="BB1046623" s="38"/>
    </row>
    <row r="1046624" spans="54:54" ht="15.75" customHeight="1" x14ac:dyDescent="0.3">
      <c r="BB1046624" s="38"/>
    </row>
    <row r="1046625" spans="54:54" ht="15.75" customHeight="1" x14ac:dyDescent="0.3">
      <c r="BB1046625" s="38"/>
    </row>
    <row r="1046626" spans="54:54" ht="15.75" customHeight="1" x14ac:dyDescent="0.3">
      <c r="BB1046626" s="38"/>
    </row>
    <row r="1046627" spans="54:54" ht="15.75" customHeight="1" x14ac:dyDescent="0.3">
      <c r="BB1046627" s="38"/>
    </row>
    <row r="1046628" spans="54:54" ht="15.75" customHeight="1" x14ac:dyDescent="0.3">
      <c r="BB1046628" s="38"/>
    </row>
    <row r="1046629" spans="54:54" ht="15.75" customHeight="1" x14ac:dyDescent="0.3">
      <c r="BB1046629" s="38"/>
    </row>
    <row r="1046630" spans="54:54" ht="15.75" customHeight="1" x14ac:dyDescent="0.3">
      <c r="BB1046630" s="38"/>
    </row>
    <row r="1046631" spans="54:54" ht="15.75" customHeight="1" x14ac:dyDescent="0.3">
      <c r="BB1046631" s="38"/>
    </row>
    <row r="1046632" spans="54:54" ht="15.75" customHeight="1" x14ac:dyDescent="0.3">
      <c r="BB1046632" s="38"/>
    </row>
    <row r="1046633" spans="54:54" ht="15.75" customHeight="1" x14ac:dyDescent="0.3">
      <c r="BB1046633" s="38"/>
    </row>
    <row r="1046634" spans="54:54" ht="15.75" customHeight="1" x14ac:dyDescent="0.3">
      <c r="BB1046634" s="38"/>
    </row>
    <row r="1046635" spans="54:54" ht="15.75" customHeight="1" x14ac:dyDescent="0.3">
      <c r="BB1046635" s="38"/>
    </row>
    <row r="1046636" spans="54:54" ht="15.75" customHeight="1" x14ac:dyDescent="0.3">
      <c r="BB1046636" s="38"/>
    </row>
    <row r="1046637" spans="54:54" ht="15.75" customHeight="1" x14ac:dyDescent="0.3">
      <c r="BB1046637" s="38"/>
    </row>
    <row r="1046638" spans="54:54" ht="15.75" customHeight="1" x14ac:dyDescent="0.3">
      <c r="BB1046638" s="38"/>
    </row>
    <row r="1046639" spans="54:54" ht="15.75" customHeight="1" x14ac:dyDescent="0.3">
      <c r="BB1046639" s="38"/>
    </row>
    <row r="1046640" spans="54:54" ht="15.75" customHeight="1" x14ac:dyDescent="0.3">
      <c r="BB1046640" s="38"/>
    </row>
    <row r="1046641" spans="54:54" ht="15.75" customHeight="1" x14ac:dyDescent="0.3">
      <c r="BB1046641" s="38"/>
    </row>
    <row r="1046642" spans="54:54" ht="15.75" customHeight="1" x14ac:dyDescent="0.3">
      <c r="BB1046642" s="38"/>
    </row>
    <row r="1046643" spans="54:54" ht="15.75" customHeight="1" x14ac:dyDescent="0.3">
      <c r="BB1046643" s="38"/>
    </row>
    <row r="1046644" spans="54:54" ht="15.75" customHeight="1" x14ac:dyDescent="0.3">
      <c r="BB1046644" s="38"/>
    </row>
    <row r="1046645" spans="54:54" ht="15.75" customHeight="1" x14ac:dyDescent="0.3">
      <c r="BB1046645" s="38"/>
    </row>
    <row r="1046646" spans="54:54" ht="15.75" customHeight="1" x14ac:dyDescent="0.3">
      <c r="BB1046646" s="38"/>
    </row>
    <row r="1046647" spans="54:54" ht="15.75" customHeight="1" x14ac:dyDescent="0.3">
      <c r="BB1046647" s="38"/>
    </row>
    <row r="1046648" spans="54:54" ht="15.75" customHeight="1" x14ac:dyDescent="0.3">
      <c r="BB1046648" s="38"/>
    </row>
    <row r="1046649" spans="54:54" ht="15.75" customHeight="1" x14ac:dyDescent="0.3">
      <c r="BB1046649" s="38"/>
    </row>
    <row r="1046650" spans="54:54" ht="15.75" customHeight="1" x14ac:dyDescent="0.3">
      <c r="BB1046650" s="38"/>
    </row>
    <row r="1046651" spans="54:54" ht="15.75" customHeight="1" x14ac:dyDescent="0.3">
      <c r="BB1046651" s="38"/>
    </row>
    <row r="1046652" spans="54:54" ht="15.75" customHeight="1" x14ac:dyDescent="0.3">
      <c r="BB1046652" s="38"/>
    </row>
    <row r="1046653" spans="54:54" ht="15.75" customHeight="1" x14ac:dyDescent="0.3">
      <c r="BB1046653" s="38"/>
    </row>
    <row r="1046654" spans="54:54" ht="15.75" customHeight="1" x14ac:dyDescent="0.3">
      <c r="BB1046654" s="38"/>
    </row>
    <row r="1046655" spans="54:54" ht="15.75" customHeight="1" x14ac:dyDescent="0.3">
      <c r="BB1046655" s="38"/>
    </row>
    <row r="1046656" spans="54:54" ht="15.75" customHeight="1" x14ac:dyDescent="0.3">
      <c r="BB1046656" s="38"/>
    </row>
    <row r="1046657" spans="54:54" ht="15.75" customHeight="1" x14ac:dyDescent="0.3">
      <c r="BB1046657" s="38"/>
    </row>
    <row r="1046658" spans="54:54" ht="15.75" customHeight="1" x14ac:dyDescent="0.3">
      <c r="BB1046658" s="38"/>
    </row>
    <row r="1046659" spans="54:54" ht="15.75" customHeight="1" x14ac:dyDescent="0.3">
      <c r="BB1046659" s="38"/>
    </row>
    <row r="1046660" spans="54:54" ht="15.75" customHeight="1" x14ac:dyDescent="0.3">
      <c r="BB1046660" s="38"/>
    </row>
    <row r="1046661" spans="54:54" ht="15.75" customHeight="1" x14ac:dyDescent="0.3">
      <c r="BB1046661" s="38"/>
    </row>
    <row r="1046662" spans="54:54" ht="15.75" customHeight="1" x14ac:dyDescent="0.3">
      <c r="BB1046662" s="38"/>
    </row>
    <row r="1046663" spans="54:54" ht="15.75" customHeight="1" x14ac:dyDescent="0.3">
      <c r="BB1046663" s="38"/>
    </row>
    <row r="1046664" spans="54:54" ht="15.75" customHeight="1" x14ac:dyDescent="0.3">
      <c r="BB1046664" s="38"/>
    </row>
    <row r="1046665" spans="54:54" ht="15.75" customHeight="1" x14ac:dyDescent="0.3">
      <c r="BB1046665" s="38"/>
    </row>
    <row r="1046666" spans="54:54" ht="15.75" customHeight="1" x14ac:dyDescent="0.3">
      <c r="BB1046666" s="38"/>
    </row>
    <row r="1046667" spans="54:54" ht="15.75" customHeight="1" x14ac:dyDescent="0.3">
      <c r="BB1046667" s="38"/>
    </row>
    <row r="1046668" spans="54:54" ht="15.75" customHeight="1" x14ac:dyDescent="0.3">
      <c r="BB1046668" s="38"/>
    </row>
    <row r="1046669" spans="54:54" ht="15.75" customHeight="1" x14ac:dyDescent="0.3">
      <c r="BB1046669" s="38"/>
    </row>
    <row r="1046670" spans="54:54" ht="15.75" customHeight="1" x14ac:dyDescent="0.3">
      <c r="BB1046670" s="38"/>
    </row>
    <row r="1046671" spans="54:54" ht="15.75" customHeight="1" x14ac:dyDescent="0.3">
      <c r="BB1046671" s="38"/>
    </row>
    <row r="1046672" spans="54:54" ht="15.75" customHeight="1" x14ac:dyDescent="0.3">
      <c r="BB1046672" s="38"/>
    </row>
    <row r="1046673" spans="54:54" ht="15.75" customHeight="1" x14ac:dyDescent="0.3">
      <c r="BB1046673" s="38"/>
    </row>
    <row r="1046674" spans="54:54" ht="15.75" customHeight="1" x14ac:dyDescent="0.3">
      <c r="BB1046674" s="38"/>
    </row>
    <row r="1046675" spans="54:54" ht="15.75" customHeight="1" x14ac:dyDescent="0.3">
      <c r="BB1046675" s="38"/>
    </row>
    <row r="1046676" spans="54:54" ht="15.75" customHeight="1" x14ac:dyDescent="0.3">
      <c r="BB1046676" s="38"/>
    </row>
    <row r="1046677" spans="54:54" ht="15.75" customHeight="1" x14ac:dyDescent="0.3">
      <c r="BB1046677" s="38"/>
    </row>
    <row r="1046678" spans="54:54" ht="15.75" customHeight="1" x14ac:dyDescent="0.3">
      <c r="BB1046678" s="38"/>
    </row>
    <row r="1046679" spans="54:54" ht="15.75" customHeight="1" x14ac:dyDescent="0.3">
      <c r="BB1046679" s="38"/>
    </row>
    <row r="1046680" spans="54:54" ht="15.75" customHeight="1" x14ac:dyDescent="0.3">
      <c r="BB1046680" s="38"/>
    </row>
    <row r="1046681" spans="54:54" ht="15.75" customHeight="1" x14ac:dyDescent="0.3">
      <c r="BB1046681" s="38"/>
    </row>
    <row r="1046682" spans="54:54" ht="15.75" customHeight="1" x14ac:dyDescent="0.3">
      <c r="BB1046682" s="38"/>
    </row>
    <row r="1046683" spans="54:54" ht="15.75" customHeight="1" x14ac:dyDescent="0.3">
      <c r="BB1046683" s="38"/>
    </row>
    <row r="1046684" spans="54:54" ht="15.75" customHeight="1" x14ac:dyDescent="0.3">
      <c r="BB1046684" s="38"/>
    </row>
    <row r="1046685" spans="54:54" ht="15.75" customHeight="1" x14ac:dyDescent="0.3">
      <c r="BB1046685" s="38"/>
    </row>
    <row r="1046686" spans="54:54" ht="15.75" customHeight="1" x14ac:dyDescent="0.3">
      <c r="BB1046686" s="38"/>
    </row>
    <row r="1046687" spans="54:54" ht="15.75" customHeight="1" x14ac:dyDescent="0.3">
      <c r="BB1046687" s="38"/>
    </row>
    <row r="1046688" spans="54:54" ht="15.75" customHeight="1" x14ac:dyDescent="0.3">
      <c r="BB1046688" s="38"/>
    </row>
    <row r="1046689" spans="54:54" ht="15.75" customHeight="1" x14ac:dyDescent="0.3">
      <c r="BB1046689" s="38"/>
    </row>
    <row r="1046690" spans="54:54" ht="15.75" customHeight="1" x14ac:dyDescent="0.3">
      <c r="BB1046690" s="38"/>
    </row>
    <row r="1046691" spans="54:54" ht="15.75" customHeight="1" x14ac:dyDescent="0.3">
      <c r="BB1046691" s="38"/>
    </row>
    <row r="1046692" spans="54:54" ht="15.75" customHeight="1" x14ac:dyDescent="0.3">
      <c r="BB1046692" s="38"/>
    </row>
    <row r="1046693" spans="54:54" ht="15.75" customHeight="1" x14ac:dyDescent="0.3">
      <c r="BB1046693" s="38"/>
    </row>
    <row r="1046694" spans="54:54" ht="15.75" customHeight="1" x14ac:dyDescent="0.3">
      <c r="BB1046694" s="38"/>
    </row>
    <row r="1046695" spans="54:54" ht="15.75" customHeight="1" x14ac:dyDescent="0.3">
      <c r="BB1046695" s="38"/>
    </row>
    <row r="1046696" spans="54:54" ht="15.75" customHeight="1" x14ac:dyDescent="0.3">
      <c r="BB1046696" s="38"/>
    </row>
    <row r="1046697" spans="54:54" ht="15.75" customHeight="1" x14ac:dyDescent="0.3">
      <c r="BB1046697" s="38"/>
    </row>
    <row r="1046698" spans="54:54" ht="15.75" customHeight="1" x14ac:dyDescent="0.3">
      <c r="BB1046698" s="38"/>
    </row>
    <row r="1046699" spans="54:54" ht="15.75" customHeight="1" x14ac:dyDescent="0.3">
      <c r="BB1046699" s="38"/>
    </row>
    <row r="1046700" spans="54:54" ht="15.75" customHeight="1" x14ac:dyDescent="0.3">
      <c r="BB1046700" s="38"/>
    </row>
    <row r="1046701" spans="54:54" ht="15.75" customHeight="1" x14ac:dyDescent="0.3">
      <c r="BB1046701" s="38"/>
    </row>
    <row r="1046702" spans="54:54" ht="15.75" customHeight="1" x14ac:dyDescent="0.3">
      <c r="BB1046702" s="38"/>
    </row>
    <row r="1046703" spans="54:54" ht="15.75" customHeight="1" x14ac:dyDescent="0.3">
      <c r="BB1046703" s="38"/>
    </row>
    <row r="1046704" spans="54:54" ht="15.75" customHeight="1" x14ac:dyDescent="0.3">
      <c r="BB1046704" s="38"/>
    </row>
    <row r="1046705" spans="54:54" ht="15.75" customHeight="1" x14ac:dyDescent="0.3">
      <c r="BB1046705" s="38"/>
    </row>
    <row r="1046706" spans="54:54" ht="15.75" customHeight="1" x14ac:dyDescent="0.3">
      <c r="BB1046706" s="38"/>
    </row>
    <row r="1046707" spans="54:54" ht="15.75" customHeight="1" x14ac:dyDescent="0.3">
      <c r="BB1046707" s="38"/>
    </row>
    <row r="1046708" spans="54:54" ht="15.75" customHeight="1" x14ac:dyDescent="0.3">
      <c r="BB1046708" s="38"/>
    </row>
    <row r="1046709" spans="54:54" ht="15.75" customHeight="1" x14ac:dyDescent="0.3">
      <c r="BB1046709" s="38"/>
    </row>
    <row r="1046710" spans="54:54" ht="15.75" customHeight="1" x14ac:dyDescent="0.3">
      <c r="BB1046710" s="38"/>
    </row>
    <row r="1046711" spans="54:54" ht="15.75" customHeight="1" x14ac:dyDescent="0.3">
      <c r="BB1046711" s="38"/>
    </row>
    <row r="1046712" spans="54:54" ht="15.75" customHeight="1" x14ac:dyDescent="0.3">
      <c r="BB1046712" s="38"/>
    </row>
    <row r="1046713" spans="54:54" ht="15.75" customHeight="1" x14ac:dyDescent="0.3">
      <c r="BB1046713" s="38"/>
    </row>
    <row r="1046714" spans="54:54" ht="15.75" customHeight="1" x14ac:dyDescent="0.3">
      <c r="BB1046714" s="38"/>
    </row>
    <row r="1046715" spans="54:54" ht="15.75" customHeight="1" x14ac:dyDescent="0.3">
      <c r="BB1046715" s="38"/>
    </row>
    <row r="1046716" spans="54:54" ht="15.75" customHeight="1" x14ac:dyDescent="0.3">
      <c r="BB1046716" s="38"/>
    </row>
    <row r="1046717" spans="54:54" ht="15.75" customHeight="1" x14ac:dyDescent="0.3">
      <c r="BB1046717" s="38"/>
    </row>
    <row r="1046718" spans="54:54" ht="15.75" customHeight="1" x14ac:dyDescent="0.3">
      <c r="BB1046718" s="38"/>
    </row>
    <row r="1046719" spans="54:54" ht="15.75" customHeight="1" x14ac:dyDescent="0.3">
      <c r="BB1046719" s="38"/>
    </row>
    <row r="1046720" spans="54:54" ht="15.75" customHeight="1" x14ac:dyDescent="0.3">
      <c r="BB1046720" s="38"/>
    </row>
    <row r="1046721" spans="54:54" ht="15.75" customHeight="1" x14ac:dyDescent="0.3">
      <c r="BB1046721" s="38"/>
    </row>
    <row r="1046722" spans="54:54" ht="15.75" customHeight="1" x14ac:dyDescent="0.3">
      <c r="BB1046722" s="38"/>
    </row>
    <row r="1046723" spans="54:54" ht="15.75" customHeight="1" x14ac:dyDescent="0.3">
      <c r="BB1046723" s="38"/>
    </row>
    <row r="1046724" spans="54:54" ht="15.75" customHeight="1" x14ac:dyDescent="0.3">
      <c r="BB1046724" s="38"/>
    </row>
    <row r="1046725" spans="54:54" ht="15.75" customHeight="1" x14ac:dyDescent="0.3">
      <c r="BB1046725" s="38"/>
    </row>
    <row r="1046726" spans="54:54" ht="15.75" customHeight="1" x14ac:dyDescent="0.3">
      <c r="BB1046726" s="38"/>
    </row>
    <row r="1046727" spans="54:54" ht="15.75" customHeight="1" x14ac:dyDescent="0.3">
      <c r="BB1046727" s="38"/>
    </row>
    <row r="1046728" spans="54:54" ht="15.75" customHeight="1" x14ac:dyDescent="0.3">
      <c r="BB1046728" s="38"/>
    </row>
    <row r="1046729" spans="54:54" ht="15.75" customHeight="1" x14ac:dyDescent="0.3">
      <c r="BB1046729" s="38"/>
    </row>
    <row r="1046730" spans="54:54" ht="15.75" customHeight="1" x14ac:dyDescent="0.3">
      <c r="BB1046730" s="38"/>
    </row>
    <row r="1046731" spans="54:54" ht="15.75" customHeight="1" x14ac:dyDescent="0.3">
      <c r="BB1046731" s="38"/>
    </row>
    <row r="1046732" spans="54:54" ht="15.75" customHeight="1" x14ac:dyDescent="0.3">
      <c r="BB1046732" s="38"/>
    </row>
    <row r="1046733" spans="54:54" ht="15.75" customHeight="1" x14ac:dyDescent="0.3">
      <c r="BB1046733" s="38"/>
    </row>
    <row r="1046734" spans="54:54" ht="15.75" customHeight="1" x14ac:dyDescent="0.3">
      <c r="BB1046734" s="38"/>
    </row>
    <row r="1046735" spans="54:54" ht="15.75" customHeight="1" x14ac:dyDescent="0.3">
      <c r="BB1046735" s="38"/>
    </row>
    <row r="1046736" spans="54:54" ht="15.75" customHeight="1" x14ac:dyDescent="0.3">
      <c r="BB1046736" s="38"/>
    </row>
    <row r="1046737" spans="54:54" ht="15.75" customHeight="1" x14ac:dyDescent="0.3">
      <c r="BB1046737" s="38"/>
    </row>
    <row r="1046738" spans="54:54" ht="15.75" customHeight="1" x14ac:dyDescent="0.3">
      <c r="BB1046738" s="38"/>
    </row>
    <row r="1046739" spans="54:54" ht="15.75" customHeight="1" x14ac:dyDescent="0.3">
      <c r="BB1046739" s="38"/>
    </row>
    <row r="1046740" spans="54:54" ht="15.75" customHeight="1" x14ac:dyDescent="0.3">
      <c r="BB1046740" s="38"/>
    </row>
    <row r="1046741" spans="54:54" ht="15.75" customHeight="1" x14ac:dyDescent="0.3">
      <c r="BB1046741" s="38"/>
    </row>
    <row r="1046742" spans="54:54" ht="15.75" customHeight="1" x14ac:dyDescent="0.3">
      <c r="BB1046742" s="38"/>
    </row>
    <row r="1046743" spans="54:54" ht="15.75" customHeight="1" x14ac:dyDescent="0.3">
      <c r="BB1046743" s="38"/>
    </row>
    <row r="1046744" spans="54:54" ht="15.75" customHeight="1" x14ac:dyDescent="0.3">
      <c r="BB1046744" s="38"/>
    </row>
    <row r="1046745" spans="54:54" ht="15.75" customHeight="1" x14ac:dyDescent="0.3">
      <c r="BB1046745" s="38"/>
    </row>
    <row r="1046746" spans="54:54" ht="15.75" customHeight="1" x14ac:dyDescent="0.3">
      <c r="BB1046746" s="38"/>
    </row>
    <row r="1046747" spans="54:54" ht="15.75" customHeight="1" x14ac:dyDescent="0.3">
      <c r="BB1046747" s="38"/>
    </row>
    <row r="1046748" spans="54:54" ht="15.75" customHeight="1" x14ac:dyDescent="0.3">
      <c r="BB1046748" s="38"/>
    </row>
    <row r="1046749" spans="54:54" ht="15.75" customHeight="1" x14ac:dyDescent="0.3">
      <c r="BB1046749" s="38"/>
    </row>
    <row r="1046750" spans="54:54" ht="15.75" customHeight="1" x14ac:dyDescent="0.3">
      <c r="BB1046750" s="38"/>
    </row>
    <row r="1046751" spans="54:54" ht="15.75" customHeight="1" x14ac:dyDescent="0.3">
      <c r="BB1046751" s="38"/>
    </row>
    <row r="1046752" spans="54:54" ht="15.75" customHeight="1" x14ac:dyDescent="0.3">
      <c r="BB1046752" s="38"/>
    </row>
    <row r="1046753" spans="54:54" ht="15.75" customHeight="1" x14ac:dyDescent="0.3">
      <c r="BB1046753" s="38"/>
    </row>
    <row r="1046754" spans="54:54" ht="15.75" customHeight="1" x14ac:dyDescent="0.3">
      <c r="BB1046754" s="38"/>
    </row>
    <row r="1046755" spans="54:54" ht="15.75" customHeight="1" x14ac:dyDescent="0.3">
      <c r="BB1046755" s="38"/>
    </row>
    <row r="1046756" spans="54:54" ht="15.75" customHeight="1" x14ac:dyDescent="0.3">
      <c r="BB1046756" s="38"/>
    </row>
    <row r="1046757" spans="54:54" ht="15.75" customHeight="1" x14ac:dyDescent="0.3">
      <c r="BB1046757" s="38"/>
    </row>
    <row r="1046758" spans="54:54" ht="15.75" customHeight="1" x14ac:dyDescent="0.3">
      <c r="BB1046758" s="38"/>
    </row>
    <row r="1046759" spans="54:54" ht="15.75" customHeight="1" x14ac:dyDescent="0.3">
      <c r="BB1046759" s="38"/>
    </row>
    <row r="1046760" spans="54:54" ht="15.75" customHeight="1" x14ac:dyDescent="0.3">
      <c r="BB1046760" s="38"/>
    </row>
    <row r="1046761" spans="54:54" ht="15.75" customHeight="1" x14ac:dyDescent="0.3">
      <c r="BB1046761" s="38"/>
    </row>
    <row r="1046762" spans="54:54" ht="15.75" customHeight="1" x14ac:dyDescent="0.3">
      <c r="BB1046762" s="38"/>
    </row>
    <row r="1046763" spans="54:54" ht="15.75" customHeight="1" x14ac:dyDescent="0.3">
      <c r="BB1046763" s="38"/>
    </row>
    <row r="1046764" spans="54:54" ht="15.75" customHeight="1" x14ac:dyDescent="0.3">
      <c r="BB1046764" s="38"/>
    </row>
    <row r="1046765" spans="54:54" ht="15.75" customHeight="1" x14ac:dyDescent="0.3">
      <c r="BB1046765" s="38"/>
    </row>
    <row r="1046766" spans="54:54" ht="15.75" customHeight="1" x14ac:dyDescent="0.3">
      <c r="BB1046766" s="38"/>
    </row>
    <row r="1046767" spans="54:54" ht="15.75" customHeight="1" x14ac:dyDescent="0.3">
      <c r="BB1046767" s="38"/>
    </row>
    <row r="1046768" spans="54:54" ht="15.75" customHeight="1" x14ac:dyDescent="0.3">
      <c r="BB1046768" s="38"/>
    </row>
    <row r="1046769" spans="54:54" ht="15.75" customHeight="1" x14ac:dyDescent="0.3">
      <c r="BB1046769" s="38"/>
    </row>
    <row r="1046770" spans="54:54" ht="15.75" customHeight="1" x14ac:dyDescent="0.3">
      <c r="BB1046770" s="38"/>
    </row>
    <row r="1046771" spans="54:54" ht="15.75" customHeight="1" x14ac:dyDescent="0.3">
      <c r="BB1046771" s="38"/>
    </row>
    <row r="1046772" spans="54:54" ht="15.75" customHeight="1" x14ac:dyDescent="0.3">
      <c r="BB1046772" s="38"/>
    </row>
    <row r="1046773" spans="54:54" ht="15.75" customHeight="1" x14ac:dyDescent="0.3">
      <c r="BB1046773" s="38"/>
    </row>
    <row r="1046774" spans="54:54" ht="15.75" customHeight="1" x14ac:dyDescent="0.3">
      <c r="BB1046774" s="38"/>
    </row>
    <row r="1046775" spans="54:54" ht="15.75" customHeight="1" x14ac:dyDescent="0.3">
      <c r="BB1046775" s="38"/>
    </row>
    <row r="1046776" spans="54:54" ht="15.75" customHeight="1" x14ac:dyDescent="0.3">
      <c r="BB1046776" s="38"/>
    </row>
    <row r="1046777" spans="54:54" ht="15.75" customHeight="1" x14ac:dyDescent="0.3">
      <c r="BB1046777" s="38"/>
    </row>
    <row r="1046778" spans="54:54" ht="15.75" customHeight="1" x14ac:dyDescent="0.3">
      <c r="BB1046778" s="38"/>
    </row>
    <row r="1046779" spans="54:54" ht="15.75" customHeight="1" x14ac:dyDescent="0.3">
      <c r="BB1046779" s="38"/>
    </row>
    <row r="1046780" spans="54:54" ht="15.75" customHeight="1" x14ac:dyDescent="0.3">
      <c r="BB1046780" s="38"/>
    </row>
    <row r="1046781" spans="54:54" ht="15.75" customHeight="1" x14ac:dyDescent="0.3">
      <c r="BB1046781" s="38"/>
    </row>
    <row r="1046782" spans="54:54" ht="15.75" customHeight="1" x14ac:dyDescent="0.3">
      <c r="BB1046782" s="38"/>
    </row>
    <row r="1046783" spans="54:54" ht="15.75" customHeight="1" x14ac:dyDescent="0.3">
      <c r="BB1046783" s="38"/>
    </row>
    <row r="1046784" spans="54:54" ht="15.75" customHeight="1" x14ac:dyDescent="0.3">
      <c r="BB1046784" s="38"/>
    </row>
    <row r="1046785" spans="54:54" ht="15.75" customHeight="1" x14ac:dyDescent="0.3">
      <c r="BB1046785" s="38"/>
    </row>
    <row r="1046786" spans="54:54" ht="15.75" customHeight="1" x14ac:dyDescent="0.3">
      <c r="BB1046786" s="38"/>
    </row>
    <row r="1046787" spans="54:54" ht="15.75" customHeight="1" x14ac:dyDescent="0.3">
      <c r="BB1046787" s="38"/>
    </row>
    <row r="1046788" spans="54:54" ht="15.75" customHeight="1" x14ac:dyDescent="0.3">
      <c r="BB1046788" s="38"/>
    </row>
    <row r="1046789" spans="54:54" ht="15.75" customHeight="1" x14ac:dyDescent="0.3">
      <c r="BB1046789" s="38"/>
    </row>
    <row r="1046790" spans="54:54" ht="15.75" customHeight="1" x14ac:dyDescent="0.3">
      <c r="BB1046790" s="38"/>
    </row>
    <row r="1046791" spans="54:54" ht="15.75" customHeight="1" x14ac:dyDescent="0.3">
      <c r="BB1046791" s="38"/>
    </row>
    <row r="1046792" spans="54:54" ht="15.75" customHeight="1" x14ac:dyDescent="0.3">
      <c r="BB1046792" s="38"/>
    </row>
    <row r="1046793" spans="54:54" ht="15.75" customHeight="1" x14ac:dyDescent="0.3">
      <c r="BB1046793" s="38"/>
    </row>
    <row r="1046794" spans="54:54" ht="15.75" customHeight="1" x14ac:dyDescent="0.3">
      <c r="BB1046794" s="38"/>
    </row>
    <row r="1046795" spans="54:54" ht="15.75" customHeight="1" x14ac:dyDescent="0.3">
      <c r="BB1046795" s="38"/>
    </row>
    <row r="1046796" spans="54:54" ht="15.75" customHeight="1" x14ac:dyDescent="0.3">
      <c r="BB1046796" s="38"/>
    </row>
    <row r="1046797" spans="54:54" ht="15.75" customHeight="1" x14ac:dyDescent="0.3">
      <c r="BB1046797" s="38"/>
    </row>
    <row r="1046798" spans="54:54" ht="15.75" customHeight="1" x14ac:dyDescent="0.3">
      <c r="BB1046798" s="38"/>
    </row>
    <row r="1046799" spans="54:54" ht="15.75" customHeight="1" x14ac:dyDescent="0.3">
      <c r="BB1046799" s="38"/>
    </row>
    <row r="1046800" spans="54:54" ht="15.75" customHeight="1" x14ac:dyDescent="0.3">
      <c r="BB1046800" s="38"/>
    </row>
    <row r="1046801" spans="54:54" ht="15.75" customHeight="1" x14ac:dyDescent="0.3">
      <c r="BB1046801" s="38"/>
    </row>
    <row r="1046802" spans="54:54" ht="15.75" customHeight="1" x14ac:dyDescent="0.3">
      <c r="BB1046802" s="38"/>
    </row>
    <row r="1046803" spans="54:54" ht="15.75" customHeight="1" x14ac:dyDescent="0.3">
      <c r="BB1046803" s="38"/>
    </row>
    <row r="1046804" spans="54:54" ht="15.75" customHeight="1" x14ac:dyDescent="0.3">
      <c r="BB1046804" s="38"/>
    </row>
    <row r="1046805" spans="54:54" ht="15.75" customHeight="1" x14ac:dyDescent="0.3">
      <c r="BB1046805" s="38"/>
    </row>
    <row r="1046806" spans="54:54" ht="15.75" customHeight="1" x14ac:dyDescent="0.3">
      <c r="BB1046806" s="38"/>
    </row>
    <row r="1046807" spans="54:54" ht="15.75" customHeight="1" x14ac:dyDescent="0.3">
      <c r="BB1046807" s="38"/>
    </row>
    <row r="1046808" spans="54:54" ht="15.75" customHeight="1" x14ac:dyDescent="0.3">
      <c r="BB1046808" s="38"/>
    </row>
    <row r="1046809" spans="54:54" ht="15.75" customHeight="1" x14ac:dyDescent="0.3">
      <c r="BB1046809" s="38"/>
    </row>
    <row r="1046810" spans="54:54" ht="15.75" customHeight="1" x14ac:dyDescent="0.3">
      <c r="BB1046810" s="38"/>
    </row>
    <row r="1046811" spans="54:54" ht="15.75" customHeight="1" x14ac:dyDescent="0.3">
      <c r="BB1046811" s="38"/>
    </row>
    <row r="1046812" spans="54:54" ht="15.75" customHeight="1" x14ac:dyDescent="0.3">
      <c r="BB1046812" s="38"/>
    </row>
    <row r="1046813" spans="54:54" ht="15.75" customHeight="1" x14ac:dyDescent="0.3">
      <c r="BB1046813" s="38"/>
    </row>
    <row r="1046814" spans="54:54" ht="15.75" customHeight="1" x14ac:dyDescent="0.3">
      <c r="BB1046814" s="38"/>
    </row>
    <row r="1046815" spans="54:54" ht="15.75" customHeight="1" x14ac:dyDescent="0.3">
      <c r="BB1046815" s="38"/>
    </row>
    <row r="1046816" spans="54:54" ht="15.75" customHeight="1" x14ac:dyDescent="0.3">
      <c r="BB1046816" s="38"/>
    </row>
    <row r="1046817" spans="54:54" ht="15.75" customHeight="1" x14ac:dyDescent="0.3">
      <c r="BB1046817" s="38"/>
    </row>
    <row r="1046818" spans="54:54" ht="15.75" customHeight="1" x14ac:dyDescent="0.3">
      <c r="BB1046818" s="38"/>
    </row>
    <row r="1046819" spans="54:54" ht="15.75" customHeight="1" x14ac:dyDescent="0.3">
      <c r="BB1046819" s="38"/>
    </row>
    <row r="1046820" spans="54:54" ht="15.75" customHeight="1" x14ac:dyDescent="0.3">
      <c r="BB1046820" s="38"/>
    </row>
    <row r="1046821" spans="54:54" ht="15.75" customHeight="1" x14ac:dyDescent="0.3">
      <c r="BB1046821" s="38"/>
    </row>
    <row r="1046822" spans="54:54" ht="15.75" customHeight="1" x14ac:dyDescent="0.3">
      <c r="BB1046822" s="38"/>
    </row>
    <row r="1046823" spans="54:54" ht="15.75" customHeight="1" x14ac:dyDescent="0.3">
      <c r="BB1046823" s="38"/>
    </row>
    <row r="1046824" spans="54:54" ht="15.75" customHeight="1" x14ac:dyDescent="0.3">
      <c r="BB1046824" s="38"/>
    </row>
    <row r="1046825" spans="54:54" ht="15.75" customHeight="1" x14ac:dyDescent="0.3">
      <c r="BB1046825" s="38"/>
    </row>
    <row r="1046826" spans="54:54" ht="15.75" customHeight="1" x14ac:dyDescent="0.3">
      <c r="BB1046826" s="38"/>
    </row>
    <row r="1046827" spans="54:54" ht="15.75" customHeight="1" x14ac:dyDescent="0.3">
      <c r="BB1046827" s="38"/>
    </row>
    <row r="1046828" spans="54:54" ht="15.75" customHeight="1" x14ac:dyDescent="0.3">
      <c r="BB1046828" s="38"/>
    </row>
    <row r="1046829" spans="54:54" ht="15.75" customHeight="1" x14ac:dyDescent="0.3">
      <c r="BB1046829" s="38"/>
    </row>
    <row r="1046830" spans="54:54" ht="15.75" customHeight="1" x14ac:dyDescent="0.3">
      <c r="BB1046830" s="38"/>
    </row>
    <row r="1046831" spans="54:54" ht="15.75" customHeight="1" x14ac:dyDescent="0.3">
      <c r="BB1046831" s="38"/>
    </row>
    <row r="1046832" spans="54:54" ht="15.75" customHeight="1" x14ac:dyDescent="0.3">
      <c r="BB1046832" s="38"/>
    </row>
    <row r="1046833" spans="54:54" ht="15.75" customHeight="1" x14ac:dyDescent="0.3">
      <c r="BB1046833" s="38"/>
    </row>
    <row r="1046834" spans="54:54" ht="15.75" customHeight="1" x14ac:dyDescent="0.3">
      <c r="BB1046834" s="38"/>
    </row>
    <row r="1046835" spans="54:54" ht="15.75" customHeight="1" x14ac:dyDescent="0.3">
      <c r="BB1046835" s="38"/>
    </row>
    <row r="1046836" spans="54:54" ht="15.75" customHeight="1" x14ac:dyDescent="0.3">
      <c r="BB1046836" s="38"/>
    </row>
    <row r="1046837" spans="54:54" ht="15.75" customHeight="1" x14ac:dyDescent="0.3">
      <c r="BB1046837" s="38"/>
    </row>
    <row r="1046838" spans="54:54" ht="15.75" customHeight="1" x14ac:dyDescent="0.3">
      <c r="BB1046838" s="38"/>
    </row>
    <row r="1046839" spans="54:54" ht="15.75" customHeight="1" x14ac:dyDescent="0.3">
      <c r="BB1046839" s="38"/>
    </row>
    <row r="1046840" spans="54:54" ht="15.75" customHeight="1" x14ac:dyDescent="0.3">
      <c r="BB1046840" s="38"/>
    </row>
    <row r="1046841" spans="54:54" ht="15.75" customHeight="1" x14ac:dyDescent="0.3">
      <c r="BB1046841" s="38"/>
    </row>
    <row r="1046842" spans="54:54" ht="15.75" customHeight="1" x14ac:dyDescent="0.3">
      <c r="BB1046842" s="38"/>
    </row>
    <row r="1046843" spans="54:54" ht="15.75" customHeight="1" x14ac:dyDescent="0.3">
      <c r="BB1046843" s="38"/>
    </row>
    <row r="1046844" spans="54:54" ht="15.75" customHeight="1" x14ac:dyDescent="0.3">
      <c r="BB1046844" s="38"/>
    </row>
    <row r="1046845" spans="54:54" ht="15.75" customHeight="1" x14ac:dyDescent="0.3">
      <c r="BB1046845" s="38"/>
    </row>
    <row r="1046846" spans="54:54" ht="15.75" customHeight="1" x14ac:dyDescent="0.3">
      <c r="BB1046846" s="38"/>
    </row>
    <row r="1046847" spans="54:54" ht="15.75" customHeight="1" x14ac:dyDescent="0.3">
      <c r="BB1046847" s="38"/>
    </row>
    <row r="1046848" spans="54:54" ht="15.75" customHeight="1" x14ac:dyDescent="0.3">
      <c r="BB1046848" s="38"/>
    </row>
    <row r="1046849" spans="54:54" ht="15.75" customHeight="1" x14ac:dyDescent="0.3">
      <c r="BB1046849" s="38"/>
    </row>
    <row r="1046850" spans="54:54" ht="15.75" customHeight="1" x14ac:dyDescent="0.3">
      <c r="BB1046850" s="38"/>
    </row>
    <row r="1046851" spans="54:54" ht="15.75" customHeight="1" x14ac:dyDescent="0.3">
      <c r="BB1046851" s="38"/>
    </row>
    <row r="1046852" spans="54:54" ht="15.75" customHeight="1" x14ac:dyDescent="0.3">
      <c r="BB1046852" s="38"/>
    </row>
    <row r="1046853" spans="54:54" ht="15.75" customHeight="1" x14ac:dyDescent="0.3">
      <c r="BB1046853" s="38"/>
    </row>
    <row r="1046854" spans="54:54" ht="15.75" customHeight="1" x14ac:dyDescent="0.3">
      <c r="BB1046854" s="38"/>
    </row>
    <row r="1046855" spans="54:54" ht="15.75" customHeight="1" x14ac:dyDescent="0.3">
      <c r="BB1046855" s="38"/>
    </row>
    <row r="1046856" spans="54:54" ht="15.75" customHeight="1" x14ac:dyDescent="0.3">
      <c r="BB1046856" s="38"/>
    </row>
    <row r="1046857" spans="54:54" ht="15.75" customHeight="1" x14ac:dyDescent="0.3">
      <c r="BB1046857" s="38"/>
    </row>
    <row r="1046858" spans="54:54" ht="15.75" customHeight="1" x14ac:dyDescent="0.3">
      <c r="BB1046858" s="38"/>
    </row>
    <row r="1046859" spans="54:54" ht="15.75" customHeight="1" x14ac:dyDescent="0.3">
      <c r="BB1046859" s="38"/>
    </row>
    <row r="1046860" spans="54:54" ht="15.75" customHeight="1" x14ac:dyDescent="0.3">
      <c r="BB1046860" s="38"/>
    </row>
    <row r="1046861" spans="54:54" ht="15.75" customHeight="1" x14ac:dyDescent="0.3">
      <c r="BB1046861" s="38"/>
    </row>
    <row r="1046862" spans="54:54" ht="15.75" customHeight="1" x14ac:dyDescent="0.3">
      <c r="BB1046862" s="38"/>
    </row>
    <row r="1046863" spans="54:54" ht="15.75" customHeight="1" x14ac:dyDescent="0.3">
      <c r="BB1046863" s="38"/>
    </row>
    <row r="1046864" spans="54:54" ht="15.75" customHeight="1" x14ac:dyDescent="0.3">
      <c r="BB1046864" s="38"/>
    </row>
    <row r="1046865" spans="54:54" ht="15.75" customHeight="1" x14ac:dyDescent="0.3">
      <c r="BB1046865" s="38"/>
    </row>
    <row r="1046866" spans="54:54" ht="15.75" customHeight="1" x14ac:dyDescent="0.3">
      <c r="BB1046866" s="38"/>
    </row>
    <row r="1046867" spans="54:54" ht="15.75" customHeight="1" x14ac:dyDescent="0.3">
      <c r="BB1046867" s="38"/>
    </row>
    <row r="1046868" spans="54:54" ht="15.75" customHeight="1" x14ac:dyDescent="0.3">
      <c r="BB1046868" s="38"/>
    </row>
    <row r="1046869" spans="54:54" ht="15.75" customHeight="1" x14ac:dyDescent="0.3">
      <c r="BB1046869" s="38"/>
    </row>
    <row r="1046870" spans="54:54" ht="15.75" customHeight="1" x14ac:dyDescent="0.3">
      <c r="BB1046870" s="38"/>
    </row>
    <row r="1046871" spans="54:54" ht="15.75" customHeight="1" x14ac:dyDescent="0.3">
      <c r="BB1046871" s="38"/>
    </row>
    <row r="1046872" spans="54:54" ht="15.75" customHeight="1" x14ac:dyDescent="0.3">
      <c r="BB1046872" s="38"/>
    </row>
    <row r="1046873" spans="54:54" ht="15.75" customHeight="1" x14ac:dyDescent="0.3">
      <c r="BB1046873" s="38"/>
    </row>
    <row r="1046874" spans="54:54" ht="15.75" customHeight="1" x14ac:dyDescent="0.3">
      <c r="BB1046874" s="38"/>
    </row>
    <row r="1046875" spans="54:54" ht="15.75" customHeight="1" x14ac:dyDescent="0.3">
      <c r="BB1046875" s="38"/>
    </row>
    <row r="1046876" spans="54:54" ht="15.75" customHeight="1" x14ac:dyDescent="0.3">
      <c r="BB1046876" s="38"/>
    </row>
    <row r="1046877" spans="54:54" ht="15.75" customHeight="1" x14ac:dyDescent="0.3">
      <c r="BB1046877" s="38"/>
    </row>
    <row r="1046878" spans="54:54" ht="15.75" customHeight="1" x14ac:dyDescent="0.3">
      <c r="BB1046878" s="38"/>
    </row>
    <row r="1046879" spans="54:54" ht="15.75" customHeight="1" x14ac:dyDescent="0.3">
      <c r="BB1046879" s="38"/>
    </row>
    <row r="1046880" spans="54:54" ht="15.75" customHeight="1" x14ac:dyDescent="0.3">
      <c r="BB1046880" s="38"/>
    </row>
    <row r="1046881" spans="54:54" ht="15.75" customHeight="1" x14ac:dyDescent="0.3">
      <c r="BB1046881" s="38"/>
    </row>
    <row r="1046882" spans="54:54" ht="15.75" customHeight="1" x14ac:dyDescent="0.3">
      <c r="BB1046882" s="38"/>
    </row>
    <row r="1046883" spans="54:54" ht="15.75" customHeight="1" x14ac:dyDescent="0.3">
      <c r="BB1046883" s="38"/>
    </row>
    <row r="1046884" spans="54:54" ht="15.75" customHeight="1" x14ac:dyDescent="0.3">
      <c r="BB1046884" s="38"/>
    </row>
    <row r="1046885" spans="54:54" ht="15.75" customHeight="1" x14ac:dyDescent="0.3">
      <c r="BB1046885" s="38"/>
    </row>
    <row r="1046886" spans="54:54" ht="15.75" customHeight="1" x14ac:dyDescent="0.3">
      <c r="BB1046886" s="38"/>
    </row>
    <row r="1046887" spans="54:54" ht="15.75" customHeight="1" x14ac:dyDescent="0.3">
      <c r="BB1046887" s="38"/>
    </row>
    <row r="1046888" spans="54:54" ht="15.75" customHeight="1" x14ac:dyDescent="0.3">
      <c r="BB1046888" s="38"/>
    </row>
    <row r="1046889" spans="54:54" ht="15.75" customHeight="1" x14ac:dyDescent="0.3">
      <c r="BB1046889" s="38"/>
    </row>
    <row r="1046890" spans="54:54" ht="15.75" customHeight="1" x14ac:dyDescent="0.3">
      <c r="BB1046890" s="38"/>
    </row>
    <row r="1046891" spans="54:54" ht="15.75" customHeight="1" x14ac:dyDescent="0.3">
      <c r="BB1046891" s="38"/>
    </row>
    <row r="1046892" spans="54:54" ht="15.75" customHeight="1" x14ac:dyDescent="0.3">
      <c r="BB1046892" s="38"/>
    </row>
    <row r="1046893" spans="54:54" ht="15.75" customHeight="1" x14ac:dyDescent="0.3">
      <c r="BB1046893" s="38"/>
    </row>
    <row r="1046894" spans="54:54" ht="15.75" customHeight="1" x14ac:dyDescent="0.3">
      <c r="BB1046894" s="38"/>
    </row>
    <row r="1046895" spans="54:54" ht="15.75" customHeight="1" x14ac:dyDescent="0.3">
      <c r="BB1046895" s="38"/>
    </row>
    <row r="1046896" spans="54:54" ht="15.75" customHeight="1" x14ac:dyDescent="0.3">
      <c r="BB1046896" s="38"/>
    </row>
    <row r="1046897" spans="54:54" ht="15.75" customHeight="1" x14ac:dyDescent="0.3">
      <c r="BB1046897" s="38"/>
    </row>
    <row r="1046898" spans="54:54" ht="15.75" customHeight="1" x14ac:dyDescent="0.3">
      <c r="BB1046898" s="38"/>
    </row>
    <row r="1046899" spans="54:54" ht="15.75" customHeight="1" x14ac:dyDescent="0.3">
      <c r="BB1046899" s="38"/>
    </row>
    <row r="1046900" spans="54:54" ht="15.75" customHeight="1" x14ac:dyDescent="0.3">
      <c r="BB1046900" s="38"/>
    </row>
    <row r="1046901" spans="54:54" ht="15.75" customHeight="1" x14ac:dyDescent="0.3">
      <c r="BB1046901" s="38"/>
    </row>
    <row r="1046902" spans="54:54" ht="15.75" customHeight="1" x14ac:dyDescent="0.3">
      <c r="BB1046902" s="38"/>
    </row>
    <row r="1046903" spans="54:54" ht="15.75" customHeight="1" x14ac:dyDescent="0.3">
      <c r="BB1046903" s="38"/>
    </row>
    <row r="1046904" spans="54:54" ht="15.75" customHeight="1" x14ac:dyDescent="0.3">
      <c r="BB1046904" s="38"/>
    </row>
    <row r="1046905" spans="54:54" ht="15.75" customHeight="1" x14ac:dyDescent="0.3">
      <c r="BB1046905" s="38"/>
    </row>
    <row r="1046906" spans="54:54" ht="15.75" customHeight="1" x14ac:dyDescent="0.3">
      <c r="BB1046906" s="38"/>
    </row>
    <row r="1046907" spans="54:54" ht="15.75" customHeight="1" x14ac:dyDescent="0.3">
      <c r="BB1046907" s="38"/>
    </row>
    <row r="1046908" spans="54:54" ht="15.75" customHeight="1" x14ac:dyDescent="0.3">
      <c r="BB1046908" s="38"/>
    </row>
    <row r="1046909" spans="54:54" ht="15.75" customHeight="1" x14ac:dyDescent="0.3">
      <c r="BB1046909" s="38"/>
    </row>
    <row r="1046910" spans="54:54" ht="15.75" customHeight="1" x14ac:dyDescent="0.3">
      <c r="BB1046910" s="38"/>
    </row>
    <row r="1046911" spans="54:54" ht="15.75" customHeight="1" x14ac:dyDescent="0.3">
      <c r="BB1046911" s="38"/>
    </row>
    <row r="1046912" spans="54:54" ht="15.75" customHeight="1" x14ac:dyDescent="0.3">
      <c r="BB1046912" s="38"/>
    </row>
    <row r="1046913" spans="54:54" ht="15.75" customHeight="1" x14ac:dyDescent="0.3">
      <c r="BB1046913" s="38"/>
    </row>
    <row r="1046914" spans="54:54" ht="15.75" customHeight="1" x14ac:dyDescent="0.3">
      <c r="BB1046914" s="38"/>
    </row>
    <row r="1046915" spans="54:54" ht="15.75" customHeight="1" x14ac:dyDescent="0.3">
      <c r="BB1046915" s="38"/>
    </row>
    <row r="1046916" spans="54:54" ht="15.75" customHeight="1" x14ac:dyDescent="0.3">
      <c r="BB1046916" s="38"/>
    </row>
    <row r="1046917" spans="54:54" ht="15.75" customHeight="1" x14ac:dyDescent="0.3">
      <c r="BB1046917" s="38"/>
    </row>
    <row r="1046918" spans="54:54" ht="15.75" customHeight="1" x14ac:dyDescent="0.3">
      <c r="BB1046918" s="38"/>
    </row>
    <row r="1046919" spans="54:54" ht="15.75" customHeight="1" x14ac:dyDescent="0.3">
      <c r="BB1046919" s="38"/>
    </row>
    <row r="1046920" spans="54:54" ht="15.75" customHeight="1" x14ac:dyDescent="0.3">
      <c r="BB1046920" s="38"/>
    </row>
    <row r="1046921" spans="54:54" ht="15.75" customHeight="1" x14ac:dyDescent="0.3">
      <c r="BB1046921" s="38"/>
    </row>
    <row r="1046922" spans="54:54" ht="15.75" customHeight="1" x14ac:dyDescent="0.3">
      <c r="BB1046922" s="38"/>
    </row>
    <row r="1046923" spans="54:54" ht="15.75" customHeight="1" x14ac:dyDescent="0.3">
      <c r="BB1046923" s="38"/>
    </row>
    <row r="1046924" spans="54:54" ht="15.75" customHeight="1" x14ac:dyDescent="0.3">
      <c r="BB1046924" s="38"/>
    </row>
    <row r="1046925" spans="54:54" ht="15.75" customHeight="1" x14ac:dyDescent="0.3">
      <c r="BB1046925" s="38"/>
    </row>
    <row r="1046926" spans="54:54" ht="15.75" customHeight="1" x14ac:dyDescent="0.3">
      <c r="BB1046926" s="38"/>
    </row>
    <row r="1046927" spans="54:54" ht="15.75" customHeight="1" x14ac:dyDescent="0.3">
      <c r="BB1046927" s="38"/>
    </row>
    <row r="1046928" spans="54:54" ht="15.75" customHeight="1" x14ac:dyDescent="0.3">
      <c r="BB1046928" s="38"/>
    </row>
    <row r="1046929" spans="54:54" ht="15.75" customHeight="1" x14ac:dyDescent="0.3">
      <c r="BB1046929" s="38"/>
    </row>
    <row r="1046930" spans="54:54" ht="15.75" customHeight="1" x14ac:dyDescent="0.3">
      <c r="BB1046930" s="38"/>
    </row>
    <row r="1046931" spans="54:54" ht="15.75" customHeight="1" x14ac:dyDescent="0.3">
      <c r="BB1046931" s="38"/>
    </row>
    <row r="1046932" spans="54:54" ht="15.75" customHeight="1" x14ac:dyDescent="0.3">
      <c r="BB1046932" s="38"/>
    </row>
    <row r="1046933" spans="54:54" ht="15.75" customHeight="1" x14ac:dyDescent="0.3">
      <c r="BB1046933" s="38"/>
    </row>
    <row r="1046934" spans="54:54" ht="15.75" customHeight="1" x14ac:dyDescent="0.3">
      <c r="BB1046934" s="38"/>
    </row>
    <row r="1046935" spans="54:54" ht="15.75" customHeight="1" x14ac:dyDescent="0.3">
      <c r="BB1046935" s="38"/>
    </row>
    <row r="1046936" spans="54:54" ht="15.75" customHeight="1" x14ac:dyDescent="0.3">
      <c r="BB1046936" s="38"/>
    </row>
    <row r="1046937" spans="54:54" ht="15.75" customHeight="1" x14ac:dyDescent="0.3">
      <c r="BB1046937" s="38"/>
    </row>
    <row r="1046938" spans="54:54" ht="15.75" customHeight="1" x14ac:dyDescent="0.3">
      <c r="BB1046938" s="38"/>
    </row>
    <row r="1046939" spans="54:54" ht="15.75" customHeight="1" x14ac:dyDescent="0.3">
      <c r="BB1046939" s="38"/>
    </row>
    <row r="1046940" spans="54:54" ht="15.75" customHeight="1" x14ac:dyDescent="0.3">
      <c r="BB1046940" s="38"/>
    </row>
    <row r="1046941" spans="54:54" ht="15.75" customHeight="1" x14ac:dyDescent="0.3">
      <c r="BB1046941" s="38"/>
    </row>
    <row r="1046942" spans="54:54" ht="15.75" customHeight="1" x14ac:dyDescent="0.3">
      <c r="BB1046942" s="38"/>
    </row>
    <row r="1046943" spans="54:54" ht="15.75" customHeight="1" x14ac:dyDescent="0.3">
      <c r="BB1046943" s="38"/>
    </row>
    <row r="1046944" spans="54:54" ht="15.75" customHeight="1" x14ac:dyDescent="0.3">
      <c r="BB1046944" s="38"/>
    </row>
    <row r="1046945" spans="54:54" ht="15.75" customHeight="1" x14ac:dyDescent="0.3">
      <c r="BB1046945" s="38"/>
    </row>
    <row r="1046946" spans="54:54" ht="15.75" customHeight="1" x14ac:dyDescent="0.3">
      <c r="BB1046946" s="38"/>
    </row>
    <row r="1046947" spans="54:54" ht="15.75" customHeight="1" x14ac:dyDescent="0.3">
      <c r="BB1046947" s="38"/>
    </row>
    <row r="1046948" spans="54:54" ht="15.75" customHeight="1" x14ac:dyDescent="0.3">
      <c r="BB1046948" s="38"/>
    </row>
    <row r="1046949" spans="54:54" ht="15.75" customHeight="1" x14ac:dyDescent="0.3">
      <c r="BB1046949" s="38"/>
    </row>
    <row r="1046950" spans="54:54" ht="15.75" customHeight="1" x14ac:dyDescent="0.3">
      <c r="BB1046950" s="38"/>
    </row>
    <row r="1046951" spans="54:54" ht="15.75" customHeight="1" x14ac:dyDescent="0.3">
      <c r="BB1046951" s="38"/>
    </row>
    <row r="1046952" spans="54:54" ht="15.75" customHeight="1" x14ac:dyDescent="0.3">
      <c r="BB1046952" s="38"/>
    </row>
    <row r="1046953" spans="54:54" ht="15.75" customHeight="1" x14ac:dyDescent="0.3">
      <c r="BB1046953" s="38"/>
    </row>
    <row r="1046954" spans="54:54" ht="15.75" customHeight="1" x14ac:dyDescent="0.3">
      <c r="BB1046954" s="38"/>
    </row>
    <row r="1046955" spans="54:54" ht="15.75" customHeight="1" x14ac:dyDescent="0.3">
      <c r="BB1046955" s="38"/>
    </row>
    <row r="1046956" spans="54:54" ht="15.75" customHeight="1" x14ac:dyDescent="0.3">
      <c r="BB1046956" s="38"/>
    </row>
    <row r="1046957" spans="54:54" ht="15.75" customHeight="1" x14ac:dyDescent="0.3">
      <c r="BB1046957" s="38"/>
    </row>
    <row r="1046958" spans="54:54" ht="15.75" customHeight="1" x14ac:dyDescent="0.3">
      <c r="BB1046958" s="38"/>
    </row>
    <row r="1046959" spans="54:54" ht="15.75" customHeight="1" x14ac:dyDescent="0.3">
      <c r="BB1046959" s="38"/>
    </row>
    <row r="1046960" spans="54:54" ht="15.75" customHeight="1" x14ac:dyDescent="0.3">
      <c r="BB1046960" s="38"/>
    </row>
    <row r="1046961" spans="54:54" ht="15.75" customHeight="1" x14ac:dyDescent="0.3">
      <c r="BB1046961" s="38"/>
    </row>
    <row r="1046962" spans="54:54" ht="15.75" customHeight="1" x14ac:dyDescent="0.3">
      <c r="BB1046962" s="38"/>
    </row>
    <row r="1046963" spans="54:54" ht="15.75" customHeight="1" x14ac:dyDescent="0.3">
      <c r="BB1046963" s="38"/>
    </row>
    <row r="1046964" spans="54:54" ht="15.75" customHeight="1" x14ac:dyDescent="0.3">
      <c r="BB1046964" s="38"/>
    </row>
    <row r="1046965" spans="54:54" ht="15.75" customHeight="1" x14ac:dyDescent="0.3">
      <c r="BB1046965" s="38"/>
    </row>
    <row r="1046966" spans="54:54" ht="15.75" customHeight="1" x14ac:dyDescent="0.3">
      <c r="BB1046966" s="38"/>
    </row>
    <row r="1046967" spans="54:54" ht="15.75" customHeight="1" x14ac:dyDescent="0.3">
      <c r="BB1046967" s="38"/>
    </row>
    <row r="1046968" spans="54:54" ht="15.75" customHeight="1" x14ac:dyDescent="0.3">
      <c r="BB1046968" s="38"/>
    </row>
    <row r="1046969" spans="54:54" ht="15.75" customHeight="1" x14ac:dyDescent="0.3">
      <c r="BB1046969" s="38"/>
    </row>
    <row r="1046970" spans="54:54" ht="15.75" customHeight="1" x14ac:dyDescent="0.3">
      <c r="BB1046970" s="38"/>
    </row>
    <row r="1046971" spans="54:54" ht="15.75" customHeight="1" x14ac:dyDescent="0.3">
      <c r="BB1046971" s="38"/>
    </row>
    <row r="1046972" spans="54:54" ht="15.75" customHeight="1" x14ac:dyDescent="0.3">
      <c r="BB1046972" s="38"/>
    </row>
    <row r="1046973" spans="54:54" ht="15.75" customHeight="1" x14ac:dyDescent="0.3">
      <c r="BB1046973" s="38"/>
    </row>
    <row r="1046974" spans="54:54" ht="15.75" customHeight="1" x14ac:dyDescent="0.3">
      <c r="BB1046974" s="38"/>
    </row>
    <row r="1046975" spans="54:54" ht="15.75" customHeight="1" x14ac:dyDescent="0.3">
      <c r="BB1046975" s="38"/>
    </row>
    <row r="1046976" spans="54:54" ht="15.75" customHeight="1" x14ac:dyDescent="0.3">
      <c r="BB1046976" s="38"/>
    </row>
    <row r="1046977" spans="54:54" ht="15.75" customHeight="1" x14ac:dyDescent="0.3">
      <c r="BB1046977" s="38"/>
    </row>
    <row r="1046978" spans="54:54" ht="15.75" customHeight="1" x14ac:dyDescent="0.3">
      <c r="BB1046978" s="38"/>
    </row>
    <row r="1046979" spans="54:54" ht="15.75" customHeight="1" x14ac:dyDescent="0.3">
      <c r="BB1046979" s="38"/>
    </row>
    <row r="1046980" spans="54:54" ht="15.75" customHeight="1" x14ac:dyDescent="0.3">
      <c r="BB1046980" s="38"/>
    </row>
    <row r="1046981" spans="54:54" ht="15.75" customHeight="1" x14ac:dyDescent="0.3">
      <c r="BB1046981" s="38"/>
    </row>
    <row r="1046982" spans="54:54" ht="15.75" customHeight="1" x14ac:dyDescent="0.3">
      <c r="BB1046982" s="38"/>
    </row>
    <row r="1046983" spans="54:54" ht="15.75" customHeight="1" x14ac:dyDescent="0.3">
      <c r="BB1046983" s="38"/>
    </row>
    <row r="1046984" spans="54:54" ht="15.75" customHeight="1" x14ac:dyDescent="0.3">
      <c r="BB1046984" s="38"/>
    </row>
    <row r="1046985" spans="54:54" ht="15.75" customHeight="1" x14ac:dyDescent="0.3">
      <c r="BB1046985" s="38"/>
    </row>
    <row r="1046986" spans="54:54" ht="15.75" customHeight="1" x14ac:dyDescent="0.3">
      <c r="BB1046986" s="38"/>
    </row>
    <row r="1046987" spans="54:54" ht="15.75" customHeight="1" x14ac:dyDescent="0.3">
      <c r="BB1046987" s="38"/>
    </row>
    <row r="1046988" spans="54:54" ht="15.75" customHeight="1" x14ac:dyDescent="0.3">
      <c r="BB1046988" s="38"/>
    </row>
    <row r="1046989" spans="54:54" ht="15.75" customHeight="1" x14ac:dyDescent="0.3">
      <c r="BB1046989" s="38"/>
    </row>
    <row r="1046990" spans="54:54" ht="15.75" customHeight="1" x14ac:dyDescent="0.3">
      <c r="BB1046990" s="38"/>
    </row>
    <row r="1046991" spans="54:54" ht="15.75" customHeight="1" x14ac:dyDescent="0.3">
      <c r="BB1046991" s="38"/>
    </row>
    <row r="1046992" spans="54:54" ht="15.75" customHeight="1" x14ac:dyDescent="0.3">
      <c r="BB1046992" s="38"/>
    </row>
    <row r="1046993" spans="54:54" ht="15.75" customHeight="1" x14ac:dyDescent="0.3">
      <c r="BB1046993" s="38"/>
    </row>
    <row r="1046994" spans="54:54" ht="15.75" customHeight="1" x14ac:dyDescent="0.3">
      <c r="BB1046994" s="38"/>
    </row>
    <row r="1046995" spans="54:54" ht="15.75" customHeight="1" x14ac:dyDescent="0.3">
      <c r="BB1046995" s="38"/>
    </row>
    <row r="1046996" spans="54:54" ht="15.75" customHeight="1" x14ac:dyDescent="0.3">
      <c r="BB1046996" s="38"/>
    </row>
    <row r="1046997" spans="54:54" ht="15.75" customHeight="1" x14ac:dyDescent="0.3">
      <c r="BB1046997" s="38"/>
    </row>
    <row r="1046998" spans="54:54" ht="15.75" customHeight="1" x14ac:dyDescent="0.3">
      <c r="BB1046998" s="38"/>
    </row>
    <row r="1046999" spans="54:54" ht="15.75" customHeight="1" x14ac:dyDescent="0.3">
      <c r="BB1046999" s="38"/>
    </row>
    <row r="1047000" spans="54:54" ht="15.75" customHeight="1" x14ac:dyDescent="0.3">
      <c r="BB1047000" s="38"/>
    </row>
    <row r="1047001" spans="54:54" ht="15.75" customHeight="1" x14ac:dyDescent="0.3">
      <c r="BB1047001" s="38"/>
    </row>
    <row r="1047002" spans="54:54" ht="15.75" customHeight="1" x14ac:dyDescent="0.3">
      <c r="BB1047002" s="38"/>
    </row>
    <row r="1047003" spans="54:54" ht="15.75" customHeight="1" x14ac:dyDescent="0.3">
      <c r="BB1047003" s="38"/>
    </row>
    <row r="1047004" spans="54:54" ht="15.75" customHeight="1" x14ac:dyDescent="0.3">
      <c r="BB1047004" s="38"/>
    </row>
    <row r="1047005" spans="54:54" ht="15.75" customHeight="1" x14ac:dyDescent="0.3">
      <c r="BB1047005" s="38"/>
    </row>
    <row r="1047006" spans="54:54" ht="15.75" customHeight="1" x14ac:dyDescent="0.3">
      <c r="BB1047006" s="38"/>
    </row>
    <row r="1047007" spans="54:54" ht="15.75" customHeight="1" x14ac:dyDescent="0.3">
      <c r="BB1047007" s="38"/>
    </row>
    <row r="1047008" spans="54:54" ht="15.75" customHeight="1" x14ac:dyDescent="0.3">
      <c r="BB1047008" s="38"/>
    </row>
    <row r="1047009" spans="54:54" ht="15.75" customHeight="1" x14ac:dyDescent="0.3">
      <c r="BB1047009" s="38"/>
    </row>
    <row r="1047010" spans="54:54" ht="15.75" customHeight="1" x14ac:dyDescent="0.3">
      <c r="BB1047010" s="38"/>
    </row>
    <row r="1047011" spans="54:54" ht="15.75" customHeight="1" x14ac:dyDescent="0.3">
      <c r="BB1047011" s="38"/>
    </row>
    <row r="1047012" spans="54:54" ht="15.75" customHeight="1" x14ac:dyDescent="0.3">
      <c r="BB1047012" s="38"/>
    </row>
    <row r="1047013" spans="54:54" ht="15.75" customHeight="1" x14ac:dyDescent="0.3">
      <c r="BB1047013" s="38"/>
    </row>
    <row r="1047014" spans="54:54" ht="15.75" customHeight="1" x14ac:dyDescent="0.3">
      <c r="BB1047014" s="38"/>
    </row>
    <row r="1047015" spans="54:54" ht="15.75" customHeight="1" x14ac:dyDescent="0.3">
      <c r="BB1047015" s="38"/>
    </row>
    <row r="1047016" spans="54:54" ht="15.75" customHeight="1" x14ac:dyDescent="0.3">
      <c r="BB1047016" s="38"/>
    </row>
    <row r="1047017" spans="54:54" ht="15.75" customHeight="1" x14ac:dyDescent="0.3">
      <c r="BB1047017" s="38"/>
    </row>
    <row r="1047018" spans="54:54" ht="15.75" customHeight="1" x14ac:dyDescent="0.3">
      <c r="BB1047018" s="38"/>
    </row>
    <row r="1047019" spans="54:54" ht="15.75" customHeight="1" x14ac:dyDescent="0.3">
      <c r="BB1047019" s="38"/>
    </row>
    <row r="1047020" spans="54:54" ht="15.75" customHeight="1" x14ac:dyDescent="0.3">
      <c r="BB1047020" s="38"/>
    </row>
    <row r="1047021" spans="54:54" ht="15.75" customHeight="1" x14ac:dyDescent="0.3">
      <c r="BB1047021" s="38"/>
    </row>
    <row r="1047022" spans="54:54" ht="15.75" customHeight="1" x14ac:dyDescent="0.3">
      <c r="BB1047022" s="38"/>
    </row>
    <row r="1047023" spans="54:54" ht="15.75" customHeight="1" x14ac:dyDescent="0.3">
      <c r="BB1047023" s="38"/>
    </row>
    <row r="1047024" spans="54:54" ht="15.75" customHeight="1" x14ac:dyDescent="0.3">
      <c r="BB1047024" s="38"/>
    </row>
    <row r="1047025" spans="54:54" ht="15.75" customHeight="1" x14ac:dyDescent="0.3">
      <c r="BB1047025" s="38"/>
    </row>
    <row r="1047026" spans="54:54" ht="15.75" customHeight="1" x14ac:dyDescent="0.3">
      <c r="BB1047026" s="38"/>
    </row>
    <row r="1047027" spans="54:54" ht="15.75" customHeight="1" x14ac:dyDescent="0.3">
      <c r="BB1047027" s="38"/>
    </row>
    <row r="1047028" spans="54:54" ht="15.75" customHeight="1" x14ac:dyDescent="0.3">
      <c r="BB1047028" s="38"/>
    </row>
    <row r="1047029" spans="54:54" ht="15.75" customHeight="1" x14ac:dyDescent="0.3">
      <c r="BB1047029" s="38"/>
    </row>
    <row r="1047030" spans="54:54" ht="15.75" customHeight="1" x14ac:dyDescent="0.3">
      <c r="BB1047030" s="38"/>
    </row>
    <row r="1047031" spans="54:54" ht="15.75" customHeight="1" x14ac:dyDescent="0.3">
      <c r="BB1047031" s="38"/>
    </row>
    <row r="1047032" spans="54:54" ht="15.75" customHeight="1" x14ac:dyDescent="0.3">
      <c r="BB1047032" s="38"/>
    </row>
    <row r="1047033" spans="54:54" ht="15.75" customHeight="1" x14ac:dyDescent="0.3">
      <c r="BB1047033" s="38"/>
    </row>
    <row r="1047034" spans="54:54" ht="15.75" customHeight="1" x14ac:dyDescent="0.3">
      <c r="BB1047034" s="38"/>
    </row>
    <row r="1047035" spans="54:54" ht="15.75" customHeight="1" x14ac:dyDescent="0.3">
      <c r="BB1047035" s="38"/>
    </row>
    <row r="1047036" spans="54:54" ht="15.75" customHeight="1" x14ac:dyDescent="0.3">
      <c r="BB1047036" s="38"/>
    </row>
    <row r="1047037" spans="54:54" ht="15.75" customHeight="1" x14ac:dyDescent="0.3">
      <c r="BB1047037" s="38"/>
    </row>
    <row r="1047038" spans="54:54" ht="15.75" customHeight="1" x14ac:dyDescent="0.3">
      <c r="BB1047038" s="38"/>
    </row>
    <row r="1047039" spans="54:54" ht="15.75" customHeight="1" x14ac:dyDescent="0.3">
      <c r="BB1047039" s="38"/>
    </row>
    <row r="1047040" spans="54:54" ht="15.75" customHeight="1" x14ac:dyDescent="0.3">
      <c r="BB1047040" s="38"/>
    </row>
    <row r="1047041" spans="54:54" ht="15.75" customHeight="1" x14ac:dyDescent="0.3">
      <c r="BB1047041" s="38"/>
    </row>
    <row r="1047042" spans="54:54" ht="15.75" customHeight="1" x14ac:dyDescent="0.3">
      <c r="BB1047042" s="38"/>
    </row>
    <row r="1047043" spans="54:54" ht="15.75" customHeight="1" x14ac:dyDescent="0.3">
      <c r="BB1047043" s="38"/>
    </row>
    <row r="1047044" spans="54:54" ht="15.75" customHeight="1" x14ac:dyDescent="0.3">
      <c r="BB1047044" s="38"/>
    </row>
    <row r="1047045" spans="54:54" ht="15.75" customHeight="1" x14ac:dyDescent="0.3">
      <c r="BB1047045" s="38"/>
    </row>
    <row r="1047046" spans="54:54" ht="15.75" customHeight="1" x14ac:dyDescent="0.3">
      <c r="BB1047046" s="38"/>
    </row>
    <row r="1047047" spans="54:54" ht="15.75" customHeight="1" x14ac:dyDescent="0.3">
      <c r="BB1047047" s="38"/>
    </row>
    <row r="1047048" spans="54:54" ht="15.75" customHeight="1" x14ac:dyDescent="0.3">
      <c r="BB1047048" s="38"/>
    </row>
    <row r="1047049" spans="54:54" ht="15.75" customHeight="1" x14ac:dyDescent="0.3">
      <c r="BB1047049" s="38"/>
    </row>
    <row r="1047050" spans="54:54" ht="15.75" customHeight="1" x14ac:dyDescent="0.3">
      <c r="BB1047050" s="38"/>
    </row>
    <row r="1047051" spans="54:54" ht="15.75" customHeight="1" x14ac:dyDescent="0.3">
      <c r="BB1047051" s="38"/>
    </row>
    <row r="1047052" spans="54:54" ht="15.75" customHeight="1" x14ac:dyDescent="0.3">
      <c r="BB1047052" s="38"/>
    </row>
    <row r="1047053" spans="54:54" ht="15.75" customHeight="1" x14ac:dyDescent="0.3">
      <c r="BB1047053" s="38"/>
    </row>
    <row r="1047054" spans="54:54" ht="15.75" customHeight="1" x14ac:dyDescent="0.3">
      <c r="BB1047054" s="38"/>
    </row>
    <row r="1047055" spans="54:54" ht="15.75" customHeight="1" x14ac:dyDescent="0.3">
      <c r="BB1047055" s="38"/>
    </row>
    <row r="1047056" spans="54:54" ht="15.75" customHeight="1" x14ac:dyDescent="0.3">
      <c r="BB1047056" s="38"/>
    </row>
    <row r="1047057" spans="54:54" ht="15.75" customHeight="1" x14ac:dyDescent="0.3">
      <c r="BB1047057" s="38"/>
    </row>
    <row r="1047058" spans="54:54" ht="15.75" customHeight="1" x14ac:dyDescent="0.3">
      <c r="BB1047058" s="38"/>
    </row>
    <row r="1047059" spans="54:54" ht="15.75" customHeight="1" x14ac:dyDescent="0.3">
      <c r="BB1047059" s="38"/>
    </row>
    <row r="1047060" spans="54:54" ht="15.75" customHeight="1" x14ac:dyDescent="0.3">
      <c r="BB1047060" s="38"/>
    </row>
    <row r="1047061" spans="54:54" ht="15.75" customHeight="1" x14ac:dyDescent="0.3">
      <c r="BB1047061" s="38"/>
    </row>
    <row r="1047062" spans="54:54" ht="15.75" customHeight="1" x14ac:dyDescent="0.3">
      <c r="BB1047062" s="38"/>
    </row>
    <row r="1047063" spans="54:54" ht="15.75" customHeight="1" x14ac:dyDescent="0.3">
      <c r="BB1047063" s="38"/>
    </row>
    <row r="1047064" spans="54:54" ht="15.75" customHeight="1" x14ac:dyDescent="0.3">
      <c r="BB1047064" s="38"/>
    </row>
    <row r="1047065" spans="54:54" ht="15.75" customHeight="1" x14ac:dyDescent="0.3">
      <c r="BB1047065" s="38"/>
    </row>
    <row r="1047066" spans="54:54" ht="15.75" customHeight="1" x14ac:dyDescent="0.3">
      <c r="BB1047066" s="38"/>
    </row>
    <row r="1047067" spans="54:54" ht="15.75" customHeight="1" x14ac:dyDescent="0.3">
      <c r="BB1047067" s="38"/>
    </row>
    <row r="1047068" spans="54:54" ht="15.75" customHeight="1" x14ac:dyDescent="0.3">
      <c r="BB1047068" s="38"/>
    </row>
    <row r="1047069" spans="54:54" ht="15.75" customHeight="1" x14ac:dyDescent="0.3">
      <c r="BB1047069" s="38"/>
    </row>
    <row r="1047070" spans="54:54" ht="15.75" customHeight="1" x14ac:dyDescent="0.3">
      <c r="BB1047070" s="38"/>
    </row>
    <row r="1047071" spans="54:54" ht="15.75" customHeight="1" x14ac:dyDescent="0.3">
      <c r="BB1047071" s="38"/>
    </row>
    <row r="1047072" spans="54:54" ht="15.75" customHeight="1" x14ac:dyDescent="0.3">
      <c r="BB1047072" s="38"/>
    </row>
    <row r="1047073" spans="54:54" ht="15.75" customHeight="1" x14ac:dyDescent="0.3">
      <c r="BB1047073" s="38"/>
    </row>
    <row r="1047074" spans="54:54" ht="15.75" customHeight="1" x14ac:dyDescent="0.3">
      <c r="BB1047074" s="38"/>
    </row>
    <row r="1047075" spans="54:54" ht="15.75" customHeight="1" x14ac:dyDescent="0.3">
      <c r="BB1047075" s="38"/>
    </row>
    <row r="1047076" spans="54:54" ht="15.75" customHeight="1" x14ac:dyDescent="0.3">
      <c r="BB1047076" s="38"/>
    </row>
    <row r="1047077" spans="54:54" ht="15.75" customHeight="1" x14ac:dyDescent="0.3">
      <c r="BB1047077" s="38"/>
    </row>
    <row r="1047078" spans="54:54" ht="15.75" customHeight="1" x14ac:dyDescent="0.3">
      <c r="BB1047078" s="38"/>
    </row>
    <row r="1047079" spans="54:54" ht="15.75" customHeight="1" x14ac:dyDescent="0.3">
      <c r="BB1047079" s="38"/>
    </row>
    <row r="1047080" spans="54:54" ht="15.75" customHeight="1" x14ac:dyDescent="0.3">
      <c r="BB1047080" s="38"/>
    </row>
    <row r="1047081" spans="54:54" ht="15.75" customHeight="1" x14ac:dyDescent="0.3">
      <c r="BB1047081" s="38"/>
    </row>
    <row r="1047082" spans="54:54" ht="15.75" customHeight="1" x14ac:dyDescent="0.3">
      <c r="BB1047082" s="38"/>
    </row>
    <row r="1047083" spans="54:54" ht="15.75" customHeight="1" x14ac:dyDescent="0.3">
      <c r="BB1047083" s="38"/>
    </row>
    <row r="1047084" spans="54:54" ht="15.75" customHeight="1" x14ac:dyDescent="0.3">
      <c r="BB1047084" s="38"/>
    </row>
    <row r="1047085" spans="54:54" ht="15.75" customHeight="1" x14ac:dyDescent="0.3">
      <c r="BB1047085" s="38"/>
    </row>
    <row r="1047086" spans="54:54" ht="15.75" customHeight="1" x14ac:dyDescent="0.3">
      <c r="BB1047086" s="38"/>
    </row>
    <row r="1047087" spans="54:54" ht="15.75" customHeight="1" x14ac:dyDescent="0.3">
      <c r="BB1047087" s="38"/>
    </row>
    <row r="1047088" spans="54:54" ht="15.75" customHeight="1" x14ac:dyDescent="0.3">
      <c r="BB1047088" s="38"/>
    </row>
    <row r="1047089" spans="54:54" ht="15.75" customHeight="1" x14ac:dyDescent="0.3">
      <c r="BB1047089" s="38"/>
    </row>
    <row r="1047090" spans="54:54" ht="15.75" customHeight="1" x14ac:dyDescent="0.3">
      <c r="BB1047090" s="38"/>
    </row>
    <row r="1047091" spans="54:54" ht="15.75" customHeight="1" x14ac:dyDescent="0.3">
      <c r="BB1047091" s="38"/>
    </row>
    <row r="1047092" spans="54:54" ht="15.75" customHeight="1" x14ac:dyDescent="0.3">
      <c r="BB1047092" s="38"/>
    </row>
    <row r="1047093" spans="54:54" ht="15.75" customHeight="1" x14ac:dyDescent="0.3">
      <c r="BB1047093" s="38"/>
    </row>
    <row r="1047094" spans="54:54" ht="15.75" customHeight="1" x14ac:dyDescent="0.3">
      <c r="BB1047094" s="38"/>
    </row>
    <row r="1047095" spans="54:54" ht="15.75" customHeight="1" x14ac:dyDescent="0.3">
      <c r="BB1047095" s="38"/>
    </row>
    <row r="1047096" spans="54:54" ht="15.75" customHeight="1" x14ac:dyDescent="0.3">
      <c r="BB1047096" s="38"/>
    </row>
    <row r="1047097" spans="54:54" ht="15.75" customHeight="1" x14ac:dyDescent="0.3">
      <c r="BB1047097" s="38"/>
    </row>
    <row r="1047098" spans="54:54" ht="15.75" customHeight="1" x14ac:dyDescent="0.3">
      <c r="BB1047098" s="38"/>
    </row>
    <row r="1047099" spans="54:54" ht="15.75" customHeight="1" x14ac:dyDescent="0.3">
      <c r="BB1047099" s="38"/>
    </row>
    <row r="1047100" spans="54:54" ht="15.75" customHeight="1" x14ac:dyDescent="0.3">
      <c r="BB1047100" s="38"/>
    </row>
    <row r="1047101" spans="54:54" ht="15.75" customHeight="1" x14ac:dyDescent="0.3">
      <c r="BB1047101" s="38"/>
    </row>
    <row r="1047102" spans="54:54" ht="15.75" customHeight="1" x14ac:dyDescent="0.3">
      <c r="BB1047102" s="38"/>
    </row>
    <row r="1047103" spans="54:54" ht="15.75" customHeight="1" x14ac:dyDescent="0.3">
      <c r="BB1047103" s="38"/>
    </row>
    <row r="1047104" spans="54:54" ht="15.75" customHeight="1" x14ac:dyDescent="0.3">
      <c r="BB1047104" s="38"/>
    </row>
    <row r="1047105" spans="54:54" ht="15.75" customHeight="1" x14ac:dyDescent="0.3">
      <c r="BB1047105" s="38"/>
    </row>
    <row r="1047106" spans="54:54" ht="15.75" customHeight="1" x14ac:dyDescent="0.3">
      <c r="BB1047106" s="38"/>
    </row>
    <row r="1047107" spans="54:54" ht="15.75" customHeight="1" x14ac:dyDescent="0.3">
      <c r="BB1047107" s="38"/>
    </row>
    <row r="1047108" spans="54:54" ht="15.75" customHeight="1" x14ac:dyDescent="0.3">
      <c r="BB1047108" s="38"/>
    </row>
    <row r="1047109" spans="54:54" ht="15.75" customHeight="1" x14ac:dyDescent="0.3">
      <c r="BB1047109" s="38"/>
    </row>
    <row r="1047110" spans="54:54" ht="15.75" customHeight="1" x14ac:dyDescent="0.3">
      <c r="BB1047110" s="38"/>
    </row>
    <row r="1047111" spans="54:54" ht="15.75" customHeight="1" x14ac:dyDescent="0.3">
      <c r="BB1047111" s="38"/>
    </row>
    <row r="1047112" spans="54:54" ht="15.75" customHeight="1" x14ac:dyDescent="0.3">
      <c r="BB1047112" s="38"/>
    </row>
    <row r="1047113" spans="54:54" ht="15.75" customHeight="1" x14ac:dyDescent="0.3">
      <c r="BB1047113" s="38"/>
    </row>
    <row r="1047114" spans="54:54" ht="15.75" customHeight="1" x14ac:dyDescent="0.3">
      <c r="BB1047114" s="38"/>
    </row>
    <row r="1047115" spans="54:54" ht="15.75" customHeight="1" x14ac:dyDescent="0.3">
      <c r="BB1047115" s="38"/>
    </row>
    <row r="1047116" spans="54:54" ht="15.75" customHeight="1" x14ac:dyDescent="0.3">
      <c r="BB1047116" s="38"/>
    </row>
    <row r="1047117" spans="54:54" ht="15.75" customHeight="1" x14ac:dyDescent="0.3">
      <c r="BB1047117" s="38"/>
    </row>
    <row r="1047118" spans="54:54" ht="15.75" customHeight="1" x14ac:dyDescent="0.3">
      <c r="BB1047118" s="38"/>
    </row>
    <row r="1047119" spans="54:54" ht="15.75" customHeight="1" x14ac:dyDescent="0.3">
      <c r="BB1047119" s="38"/>
    </row>
    <row r="1047120" spans="54:54" ht="15.75" customHeight="1" x14ac:dyDescent="0.3">
      <c r="BB1047120" s="38"/>
    </row>
    <row r="1047121" spans="54:54" ht="15.75" customHeight="1" x14ac:dyDescent="0.3">
      <c r="BB1047121" s="38"/>
    </row>
    <row r="1047122" spans="54:54" ht="15.75" customHeight="1" x14ac:dyDescent="0.3">
      <c r="BB1047122" s="38"/>
    </row>
    <row r="1047123" spans="54:54" ht="15.75" customHeight="1" x14ac:dyDescent="0.3">
      <c r="BB1047123" s="38"/>
    </row>
    <row r="1047124" spans="54:54" ht="15.75" customHeight="1" x14ac:dyDescent="0.3">
      <c r="BB1047124" s="38"/>
    </row>
    <row r="1047125" spans="54:54" ht="15.75" customHeight="1" x14ac:dyDescent="0.3">
      <c r="BB1047125" s="38"/>
    </row>
    <row r="1047126" spans="54:54" ht="15.75" customHeight="1" x14ac:dyDescent="0.3">
      <c r="BB1047126" s="38"/>
    </row>
    <row r="1047127" spans="54:54" ht="15.75" customHeight="1" x14ac:dyDescent="0.3">
      <c r="BB1047127" s="38"/>
    </row>
    <row r="1047128" spans="54:54" ht="15.75" customHeight="1" x14ac:dyDescent="0.3">
      <c r="BB1047128" s="38"/>
    </row>
    <row r="1047129" spans="54:54" ht="15.75" customHeight="1" x14ac:dyDescent="0.3">
      <c r="BB1047129" s="38"/>
    </row>
    <row r="1047130" spans="54:54" ht="15.75" customHeight="1" x14ac:dyDescent="0.3">
      <c r="BB1047130" s="38"/>
    </row>
    <row r="1047131" spans="54:54" ht="15.75" customHeight="1" x14ac:dyDescent="0.3">
      <c r="BB1047131" s="38"/>
    </row>
    <row r="1047132" spans="54:54" ht="15.75" customHeight="1" x14ac:dyDescent="0.3">
      <c r="BB1047132" s="38"/>
    </row>
    <row r="1047133" spans="54:54" ht="15.75" customHeight="1" x14ac:dyDescent="0.3">
      <c r="BB1047133" s="38"/>
    </row>
    <row r="1047134" spans="54:54" ht="15.75" customHeight="1" x14ac:dyDescent="0.3">
      <c r="BB1047134" s="38"/>
    </row>
    <row r="1047135" spans="54:54" ht="15.75" customHeight="1" x14ac:dyDescent="0.3">
      <c r="BB1047135" s="38"/>
    </row>
    <row r="1047136" spans="54:54" ht="15.75" customHeight="1" x14ac:dyDescent="0.3">
      <c r="BB1047136" s="38"/>
    </row>
    <row r="1047137" spans="54:54" ht="15.75" customHeight="1" x14ac:dyDescent="0.3">
      <c r="BB1047137" s="38"/>
    </row>
    <row r="1047138" spans="54:54" ht="15.75" customHeight="1" x14ac:dyDescent="0.3">
      <c r="BB1047138" s="38"/>
    </row>
    <row r="1047139" spans="54:54" ht="15.75" customHeight="1" x14ac:dyDescent="0.3">
      <c r="BB1047139" s="38"/>
    </row>
    <row r="1047140" spans="54:54" ht="15.75" customHeight="1" x14ac:dyDescent="0.3">
      <c r="BB1047140" s="38"/>
    </row>
    <row r="1047141" spans="54:54" ht="15.75" customHeight="1" x14ac:dyDescent="0.3">
      <c r="BB1047141" s="38"/>
    </row>
    <row r="1047142" spans="54:54" ht="15.75" customHeight="1" x14ac:dyDescent="0.3">
      <c r="BB1047142" s="38"/>
    </row>
    <row r="1047143" spans="54:54" ht="15.75" customHeight="1" x14ac:dyDescent="0.3">
      <c r="BB1047143" s="38"/>
    </row>
    <row r="1047144" spans="54:54" ht="15.75" customHeight="1" x14ac:dyDescent="0.3">
      <c r="BB1047144" s="38"/>
    </row>
    <row r="1047145" spans="54:54" ht="15.75" customHeight="1" x14ac:dyDescent="0.3">
      <c r="BB1047145" s="38"/>
    </row>
    <row r="1047146" spans="54:54" ht="15.75" customHeight="1" x14ac:dyDescent="0.3">
      <c r="BB1047146" s="38"/>
    </row>
    <row r="1047147" spans="54:54" ht="15.75" customHeight="1" x14ac:dyDescent="0.3">
      <c r="BB1047147" s="38"/>
    </row>
    <row r="1047148" spans="54:54" ht="15.75" customHeight="1" x14ac:dyDescent="0.3">
      <c r="BB1047148" s="38"/>
    </row>
    <row r="1047149" spans="54:54" ht="15.75" customHeight="1" x14ac:dyDescent="0.3">
      <c r="BB1047149" s="38"/>
    </row>
    <row r="1047150" spans="54:54" ht="15.75" customHeight="1" x14ac:dyDescent="0.3">
      <c r="BB1047150" s="38"/>
    </row>
    <row r="1047151" spans="54:54" ht="15.75" customHeight="1" x14ac:dyDescent="0.3">
      <c r="BB1047151" s="38"/>
    </row>
    <row r="1047152" spans="54:54" ht="15.75" customHeight="1" x14ac:dyDescent="0.3">
      <c r="BB1047152" s="38"/>
    </row>
    <row r="1047153" spans="54:54" ht="15.75" customHeight="1" x14ac:dyDescent="0.3">
      <c r="BB1047153" s="38"/>
    </row>
    <row r="1047154" spans="54:54" ht="15.75" customHeight="1" x14ac:dyDescent="0.3">
      <c r="BB1047154" s="38"/>
    </row>
    <row r="1047155" spans="54:54" ht="15.75" customHeight="1" x14ac:dyDescent="0.3">
      <c r="BB1047155" s="38"/>
    </row>
    <row r="1047156" spans="54:54" ht="15.75" customHeight="1" x14ac:dyDescent="0.3">
      <c r="BB1047156" s="38"/>
    </row>
    <row r="1047157" spans="54:54" ht="15.75" customHeight="1" x14ac:dyDescent="0.3">
      <c r="BB1047157" s="38"/>
    </row>
    <row r="1047158" spans="54:54" ht="15.75" customHeight="1" x14ac:dyDescent="0.3">
      <c r="BB1047158" s="38"/>
    </row>
    <row r="1047159" spans="54:54" ht="15.75" customHeight="1" x14ac:dyDescent="0.3">
      <c r="BB1047159" s="38"/>
    </row>
    <row r="1047160" spans="54:54" ht="15.75" customHeight="1" x14ac:dyDescent="0.3">
      <c r="BB1047160" s="38"/>
    </row>
    <row r="1047161" spans="54:54" ht="15.75" customHeight="1" x14ac:dyDescent="0.3">
      <c r="BB1047161" s="38"/>
    </row>
    <row r="1047162" spans="54:54" ht="15.75" customHeight="1" x14ac:dyDescent="0.3">
      <c r="BB1047162" s="38"/>
    </row>
    <row r="1047163" spans="54:54" ht="15.75" customHeight="1" x14ac:dyDescent="0.3">
      <c r="BB1047163" s="38"/>
    </row>
    <row r="1047164" spans="54:54" ht="15.75" customHeight="1" x14ac:dyDescent="0.3">
      <c r="BB1047164" s="38"/>
    </row>
    <row r="1047165" spans="54:54" ht="15.75" customHeight="1" x14ac:dyDescent="0.3">
      <c r="BB1047165" s="38"/>
    </row>
    <row r="1047166" spans="54:54" ht="15.75" customHeight="1" x14ac:dyDescent="0.3">
      <c r="BB1047166" s="38"/>
    </row>
    <row r="1047167" spans="54:54" ht="15.75" customHeight="1" x14ac:dyDescent="0.3">
      <c r="BB1047167" s="38"/>
    </row>
    <row r="1047168" spans="54:54" ht="15.75" customHeight="1" x14ac:dyDescent="0.3">
      <c r="BB1047168" s="38"/>
    </row>
    <row r="1047169" spans="54:54" ht="15.75" customHeight="1" x14ac:dyDescent="0.3">
      <c r="BB1047169" s="38"/>
    </row>
    <row r="1047170" spans="54:54" ht="15.75" customHeight="1" x14ac:dyDescent="0.3">
      <c r="BB1047170" s="38"/>
    </row>
    <row r="1047171" spans="54:54" ht="15.75" customHeight="1" x14ac:dyDescent="0.3">
      <c r="BB1047171" s="38"/>
    </row>
    <row r="1047172" spans="54:54" ht="15.75" customHeight="1" x14ac:dyDescent="0.3">
      <c r="BB1047172" s="38"/>
    </row>
    <row r="1047173" spans="54:54" ht="15.75" customHeight="1" x14ac:dyDescent="0.3">
      <c r="BB1047173" s="38"/>
    </row>
    <row r="1047174" spans="54:54" ht="15.75" customHeight="1" x14ac:dyDescent="0.3">
      <c r="BB1047174" s="38"/>
    </row>
    <row r="1047175" spans="54:54" ht="15.75" customHeight="1" x14ac:dyDescent="0.3">
      <c r="BB1047175" s="38"/>
    </row>
    <row r="1047176" spans="54:54" ht="15.75" customHeight="1" x14ac:dyDescent="0.3">
      <c r="BB1047176" s="38"/>
    </row>
    <row r="1047177" spans="54:54" ht="15.75" customHeight="1" x14ac:dyDescent="0.3">
      <c r="BB1047177" s="38"/>
    </row>
    <row r="1047178" spans="54:54" ht="15.75" customHeight="1" x14ac:dyDescent="0.3">
      <c r="BB1047178" s="38"/>
    </row>
    <row r="1047179" spans="54:54" ht="15.75" customHeight="1" x14ac:dyDescent="0.3">
      <c r="BB1047179" s="38"/>
    </row>
    <row r="1047180" spans="54:54" ht="15.75" customHeight="1" x14ac:dyDescent="0.3">
      <c r="BB1047180" s="38"/>
    </row>
    <row r="1047181" spans="54:54" ht="15.75" customHeight="1" x14ac:dyDescent="0.3">
      <c r="BB1047181" s="38"/>
    </row>
    <row r="1047182" spans="54:54" ht="15.75" customHeight="1" x14ac:dyDescent="0.3">
      <c r="BB1047182" s="38"/>
    </row>
    <row r="1047183" spans="54:54" ht="15.75" customHeight="1" x14ac:dyDescent="0.3">
      <c r="BB1047183" s="38"/>
    </row>
    <row r="1047184" spans="54:54" ht="15.75" customHeight="1" x14ac:dyDescent="0.3">
      <c r="BB1047184" s="38"/>
    </row>
    <row r="1047185" spans="54:54" ht="15.75" customHeight="1" x14ac:dyDescent="0.3">
      <c r="BB1047185" s="38"/>
    </row>
    <row r="1047186" spans="54:54" ht="15.75" customHeight="1" x14ac:dyDescent="0.3">
      <c r="BB1047186" s="38"/>
    </row>
    <row r="1047187" spans="54:54" ht="15.75" customHeight="1" x14ac:dyDescent="0.3">
      <c r="BB1047187" s="38"/>
    </row>
    <row r="1047188" spans="54:54" ht="15.75" customHeight="1" x14ac:dyDescent="0.3">
      <c r="BB1047188" s="38"/>
    </row>
    <row r="1047189" spans="54:54" ht="15.75" customHeight="1" x14ac:dyDescent="0.3">
      <c r="BB1047189" s="38"/>
    </row>
    <row r="1047190" spans="54:54" ht="15.75" customHeight="1" x14ac:dyDescent="0.3">
      <c r="BB1047190" s="38"/>
    </row>
    <row r="1047191" spans="54:54" ht="15.75" customHeight="1" x14ac:dyDescent="0.3">
      <c r="BB1047191" s="38"/>
    </row>
    <row r="1047192" spans="54:54" ht="15.75" customHeight="1" x14ac:dyDescent="0.3">
      <c r="BB1047192" s="38"/>
    </row>
    <row r="1047193" spans="54:54" ht="15.75" customHeight="1" x14ac:dyDescent="0.3">
      <c r="BB1047193" s="38"/>
    </row>
    <row r="1047194" spans="54:54" ht="15.75" customHeight="1" x14ac:dyDescent="0.3">
      <c r="BB1047194" s="38"/>
    </row>
    <row r="1047195" spans="54:54" ht="15.75" customHeight="1" x14ac:dyDescent="0.3">
      <c r="BB1047195" s="38"/>
    </row>
    <row r="1047196" spans="54:54" ht="15.75" customHeight="1" x14ac:dyDescent="0.3">
      <c r="BB1047196" s="38"/>
    </row>
    <row r="1047197" spans="54:54" ht="15.75" customHeight="1" x14ac:dyDescent="0.3">
      <c r="BB1047197" s="38"/>
    </row>
    <row r="1047198" spans="54:54" ht="15.75" customHeight="1" x14ac:dyDescent="0.3">
      <c r="BB1047198" s="38"/>
    </row>
    <row r="1047199" spans="54:54" ht="15.75" customHeight="1" x14ac:dyDescent="0.3">
      <c r="BB1047199" s="38"/>
    </row>
    <row r="1047200" spans="54:54" ht="15.75" customHeight="1" x14ac:dyDescent="0.3">
      <c r="BB1047200" s="38"/>
    </row>
    <row r="1047201" spans="54:54" ht="15.75" customHeight="1" x14ac:dyDescent="0.3">
      <c r="BB1047201" s="38"/>
    </row>
    <row r="1047202" spans="54:54" ht="15.75" customHeight="1" x14ac:dyDescent="0.3">
      <c r="BB1047202" s="38"/>
    </row>
    <row r="1047203" spans="54:54" ht="15.75" customHeight="1" x14ac:dyDescent="0.3">
      <c r="BB1047203" s="38"/>
    </row>
    <row r="1047204" spans="54:54" ht="15.75" customHeight="1" x14ac:dyDescent="0.3">
      <c r="BB1047204" s="38"/>
    </row>
    <row r="1047205" spans="54:54" ht="15.75" customHeight="1" x14ac:dyDescent="0.3">
      <c r="BB1047205" s="38"/>
    </row>
    <row r="1047206" spans="54:54" ht="15.75" customHeight="1" x14ac:dyDescent="0.3">
      <c r="BB1047206" s="38"/>
    </row>
    <row r="1047207" spans="54:54" ht="15.75" customHeight="1" x14ac:dyDescent="0.3">
      <c r="BB1047207" s="38"/>
    </row>
    <row r="1047208" spans="54:54" ht="15.75" customHeight="1" x14ac:dyDescent="0.3">
      <c r="BB1047208" s="38"/>
    </row>
    <row r="1047209" spans="54:54" ht="15.75" customHeight="1" x14ac:dyDescent="0.3">
      <c r="BB1047209" s="38"/>
    </row>
    <row r="1047210" spans="54:54" ht="15.75" customHeight="1" x14ac:dyDescent="0.3">
      <c r="BB1047210" s="38"/>
    </row>
    <row r="1047211" spans="54:54" ht="15.75" customHeight="1" x14ac:dyDescent="0.3">
      <c r="BB1047211" s="38"/>
    </row>
    <row r="1047212" spans="54:54" ht="15.75" customHeight="1" x14ac:dyDescent="0.3">
      <c r="BB1047212" s="38"/>
    </row>
    <row r="1047213" spans="54:54" ht="15.75" customHeight="1" x14ac:dyDescent="0.3">
      <c r="BB1047213" s="38"/>
    </row>
    <row r="1047214" spans="54:54" ht="15.75" customHeight="1" x14ac:dyDescent="0.3">
      <c r="BB1047214" s="38"/>
    </row>
    <row r="1047215" spans="54:54" ht="15.75" customHeight="1" x14ac:dyDescent="0.3">
      <c r="BB1047215" s="38"/>
    </row>
    <row r="1047216" spans="54:54" ht="15.75" customHeight="1" x14ac:dyDescent="0.3">
      <c r="BB1047216" s="38"/>
    </row>
    <row r="1047217" spans="54:54" ht="15.75" customHeight="1" x14ac:dyDescent="0.3">
      <c r="BB1047217" s="38"/>
    </row>
    <row r="1047218" spans="54:54" ht="15.75" customHeight="1" x14ac:dyDescent="0.3">
      <c r="BB1047218" s="38"/>
    </row>
    <row r="1047219" spans="54:54" ht="15.75" customHeight="1" x14ac:dyDescent="0.3">
      <c r="BB1047219" s="38"/>
    </row>
    <row r="1047220" spans="54:54" ht="15.75" customHeight="1" x14ac:dyDescent="0.3">
      <c r="BB1047220" s="38"/>
    </row>
    <row r="1047221" spans="54:54" ht="15.75" customHeight="1" x14ac:dyDescent="0.3">
      <c r="BB1047221" s="38"/>
    </row>
    <row r="1047222" spans="54:54" ht="15.75" customHeight="1" x14ac:dyDescent="0.3">
      <c r="BB1047222" s="38"/>
    </row>
    <row r="1047223" spans="54:54" ht="15.75" customHeight="1" x14ac:dyDescent="0.3">
      <c r="BB1047223" s="38"/>
    </row>
    <row r="1047224" spans="54:54" ht="15.75" customHeight="1" x14ac:dyDescent="0.3">
      <c r="BB1047224" s="38"/>
    </row>
    <row r="1047225" spans="54:54" ht="15.75" customHeight="1" x14ac:dyDescent="0.3">
      <c r="BB1047225" s="38"/>
    </row>
    <row r="1047226" spans="54:54" ht="15.75" customHeight="1" x14ac:dyDescent="0.3">
      <c r="BB1047226" s="38"/>
    </row>
    <row r="1047227" spans="54:54" ht="15.75" customHeight="1" x14ac:dyDescent="0.3">
      <c r="BB1047227" s="38"/>
    </row>
    <row r="1047228" spans="54:54" ht="15.75" customHeight="1" x14ac:dyDescent="0.3">
      <c r="BB1047228" s="38"/>
    </row>
    <row r="1047229" spans="54:54" ht="15.75" customHeight="1" x14ac:dyDescent="0.3">
      <c r="BB1047229" s="38"/>
    </row>
    <row r="1047230" spans="54:54" ht="15.75" customHeight="1" x14ac:dyDescent="0.3">
      <c r="BB1047230" s="38"/>
    </row>
    <row r="1047231" spans="54:54" ht="15.75" customHeight="1" x14ac:dyDescent="0.3">
      <c r="BB1047231" s="38"/>
    </row>
    <row r="1047232" spans="54:54" ht="15.75" customHeight="1" x14ac:dyDescent="0.3">
      <c r="BB1047232" s="38"/>
    </row>
    <row r="1047233" spans="54:54" ht="15.75" customHeight="1" x14ac:dyDescent="0.3">
      <c r="BB1047233" s="38"/>
    </row>
    <row r="1047234" spans="54:54" ht="15.75" customHeight="1" x14ac:dyDescent="0.3">
      <c r="BB1047234" s="38"/>
    </row>
    <row r="1047235" spans="54:54" ht="15.75" customHeight="1" x14ac:dyDescent="0.3">
      <c r="BB1047235" s="38"/>
    </row>
    <row r="1047236" spans="54:54" ht="15.75" customHeight="1" x14ac:dyDescent="0.3">
      <c r="BB1047236" s="38"/>
    </row>
    <row r="1047237" spans="54:54" ht="15.75" customHeight="1" x14ac:dyDescent="0.3">
      <c r="BB1047237" s="38"/>
    </row>
    <row r="1047238" spans="54:54" ht="15.75" customHeight="1" x14ac:dyDescent="0.3">
      <c r="BB1047238" s="38"/>
    </row>
    <row r="1047239" spans="54:54" ht="15.75" customHeight="1" x14ac:dyDescent="0.3">
      <c r="BB1047239" s="38"/>
    </row>
    <row r="1047240" spans="54:54" ht="15.75" customHeight="1" x14ac:dyDescent="0.3">
      <c r="BB1047240" s="38"/>
    </row>
    <row r="1047241" spans="54:54" ht="15.75" customHeight="1" x14ac:dyDescent="0.3">
      <c r="BB1047241" s="38"/>
    </row>
    <row r="1047242" spans="54:54" ht="15.75" customHeight="1" x14ac:dyDescent="0.3">
      <c r="BB1047242" s="38"/>
    </row>
    <row r="1047243" spans="54:54" ht="15.75" customHeight="1" x14ac:dyDescent="0.3">
      <c r="BB1047243" s="38"/>
    </row>
    <row r="1047244" spans="54:54" ht="15.75" customHeight="1" x14ac:dyDescent="0.3">
      <c r="BB1047244" s="38"/>
    </row>
    <row r="1047245" spans="54:54" ht="15.75" customHeight="1" x14ac:dyDescent="0.3">
      <c r="BB1047245" s="38"/>
    </row>
    <row r="1047246" spans="54:54" ht="15.75" customHeight="1" x14ac:dyDescent="0.3">
      <c r="BB1047246" s="38"/>
    </row>
    <row r="1047247" spans="54:54" ht="15.75" customHeight="1" x14ac:dyDescent="0.3">
      <c r="BB1047247" s="38"/>
    </row>
    <row r="1047248" spans="54:54" ht="15.75" customHeight="1" x14ac:dyDescent="0.3">
      <c r="BB1047248" s="38"/>
    </row>
    <row r="1047249" spans="54:54" ht="15.75" customHeight="1" x14ac:dyDescent="0.3">
      <c r="BB1047249" s="38"/>
    </row>
    <row r="1047250" spans="54:54" ht="15.75" customHeight="1" x14ac:dyDescent="0.3">
      <c r="BB1047250" s="38"/>
    </row>
    <row r="1047251" spans="54:54" ht="15.75" customHeight="1" x14ac:dyDescent="0.3">
      <c r="BB1047251" s="38"/>
    </row>
    <row r="1047252" spans="54:54" ht="15.75" customHeight="1" x14ac:dyDescent="0.3">
      <c r="BB1047252" s="38"/>
    </row>
    <row r="1047253" spans="54:54" ht="15.75" customHeight="1" x14ac:dyDescent="0.3">
      <c r="BB1047253" s="38"/>
    </row>
    <row r="1047254" spans="54:54" ht="15.75" customHeight="1" x14ac:dyDescent="0.3">
      <c r="BB1047254" s="38"/>
    </row>
    <row r="1047255" spans="54:54" ht="15.75" customHeight="1" x14ac:dyDescent="0.3">
      <c r="BB1047255" s="38"/>
    </row>
    <row r="1047256" spans="54:54" ht="15.75" customHeight="1" x14ac:dyDescent="0.3">
      <c r="BB1047256" s="38"/>
    </row>
    <row r="1047257" spans="54:54" ht="15.75" customHeight="1" x14ac:dyDescent="0.3">
      <c r="BB1047257" s="38"/>
    </row>
    <row r="1047258" spans="54:54" ht="15.75" customHeight="1" x14ac:dyDescent="0.3">
      <c r="BB1047258" s="38"/>
    </row>
    <row r="1047259" spans="54:54" ht="15.75" customHeight="1" x14ac:dyDescent="0.3">
      <c r="BB1047259" s="38"/>
    </row>
    <row r="1047260" spans="54:54" ht="15.75" customHeight="1" x14ac:dyDescent="0.3">
      <c r="BB1047260" s="38"/>
    </row>
    <row r="1047261" spans="54:54" ht="15.75" customHeight="1" x14ac:dyDescent="0.3">
      <c r="BB1047261" s="38"/>
    </row>
    <row r="1047262" spans="54:54" ht="15.75" customHeight="1" x14ac:dyDescent="0.3">
      <c r="BB1047262" s="38"/>
    </row>
    <row r="1047263" spans="54:54" ht="15.75" customHeight="1" x14ac:dyDescent="0.3">
      <c r="BB1047263" s="38"/>
    </row>
    <row r="1047264" spans="54:54" ht="15.75" customHeight="1" x14ac:dyDescent="0.3">
      <c r="BB1047264" s="38"/>
    </row>
    <row r="1047265" spans="54:54" ht="15.75" customHeight="1" x14ac:dyDescent="0.3">
      <c r="BB1047265" s="38"/>
    </row>
    <row r="1047266" spans="54:54" ht="15.75" customHeight="1" x14ac:dyDescent="0.3">
      <c r="BB1047266" s="38"/>
    </row>
    <row r="1047267" spans="54:54" ht="15.75" customHeight="1" x14ac:dyDescent="0.3">
      <c r="BB1047267" s="38"/>
    </row>
    <row r="1047268" spans="54:54" ht="15.75" customHeight="1" x14ac:dyDescent="0.3">
      <c r="BB1047268" s="38"/>
    </row>
    <row r="1047269" spans="54:54" ht="15.75" customHeight="1" x14ac:dyDescent="0.3">
      <c r="BB1047269" s="38"/>
    </row>
    <row r="1047270" spans="54:54" ht="15.75" customHeight="1" x14ac:dyDescent="0.3">
      <c r="BB1047270" s="38"/>
    </row>
    <row r="1047271" spans="54:54" ht="15.75" customHeight="1" x14ac:dyDescent="0.3">
      <c r="BB1047271" s="38"/>
    </row>
    <row r="1047272" spans="54:54" ht="15.75" customHeight="1" x14ac:dyDescent="0.3">
      <c r="BB1047272" s="38"/>
    </row>
    <row r="1047273" spans="54:54" ht="15.75" customHeight="1" x14ac:dyDescent="0.3">
      <c r="BB1047273" s="38"/>
    </row>
    <row r="1047274" spans="54:54" ht="15.75" customHeight="1" x14ac:dyDescent="0.3">
      <c r="BB1047274" s="38"/>
    </row>
    <row r="1047275" spans="54:54" ht="15.75" customHeight="1" x14ac:dyDescent="0.3">
      <c r="BB1047275" s="38"/>
    </row>
    <row r="1047276" spans="54:54" ht="15.75" customHeight="1" x14ac:dyDescent="0.3">
      <c r="BB1047276" s="38"/>
    </row>
    <row r="1047277" spans="54:54" ht="15.75" customHeight="1" x14ac:dyDescent="0.3">
      <c r="BB1047277" s="38"/>
    </row>
    <row r="1047278" spans="54:54" ht="15.75" customHeight="1" x14ac:dyDescent="0.3">
      <c r="BB1047278" s="38"/>
    </row>
    <row r="1047279" spans="54:54" ht="15.75" customHeight="1" x14ac:dyDescent="0.3">
      <c r="BB1047279" s="38"/>
    </row>
    <row r="1047280" spans="54:54" ht="15.75" customHeight="1" x14ac:dyDescent="0.3">
      <c r="BB1047280" s="38"/>
    </row>
    <row r="1047281" spans="54:54" ht="15.75" customHeight="1" x14ac:dyDescent="0.3">
      <c r="BB1047281" s="38"/>
    </row>
    <row r="1047282" spans="54:54" ht="15.75" customHeight="1" x14ac:dyDescent="0.3">
      <c r="BB1047282" s="38"/>
    </row>
    <row r="1047283" spans="54:54" ht="15.75" customHeight="1" x14ac:dyDescent="0.3">
      <c r="BB1047283" s="38"/>
    </row>
    <row r="1047284" spans="54:54" ht="15.75" customHeight="1" x14ac:dyDescent="0.3">
      <c r="BB1047284" s="38"/>
    </row>
    <row r="1047285" spans="54:54" ht="15.75" customHeight="1" x14ac:dyDescent="0.3">
      <c r="BB1047285" s="38"/>
    </row>
    <row r="1047286" spans="54:54" ht="15.75" customHeight="1" x14ac:dyDescent="0.3">
      <c r="BB1047286" s="38"/>
    </row>
    <row r="1047287" spans="54:54" ht="15.75" customHeight="1" x14ac:dyDescent="0.3">
      <c r="BB1047287" s="38"/>
    </row>
    <row r="1047288" spans="54:54" ht="15.75" customHeight="1" x14ac:dyDescent="0.3">
      <c r="BB1047288" s="38"/>
    </row>
    <row r="1047289" spans="54:54" ht="15.75" customHeight="1" x14ac:dyDescent="0.3">
      <c r="BB1047289" s="38"/>
    </row>
    <row r="1047290" spans="54:54" ht="15.75" customHeight="1" x14ac:dyDescent="0.3">
      <c r="BB1047290" s="38"/>
    </row>
    <row r="1047291" spans="54:54" ht="15.75" customHeight="1" x14ac:dyDescent="0.3">
      <c r="BB1047291" s="38"/>
    </row>
    <row r="1047292" spans="54:54" ht="15.75" customHeight="1" x14ac:dyDescent="0.3">
      <c r="BB1047292" s="38"/>
    </row>
    <row r="1047293" spans="54:54" ht="15.75" customHeight="1" x14ac:dyDescent="0.3">
      <c r="BB1047293" s="38"/>
    </row>
    <row r="1047294" spans="54:54" ht="15.75" customHeight="1" x14ac:dyDescent="0.3">
      <c r="BB1047294" s="38"/>
    </row>
    <row r="1047295" spans="54:54" ht="15.75" customHeight="1" x14ac:dyDescent="0.3">
      <c r="BB1047295" s="38"/>
    </row>
    <row r="1047296" spans="54:54" ht="15.75" customHeight="1" x14ac:dyDescent="0.3">
      <c r="BB1047296" s="38"/>
    </row>
    <row r="1047297" spans="54:54" ht="15.75" customHeight="1" x14ac:dyDescent="0.3">
      <c r="BB1047297" s="38"/>
    </row>
    <row r="1047298" spans="54:54" ht="15.75" customHeight="1" x14ac:dyDescent="0.3">
      <c r="BB1047298" s="38"/>
    </row>
    <row r="1047299" spans="54:54" ht="15.75" customHeight="1" x14ac:dyDescent="0.3">
      <c r="BB1047299" s="38"/>
    </row>
    <row r="1047300" spans="54:54" ht="15.75" customHeight="1" x14ac:dyDescent="0.3">
      <c r="BB1047300" s="38"/>
    </row>
    <row r="1047301" spans="54:54" ht="15.75" customHeight="1" x14ac:dyDescent="0.3">
      <c r="BB1047301" s="38"/>
    </row>
    <row r="1047302" spans="54:54" ht="15.75" customHeight="1" x14ac:dyDescent="0.3">
      <c r="BB1047302" s="38"/>
    </row>
    <row r="1047303" spans="54:54" ht="15.75" customHeight="1" x14ac:dyDescent="0.3">
      <c r="BB1047303" s="38"/>
    </row>
    <row r="1047304" spans="54:54" ht="15.75" customHeight="1" x14ac:dyDescent="0.3">
      <c r="BB1047304" s="38"/>
    </row>
    <row r="1047305" spans="54:54" ht="15.75" customHeight="1" x14ac:dyDescent="0.3">
      <c r="BB1047305" s="38"/>
    </row>
    <row r="1047306" spans="54:54" ht="15.75" customHeight="1" x14ac:dyDescent="0.3">
      <c r="BB1047306" s="38"/>
    </row>
    <row r="1047307" spans="54:54" ht="15.75" customHeight="1" x14ac:dyDescent="0.3">
      <c r="BB1047307" s="38"/>
    </row>
    <row r="1047308" spans="54:54" ht="15.75" customHeight="1" x14ac:dyDescent="0.3">
      <c r="BB1047308" s="38"/>
    </row>
    <row r="1047309" spans="54:54" ht="15.75" customHeight="1" x14ac:dyDescent="0.3">
      <c r="BB1047309" s="38"/>
    </row>
    <row r="1047310" spans="54:54" ht="15.75" customHeight="1" x14ac:dyDescent="0.3">
      <c r="BB1047310" s="38"/>
    </row>
    <row r="1047311" spans="54:54" ht="15.75" customHeight="1" x14ac:dyDescent="0.3">
      <c r="BB1047311" s="38"/>
    </row>
    <row r="1047312" spans="54:54" ht="15.75" customHeight="1" x14ac:dyDescent="0.3">
      <c r="BB1047312" s="38"/>
    </row>
    <row r="1047313" spans="54:54" ht="15.75" customHeight="1" x14ac:dyDescent="0.3">
      <c r="BB1047313" s="38"/>
    </row>
    <row r="1047314" spans="54:54" ht="15.75" customHeight="1" x14ac:dyDescent="0.3">
      <c r="BB1047314" s="38"/>
    </row>
    <row r="1047315" spans="54:54" ht="15.75" customHeight="1" x14ac:dyDescent="0.3">
      <c r="BB1047315" s="38"/>
    </row>
    <row r="1047316" spans="54:54" ht="15.75" customHeight="1" x14ac:dyDescent="0.3">
      <c r="BB1047316" s="38"/>
    </row>
    <row r="1047317" spans="54:54" ht="15.75" customHeight="1" x14ac:dyDescent="0.3">
      <c r="BB1047317" s="38"/>
    </row>
    <row r="1047318" spans="54:54" ht="15.75" customHeight="1" x14ac:dyDescent="0.3">
      <c r="BB1047318" s="38"/>
    </row>
    <row r="1047319" spans="54:54" ht="15.75" customHeight="1" x14ac:dyDescent="0.3">
      <c r="BB1047319" s="38"/>
    </row>
    <row r="1047320" spans="54:54" ht="15.75" customHeight="1" x14ac:dyDescent="0.3">
      <c r="BB1047320" s="38"/>
    </row>
    <row r="1047321" spans="54:54" ht="15.75" customHeight="1" x14ac:dyDescent="0.3">
      <c r="BB1047321" s="38"/>
    </row>
    <row r="1047322" spans="54:54" ht="15.75" customHeight="1" x14ac:dyDescent="0.3">
      <c r="BB1047322" s="38"/>
    </row>
    <row r="1047323" spans="54:54" ht="15.75" customHeight="1" x14ac:dyDescent="0.3">
      <c r="BB1047323" s="38"/>
    </row>
    <row r="1047324" spans="54:54" ht="15.75" customHeight="1" x14ac:dyDescent="0.3">
      <c r="BB1047324" s="38"/>
    </row>
    <row r="1047325" spans="54:54" ht="15.75" customHeight="1" x14ac:dyDescent="0.3">
      <c r="BB1047325" s="38"/>
    </row>
    <row r="1047326" spans="54:54" ht="15.75" customHeight="1" x14ac:dyDescent="0.3">
      <c r="BB1047326" s="38"/>
    </row>
    <row r="1047327" spans="54:54" ht="15.75" customHeight="1" x14ac:dyDescent="0.3">
      <c r="BB1047327" s="38"/>
    </row>
    <row r="1047328" spans="54:54" ht="15.75" customHeight="1" x14ac:dyDescent="0.3">
      <c r="BB1047328" s="38"/>
    </row>
    <row r="1047329" spans="54:54" ht="15.75" customHeight="1" x14ac:dyDescent="0.3">
      <c r="BB1047329" s="38"/>
    </row>
    <row r="1047330" spans="54:54" ht="15.75" customHeight="1" x14ac:dyDescent="0.3">
      <c r="BB1047330" s="38"/>
    </row>
    <row r="1047331" spans="54:54" ht="15.75" customHeight="1" x14ac:dyDescent="0.3">
      <c r="BB1047331" s="38"/>
    </row>
    <row r="1047332" spans="54:54" ht="15.75" customHeight="1" x14ac:dyDescent="0.3">
      <c r="BB1047332" s="38"/>
    </row>
    <row r="1047333" spans="54:54" ht="15.75" customHeight="1" x14ac:dyDescent="0.3">
      <c r="BB1047333" s="38"/>
    </row>
    <row r="1047334" spans="54:54" ht="15.75" customHeight="1" x14ac:dyDescent="0.3">
      <c r="BB1047334" s="38"/>
    </row>
    <row r="1047335" spans="54:54" ht="15.75" customHeight="1" x14ac:dyDescent="0.3">
      <c r="BB1047335" s="38"/>
    </row>
    <row r="1047336" spans="54:54" ht="15.75" customHeight="1" x14ac:dyDescent="0.3">
      <c r="BB1047336" s="38"/>
    </row>
    <row r="1047337" spans="54:54" ht="15.75" customHeight="1" x14ac:dyDescent="0.3">
      <c r="BB1047337" s="38"/>
    </row>
    <row r="1047338" spans="54:54" ht="15.75" customHeight="1" x14ac:dyDescent="0.3">
      <c r="BB1047338" s="38"/>
    </row>
    <row r="1047339" spans="54:54" ht="15.75" customHeight="1" x14ac:dyDescent="0.3">
      <c r="BB1047339" s="38"/>
    </row>
    <row r="1047340" spans="54:54" ht="15.75" customHeight="1" x14ac:dyDescent="0.3">
      <c r="BB1047340" s="38"/>
    </row>
    <row r="1047341" spans="54:54" ht="15.75" customHeight="1" x14ac:dyDescent="0.3">
      <c r="BB1047341" s="38"/>
    </row>
    <row r="1047342" spans="54:54" ht="15.75" customHeight="1" x14ac:dyDescent="0.3">
      <c r="BB1047342" s="38"/>
    </row>
    <row r="1047343" spans="54:54" ht="15.75" customHeight="1" x14ac:dyDescent="0.3">
      <c r="BB1047343" s="38"/>
    </row>
    <row r="1047344" spans="54:54" ht="15.75" customHeight="1" x14ac:dyDescent="0.3">
      <c r="BB1047344" s="38"/>
    </row>
    <row r="1047345" spans="54:54" ht="15.75" customHeight="1" x14ac:dyDescent="0.3">
      <c r="BB1047345" s="38"/>
    </row>
    <row r="1047346" spans="54:54" ht="15.75" customHeight="1" x14ac:dyDescent="0.3">
      <c r="BB1047346" s="38"/>
    </row>
    <row r="1047347" spans="54:54" ht="15.75" customHeight="1" x14ac:dyDescent="0.3">
      <c r="BB1047347" s="38"/>
    </row>
    <row r="1047348" spans="54:54" ht="15.75" customHeight="1" x14ac:dyDescent="0.3">
      <c r="BB1047348" s="38"/>
    </row>
    <row r="1047349" spans="54:54" ht="15.75" customHeight="1" x14ac:dyDescent="0.3">
      <c r="BB1047349" s="38"/>
    </row>
    <row r="1047350" spans="54:54" ht="15.75" customHeight="1" x14ac:dyDescent="0.3">
      <c r="BB1047350" s="38"/>
    </row>
    <row r="1047351" spans="54:54" ht="15.75" customHeight="1" x14ac:dyDescent="0.3">
      <c r="BB1047351" s="38"/>
    </row>
    <row r="1047352" spans="54:54" ht="15.75" customHeight="1" x14ac:dyDescent="0.3">
      <c r="BB1047352" s="38"/>
    </row>
    <row r="1047353" spans="54:54" ht="15.75" customHeight="1" x14ac:dyDescent="0.3">
      <c r="BB1047353" s="38"/>
    </row>
    <row r="1047354" spans="54:54" ht="15.75" customHeight="1" x14ac:dyDescent="0.3">
      <c r="BB1047354" s="38"/>
    </row>
    <row r="1047355" spans="54:54" ht="15.75" customHeight="1" x14ac:dyDescent="0.3">
      <c r="BB1047355" s="38"/>
    </row>
    <row r="1047356" spans="54:54" ht="15.75" customHeight="1" x14ac:dyDescent="0.3">
      <c r="BB1047356" s="38"/>
    </row>
    <row r="1047357" spans="54:54" ht="15.75" customHeight="1" x14ac:dyDescent="0.3">
      <c r="BB1047357" s="38"/>
    </row>
    <row r="1047358" spans="54:54" ht="15.75" customHeight="1" x14ac:dyDescent="0.3">
      <c r="BB1047358" s="38"/>
    </row>
    <row r="1047359" spans="54:54" ht="15.75" customHeight="1" x14ac:dyDescent="0.3">
      <c r="BB1047359" s="38"/>
    </row>
    <row r="1047360" spans="54:54" ht="15.75" customHeight="1" x14ac:dyDescent="0.3">
      <c r="BB1047360" s="38"/>
    </row>
    <row r="1047361" spans="54:54" ht="15.75" customHeight="1" x14ac:dyDescent="0.3">
      <c r="BB1047361" s="38"/>
    </row>
    <row r="1047362" spans="54:54" ht="15.75" customHeight="1" x14ac:dyDescent="0.3">
      <c r="BB1047362" s="38"/>
    </row>
    <row r="1047363" spans="54:54" ht="15.75" customHeight="1" x14ac:dyDescent="0.3">
      <c r="BB1047363" s="38"/>
    </row>
    <row r="1047364" spans="54:54" ht="15.75" customHeight="1" x14ac:dyDescent="0.3">
      <c r="BB1047364" s="38"/>
    </row>
    <row r="1047365" spans="54:54" ht="15.75" customHeight="1" x14ac:dyDescent="0.3">
      <c r="BB1047365" s="38"/>
    </row>
    <row r="1047366" spans="54:54" ht="15.75" customHeight="1" x14ac:dyDescent="0.3">
      <c r="BB1047366" s="38"/>
    </row>
    <row r="1047367" spans="54:54" ht="15.75" customHeight="1" x14ac:dyDescent="0.3">
      <c r="BB1047367" s="38"/>
    </row>
    <row r="1047368" spans="54:54" ht="15.75" customHeight="1" x14ac:dyDescent="0.3">
      <c r="BB1047368" s="38"/>
    </row>
    <row r="1047369" spans="54:54" ht="15.75" customHeight="1" x14ac:dyDescent="0.3">
      <c r="BB1047369" s="38"/>
    </row>
    <row r="1047370" spans="54:54" ht="15.75" customHeight="1" x14ac:dyDescent="0.3">
      <c r="BB1047370" s="38"/>
    </row>
    <row r="1047371" spans="54:54" ht="15.75" customHeight="1" x14ac:dyDescent="0.3">
      <c r="BB1047371" s="38"/>
    </row>
    <row r="1047372" spans="54:54" ht="15.75" customHeight="1" x14ac:dyDescent="0.3">
      <c r="BB1047372" s="38"/>
    </row>
    <row r="1047373" spans="54:54" ht="15.75" customHeight="1" x14ac:dyDescent="0.3">
      <c r="BB1047373" s="38"/>
    </row>
    <row r="1047374" spans="54:54" ht="15.75" customHeight="1" x14ac:dyDescent="0.3">
      <c r="BB1047374" s="38"/>
    </row>
    <row r="1047375" spans="54:54" ht="15.75" customHeight="1" x14ac:dyDescent="0.3">
      <c r="BB1047375" s="38"/>
    </row>
    <row r="1047376" spans="54:54" ht="15.75" customHeight="1" x14ac:dyDescent="0.3">
      <c r="BB1047376" s="38"/>
    </row>
    <row r="1047377" spans="54:54" ht="15.75" customHeight="1" x14ac:dyDescent="0.3">
      <c r="BB1047377" s="38"/>
    </row>
    <row r="1047378" spans="54:54" ht="15.75" customHeight="1" x14ac:dyDescent="0.3">
      <c r="BB1047378" s="38"/>
    </row>
    <row r="1047379" spans="54:54" ht="15.75" customHeight="1" x14ac:dyDescent="0.3">
      <c r="BB1047379" s="38"/>
    </row>
    <row r="1047380" spans="54:54" ht="15.75" customHeight="1" x14ac:dyDescent="0.3">
      <c r="BB1047380" s="38"/>
    </row>
    <row r="1047381" spans="54:54" ht="15.75" customHeight="1" x14ac:dyDescent="0.3">
      <c r="BB1047381" s="38"/>
    </row>
    <row r="1047382" spans="54:54" ht="15.75" customHeight="1" x14ac:dyDescent="0.3">
      <c r="BB1047382" s="38"/>
    </row>
    <row r="1047383" spans="54:54" ht="15.75" customHeight="1" x14ac:dyDescent="0.3">
      <c r="BB1047383" s="38"/>
    </row>
    <row r="1047384" spans="54:54" ht="15.75" customHeight="1" x14ac:dyDescent="0.3">
      <c r="BB1047384" s="38"/>
    </row>
    <row r="1047385" spans="54:54" ht="15.75" customHeight="1" x14ac:dyDescent="0.3">
      <c r="BB1047385" s="38"/>
    </row>
    <row r="1047386" spans="54:54" ht="15.75" customHeight="1" x14ac:dyDescent="0.3">
      <c r="BB1047386" s="38"/>
    </row>
    <row r="1047387" spans="54:54" ht="15.75" customHeight="1" x14ac:dyDescent="0.3">
      <c r="BB1047387" s="38"/>
    </row>
    <row r="1047388" spans="54:54" ht="15.75" customHeight="1" x14ac:dyDescent="0.3">
      <c r="BB1047388" s="38"/>
    </row>
    <row r="1047389" spans="54:54" ht="15.75" customHeight="1" x14ac:dyDescent="0.3">
      <c r="BB1047389" s="38"/>
    </row>
    <row r="1047390" spans="54:54" ht="15.75" customHeight="1" x14ac:dyDescent="0.3">
      <c r="BB1047390" s="38"/>
    </row>
    <row r="1047391" spans="54:54" ht="15.75" customHeight="1" x14ac:dyDescent="0.3">
      <c r="BB1047391" s="38"/>
    </row>
    <row r="1047392" spans="54:54" ht="15.75" customHeight="1" x14ac:dyDescent="0.3">
      <c r="BB1047392" s="38"/>
    </row>
    <row r="1047393" spans="54:54" ht="15.75" customHeight="1" x14ac:dyDescent="0.3">
      <c r="BB1047393" s="38"/>
    </row>
    <row r="1047394" spans="54:54" ht="15.75" customHeight="1" x14ac:dyDescent="0.3">
      <c r="BB1047394" s="38"/>
    </row>
    <row r="1047395" spans="54:54" ht="15.75" customHeight="1" x14ac:dyDescent="0.3">
      <c r="BB1047395" s="38"/>
    </row>
    <row r="1047396" spans="54:54" ht="15.75" customHeight="1" x14ac:dyDescent="0.3">
      <c r="BB1047396" s="38"/>
    </row>
    <row r="1047397" spans="54:54" ht="15.75" customHeight="1" x14ac:dyDescent="0.3">
      <c r="BB1047397" s="38"/>
    </row>
    <row r="1047398" spans="54:54" ht="15.75" customHeight="1" x14ac:dyDescent="0.3">
      <c r="BB1047398" s="38"/>
    </row>
    <row r="1047399" spans="54:54" ht="15.75" customHeight="1" x14ac:dyDescent="0.3">
      <c r="BB1047399" s="38"/>
    </row>
    <row r="1047400" spans="54:54" ht="15.75" customHeight="1" x14ac:dyDescent="0.3">
      <c r="BB1047400" s="38"/>
    </row>
    <row r="1047401" spans="54:54" ht="15.75" customHeight="1" x14ac:dyDescent="0.3">
      <c r="BB1047401" s="38"/>
    </row>
    <row r="1047402" spans="54:54" ht="15.75" customHeight="1" x14ac:dyDescent="0.3">
      <c r="BB1047402" s="38"/>
    </row>
    <row r="1047403" spans="54:54" ht="15.75" customHeight="1" x14ac:dyDescent="0.3">
      <c r="BB1047403" s="38"/>
    </row>
    <row r="1047404" spans="54:54" ht="15.75" customHeight="1" x14ac:dyDescent="0.3">
      <c r="BB1047404" s="38"/>
    </row>
    <row r="1047405" spans="54:54" ht="15.75" customHeight="1" x14ac:dyDescent="0.3">
      <c r="BB1047405" s="38"/>
    </row>
    <row r="1047406" spans="54:54" ht="15.75" customHeight="1" x14ac:dyDescent="0.3">
      <c r="BB1047406" s="38"/>
    </row>
    <row r="1047407" spans="54:54" ht="15.75" customHeight="1" x14ac:dyDescent="0.3">
      <c r="BB1047407" s="38"/>
    </row>
    <row r="1047408" spans="54:54" ht="15.75" customHeight="1" x14ac:dyDescent="0.3">
      <c r="BB1047408" s="38"/>
    </row>
    <row r="1047409" spans="54:54" ht="15.75" customHeight="1" x14ac:dyDescent="0.3">
      <c r="BB1047409" s="38"/>
    </row>
    <row r="1047410" spans="54:54" ht="15.75" customHeight="1" x14ac:dyDescent="0.3">
      <c r="BB1047410" s="38"/>
    </row>
    <row r="1047411" spans="54:54" ht="15.75" customHeight="1" x14ac:dyDescent="0.3">
      <c r="BB1047411" s="38"/>
    </row>
    <row r="1047412" spans="54:54" ht="15.75" customHeight="1" x14ac:dyDescent="0.3">
      <c r="BB1047412" s="38"/>
    </row>
    <row r="1047413" spans="54:54" ht="15.75" customHeight="1" x14ac:dyDescent="0.3">
      <c r="BB1047413" s="38"/>
    </row>
    <row r="1047414" spans="54:54" ht="15.75" customHeight="1" x14ac:dyDescent="0.3">
      <c r="BB1047414" s="38"/>
    </row>
    <row r="1047415" spans="54:54" ht="15.75" customHeight="1" x14ac:dyDescent="0.3">
      <c r="BB1047415" s="38"/>
    </row>
    <row r="1047416" spans="54:54" ht="15.75" customHeight="1" x14ac:dyDescent="0.3">
      <c r="BB1047416" s="38"/>
    </row>
    <row r="1047417" spans="54:54" ht="15.75" customHeight="1" x14ac:dyDescent="0.3">
      <c r="BB1047417" s="38"/>
    </row>
    <row r="1047418" spans="54:54" ht="15.75" customHeight="1" x14ac:dyDescent="0.3">
      <c r="BB1047418" s="38"/>
    </row>
    <row r="1047419" spans="54:54" ht="15.75" customHeight="1" x14ac:dyDescent="0.3">
      <c r="BB1047419" s="38"/>
    </row>
    <row r="1047420" spans="54:54" ht="15.75" customHeight="1" x14ac:dyDescent="0.3">
      <c r="BB1047420" s="38"/>
    </row>
    <row r="1047421" spans="54:54" ht="15.75" customHeight="1" x14ac:dyDescent="0.3">
      <c r="BB1047421" s="38"/>
    </row>
    <row r="1047422" spans="54:54" ht="15.75" customHeight="1" x14ac:dyDescent="0.3">
      <c r="BB1047422" s="38"/>
    </row>
    <row r="1047423" spans="54:54" ht="15.75" customHeight="1" x14ac:dyDescent="0.3">
      <c r="BB1047423" s="38"/>
    </row>
    <row r="1047424" spans="54:54" ht="15.75" customHeight="1" x14ac:dyDescent="0.3">
      <c r="BB1047424" s="38"/>
    </row>
    <row r="1047425" spans="54:54" ht="15.75" customHeight="1" x14ac:dyDescent="0.3">
      <c r="BB1047425" s="38"/>
    </row>
    <row r="1047426" spans="54:54" ht="15.75" customHeight="1" x14ac:dyDescent="0.3">
      <c r="BB1047426" s="38"/>
    </row>
    <row r="1047427" spans="54:54" ht="15.75" customHeight="1" x14ac:dyDescent="0.3">
      <c r="BB1047427" s="38"/>
    </row>
    <row r="1047428" spans="54:54" ht="15.75" customHeight="1" x14ac:dyDescent="0.3">
      <c r="BB1047428" s="38"/>
    </row>
    <row r="1047429" spans="54:54" ht="15.75" customHeight="1" x14ac:dyDescent="0.3">
      <c r="BB1047429" s="38"/>
    </row>
    <row r="1047430" spans="54:54" ht="15.75" customHeight="1" x14ac:dyDescent="0.3">
      <c r="BB1047430" s="38"/>
    </row>
    <row r="1047431" spans="54:54" ht="15.75" customHeight="1" x14ac:dyDescent="0.3">
      <c r="BB1047431" s="38"/>
    </row>
    <row r="1047432" spans="54:54" ht="15.75" customHeight="1" x14ac:dyDescent="0.3">
      <c r="BB1047432" s="38"/>
    </row>
    <row r="1047433" spans="54:54" ht="15.75" customHeight="1" x14ac:dyDescent="0.3">
      <c r="BB1047433" s="38"/>
    </row>
    <row r="1047434" spans="54:54" ht="15.75" customHeight="1" x14ac:dyDescent="0.3">
      <c r="BB1047434" s="38"/>
    </row>
    <row r="1047435" spans="54:54" ht="15.75" customHeight="1" x14ac:dyDescent="0.3">
      <c r="BB1047435" s="38"/>
    </row>
    <row r="1047436" spans="54:54" ht="15.75" customHeight="1" x14ac:dyDescent="0.3">
      <c r="BB1047436" s="38"/>
    </row>
    <row r="1047437" spans="54:54" ht="15.75" customHeight="1" x14ac:dyDescent="0.3">
      <c r="BB1047437" s="38"/>
    </row>
    <row r="1047438" spans="54:54" ht="15.75" customHeight="1" x14ac:dyDescent="0.3">
      <c r="BB1047438" s="38"/>
    </row>
    <row r="1047439" spans="54:54" ht="15.75" customHeight="1" x14ac:dyDescent="0.3">
      <c r="BB1047439" s="38"/>
    </row>
    <row r="1047440" spans="54:54" ht="15.75" customHeight="1" x14ac:dyDescent="0.3">
      <c r="BB1047440" s="38"/>
    </row>
    <row r="1047441" spans="54:54" ht="15.75" customHeight="1" x14ac:dyDescent="0.3">
      <c r="BB1047441" s="38"/>
    </row>
    <row r="1047442" spans="54:54" ht="15.75" customHeight="1" x14ac:dyDescent="0.3">
      <c r="BB1047442" s="38"/>
    </row>
    <row r="1047443" spans="54:54" ht="15.75" customHeight="1" x14ac:dyDescent="0.3">
      <c r="BB1047443" s="38"/>
    </row>
    <row r="1047444" spans="54:54" ht="15.75" customHeight="1" x14ac:dyDescent="0.3">
      <c r="BB1047444" s="38"/>
    </row>
    <row r="1047445" spans="54:54" ht="15.75" customHeight="1" x14ac:dyDescent="0.3">
      <c r="BB1047445" s="38"/>
    </row>
    <row r="1047446" spans="54:54" ht="15.75" customHeight="1" x14ac:dyDescent="0.3">
      <c r="BB1047446" s="38"/>
    </row>
    <row r="1047447" spans="54:54" ht="15.75" customHeight="1" x14ac:dyDescent="0.3">
      <c r="BB1047447" s="38"/>
    </row>
    <row r="1047448" spans="54:54" ht="15.75" customHeight="1" x14ac:dyDescent="0.3">
      <c r="BB1047448" s="38"/>
    </row>
    <row r="1047449" spans="54:54" ht="15.75" customHeight="1" x14ac:dyDescent="0.3">
      <c r="BB1047449" s="38"/>
    </row>
    <row r="1047450" spans="54:54" ht="15.75" customHeight="1" x14ac:dyDescent="0.3">
      <c r="BB1047450" s="38"/>
    </row>
    <row r="1047451" spans="54:54" ht="15.75" customHeight="1" x14ac:dyDescent="0.3">
      <c r="BB1047451" s="38"/>
    </row>
    <row r="1047452" spans="54:54" ht="15.75" customHeight="1" x14ac:dyDescent="0.3">
      <c r="BB1047452" s="38"/>
    </row>
    <row r="1047453" spans="54:54" ht="15.75" customHeight="1" x14ac:dyDescent="0.3">
      <c r="BB1047453" s="38"/>
    </row>
    <row r="1047454" spans="54:54" ht="15.75" customHeight="1" x14ac:dyDescent="0.3">
      <c r="BB1047454" s="38"/>
    </row>
    <row r="1047455" spans="54:54" ht="15.75" customHeight="1" x14ac:dyDescent="0.3">
      <c r="BB1047455" s="38"/>
    </row>
    <row r="1047456" spans="54:54" ht="15.75" customHeight="1" x14ac:dyDescent="0.3">
      <c r="BB1047456" s="38"/>
    </row>
    <row r="1047457" spans="54:54" ht="15.75" customHeight="1" x14ac:dyDescent="0.3">
      <c r="BB1047457" s="38"/>
    </row>
    <row r="1047458" spans="54:54" ht="15.75" customHeight="1" x14ac:dyDescent="0.3">
      <c r="BB1047458" s="38"/>
    </row>
    <row r="1047459" spans="54:54" ht="15.75" customHeight="1" x14ac:dyDescent="0.3">
      <c r="BB1047459" s="38"/>
    </row>
    <row r="1047460" spans="54:54" ht="15.75" customHeight="1" x14ac:dyDescent="0.3">
      <c r="BB1047460" s="38"/>
    </row>
    <row r="1047461" spans="54:54" ht="15.75" customHeight="1" x14ac:dyDescent="0.3">
      <c r="BB1047461" s="38"/>
    </row>
    <row r="1047462" spans="54:54" ht="15.75" customHeight="1" x14ac:dyDescent="0.3">
      <c r="BB1047462" s="38"/>
    </row>
    <row r="1047463" spans="54:54" ht="15.75" customHeight="1" x14ac:dyDescent="0.3">
      <c r="BB1047463" s="38"/>
    </row>
    <row r="1047464" spans="54:54" ht="15.75" customHeight="1" x14ac:dyDescent="0.3">
      <c r="BB1047464" s="38"/>
    </row>
    <row r="1047465" spans="54:54" ht="15.75" customHeight="1" x14ac:dyDescent="0.3">
      <c r="BB1047465" s="38"/>
    </row>
    <row r="1047466" spans="54:54" ht="15.75" customHeight="1" x14ac:dyDescent="0.3">
      <c r="BB1047466" s="38"/>
    </row>
    <row r="1047467" spans="54:54" ht="15.75" customHeight="1" x14ac:dyDescent="0.3">
      <c r="BB1047467" s="38"/>
    </row>
    <row r="1047468" spans="54:54" ht="15.75" customHeight="1" x14ac:dyDescent="0.3">
      <c r="BB1047468" s="38"/>
    </row>
    <row r="1047469" spans="54:54" ht="15.75" customHeight="1" x14ac:dyDescent="0.3">
      <c r="BB1047469" s="38"/>
    </row>
    <row r="1047470" spans="54:54" ht="15.75" customHeight="1" x14ac:dyDescent="0.3">
      <c r="BB1047470" s="38"/>
    </row>
    <row r="1047471" spans="54:54" ht="15.75" customHeight="1" x14ac:dyDescent="0.3">
      <c r="BB1047471" s="38"/>
    </row>
    <row r="1047472" spans="54:54" ht="15.75" customHeight="1" x14ac:dyDescent="0.3">
      <c r="BB1047472" s="38"/>
    </row>
    <row r="1047473" spans="54:54" ht="15.75" customHeight="1" x14ac:dyDescent="0.3">
      <c r="BB1047473" s="38"/>
    </row>
    <row r="1047474" spans="54:54" ht="15.75" customHeight="1" x14ac:dyDescent="0.3">
      <c r="BB1047474" s="38"/>
    </row>
    <row r="1047475" spans="54:54" ht="15.75" customHeight="1" x14ac:dyDescent="0.3">
      <c r="BB1047475" s="38"/>
    </row>
    <row r="1047476" spans="54:54" ht="15.75" customHeight="1" x14ac:dyDescent="0.3">
      <c r="BB1047476" s="38"/>
    </row>
    <row r="1047477" spans="54:54" ht="15.75" customHeight="1" x14ac:dyDescent="0.3">
      <c r="BB1047477" s="38"/>
    </row>
    <row r="1047478" spans="54:54" ht="15.75" customHeight="1" x14ac:dyDescent="0.3">
      <c r="BB1047478" s="38"/>
    </row>
    <row r="1047479" spans="54:54" ht="15.75" customHeight="1" x14ac:dyDescent="0.3">
      <c r="BB1047479" s="38"/>
    </row>
    <row r="1047480" spans="54:54" ht="15.75" customHeight="1" x14ac:dyDescent="0.3">
      <c r="BB1047480" s="38"/>
    </row>
    <row r="1047481" spans="54:54" ht="15.75" customHeight="1" x14ac:dyDescent="0.3">
      <c r="BB1047481" s="38"/>
    </row>
    <row r="1047482" spans="54:54" ht="15.75" customHeight="1" x14ac:dyDescent="0.3">
      <c r="BB1047482" s="38"/>
    </row>
    <row r="1047483" spans="54:54" ht="15.75" customHeight="1" x14ac:dyDescent="0.3">
      <c r="BB1047483" s="38"/>
    </row>
    <row r="1047484" spans="54:54" ht="15.75" customHeight="1" x14ac:dyDescent="0.3">
      <c r="BB1047484" s="38"/>
    </row>
    <row r="1047485" spans="54:54" ht="15.75" customHeight="1" x14ac:dyDescent="0.3">
      <c r="BB1047485" s="38"/>
    </row>
    <row r="1047486" spans="54:54" ht="15.75" customHeight="1" x14ac:dyDescent="0.3">
      <c r="BB1047486" s="38"/>
    </row>
    <row r="1047487" spans="54:54" ht="15.75" customHeight="1" x14ac:dyDescent="0.3">
      <c r="BB1047487" s="38"/>
    </row>
    <row r="1047488" spans="54:54" ht="15.75" customHeight="1" x14ac:dyDescent="0.3">
      <c r="BB1047488" s="38"/>
    </row>
    <row r="1047489" spans="54:54" ht="15.75" customHeight="1" x14ac:dyDescent="0.3">
      <c r="BB1047489" s="38"/>
    </row>
    <row r="1047490" spans="54:54" ht="15.75" customHeight="1" x14ac:dyDescent="0.3">
      <c r="BB1047490" s="38"/>
    </row>
    <row r="1047491" spans="54:54" ht="15.75" customHeight="1" x14ac:dyDescent="0.3">
      <c r="BB1047491" s="38"/>
    </row>
    <row r="1047492" spans="54:54" ht="15.75" customHeight="1" x14ac:dyDescent="0.3">
      <c r="BB1047492" s="38"/>
    </row>
    <row r="1047493" spans="54:54" ht="15.75" customHeight="1" x14ac:dyDescent="0.3">
      <c r="BB1047493" s="38"/>
    </row>
    <row r="1047494" spans="54:54" ht="15.75" customHeight="1" x14ac:dyDescent="0.3">
      <c r="BB1047494" s="38"/>
    </row>
    <row r="1047495" spans="54:54" ht="15.75" customHeight="1" x14ac:dyDescent="0.3">
      <c r="BB1047495" s="38"/>
    </row>
    <row r="1047496" spans="54:54" ht="15.75" customHeight="1" x14ac:dyDescent="0.3">
      <c r="BB1047496" s="38"/>
    </row>
    <row r="1047497" spans="54:54" ht="15.75" customHeight="1" x14ac:dyDescent="0.3">
      <c r="BB1047497" s="38"/>
    </row>
    <row r="1047498" spans="54:54" ht="15.75" customHeight="1" x14ac:dyDescent="0.3">
      <c r="BB1047498" s="38"/>
    </row>
    <row r="1047499" spans="54:54" ht="15.75" customHeight="1" x14ac:dyDescent="0.3">
      <c r="BB1047499" s="38"/>
    </row>
    <row r="1047500" spans="54:54" ht="15.75" customHeight="1" x14ac:dyDescent="0.3">
      <c r="BB1047500" s="38"/>
    </row>
    <row r="1047501" spans="54:54" ht="15.75" customHeight="1" x14ac:dyDescent="0.3">
      <c r="BB1047501" s="38"/>
    </row>
    <row r="1047502" spans="54:54" ht="15.75" customHeight="1" x14ac:dyDescent="0.3">
      <c r="BB1047502" s="38"/>
    </row>
    <row r="1047503" spans="54:54" ht="15.75" customHeight="1" x14ac:dyDescent="0.3">
      <c r="BB1047503" s="38"/>
    </row>
    <row r="1047504" spans="54:54" ht="15.75" customHeight="1" x14ac:dyDescent="0.3">
      <c r="BB1047504" s="38"/>
    </row>
    <row r="1047505" spans="54:54" ht="15.75" customHeight="1" x14ac:dyDescent="0.3">
      <c r="BB1047505" s="38"/>
    </row>
    <row r="1047506" spans="54:54" ht="15.75" customHeight="1" x14ac:dyDescent="0.3">
      <c r="BB1047506" s="38"/>
    </row>
    <row r="1047507" spans="54:54" ht="15.75" customHeight="1" x14ac:dyDescent="0.3">
      <c r="BB1047507" s="38"/>
    </row>
    <row r="1047508" spans="54:54" ht="15.75" customHeight="1" x14ac:dyDescent="0.3">
      <c r="BB1047508" s="38"/>
    </row>
    <row r="1047509" spans="54:54" ht="15.75" customHeight="1" x14ac:dyDescent="0.3">
      <c r="BB1047509" s="38"/>
    </row>
    <row r="1047510" spans="54:54" ht="15.75" customHeight="1" x14ac:dyDescent="0.3">
      <c r="BB1047510" s="38"/>
    </row>
    <row r="1047511" spans="54:54" ht="15.75" customHeight="1" x14ac:dyDescent="0.3">
      <c r="BB1047511" s="38"/>
    </row>
    <row r="1047512" spans="54:54" ht="15.75" customHeight="1" x14ac:dyDescent="0.3">
      <c r="BB1047512" s="38"/>
    </row>
    <row r="1047513" spans="54:54" ht="15.75" customHeight="1" x14ac:dyDescent="0.3">
      <c r="BB1047513" s="38"/>
    </row>
    <row r="1047514" spans="54:54" ht="15.75" customHeight="1" x14ac:dyDescent="0.3">
      <c r="BB1047514" s="38"/>
    </row>
    <row r="1047515" spans="54:54" ht="15.75" customHeight="1" x14ac:dyDescent="0.3">
      <c r="BB1047515" s="38"/>
    </row>
    <row r="1047516" spans="54:54" ht="15.75" customHeight="1" x14ac:dyDescent="0.3">
      <c r="BB1047516" s="38"/>
    </row>
    <row r="1047517" spans="54:54" ht="15.75" customHeight="1" x14ac:dyDescent="0.3">
      <c r="BB1047517" s="38"/>
    </row>
    <row r="1047518" spans="54:54" ht="15.75" customHeight="1" x14ac:dyDescent="0.3">
      <c r="BB1047518" s="38"/>
    </row>
    <row r="1047519" spans="54:54" ht="15.75" customHeight="1" x14ac:dyDescent="0.3">
      <c r="BB1047519" s="38"/>
    </row>
    <row r="1047520" spans="54:54" ht="15.75" customHeight="1" x14ac:dyDescent="0.3">
      <c r="BB1047520" s="38"/>
    </row>
    <row r="1047521" spans="54:54" ht="15.75" customHeight="1" x14ac:dyDescent="0.3">
      <c r="BB1047521" s="38"/>
    </row>
    <row r="1047522" spans="54:54" ht="15.75" customHeight="1" x14ac:dyDescent="0.3">
      <c r="BB1047522" s="38"/>
    </row>
    <row r="1047523" spans="54:54" ht="15.75" customHeight="1" x14ac:dyDescent="0.3">
      <c r="BB1047523" s="38"/>
    </row>
    <row r="1047524" spans="54:54" ht="15.75" customHeight="1" x14ac:dyDescent="0.3">
      <c r="BB1047524" s="38"/>
    </row>
    <row r="1047525" spans="54:54" ht="15.75" customHeight="1" x14ac:dyDescent="0.3">
      <c r="BB1047525" s="38"/>
    </row>
    <row r="1047526" spans="54:54" ht="15.75" customHeight="1" x14ac:dyDescent="0.3">
      <c r="BB1047526" s="38"/>
    </row>
    <row r="1047527" spans="54:54" ht="15.75" customHeight="1" x14ac:dyDescent="0.3">
      <c r="BB1047527" s="38"/>
    </row>
    <row r="1047528" spans="54:54" ht="15.75" customHeight="1" x14ac:dyDescent="0.3">
      <c r="BB1047528" s="38"/>
    </row>
    <row r="1047529" spans="54:54" ht="15.75" customHeight="1" x14ac:dyDescent="0.3">
      <c r="BB1047529" s="38"/>
    </row>
    <row r="1047530" spans="54:54" ht="15.75" customHeight="1" x14ac:dyDescent="0.3">
      <c r="BB1047530" s="38"/>
    </row>
    <row r="1047531" spans="54:54" ht="15.75" customHeight="1" x14ac:dyDescent="0.3">
      <c r="BB1047531" s="38"/>
    </row>
    <row r="1047532" spans="54:54" ht="15.75" customHeight="1" x14ac:dyDescent="0.3">
      <c r="BB1047532" s="38"/>
    </row>
    <row r="1047533" spans="54:54" ht="15.75" customHeight="1" x14ac:dyDescent="0.3">
      <c r="BB1047533" s="38"/>
    </row>
    <row r="1047534" spans="54:54" ht="15.75" customHeight="1" x14ac:dyDescent="0.3">
      <c r="BB1047534" s="38"/>
    </row>
    <row r="1047535" spans="54:54" ht="15.75" customHeight="1" x14ac:dyDescent="0.3">
      <c r="BB1047535" s="38"/>
    </row>
    <row r="1047536" spans="54:54" ht="15.75" customHeight="1" x14ac:dyDescent="0.3">
      <c r="BB1047536" s="38"/>
    </row>
    <row r="1047537" spans="54:54" ht="15.75" customHeight="1" x14ac:dyDescent="0.3">
      <c r="BB1047537" s="38"/>
    </row>
    <row r="1047538" spans="54:54" ht="15.75" customHeight="1" x14ac:dyDescent="0.3">
      <c r="BB1047538" s="38"/>
    </row>
    <row r="1047539" spans="54:54" ht="15.75" customHeight="1" x14ac:dyDescent="0.3">
      <c r="BB1047539" s="38"/>
    </row>
    <row r="1047540" spans="54:54" ht="15.75" customHeight="1" x14ac:dyDescent="0.3">
      <c r="BB1047540" s="38"/>
    </row>
    <row r="1047541" spans="54:54" ht="15.75" customHeight="1" x14ac:dyDescent="0.3">
      <c r="BB1047541" s="38"/>
    </row>
    <row r="1047542" spans="54:54" ht="15.75" customHeight="1" x14ac:dyDescent="0.3">
      <c r="BB1047542" s="38"/>
    </row>
    <row r="1047543" spans="54:54" ht="15.75" customHeight="1" x14ac:dyDescent="0.3">
      <c r="BB1047543" s="38"/>
    </row>
    <row r="1047544" spans="54:54" ht="15.75" customHeight="1" x14ac:dyDescent="0.3">
      <c r="BB1047544" s="38"/>
    </row>
    <row r="1047545" spans="54:54" ht="15.75" customHeight="1" x14ac:dyDescent="0.3">
      <c r="BB1047545" s="38"/>
    </row>
    <row r="1047546" spans="54:54" ht="15.75" customHeight="1" x14ac:dyDescent="0.3">
      <c r="BB1047546" s="38"/>
    </row>
    <row r="1047547" spans="54:54" ht="15.75" customHeight="1" x14ac:dyDescent="0.3">
      <c r="BB1047547" s="38"/>
    </row>
    <row r="1047548" spans="54:54" ht="15.75" customHeight="1" x14ac:dyDescent="0.3">
      <c r="BB1047548" s="38"/>
    </row>
    <row r="1047549" spans="54:54" ht="15.75" customHeight="1" x14ac:dyDescent="0.3">
      <c r="BB1047549" s="38"/>
    </row>
    <row r="1047550" spans="54:54" ht="15.75" customHeight="1" x14ac:dyDescent="0.3">
      <c r="BB1047550" s="38"/>
    </row>
    <row r="1047551" spans="54:54" ht="15.75" customHeight="1" x14ac:dyDescent="0.3">
      <c r="BB1047551" s="38"/>
    </row>
    <row r="1047552" spans="54:54" ht="15.75" customHeight="1" x14ac:dyDescent="0.3">
      <c r="BB1047552" s="38"/>
    </row>
    <row r="1047553" spans="54:54" ht="15.75" customHeight="1" x14ac:dyDescent="0.3">
      <c r="BB1047553" s="38"/>
    </row>
    <row r="1047554" spans="54:54" ht="15.75" customHeight="1" x14ac:dyDescent="0.3">
      <c r="BB1047554" s="38"/>
    </row>
    <row r="1047555" spans="54:54" ht="15.75" customHeight="1" x14ac:dyDescent="0.3">
      <c r="BB1047555" s="38"/>
    </row>
    <row r="1047556" spans="54:54" ht="15.75" customHeight="1" x14ac:dyDescent="0.3">
      <c r="BB1047556" s="38"/>
    </row>
    <row r="1047557" spans="54:54" ht="15.75" customHeight="1" x14ac:dyDescent="0.3">
      <c r="BB1047557" s="38"/>
    </row>
    <row r="1047558" spans="54:54" ht="15.75" customHeight="1" x14ac:dyDescent="0.3">
      <c r="BB1047558" s="38"/>
    </row>
    <row r="1047559" spans="54:54" ht="15.75" customHeight="1" x14ac:dyDescent="0.3">
      <c r="BB1047559" s="38"/>
    </row>
    <row r="1047560" spans="54:54" ht="15.75" customHeight="1" x14ac:dyDescent="0.3">
      <c r="BB1047560" s="38"/>
    </row>
    <row r="1047561" spans="54:54" ht="15.75" customHeight="1" x14ac:dyDescent="0.3">
      <c r="BB1047561" s="38"/>
    </row>
    <row r="1047562" spans="54:54" ht="15.75" customHeight="1" x14ac:dyDescent="0.3">
      <c r="BB1047562" s="38"/>
    </row>
    <row r="1047563" spans="54:54" ht="15.75" customHeight="1" x14ac:dyDescent="0.3">
      <c r="BB1047563" s="38"/>
    </row>
    <row r="1047564" spans="54:54" ht="15.75" customHeight="1" x14ac:dyDescent="0.3">
      <c r="BB1047564" s="38"/>
    </row>
    <row r="1047565" spans="54:54" ht="15.75" customHeight="1" x14ac:dyDescent="0.3">
      <c r="BB1047565" s="38"/>
    </row>
    <row r="1047566" spans="54:54" ht="15.75" customHeight="1" x14ac:dyDescent="0.3">
      <c r="BB1047566" s="38"/>
    </row>
    <row r="1047567" spans="54:54" ht="15.75" customHeight="1" x14ac:dyDescent="0.3">
      <c r="BB1047567" s="38"/>
    </row>
    <row r="1047568" spans="54:54" ht="15.75" customHeight="1" x14ac:dyDescent="0.3">
      <c r="BB1047568" s="38"/>
    </row>
    <row r="1047569" spans="54:54" ht="15.75" customHeight="1" x14ac:dyDescent="0.3">
      <c r="BB1047569" s="38"/>
    </row>
    <row r="1047570" spans="54:54" ht="15.75" customHeight="1" x14ac:dyDescent="0.3">
      <c r="BB1047570" s="38"/>
    </row>
    <row r="1047571" spans="54:54" ht="15.75" customHeight="1" x14ac:dyDescent="0.3">
      <c r="BB1047571" s="38"/>
    </row>
    <row r="1047572" spans="54:54" ht="15.75" customHeight="1" x14ac:dyDescent="0.3">
      <c r="BB1047572" s="38"/>
    </row>
    <row r="1047573" spans="54:54" ht="15.75" customHeight="1" x14ac:dyDescent="0.3">
      <c r="BB1047573" s="38"/>
    </row>
    <row r="1047574" spans="54:54" ht="15.75" customHeight="1" x14ac:dyDescent="0.3">
      <c r="BB1047574" s="38"/>
    </row>
    <row r="1047575" spans="54:54" ht="15.75" customHeight="1" x14ac:dyDescent="0.3">
      <c r="BB1047575" s="38"/>
    </row>
    <row r="1047576" spans="54:54" ht="15.75" customHeight="1" x14ac:dyDescent="0.3">
      <c r="BB1047576" s="38"/>
    </row>
    <row r="1047577" spans="54:54" ht="15.75" customHeight="1" x14ac:dyDescent="0.3">
      <c r="BB1047577" s="38"/>
    </row>
    <row r="1047578" spans="54:54" ht="15.75" customHeight="1" x14ac:dyDescent="0.3">
      <c r="BB1047578" s="38"/>
    </row>
    <row r="1047579" spans="54:54" ht="15.75" customHeight="1" x14ac:dyDescent="0.3">
      <c r="BB1047579" s="38"/>
    </row>
    <row r="1047580" spans="54:54" ht="15.75" customHeight="1" x14ac:dyDescent="0.3">
      <c r="BB1047580" s="38"/>
    </row>
    <row r="1047581" spans="54:54" ht="15.75" customHeight="1" x14ac:dyDescent="0.3">
      <c r="BB1047581" s="38"/>
    </row>
    <row r="1047582" spans="54:54" ht="15.75" customHeight="1" x14ac:dyDescent="0.3">
      <c r="BB1047582" s="38"/>
    </row>
    <row r="1047583" spans="54:54" ht="15.75" customHeight="1" x14ac:dyDescent="0.3">
      <c r="BB1047583" s="38"/>
    </row>
    <row r="1047584" spans="54:54" ht="15.75" customHeight="1" x14ac:dyDescent="0.3">
      <c r="BB1047584" s="38"/>
    </row>
    <row r="1047585" spans="54:54" ht="15.75" customHeight="1" x14ac:dyDescent="0.3">
      <c r="BB1047585" s="38"/>
    </row>
    <row r="1047586" spans="54:54" ht="15.75" customHeight="1" x14ac:dyDescent="0.3">
      <c r="BB1047586" s="38"/>
    </row>
    <row r="1047587" spans="54:54" ht="15.75" customHeight="1" x14ac:dyDescent="0.3">
      <c r="BB1047587" s="38"/>
    </row>
    <row r="1047588" spans="54:54" ht="15.75" customHeight="1" x14ac:dyDescent="0.3">
      <c r="BB1047588" s="38"/>
    </row>
    <row r="1047589" spans="54:54" ht="15.75" customHeight="1" x14ac:dyDescent="0.3">
      <c r="BB1047589" s="38"/>
    </row>
    <row r="1047590" spans="54:54" ht="15.75" customHeight="1" x14ac:dyDescent="0.3">
      <c r="BB1047590" s="38"/>
    </row>
    <row r="1047591" spans="54:54" ht="15.75" customHeight="1" x14ac:dyDescent="0.3">
      <c r="BB1047591" s="38"/>
    </row>
    <row r="1047592" spans="54:54" ht="15.75" customHeight="1" x14ac:dyDescent="0.3">
      <c r="BB1047592" s="38"/>
    </row>
    <row r="1047593" spans="54:54" ht="15.75" customHeight="1" x14ac:dyDescent="0.3">
      <c r="BB1047593" s="38"/>
    </row>
    <row r="1047594" spans="54:54" ht="15.75" customHeight="1" x14ac:dyDescent="0.3">
      <c r="BB1047594" s="38"/>
    </row>
    <row r="1047595" spans="54:54" ht="15.75" customHeight="1" x14ac:dyDescent="0.3">
      <c r="BB1047595" s="38"/>
    </row>
    <row r="1047596" spans="54:54" ht="15.75" customHeight="1" x14ac:dyDescent="0.3">
      <c r="BB1047596" s="38"/>
    </row>
    <row r="1047597" spans="54:54" ht="15.75" customHeight="1" x14ac:dyDescent="0.3">
      <c r="BB1047597" s="38"/>
    </row>
    <row r="1047598" spans="54:54" ht="15.75" customHeight="1" x14ac:dyDescent="0.3">
      <c r="BB1047598" s="38"/>
    </row>
    <row r="1047599" spans="54:54" ht="15.75" customHeight="1" x14ac:dyDescent="0.3">
      <c r="BB1047599" s="38"/>
    </row>
    <row r="1047600" spans="54:54" ht="15.75" customHeight="1" x14ac:dyDescent="0.3">
      <c r="BB1047600" s="38"/>
    </row>
    <row r="1047601" spans="54:54" ht="15.75" customHeight="1" x14ac:dyDescent="0.3">
      <c r="BB1047601" s="38"/>
    </row>
    <row r="1047602" spans="54:54" ht="15.75" customHeight="1" x14ac:dyDescent="0.3">
      <c r="BB1047602" s="38"/>
    </row>
    <row r="1047603" spans="54:54" ht="15.75" customHeight="1" x14ac:dyDescent="0.3">
      <c r="BB1047603" s="38"/>
    </row>
    <row r="1047604" spans="54:54" ht="15.75" customHeight="1" x14ac:dyDescent="0.3">
      <c r="BB1047604" s="38"/>
    </row>
    <row r="1047605" spans="54:54" ht="15.75" customHeight="1" x14ac:dyDescent="0.3">
      <c r="BB1047605" s="38"/>
    </row>
    <row r="1047606" spans="54:54" ht="15.75" customHeight="1" x14ac:dyDescent="0.3">
      <c r="BB1047606" s="38"/>
    </row>
    <row r="1047607" spans="54:54" ht="15.75" customHeight="1" x14ac:dyDescent="0.3">
      <c r="BB1047607" s="38"/>
    </row>
    <row r="1047608" spans="54:54" ht="15.75" customHeight="1" x14ac:dyDescent="0.3">
      <c r="BB1047608" s="38"/>
    </row>
    <row r="1047609" spans="54:54" ht="15.75" customHeight="1" x14ac:dyDescent="0.3">
      <c r="BB1047609" s="38"/>
    </row>
    <row r="1047610" spans="54:54" ht="15.75" customHeight="1" x14ac:dyDescent="0.3">
      <c r="BB1047610" s="38"/>
    </row>
    <row r="1047611" spans="54:54" ht="15.75" customHeight="1" x14ac:dyDescent="0.3">
      <c r="BB1047611" s="38"/>
    </row>
    <row r="1047612" spans="54:54" ht="15.75" customHeight="1" x14ac:dyDescent="0.3">
      <c r="BB1047612" s="38"/>
    </row>
    <row r="1047613" spans="54:54" ht="15.75" customHeight="1" x14ac:dyDescent="0.3">
      <c r="BB1047613" s="38"/>
    </row>
    <row r="1047614" spans="54:54" ht="15.75" customHeight="1" x14ac:dyDescent="0.3">
      <c r="BB1047614" s="38"/>
    </row>
    <row r="1047615" spans="54:54" ht="15.75" customHeight="1" x14ac:dyDescent="0.3">
      <c r="BB1047615" s="38"/>
    </row>
    <row r="1047616" spans="54:54" ht="15.75" customHeight="1" x14ac:dyDescent="0.3">
      <c r="BB1047616" s="38"/>
    </row>
    <row r="1047617" spans="54:54" ht="15.75" customHeight="1" x14ac:dyDescent="0.3">
      <c r="BB1047617" s="38"/>
    </row>
    <row r="1047618" spans="54:54" ht="15.75" customHeight="1" x14ac:dyDescent="0.3">
      <c r="BB1047618" s="38"/>
    </row>
    <row r="1047619" spans="54:54" ht="15.75" customHeight="1" x14ac:dyDescent="0.3">
      <c r="BB1047619" s="38"/>
    </row>
    <row r="1047620" spans="54:54" ht="15.75" customHeight="1" x14ac:dyDescent="0.3">
      <c r="BB1047620" s="38"/>
    </row>
    <row r="1047621" spans="54:54" ht="15.75" customHeight="1" x14ac:dyDescent="0.3">
      <c r="BB1047621" s="38"/>
    </row>
    <row r="1047622" spans="54:54" ht="15.75" customHeight="1" x14ac:dyDescent="0.3">
      <c r="BB1047622" s="38"/>
    </row>
    <row r="1047623" spans="54:54" ht="15.75" customHeight="1" x14ac:dyDescent="0.3">
      <c r="BB1047623" s="38"/>
    </row>
    <row r="1047624" spans="54:54" ht="15.75" customHeight="1" x14ac:dyDescent="0.3">
      <c r="BB1047624" s="38"/>
    </row>
    <row r="1047625" spans="54:54" ht="15.75" customHeight="1" x14ac:dyDescent="0.3">
      <c r="BB1047625" s="38"/>
    </row>
    <row r="1047626" spans="54:54" ht="15.75" customHeight="1" x14ac:dyDescent="0.3">
      <c r="BB1047626" s="38"/>
    </row>
    <row r="1047627" spans="54:54" ht="15.75" customHeight="1" x14ac:dyDescent="0.3">
      <c r="BB1047627" s="38"/>
    </row>
    <row r="1047628" spans="54:54" ht="15.75" customHeight="1" x14ac:dyDescent="0.3">
      <c r="BB1047628" s="38"/>
    </row>
    <row r="1047629" spans="54:54" ht="15.75" customHeight="1" x14ac:dyDescent="0.3">
      <c r="BB1047629" s="38"/>
    </row>
    <row r="1047630" spans="54:54" ht="15.75" customHeight="1" x14ac:dyDescent="0.3">
      <c r="BB1047630" s="38"/>
    </row>
    <row r="1047631" spans="54:54" ht="15.75" customHeight="1" x14ac:dyDescent="0.3">
      <c r="BB1047631" s="38"/>
    </row>
    <row r="1047632" spans="54:54" ht="15.75" customHeight="1" x14ac:dyDescent="0.3">
      <c r="BB1047632" s="38"/>
    </row>
    <row r="1047633" spans="54:54" ht="15.75" customHeight="1" x14ac:dyDescent="0.3">
      <c r="BB1047633" s="38"/>
    </row>
    <row r="1047634" spans="54:54" ht="15.75" customHeight="1" x14ac:dyDescent="0.3">
      <c r="BB1047634" s="38"/>
    </row>
    <row r="1047635" spans="54:54" ht="15.75" customHeight="1" x14ac:dyDescent="0.3">
      <c r="BB1047635" s="38"/>
    </row>
    <row r="1047636" spans="54:54" ht="15.75" customHeight="1" x14ac:dyDescent="0.3">
      <c r="BB1047636" s="38"/>
    </row>
    <row r="1047637" spans="54:54" ht="15.75" customHeight="1" x14ac:dyDescent="0.3">
      <c r="BB1047637" s="38"/>
    </row>
    <row r="1047638" spans="54:54" ht="15.75" customHeight="1" x14ac:dyDescent="0.3">
      <c r="BB1047638" s="38"/>
    </row>
    <row r="1047639" spans="54:54" ht="15.75" customHeight="1" x14ac:dyDescent="0.3">
      <c r="BB1047639" s="38"/>
    </row>
    <row r="1047640" spans="54:54" ht="15.75" customHeight="1" x14ac:dyDescent="0.3">
      <c r="BB1047640" s="38"/>
    </row>
    <row r="1047641" spans="54:54" ht="15.75" customHeight="1" x14ac:dyDescent="0.3">
      <c r="BB1047641" s="38"/>
    </row>
    <row r="1047642" spans="54:54" ht="15.75" customHeight="1" x14ac:dyDescent="0.3">
      <c r="BB1047642" s="38"/>
    </row>
    <row r="1047643" spans="54:54" ht="15.75" customHeight="1" x14ac:dyDescent="0.3">
      <c r="BB1047643" s="38"/>
    </row>
    <row r="1047644" spans="54:54" ht="15.75" customHeight="1" x14ac:dyDescent="0.3">
      <c r="BB1047644" s="38"/>
    </row>
    <row r="1047645" spans="54:54" ht="15.75" customHeight="1" x14ac:dyDescent="0.3">
      <c r="BB1047645" s="38"/>
    </row>
    <row r="1047646" spans="54:54" ht="15.75" customHeight="1" x14ac:dyDescent="0.3">
      <c r="BB1047646" s="38"/>
    </row>
    <row r="1047647" spans="54:54" ht="15.75" customHeight="1" x14ac:dyDescent="0.3">
      <c r="BB1047647" s="38"/>
    </row>
    <row r="1047648" spans="54:54" ht="15.75" customHeight="1" x14ac:dyDescent="0.3">
      <c r="BB1047648" s="38"/>
    </row>
    <row r="1047649" spans="54:54" ht="15.75" customHeight="1" x14ac:dyDescent="0.3">
      <c r="BB1047649" s="38"/>
    </row>
    <row r="1047650" spans="54:54" ht="15.75" customHeight="1" x14ac:dyDescent="0.3">
      <c r="BB1047650" s="38"/>
    </row>
    <row r="1047651" spans="54:54" ht="15.75" customHeight="1" x14ac:dyDescent="0.3">
      <c r="BB1047651" s="38"/>
    </row>
    <row r="1047652" spans="54:54" ht="15.75" customHeight="1" x14ac:dyDescent="0.3">
      <c r="BB1047652" s="38"/>
    </row>
    <row r="1047653" spans="54:54" ht="15.75" customHeight="1" x14ac:dyDescent="0.3">
      <c r="BB1047653" s="38"/>
    </row>
    <row r="1047654" spans="54:54" ht="15.75" customHeight="1" x14ac:dyDescent="0.3">
      <c r="BB1047654" s="38"/>
    </row>
    <row r="1047655" spans="54:54" ht="15.75" customHeight="1" x14ac:dyDescent="0.3">
      <c r="BB1047655" s="38"/>
    </row>
    <row r="1047656" spans="54:54" ht="15.75" customHeight="1" x14ac:dyDescent="0.3">
      <c r="BB1047656" s="38"/>
    </row>
    <row r="1047657" spans="54:54" ht="15.75" customHeight="1" x14ac:dyDescent="0.3">
      <c r="BB1047657" s="38"/>
    </row>
    <row r="1047658" spans="54:54" ht="15.75" customHeight="1" x14ac:dyDescent="0.3">
      <c r="BB1047658" s="38"/>
    </row>
    <row r="1047659" spans="54:54" ht="15.75" customHeight="1" x14ac:dyDescent="0.3">
      <c r="BB1047659" s="38"/>
    </row>
    <row r="1047660" spans="54:54" ht="15.75" customHeight="1" x14ac:dyDescent="0.3">
      <c r="BB1047660" s="38"/>
    </row>
    <row r="1047661" spans="54:54" ht="15.75" customHeight="1" x14ac:dyDescent="0.3">
      <c r="BB1047661" s="38"/>
    </row>
    <row r="1047662" spans="54:54" ht="15.75" customHeight="1" x14ac:dyDescent="0.3">
      <c r="BB1047662" s="38"/>
    </row>
    <row r="1047663" spans="54:54" ht="15.75" customHeight="1" x14ac:dyDescent="0.3">
      <c r="BB1047663" s="38"/>
    </row>
    <row r="1047664" spans="54:54" ht="15.75" customHeight="1" x14ac:dyDescent="0.3">
      <c r="BB1047664" s="38"/>
    </row>
    <row r="1047665" spans="54:54" ht="15.75" customHeight="1" x14ac:dyDescent="0.3">
      <c r="BB1047665" s="38"/>
    </row>
    <row r="1047666" spans="54:54" ht="15.75" customHeight="1" x14ac:dyDescent="0.3">
      <c r="BB1047666" s="38"/>
    </row>
    <row r="1047667" spans="54:54" ht="15.75" customHeight="1" x14ac:dyDescent="0.3">
      <c r="BB1047667" s="38"/>
    </row>
    <row r="1047668" spans="54:54" ht="15.75" customHeight="1" x14ac:dyDescent="0.3">
      <c r="BB1047668" s="38"/>
    </row>
    <row r="1047669" spans="54:54" ht="15.75" customHeight="1" x14ac:dyDescent="0.3">
      <c r="BB1047669" s="38"/>
    </row>
    <row r="1047670" spans="54:54" ht="15.75" customHeight="1" x14ac:dyDescent="0.3">
      <c r="BB1047670" s="38"/>
    </row>
    <row r="1047671" spans="54:54" ht="15.75" customHeight="1" x14ac:dyDescent="0.3">
      <c r="BB1047671" s="38"/>
    </row>
    <row r="1047672" spans="54:54" ht="15.75" customHeight="1" x14ac:dyDescent="0.3">
      <c r="BB1047672" s="38"/>
    </row>
    <row r="1047673" spans="54:54" ht="15.75" customHeight="1" x14ac:dyDescent="0.3">
      <c r="BB1047673" s="38"/>
    </row>
    <row r="1047674" spans="54:54" ht="15.75" customHeight="1" x14ac:dyDescent="0.3">
      <c r="BB1047674" s="38"/>
    </row>
    <row r="1047675" spans="54:54" ht="15.75" customHeight="1" x14ac:dyDescent="0.3">
      <c r="BB1047675" s="38"/>
    </row>
    <row r="1047676" spans="54:54" ht="15.75" customHeight="1" x14ac:dyDescent="0.3">
      <c r="BB1047676" s="38"/>
    </row>
    <row r="1047677" spans="54:54" ht="15.75" customHeight="1" x14ac:dyDescent="0.3">
      <c r="BB1047677" s="38"/>
    </row>
    <row r="1047678" spans="54:54" ht="15.75" customHeight="1" x14ac:dyDescent="0.3">
      <c r="BB1047678" s="38"/>
    </row>
    <row r="1047679" spans="54:54" ht="15.75" customHeight="1" x14ac:dyDescent="0.3">
      <c r="BB1047679" s="38"/>
    </row>
    <row r="1047680" spans="54:54" ht="15.75" customHeight="1" x14ac:dyDescent="0.3">
      <c r="BB1047680" s="38"/>
    </row>
    <row r="1047681" spans="54:54" ht="15.75" customHeight="1" x14ac:dyDescent="0.3">
      <c r="BB1047681" s="38"/>
    </row>
    <row r="1047682" spans="54:54" ht="15.75" customHeight="1" x14ac:dyDescent="0.3">
      <c r="BB1047682" s="38"/>
    </row>
    <row r="1047683" spans="54:54" ht="15.75" customHeight="1" x14ac:dyDescent="0.3">
      <c r="BB1047683" s="38"/>
    </row>
    <row r="1047684" spans="54:54" ht="15.75" customHeight="1" x14ac:dyDescent="0.3">
      <c r="BB1047684" s="38"/>
    </row>
    <row r="1047685" spans="54:54" ht="15.75" customHeight="1" x14ac:dyDescent="0.3">
      <c r="BB1047685" s="38"/>
    </row>
    <row r="1047686" spans="54:54" ht="15.75" customHeight="1" x14ac:dyDescent="0.3">
      <c r="BB1047686" s="38"/>
    </row>
    <row r="1047687" spans="54:54" ht="15.75" customHeight="1" x14ac:dyDescent="0.3">
      <c r="BB1047687" s="38"/>
    </row>
    <row r="1047688" spans="54:54" ht="15.75" customHeight="1" x14ac:dyDescent="0.3">
      <c r="BB1047688" s="38"/>
    </row>
    <row r="1047689" spans="54:54" ht="15.75" customHeight="1" x14ac:dyDescent="0.3">
      <c r="BB1047689" s="38"/>
    </row>
    <row r="1047690" spans="54:54" ht="15.75" customHeight="1" x14ac:dyDescent="0.3">
      <c r="BB1047690" s="38"/>
    </row>
    <row r="1047691" spans="54:54" ht="15.75" customHeight="1" x14ac:dyDescent="0.3">
      <c r="BB1047691" s="38"/>
    </row>
    <row r="1047692" spans="54:54" ht="15.75" customHeight="1" x14ac:dyDescent="0.3">
      <c r="BB1047692" s="38"/>
    </row>
    <row r="1047693" spans="54:54" ht="15.75" customHeight="1" x14ac:dyDescent="0.3">
      <c r="BB1047693" s="38"/>
    </row>
    <row r="1047694" spans="54:54" ht="15.75" customHeight="1" x14ac:dyDescent="0.3">
      <c r="BB1047694" s="38"/>
    </row>
    <row r="1047695" spans="54:54" ht="15.75" customHeight="1" x14ac:dyDescent="0.3">
      <c r="BB1047695" s="38"/>
    </row>
    <row r="1047696" spans="54:54" ht="15.75" customHeight="1" x14ac:dyDescent="0.3">
      <c r="BB1047696" s="38"/>
    </row>
    <row r="1047697" spans="54:54" ht="15.75" customHeight="1" x14ac:dyDescent="0.3">
      <c r="BB1047697" s="38"/>
    </row>
    <row r="1047698" spans="54:54" ht="15.75" customHeight="1" x14ac:dyDescent="0.3">
      <c r="BB1047698" s="38"/>
    </row>
    <row r="1047699" spans="54:54" ht="15.75" customHeight="1" x14ac:dyDescent="0.3">
      <c r="BB1047699" s="38"/>
    </row>
    <row r="1047700" spans="54:54" ht="15.75" customHeight="1" x14ac:dyDescent="0.3">
      <c r="BB1047700" s="38"/>
    </row>
    <row r="1047701" spans="54:54" ht="15.75" customHeight="1" x14ac:dyDescent="0.3">
      <c r="BB1047701" s="38"/>
    </row>
    <row r="1047702" spans="54:54" ht="15.75" customHeight="1" x14ac:dyDescent="0.3">
      <c r="BB1047702" s="38"/>
    </row>
    <row r="1047703" spans="54:54" ht="15.75" customHeight="1" x14ac:dyDescent="0.3">
      <c r="BB1047703" s="38"/>
    </row>
    <row r="1047704" spans="54:54" ht="15.75" customHeight="1" x14ac:dyDescent="0.3">
      <c r="BB1047704" s="38"/>
    </row>
    <row r="1047705" spans="54:54" ht="15.75" customHeight="1" x14ac:dyDescent="0.3">
      <c r="BB1047705" s="38"/>
    </row>
    <row r="1047706" spans="54:54" ht="15.75" customHeight="1" x14ac:dyDescent="0.3">
      <c r="BB1047706" s="38"/>
    </row>
    <row r="1047707" spans="54:54" ht="15.75" customHeight="1" x14ac:dyDescent="0.3">
      <c r="BB1047707" s="38"/>
    </row>
    <row r="1047708" spans="54:54" ht="15.75" customHeight="1" x14ac:dyDescent="0.3">
      <c r="BB1047708" s="38"/>
    </row>
    <row r="1047709" spans="54:54" ht="15.75" customHeight="1" x14ac:dyDescent="0.3">
      <c r="BB1047709" s="38"/>
    </row>
    <row r="1047710" spans="54:54" ht="15.75" customHeight="1" x14ac:dyDescent="0.3">
      <c r="BB1047710" s="38"/>
    </row>
    <row r="1047711" spans="54:54" ht="15.75" customHeight="1" x14ac:dyDescent="0.3">
      <c r="BB1047711" s="38"/>
    </row>
    <row r="1047712" spans="54:54" ht="15.75" customHeight="1" x14ac:dyDescent="0.3">
      <c r="BB1047712" s="38"/>
    </row>
    <row r="1047713" spans="54:54" ht="15.75" customHeight="1" x14ac:dyDescent="0.3">
      <c r="BB1047713" s="38"/>
    </row>
    <row r="1047714" spans="54:54" ht="15.75" customHeight="1" x14ac:dyDescent="0.3">
      <c r="BB1047714" s="38"/>
    </row>
    <row r="1047715" spans="54:54" ht="15.75" customHeight="1" x14ac:dyDescent="0.3">
      <c r="BB1047715" s="38"/>
    </row>
    <row r="1047716" spans="54:54" ht="15.75" customHeight="1" x14ac:dyDescent="0.3">
      <c r="BB1047716" s="38"/>
    </row>
    <row r="1047717" spans="54:54" ht="15.75" customHeight="1" x14ac:dyDescent="0.3">
      <c r="BB1047717" s="38"/>
    </row>
    <row r="1047718" spans="54:54" ht="15.75" customHeight="1" x14ac:dyDescent="0.3">
      <c r="BB1047718" s="38"/>
    </row>
    <row r="1047719" spans="54:54" ht="15.75" customHeight="1" x14ac:dyDescent="0.3">
      <c r="BB1047719" s="38"/>
    </row>
    <row r="1047720" spans="54:54" ht="15.75" customHeight="1" x14ac:dyDescent="0.3">
      <c r="BB1047720" s="38"/>
    </row>
    <row r="1047721" spans="54:54" ht="15.75" customHeight="1" x14ac:dyDescent="0.3">
      <c r="BB1047721" s="38"/>
    </row>
    <row r="1047722" spans="54:54" ht="15.75" customHeight="1" x14ac:dyDescent="0.3">
      <c r="BB1047722" s="38"/>
    </row>
    <row r="1047723" spans="54:54" ht="15.75" customHeight="1" x14ac:dyDescent="0.3">
      <c r="BB1047723" s="38"/>
    </row>
    <row r="1047724" spans="54:54" ht="15.75" customHeight="1" x14ac:dyDescent="0.3">
      <c r="BB1047724" s="38"/>
    </row>
    <row r="1047725" spans="54:54" ht="15.75" customHeight="1" x14ac:dyDescent="0.3">
      <c r="BB1047725" s="38"/>
    </row>
    <row r="1047726" spans="54:54" ht="15.75" customHeight="1" x14ac:dyDescent="0.3">
      <c r="BB1047726" s="38"/>
    </row>
    <row r="1047727" spans="54:54" ht="15.75" customHeight="1" x14ac:dyDescent="0.3">
      <c r="BB1047727" s="38"/>
    </row>
    <row r="1047728" spans="54:54" ht="15.75" customHeight="1" x14ac:dyDescent="0.3">
      <c r="BB1047728" s="38"/>
    </row>
    <row r="1047729" spans="54:54" ht="15.75" customHeight="1" x14ac:dyDescent="0.3">
      <c r="BB1047729" s="38"/>
    </row>
    <row r="1047730" spans="54:54" ht="15.75" customHeight="1" x14ac:dyDescent="0.3">
      <c r="BB1047730" s="38"/>
    </row>
    <row r="1047731" spans="54:54" ht="15.75" customHeight="1" x14ac:dyDescent="0.3">
      <c r="BB1047731" s="38"/>
    </row>
    <row r="1047732" spans="54:54" ht="15.75" customHeight="1" x14ac:dyDescent="0.3">
      <c r="BB1047732" s="38"/>
    </row>
    <row r="1047733" spans="54:54" ht="15.75" customHeight="1" x14ac:dyDescent="0.3">
      <c r="BB1047733" s="38"/>
    </row>
    <row r="1047734" spans="54:54" ht="15.75" customHeight="1" x14ac:dyDescent="0.3">
      <c r="BB1047734" s="38"/>
    </row>
    <row r="1047735" spans="54:54" ht="15.75" customHeight="1" x14ac:dyDescent="0.3">
      <c r="BB1047735" s="38"/>
    </row>
    <row r="1047736" spans="54:54" ht="15.75" customHeight="1" x14ac:dyDescent="0.3">
      <c r="BB1047736" s="38"/>
    </row>
    <row r="1047737" spans="54:54" ht="15.75" customHeight="1" x14ac:dyDescent="0.3">
      <c r="BB1047737" s="38"/>
    </row>
    <row r="1047738" spans="54:54" ht="15.75" customHeight="1" x14ac:dyDescent="0.3">
      <c r="BB1047738" s="38"/>
    </row>
    <row r="1047739" spans="54:54" ht="15.75" customHeight="1" x14ac:dyDescent="0.3">
      <c r="BB1047739" s="38"/>
    </row>
    <row r="1047740" spans="54:54" ht="15.75" customHeight="1" x14ac:dyDescent="0.3">
      <c r="BB1047740" s="38"/>
    </row>
    <row r="1047741" spans="54:54" ht="15.75" customHeight="1" x14ac:dyDescent="0.3">
      <c r="BB1047741" s="38"/>
    </row>
    <row r="1047742" spans="54:54" ht="15.75" customHeight="1" x14ac:dyDescent="0.3">
      <c r="BB1047742" s="38"/>
    </row>
    <row r="1047743" spans="54:54" ht="15.75" customHeight="1" x14ac:dyDescent="0.3">
      <c r="BB1047743" s="38"/>
    </row>
    <row r="1047744" spans="54:54" ht="15.75" customHeight="1" x14ac:dyDescent="0.3">
      <c r="BB1047744" s="38"/>
    </row>
    <row r="1047745" spans="54:54" ht="15.75" customHeight="1" x14ac:dyDescent="0.3">
      <c r="BB1047745" s="38"/>
    </row>
    <row r="1047746" spans="54:54" ht="15.75" customHeight="1" x14ac:dyDescent="0.3">
      <c r="BB1047746" s="38"/>
    </row>
    <row r="1047747" spans="54:54" ht="15.75" customHeight="1" x14ac:dyDescent="0.3">
      <c r="BB1047747" s="38"/>
    </row>
    <row r="1047748" spans="54:54" ht="15.75" customHeight="1" x14ac:dyDescent="0.3">
      <c r="BB1047748" s="38"/>
    </row>
    <row r="1047749" spans="54:54" ht="15.75" customHeight="1" x14ac:dyDescent="0.3">
      <c r="BB1047749" s="38"/>
    </row>
    <row r="1047750" spans="54:54" ht="15.75" customHeight="1" x14ac:dyDescent="0.3">
      <c r="BB1047750" s="38"/>
    </row>
    <row r="1047751" spans="54:54" ht="15.75" customHeight="1" x14ac:dyDescent="0.3">
      <c r="BB1047751" s="38"/>
    </row>
    <row r="1047752" spans="54:54" ht="15.75" customHeight="1" x14ac:dyDescent="0.3">
      <c r="BB1047752" s="38"/>
    </row>
    <row r="1047753" spans="54:54" ht="15.75" customHeight="1" x14ac:dyDescent="0.3">
      <c r="BB1047753" s="38"/>
    </row>
    <row r="1047754" spans="54:54" ht="15.75" customHeight="1" x14ac:dyDescent="0.3">
      <c r="BB1047754" s="38"/>
    </row>
    <row r="1047755" spans="54:54" ht="15.75" customHeight="1" x14ac:dyDescent="0.3">
      <c r="BB1047755" s="38"/>
    </row>
    <row r="1047756" spans="54:54" ht="15.75" customHeight="1" x14ac:dyDescent="0.3">
      <c r="BB1047756" s="38"/>
    </row>
    <row r="1047757" spans="54:54" ht="15.75" customHeight="1" x14ac:dyDescent="0.3">
      <c r="BB1047757" s="38"/>
    </row>
    <row r="1047758" spans="54:54" ht="15.75" customHeight="1" x14ac:dyDescent="0.3">
      <c r="BB1047758" s="38"/>
    </row>
    <row r="1047759" spans="54:54" ht="15.75" customHeight="1" x14ac:dyDescent="0.3">
      <c r="BB1047759" s="38"/>
    </row>
    <row r="1047760" spans="54:54" ht="15.75" customHeight="1" x14ac:dyDescent="0.3">
      <c r="BB1047760" s="38"/>
    </row>
    <row r="1047761" spans="54:54" ht="15.75" customHeight="1" x14ac:dyDescent="0.3">
      <c r="BB1047761" s="38"/>
    </row>
    <row r="1047762" spans="54:54" ht="15.75" customHeight="1" x14ac:dyDescent="0.3">
      <c r="BB1047762" s="38"/>
    </row>
    <row r="1047763" spans="54:54" ht="15.75" customHeight="1" x14ac:dyDescent="0.3">
      <c r="BB1047763" s="38"/>
    </row>
    <row r="1047764" spans="54:54" ht="15.75" customHeight="1" x14ac:dyDescent="0.3">
      <c r="BB1047764" s="38"/>
    </row>
    <row r="1047765" spans="54:54" ht="15.75" customHeight="1" x14ac:dyDescent="0.3">
      <c r="BB1047765" s="38"/>
    </row>
    <row r="1047766" spans="54:54" ht="15.75" customHeight="1" x14ac:dyDescent="0.3">
      <c r="BB1047766" s="38"/>
    </row>
    <row r="1047767" spans="54:54" ht="15.75" customHeight="1" x14ac:dyDescent="0.3">
      <c r="BB1047767" s="38"/>
    </row>
    <row r="1047768" spans="54:54" ht="15.75" customHeight="1" x14ac:dyDescent="0.3">
      <c r="BB1047768" s="38"/>
    </row>
    <row r="1047769" spans="54:54" ht="15.75" customHeight="1" x14ac:dyDescent="0.3">
      <c r="BB1047769" s="38"/>
    </row>
    <row r="1047770" spans="54:54" ht="15.75" customHeight="1" x14ac:dyDescent="0.3">
      <c r="BB1047770" s="38"/>
    </row>
    <row r="1047771" spans="54:54" ht="15.75" customHeight="1" x14ac:dyDescent="0.3">
      <c r="BB1047771" s="38"/>
    </row>
    <row r="1047772" spans="54:54" ht="15.75" customHeight="1" x14ac:dyDescent="0.3">
      <c r="BB1047772" s="38"/>
    </row>
    <row r="1047773" spans="54:54" ht="15.75" customHeight="1" x14ac:dyDescent="0.3">
      <c r="BB1047773" s="38"/>
    </row>
    <row r="1047774" spans="54:54" ht="15.75" customHeight="1" x14ac:dyDescent="0.3">
      <c r="BB1047774" s="38"/>
    </row>
    <row r="1047775" spans="54:54" ht="15.75" customHeight="1" x14ac:dyDescent="0.3">
      <c r="BB1047775" s="38"/>
    </row>
    <row r="1047776" spans="54:54" ht="15.75" customHeight="1" x14ac:dyDescent="0.3">
      <c r="BB1047776" s="38"/>
    </row>
    <row r="1047777" spans="54:54" ht="15.75" customHeight="1" x14ac:dyDescent="0.3">
      <c r="BB1047777" s="38"/>
    </row>
    <row r="1047778" spans="54:54" ht="15.75" customHeight="1" x14ac:dyDescent="0.3">
      <c r="BB1047778" s="38"/>
    </row>
    <row r="1047779" spans="54:54" ht="15.75" customHeight="1" x14ac:dyDescent="0.3">
      <c r="BB1047779" s="38"/>
    </row>
    <row r="1047780" spans="54:54" ht="15.75" customHeight="1" x14ac:dyDescent="0.3">
      <c r="BB1047780" s="38"/>
    </row>
    <row r="1047781" spans="54:54" ht="15.75" customHeight="1" x14ac:dyDescent="0.3">
      <c r="BB1047781" s="38"/>
    </row>
    <row r="1047782" spans="54:54" ht="15.75" customHeight="1" x14ac:dyDescent="0.3">
      <c r="BB1047782" s="38"/>
    </row>
    <row r="1047783" spans="54:54" ht="15.75" customHeight="1" x14ac:dyDescent="0.3">
      <c r="BB1047783" s="38"/>
    </row>
    <row r="1047784" spans="54:54" ht="15.75" customHeight="1" x14ac:dyDescent="0.3">
      <c r="BB1047784" s="38"/>
    </row>
    <row r="1047785" spans="54:54" ht="15.75" customHeight="1" x14ac:dyDescent="0.3">
      <c r="BB1047785" s="38"/>
    </row>
    <row r="1047786" spans="54:54" ht="15.75" customHeight="1" x14ac:dyDescent="0.3">
      <c r="BB1047786" s="38"/>
    </row>
    <row r="1047787" spans="54:54" ht="15.75" customHeight="1" x14ac:dyDescent="0.3">
      <c r="BB1047787" s="38"/>
    </row>
    <row r="1047788" spans="54:54" ht="15.75" customHeight="1" x14ac:dyDescent="0.3">
      <c r="BB1047788" s="38"/>
    </row>
    <row r="1047789" spans="54:54" ht="15.75" customHeight="1" x14ac:dyDescent="0.3">
      <c r="BB1047789" s="38"/>
    </row>
    <row r="1047790" spans="54:54" ht="15.75" customHeight="1" x14ac:dyDescent="0.3">
      <c r="BB1047790" s="38"/>
    </row>
    <row r="1047791" spans="54:54" ht="15.75" customHeight="1" x14ac:dyDescent="0.3">
      <c r="BB1047791" s="38"/>
    </row>
    <row r="1047792" spans="54:54" ht="15.75" customHeight="1" x14ac:dyDescent="0.3">
      <c r="BB1047792" s="38"/>
    </row>
    <row r="1047793" spans="54:54" ht="15.75" customHeight="1" x14ac:dyDescent="0.3">
      <c r="BB1047793" s="38"/>
    </row>
    <row r="1047794" spans="54:54" ht="15.75" customHeight="1" x14ac:dyDescent="0.3">
      <c r="BB1047794" s="38"/>
    </row>
    <row r="1047795" spans="54:54" ht="15.75" customHeight="1" x14ac:dyDescent="0.3">
      <c r="BB1047795" s="38"/>
    </row>
    <row r="1047796" spans="54:54" ht="15.75" customHeight="1" x14ac:dyDescent="0.3">
      <c r="BB1047796" s="38"/>
    </row>
    <row r="1047797" spans="54:54" ht="15.75" customHeight="1" x14ac:dyDescent="0.3">
      <c r="BB1047797" s="38"/>
    </row>
    <row r="1047798" spans="54:54" ht="15.75" customHeight="1" x14ac:dyDescent="0.3">
      <c r="BB1047798" s="38"/>
    </row>
    <row r="1047799" spans="54:54" ht="15.75" customHeight="1" x14ac:dyDescent="0.3">
      <c r="BB1047799" s="38"/>
    </row>
    <row r="1047800" spans="54:54" ht="15.75" customHeight="1" x14ac:dyDescent="0.3">
      <c r="BB1047800" s="38"/>
    </row>
    <row r="1047801" spans="54:54" ht="15.75" customHeight="1" x14ac:dyDescent="0.3">
      <c r="BB1047801" s="38"/>
    </row>
    <row r="1047802" spans="54:54" ht="15.75" customHeight="1" x14ac:dyDescent="0.3">
      <c r="BB1047802" s="38"/>
    </row>
    <row r="1047803" spans="54:54" ht="15.75" customHeight="1" x14ac:dyDescent="0.3">
      <c r="BB1047803" s="38"/>
    </row>
    <row r="1047804" spans="54:54" ht="15.75" customHeight="1" x14ac:dyDescent="0.3">
      <c r="BB1047804" s="38"/>
    </row>
    <row r="1047805" spans="54:54" ht="15.75" customHeight="1" x14ac:dyDescent="0.3">
      <c r="BB1047805" s="38"/>
    </row>
    <row r="1047806" spans="54:54" ht="15.75" customHeight="1" x14ac:dyDescent="0.3">
      <c r="BB1047806" s="38"/>
    </row>
    <row r="1047807" spans="54:54" ht="15.75" customHeight="1" x14ac:dyDescent="0.3">
      <c r="BB1047807" s="38"/>
    </row>
    <row r="1047808" spans="54:54" ht="15.75" customHeight="1" x14ac:dyDescent="0.3">
      <c r="BB1047808" s="38"/>
    </row>
    <row r="1047809" spans="54:54" ht="15.75" customHeight="1" x14ac:dyDescent="0.3">
      <c r="BB1047809" s="38"/>
    </row>
    <row r="1047810" spans="54:54" ht="15.75" customHeight="1" x14ac:dyDescent="0.3">
      <c r="BB1047810" s="38"/>
    </row>
    <row r="1047811" spans="54:54" ht="15.75" customHeight="1" x14ac:dyDescent="0.3">
      <c r="BB1047811" s="38"/>
    </row>
    <row r="1047812" spans="54:54" ht="15.75" customHeight="1" x14ac:dyDescent="0.3">
      <c r="BB1047812" s="38"/>
    </row>
    <row r="1047813" spans="54:54" ht="15.75" customHeight="1" x14ac:dyDescent="0.3">
      <c r="BB1047813" s="38"/>
    </row>
    <row r="1047814" spans="54:54" ht="15.75" customHeight="1" x14ac:dyDescent="0.3">
      <c r="BB1047814" s="38"/>
    </row>
    <row r="1047815" spans="54:54" ht="15.75" customHeight="1" x14ac:dyDescent="0.3">
      <c r="BB1047815" s="38"/>
    </row>
    <row r="1047816" spans="54:54" ht="15.75" customHeight="1" x14ac:dyDescent="0.3">
      <c r="BB1047816" s="38"/>
    </row>
    <row r="1047817" spans="54:54" ht="15.75" customHeight="1" x14ac:dyDescent="0.3">
      <c r="BB1047817" s="38"/>
    </row>
    <row r="1047818" spans="54:54" ht="15.75" customHeight="1" x14ac:dyDescent="0.3">
      <c r="BB1047818" s="38"/>
    </row>
    <row r="1047819" spans="54:54" ht="15.75" customHeight="1" x14ac:dyDescent="0.3">
      <c r="BB1047819" s="38"/>
    </row>
    <row r="1047820" spans="54:54" ht="15.75" customHeight="1" x14ac:dyDescent="0.3">
      <c r="BB1047820" s="38"/>
    </row>
    <row r="1047821" spans="54:54" ht="15.75" customHeight="1" x14ac:dyDescent="0.3">
      <c r="BB1047821" s="38"/>
    </row>
    <row r="1047822" spans="54:54" ht="15.75" customHeight="1" x14ac:dyDescent="0.3">
      <c r="BB1047822" s="38"/>
    </row>
    <row r="1047823" spans="54:54" ht="15.75" customHeight="1" x14ac:dyDescent="0.3">
      <c r="BB1047823" s="38"/>
    </row>
    <row r="1047824" spans="54:54" ht="15.75" customHeight="1" x14ac:dyDescent="0.3">
      <c r="BB1047824" s="38"/>
    </row>
    <row r="1047825" spans="54:54" ht="15.75" customHeight="1" x14ac:dyDescent="0.3">
      <c r="BB1047825" s="38"/>
    </row>
    <row r="1047826" spans="54:54" ht="15.75" customHeight="1" x14ac:dyDescent="0.3">
      <c r="BB1047826" s="38"/>
    </row>
    <row r="1047827" spans="54:54" ht="15.75" customHeight="1" x14ac:dyDescent="0.3">
      <c r="BB1047827" s="38"/>
    </row>
    <row r="1047828" spans="54:54" ht="15.75" customHeight="1" x14ac:dyDescent="0.3">
      <c r="BB1047828" s="38"/>
    </row>
    <row r="1047829" spans="54:54" ht="15.75" customHeight="1" x14ac:dyDescent="0.3">
      <c r="BB1047829" s="38"/>
    </row>
    <row r="1047830" spans="54:54" ht="15.75" customHeight="1" x14ac:dyDescent="0.3">
      <c r="BB1047830" s="38"/>
    </row>
    <row r="1047831" spans="54:54" ht="15.75" customHeight="1" x14ac:dyDescent="0.3">
      <c r="BB1047831" s="38"/>
    </row>
    <row r="1047832" spans="54:54" ht="15.75" customHeight="1" x14ac:dyDescent="0.3">
      <c r="BB1047832" s="38"/>
    </row>
    <row r="1047833" spans="54:54" ht="15.75" customHeight="1" x14ac:dyDescent="0.3">
      <c r="BB1047833" s="38"/>
    </row>
    <row r="1047834" spans="54:54" ht="15.75" customHeight="1" x14ac:dyDescent="0.3">
      <c r="BB1047834" s="38"/>
    </row>
    <row r="1047835" spans="54:54" ht="15.75" customHeight="1" x14ac:dyDescent="0.3">
      <c r="BB1047835" s="38"/>
    </row>
    <row r="1047836" spans="54:54" ht="15.75" customHeight="1" x14ac:dyDescent="0.3">
      <c r="BB1047836" s="38"/>
    </row>
    <row r="1047837" spans="54:54" ht="15.75" customHeight="1" x14ac:dyDescent="0.3">
      <c r="BB1047837" s="38"/>
    </row>
    <row r="1047838" spans="54:54" ht="15.75" customHeight="1" x14ac:dyDescent="0.3">
      <c r="BB1047838" s="38"/>
    </row>
    <row r="1047839" spans="54:54" ht="15.75" customHeight="1" x14ac:dyDescent="0.3">
      <c r="BB1047839" s="38"/>
    </row>
    <row r="1047840" spans="54:54" ht="15.75" customHeight="1" x14ac:dyDescent="0.3">
      <c r="BB1047840" s="38"/>
    </row>
    <row r="1047841" spans="54:54" ht="15.75" customHeight="1" x14ac:dyDescent="0.3">
      <c r="BB1047841" s="38"/>
    </row>
    <row r="1047842" spans="54:54" ht="15.75" customHeight="1" x14ac:dyDescent="0.3">
      <c r="BB1047842" s="38"/>
    </row>
    <row r="1047843" spans="54:54" ht="15.75" customHeight="1" x14ac:dyDescent="0.3">
      <c r="BB1047843" s="38"/>
    </row>
    <row r="1047844" spans="54:54" ht="15.75" customHeight="1" x14ac:dyDescent="0.3">
      <c r="BB1047844" s="38"/>
    </row>
    <row r="1047845" spans="54:54" ht="15.75" customHeight="1" x14ac:dyDescent="0.3">
      <c r="BB1047845" s="38"/>
    </row>
    <row r="1047846" spans="54:54" ht="15.75" customHeight="1" x14ac:dyDescent="0.3">
      <c r="BB1047846" s="38"/>
    </row>
    <row r="1047847" spans="54:54" ht="15.75" customHeight="1" x14ac:dyDescent="0.3">
      <c r="BB1047847" s="38"/>
    </row>
    <row r="1047848" spans="54:54" ht="15.75" customHeight="1" x14ac:dyDescent="0.3">
      <c r="BB1047848" s="38"/>
    </row>
    <row r="1047849" spans="54:54" ht="15.75" customHeight="1" x14ac:dyDescent="0.3">
      <c r="BB1047849" s="38"/>
    </row>
    <row r="1047850" spans="54:54" ht="15.75" customHeight="1" x14ac:dyDescent="0.3">
      <c r="BB1047850" s="38"/>
    </row>
    <row r="1047851" spans="54:54" ht="15.75" customHeight="1" x14ac:dyDescent="0.3">
      <c r="BB1047851" s="38"/>
    </row>
    <row r="1047852" spans="54:54" ht="15.75" customHeight="1" x14ac:dyDescent="0.3">
      <c r="BB1047852" s="38"/>
    </row>
    <row r="1047853" spans="54:54" ht="15.75" customHeight="1" x14ac:dyDescent="0.3">
      <c r="BB1047853" s="38"/>
    </row>
    <row r="1047854" spans="54:54" ht="15.75" customHeight="1" x14ac:dyDescent="0.3">
      <c r="BB1047854" s="38"/>
    </row>
    <row r="1047855" spans="54:54" ht="15.75" customHeight="1" x14ac:dyDescent="0.3">
      <c r="BB1047855" s="38"/>
    </row>
    <row r="1047856" spans="54:54" ht="15.75" customHeight="1" x14ac:dyDescent="0.3">
      <c r="BB1047856" s="38"/>
    </row>
    <row r="1047857" spans="54:54" ht="15.75" customHeight="1" x14ac:dyDescent="0.3">
      <c r="BB1047857" s="38"/>
    </row>
    <row r="1047858" spans="54:54" ht="15.75" customHeight="1" x14ac:dyDescent="0.3">
      <c r="BB1047858" s="38"/>
    </row>
    <row r="1047859" spans="54:54" ht="15.75" customHeight="1" x14ac:dyDescent="0.3">
      <c r="BB1047859" s="38"/>
    </row>
    <row r="1047860" spans="54:54" ht="15.75" customHeight="1" x14ac:dyDescent="0.3">
      <c r="BB1047860" s="38"/>
    </row>
    <row r="1047861" spans="54:54" ht="15.75" customHeight="1" x14ac:dyDescent="0.3">
      <c r="BB1047861" s="38"/>
    </row>
    <row r="1047862" spans="54:54" ht="15.75" customHeight="1" x14ac:dyDescent="0.3">
      <c r="BB1047862" s="38"/>
    </row>
    <row r="1047863" spans="54:54" ht="15.75" customHeight="1" x14ac:dyDescent="0.3">
      <c r="BB1047863" s="38"/>
    </row>
    <row r="1047864" spans="54:54" ht="15.75" customHeight="1" x14ac:dyDescent="0.3">
      <c r="BB1047864" s="38"/>
    </row>
    <row r="1047865" spans="54:54" ht="15.75" customHeight="1" x14ac:dyDescent="0.3">
      <c r="BB1047865" s="38"/>
    </row>
    <row r="1047866" spans="54:54" ht="15.75" customHeight="1" x14ac:dyDescent="0.3">
      <c r="BB1047866" s="38"/>
    </row>
    <row r="1047867" spans="54:54" ht="15.75" customHeight="1" x14ac:dyDescent="0.3">
      <c r="BB1047867" s="38"/>
    </row>
    <row r="1047868" spans="54:54" ht="15.75" customHeight="1" x14ac:dyDescent="0.3">
      <c r="BB1047868" s="38"/>
    </row>
    <row r="1047869" spans="54:54" ht="15.75" customHeight="1" x14ac:dyDescent="0.3">
      <c r="BB1047869" s="38"/>
    </row>
    <row r="1047870" spans="54:54" ht="15.75" customHeight="1" x14ac:dyDescent="0.3">
      <c r="BB1047870" s="38"/>
    </row>
    <row r="1047871" spans="54:54" ht="15.75" customHeight="1" x14ac:dyDescent="0.3">
      <c r="BB1047871" s="38"/>
    </row>
    <row r="1047872" spans="54:54" ht="15.75" customHeight="1" x14ac:dyDescent="0.3">
      <c r="BB1047872" s="38"/>
    </row>
    <row r="1047873" spans="54:54" ht="15.75" customHeight="1" x14ac:dyDescent="0.3">
      <c r="BB1047873" s="38"/>
    </row>
    <row r="1047874" spans="54:54" ht="15.75" customHeight="1" x14ac:dyDescent="0.3">
      <c r="BB1047874" s="38"/>
    </row>
    <row r="1047875" spans="54:54" ht="15.75" customHeight="1" x14ac:dyDescent="0.3">
      <c r="BB1047875" s="38"/>
    </row>
    <row r="1047876" spans="54:54" ht="15.75" customHeight="1" x14ac:dyDescent="0.3">
      <c r="BB1047876" s="38"/>
    </row>
    <row r="1047877" spans="54:54" ht="15.75" customHeight="1" x14ac:dyDescent="0.3">
      <c r="BB1047877" s="38"/>
    </row>
    <row r="1047878" spans="54:54" ht="15.75" customHeight="1" x14ac:dyDescent="0.3">
      <c r="BB1047878" s="38"/>
    </row>
    <row r="1047879" spans="54:54" ht="15.75" customHeight="1" x14ac:dyDescent="0.3">
      <c r="BB1047879" s="38"/>
    </row>
    <row r="1047880" spans="54:54" ht="15.75" customHeight="1" x14ac:dyDescent="0.3">
      <c r="BB1047880" s="38"/>
    </row>
    <row r="1047881" spans="54:54" ht="15.75" customHeight="1" x14ac:dyDescent="0.3">
      <c r="BB1047881" s="38"/>
    </row>
    <row r="1047882" spans="54:54" ht="15.75" customHeight="1" x14ac:dyDescent="0.3">
      <c r="BB1047882" s="38"/>
    </row>
    <row r="1047883" spans="54:54" ht="15.75" customHeight="1" x14ac:dyDescent="0.3">
      <c r="BB1047883" s="38"/>
    </row>
    <row r="1047884" spans="54:54" ht="15.75" customHeight="1" x14ac:dyDescent="0.3">
      <c r="BB1047884" s="38"/>
    </row>
    <row r="1047885" spans="54:54" ht="15.75" customHeight="1" x14ac:dyDescent="0.3">
      <c r="BB1047885" s="38"/>
    </row>
    <row r="1047886" spans="54:54" ht="15.75" customHeight="1" x14ac:dyDescent="0.3">
      <c r="BB1047886" s="38"/>
    </row>
    <row r="1047887" spans="54:54" ht="15.75" customHeight="1" x14ac:dyDescent="0.3">
      <c r="BB1047887" s="38"/>
    </row>
    <row r="1047888" spans="54:54" ht="15.75" customHeight="1" x14ac:dyDescent="0.3">
      <c r="BB1047888" s="38"/>
    </row>
    <row r="1047889" spans="54:54" ht="15.75" customHeight="1" x14ac:dyDescent="0.3">
      <c r="BB1047889" s="38"/>
    </row>
    <row r="1047890" spans="54:54" ht="15.75" customHeight="1" x14ac:dyDescent="0.3">
      <c r="BB1047890" s="38"/>
    </row>
    <row r="1047891" spans="54:54" ht="15.75" customHeight="1" x14ac:dyDescent="0.3">
      <c r="BB1047891" s="38"/>
    </row>
    <row r="1047892" spans="54:54" ht="15.75" customHeight="1" x14ac:dyDescent="0.3">
      <c r="BB1047892" s="38"/>
    </row>
    <row r="1047893" spans="54:54" ht="15.75" customHeight="1" x14ac:dyDescent="0.3">
      <c r="BB1047893" s="38"/>
    </row>
    <row r="1047894" spans="54:54" ht="15.75" customHeight="1" x14ac:dyDescent="0.3">
      <c r="BB1047894" s="38"/>
    </row>
    <row r="1047895" spans="54:54" ht="15.75" customHeight="1" x14ac:dyDescent="0.3">
      <c r="BB1047895" s="38"/>
    </row>
    <row r="1047896" spans="54:54" ht="15.75" customHeight="1" x14ac:dyDescent="0.3">
      <c r="BB1047896" s="38"/>
    </row>
    <row r="1047897" spans="54:54" ht="15.75" customHeight="1" x14ac:dyDescent="0.3">
      <c r="BB1047897" s="38"/>
    </row>
    <row r="1047898" spans="54:54" ht="15.75" customHeight="1" x14ac:dyDescent="0.3">
      <c r="BB1047898" s="38"/>
    </row>
    <row r="1047899" spans="54:54" ht="15.75" customHeight="1" x14ac:dyDescent="0.3">
      <c r="BB1047899" s="38"/>
    </row>
    <row r="1047900" spans="54:54" ht="15.75" customHeight="1" x14ac:dyDescent="0.3">
      <c r="BB1047900" s="38"/>
    </row>
    <row r="1047901" spans="54:54" ht="15.75" customHeight="1" x14ac:dyDescent="0.3">
      <c r="BB1047901" s="38"/>
    </row>
    <row r="1047902" spans="54:54" ht="15.75" customHeight="1" x14ac:dyDescent="0.3">
      <c r="BB1047902" s="38"/>
    </row>
    <row r="1047903" spans="54:54" ht="15.75" customHeight="1" x14ac:dyDescent="0.3">
      <c r="BB1047903" s="38"/>
    </row>
    <row r="1047904" spans="54:54" ht="15.75" customHeight="1" x14ac:dyDescent="0.3">
      <c r="BB1047904" s="38"/>
    </row>
    <row r="1047905" spans="54:54" ht="15.75" customHeight="1" x14ac:dyDescent="0.3">
      <c r="BB1047905" s="38"/>
    </row>
    <row r="1047906" spans="54:54" ht="15.75" customHeight="1" x14ac:dyDescent="0.3">
      <c r="BB1047906" s="38"/>
    </row>
    <row r="1047907" spans="54:54" ht="15.75" customHeight="1" x14ac:dyDescent="0.3">
      <c r="BB1047907" s="38"/>
    </row>
    <row r="1047908" spans="54:54" ht="15.75" customHeight="1" x14ac:dyDescent="0.3">
      <c r="BB1047908" s="38"/>
    </row>
    <row r="1047909" spans="54:54" ht="15.75" customHeight="1" x14ac:dyDescent="0.3">
      <c r="BB1047909" s="38"/>
    </row>
    <row r="1047910" spans="54:54" ht="15.75" customHeight="1" x14ac:dyDescent="0.3">
      <c r="BB1047910" s="38"/>
    </row>
    <row r="1047911" spans="54:54" ht="15.75" customHeight="1" x14ac:dyDescent="0.3">
      <c r="BB1047911" s="38"/>
    </row>
    <row r="1047912" spans="54:54" ht="15.75" customHeight="1" x14ac:dyDescent="0.3">
      <c r="BB1047912" s="38"/>
    </row>
    <row r="1047913" spans="54:54" ht="15.75" customHeight="1" x14ac:dyDescent="0.3">
      <c r="BB1047913" s="38"/>
    </row>
    <row r="1047914" spans="54:54" ht="15.75" customHeight="1" x14ac:dyDescent="0.3">
      <c r="BB1047914" s="38"/>
    </row>
    <row r="1047915" spans="54:54" ht="15.75" customHeight="1" x14ac:dyDescent="0.3">
      <c r="BB1047915" s="38"/>
    </row>
    <row r="1047916" spans="54:54" ht="15.75" customHeight="1" x14ac:dyDescent="0.3">
      <c r="BB1047916" s="38"/>
    </row>
    <row r="1047917" spans="54:54" ht="15.75" customHeight="1" x14ac:dyDescent="0.3">
      <c r="BB1047917" s="38"/>
    </row>
    <row r="1047918" spans="54:54" ht="15.75" customHeight="1" x14ac:dyDescent="0.3">
      <c r="BB1047918" s="38"/>
    </row>
    <row r="1047919" spans="54:54" ht="15.75" customHeight="1" x14ac:dyDescent="0.3">
      <c r="BB1047919" s="38"/>
    </row>
    <row r="1047920" spans="54:54" ht="15.75" customHeight="1" x14ac:dyDescent="0.3">
      <c r="BB1047920" s="38"/>
    </row>
    <row r="1047921" spans="54:54" ht="15.75" customHeight="1" x14ac:dyDescent="0.3">
      <c r="BB1047921" s="38"/>
    </row>
    <row r="1047922" spans="54:54" ht="15.75" customHeight="1" x14ac:dyDescent="0.3">
      <c r="BB1047922" s="38"/>
    </row>
    <row r="1047923" spans="54:54" ht="15.75" customHeight="1" x14ac:dyDescent="0.3">
      <c r="BB1047923" s="38"/>
    </row>
    <row r="1047924" spans="54:54" ht="15.75" customHeight="1" x14ac:dyDescent="0.3">
      <c r="BB1047924" s="38"/>
    </row>
    <row r="1047925" spans="54:54" ht="15.75" customHeight="1" x14ac:dyDescent="0.3">
      <c r="BB1047925" s="38"/>
    </row>
    <row r="1047926" spans="54:54" ht="15.75" customHeight="1" x14ac:dyDescent="0.3">
      <c r="BB1047926" s="38"/>
    </row>
    <row r="1047927" spans="54:54" ht="15.75" customHeight="1" x14ac:dyDescent="0.3">
      <c r="BB1047927" s="38"/>
    </row>
    <row r="1047928" spans="54:54" ht="15.75" customHeight="1" x14ac:dyDescent="0.3">
      <c r="BB1047928" s="38"/>
    </row>
    <row r="1047929" spans="54:54" ht="15.75" customHeight="1" x14ac:dyDescent="0.3">
      <c r="BB1047929" s="38"/>
    </row>
    <row r="1047930" spans="54:54" ht="15.75" customHeight="1" x14ac:dyDescent="0.3">
      <c r="BB1047930" s="38"/>
    </row>
    <row r="1047931" spans="54:54" ht="15.75" customHeight="1" x14ac:dyDescent="0.3">
      <c r="BB1047931" s="38"/>
    </row>
    <row r="1047932" spans="54:54" ht="15.75" customHeight="1" x14ac:dyDescent="0.3">
      <c r="BB1047932" s="38"/>
    </row>
    <row r="1047933" spans="54:54" ht="15.75" customHeight="1" x14ac:dyDescent="0.3">
      <c r="BB1047933" s="38"/>
    </row>
    <row r="1047934" spans="54:54" ht="15.75" customHeight="1" x14ac:dyDescent="0.3">
      <c r="BB1047934" s="38"/>
    </row>
    <row r="1047935" spans="54:54" ht="15.75" customHeight="1" x14ac:dyDescent="0.3">
      <c r="BB1047935" s="38"/>
    </row>
    <row r="1047936" spans="54:54" ht="15.75" customHeight="1" x14ac:dyDescent="0.3">
      <c r="BB1047936" s="38"/>
    </row>
    <row r="1047937" spans="54:54" ht="15.75" customHeight="1" x14ac:dyDescent="0.3">
      <c r="BB1047937" s="38"/>
    </row>
    <row r="1047938" spans="54:54" ht="15.75" customHeight="1" x14ac:dyDescent="0.3">
      <c r="BB1047938" s="38"/>
    </row>
    <row r="1047939" spans="54:54" ht="15.75" customHeight="1" x14ac:dyDescent="0.3">
      <c r="BB1047939" s="38"/>
    </row>
    <row r="1047940" spans="54:54" ht="15.75" customHeight="1" x14ac:dyDescent="0.3">
      <c r="BB1047940" s="38"/>
    </row>
    <row r="1047941" spans="54:54" ht="15.75" customHeight="1" x14ac:dyDescent="0.3">
      <c r="BB1047941" s="38"/>
    </row>
    <row r="1047942" spans="54:54" ht="15.75" customHeight="1" x14ac:dyDescent="0.3">
      <c r="BB1047942" s="38"/>
    </row>
    <row r="1047943" spans="54:54" ht="15.75" customHeight="1" x14ac:dyDescent="0.3">
      <c r="BB1047943" s="38"/>
    </row>
    <row r="1047944" spans="54:54" ht="15.75" customHeight="1" x14ac:dyDescent="0.3">
      <c r="BB1047944" s="38"/>
    </row>
    <row r="1047945" spans="54:54" ht="15.75" customHeight="1" x14ac:dyDescent="0.3">
      <c r="BB1047945" s="38"/>
    </row>
    <row r="1047946" spans="54:54" ht="15.75" customHeight="1" x14ac:dyDescent="0.3">
      <c r="BB1047946" s="38"/>
    </row>
    <row r="1047947" spans="54:54" ht="15.75" customHeight="1" x14ac:dyDescent="0.3">
      <c r="BB1047947" s="38"/>
    </row>
    <row r="1047948" spans="54:54" ht="15.75" customHeight="1" x14ac:dyDescent="0.3">
      <c r="BB1047948" s="38"/>
    </row>
    <row r="1047949" spans="54:54" ht="15.75" customHeight="1" x14ac:dyDescent="0.3">
      <c r="BB1047949" s="38"/>
    </row>
    <row r="1047950" spans="54:54" ht="15.75" customHeight="1" x14ac:dyDescent="0.3">
      <c r="BB1047950" s="38"/>
    </row>
    <row r="1047951" spans="54:54" ht="15.75" customHeight="1" x14ac:dyDescent="0.3">
      <c r="BB1047951" s="38"/>
    </row>
    <row r="1047952" spans="54:54" ht="15.75" customHeight="1" x14ac:dyDescent="0.3">
      <c r="BB1047952" s="38"/>
    </row>
    <row r="1047953" spans="54:54" ht="15.75" customHeight="1" x14ac:dyDescent="0.3">
      <c r="BB1047953" s="38"/>
    </row>
    <row r="1047954" spans="54:54" ht="15.75" customHeight="1" x14ac:dyDescent="0.3">
      <c r="BB1047954" s="38"/>
    </row>
    <row r="1047955" spans="54:54" ht="15.75" customHeight="1" x14ac:dyDescent="0.3">
      <c r="BB1047955" s="38"/>
    </row>
    <row r="1047956" spans="54:54" ht="15.75" customHeight="1" x14ac:dyDescent="0.3">
      <c r="BB1047956" s="38"/>
    </row>
    <row r="1047957" spans="54:54" ht="15.75" customHeight="1" x14ac:dyDescent="0.3">
      <c r="BB1047957" s="38"/>
    </row>
    <row r="1047958" spans="54:54" ht="15.75" customHeight="1" x14ac:dyDescent="0.3">
      <c r="BB1047958" s="38"/>
    </row>
    <row r="1047959" spans="54:54" ht="15.75" customHeight="1" x14ac:dyDescent="0.3">
      <c r="BB1047959" s="38"/>
    </row>
    <row r="1047960" spans="54:54" ht="15.75" customHeight="1" x14ac:dyDescent="0.3">
      <c r="BB1047960" s="38"/>
    </row>
    <row r="1047961" spans="54:54" ht="15.75" customHeight="1" x14ac:dyDescent="0.3">
      <c r="BB1047961" s="38"/>
    </row>
    <row r="1047962" spans="54:54" ht="15.75" customHeight="1" x14ac:dyDescent="0.3">
      <c r="BB1047962" s="38"/>
    </row>
    <row r="1047963" spans="54:54" ht="15.75" customHeight="1" x14ac:dyDescent="0.3">
      <c r="BB1047963" s="38"/>
    </row>
    <row r="1047964" spans="54:54" ht="15.75" customHeight="1" x14ac:dyDescent="0.3">
      <c r="BB1047964" s="38"/>
    </row>
    <row r="1047965" spans="54:54" ht="15.75" customHeight="1" x14ac:dyDescent="0.3">
      <c r="BB1047965" s="38"/>
    </row>
    <row r="1047966" spans="54:54" ht="15.75" customHeight="1" x14ac:dyDescent="0.3">
      <c r="BB1047966" s="38"/>
    </row>
    <row r="1047967" spans="54:54" ht="15.75" customHeight="1" x14ac:dyDescent="0.3">
      <c r="BB1047967" s="38"/>
    </row>
    <row r="1047968" spans="54:54" ht="15.75" customHeight="1" x14ac:dyDescent="0.3">
      <c r="BB1047968" s="38"/>
    </row>
    <row r="1047969" spans="54:54" ht="15.75" customHeight="1" x14ac:dyDescent="0.3">
      <c r="BB1047969" s="38"/>
    </row>
    <row r="1047970" spans="54:54" ht="15.75" customHeight="1" x14ac:dyDescent="0.3">
      <c r="BB1047970" s="38"/>
    </row>
    <row r="1047971" spans="54:54" ht="15.75" customHeight="1" x14ac:dyDescent="0.3">
      <c r="BB1047971" s="38"/>
    </row>
    <row r="1047972" spans="54:54" ht="15.75" customHeight="1" x14ac:dyDescent="0.3">
      <c r="BB1047972" s="38"/>
    </row>
    <row r="1047973" spans="54:54" ht="15.75" customHeight="1" x14ac:dyDescent="0.3">
      <c r="BB1047973" s="38"/>
    </row>
    <row r="1047974" spans="54:54" ht="15.75" customHeight="1" x14ac:dyDescent="0.3">
      <c r="BB1047974" s="38"/>
    </row>
    <row r="1047975" spans="54:54" ht="15.75" customHeight="1" x14ac:dyDescent="0.3">
      <c r="BB1047975" s="38"/>
    </row>
    <row r="1047976" spans="54:54" ht="15.75" customHeight="1" x14ac:dyDescent="0.3">
      <c r="BB1047976" s="38"/>
    </row>
    <row r="1047977" spans="54:54" ht="15.75" customHeight="1" x14ac:dyDescent="0.3">
      <c r="BB1047977" s="38"/>
    </row>
    <row r="1047978" spans="54:54" ht="15.75" customHeight="1" x14ac:dyDescent="0.3">
      <c r="BB1047978" s="38"/>
    </row>
    <row r="1047979" spans="54:54" ht="15.75" customHeight="1" x14ac:dyDescent="0.3">
      <c r="BB1047979" s="38"/>
    </row>
    <row r="1047980" spans="54:54" ht="15.75" customHeight="1" x14ac:dyDescent="0.3">
      <c r="BB1047980" s="38"/>
    </row>
    <row r="1047981" spans="54:54" ht="15.75" customHeight="1" x14ac:dyDescent="0.3">
      <c r="BB1047981" s="38"/>
    </row>
    <row r="1047982" spans="54:54" ht="15.75" customHeight="1" x14ac:dyDescent="0.3">
      <c r="BB1047982" s="38"/>
    </row>
    <row r="1047983" spans="54:54" ht="15.75" customHeight="1" x14ac:dyDescent="0.3">
      <c r="BB1047983" s="38"/>
    </row>
    <row r="1047984" spans="54:54" ht="15.75" customHeight="1" x14ac:dyDescent="0.3">
      <c r="BB1047984" s="38"/>
    </row>
    <row r="1047985" spans="54:54" ht="15.75" customHeight="1" x14ac:dyDescent="0.3">
      <c r="BB1047985" s="38"/>
    </row>
    <row r="1047986" spans="54:54" ht="15.75" customHeight="1" x14ac:dyDescent="0.3">
      <c r="BB1047986" s="38"/>
    </row>
    <row r="1047987" spans="54:54" ht="15.75" customHeight="1" x14ac:dyDescent="0.3">
      <c r="BB1047987" s="38"/>
    </row>
    <row r="1047988" spans="54:54" ht="15.75" customHeight="1" x14ac:dyDescent="0.3">
      <c r="BB1047988" s="38"/>
    </row>
    <row r="1047989" spans="54:54" ht="15.75" customHeight="1" x14ac:dyDescent="0.3">
      <c r="BB1047989" s="38"/>
    </row>
    <row r="1047990" spans="54:54" ht="15.75" customHeight="1" x14ac:dyDescent="0.3">
      <c r="BB1047990" s="38"/>
    </row>
    <row r="1047991" spans="54:54" ht="15.75" customHeight="1" x14ac:dyDescent="0.3">
      <c r="BB1047991" s="38"/>
    </row>
    <row r="1047992" spans="54:54" ht="15.75" customHeight="1" x14ac:dyDescent="0.3">
      <c r="BB1047992" s="38"/>
    </row>
    <row r="1047993" spans="54:54" ht="15.75" customHeight="1" x14ac:dyDescent="0.3">
      <c r="BB1047993" s="38"/>
    </row>
    <row r="1047994" spans="54:54" ht="15.75" customHeight="1" x14ac:dyDescent="0.3">
      <c r="BB1047994" s="38"/>
    </row>
    <row r="1047995" spans="54:54" ht="15.75" customHeight="1" x14ac:dyDescent="0.3">
      <c r="BB1047995" s="38"/>
    </row>
    <row r="1047996" spans="54:54" ht="15.75" customHeight="1" x14ac:dyDescent="0.3">
      <c r="BB1047996" s="38"/>
    </row>
    <row r="1047997" spans="54:54" ht="15.75" customHeight="1" x14ac:dyDescent="0.3">
      <c r="BB1047997" s="38"/>
    </row>
    <row r="1047998" spans="54:54" ht="15.75" customHeight="1" x14ac:dyDescent="0.3">
      <c r="BB1047998" s="38"/>
    </row>
    <row r="1047999" spans="54:54" ht="15.75" customHeight="1" x14ac:dyDescent="0.3">
      <c r="BB1047999" s="38"/>
    </row>
    <row r="1048000" spans="54:54" ht="15.75" customHeight="1" x14ac:dyDescent="0.3">
      <c r="BB1048000" s="38"/>
    </row>
    <row r="1048001" spans="54:54" ht="15.75" customHeight="1" x14ac:dyDescent="0.3">
      <c r="BB1048001" s="38"/>
    </row>
    <row r="1048002" spans="54:54" ht="15.75" customHeight="1" x14ac:dyDescent="0.3">
      <c r="BB1048002" s="38"/>
    </row>
    <row r="1048003" spans="54:54" ht="15.75" customHeight="1" x14ac:dyDescent="0.3">
      <c r="BB1048003" s="38"/>
    </row>
    <row r="1048004" spans="54:54" ht="15.75" customHeight="1" x14ac:dyDescent="0.3">
      <c r="BB1048004" s="38"/>
    </row>
    <row r="1048005" spans="54:54" ht="15.75" customHeight="1" x14ac:dyDescent="0.3">
      <c r="BB1048005" s="38"/>
    </row>
    <row r="1048006" spans="54:54" ht="15.75" customHeight="1" x14ac:dyDescent="0.3">
      <c r="BB1048006" s="38"/>
    </row>
    <row r="1048007" spans="54:54" ht="15.75" customHeight="1" x14ac:dyDescent="0.3">
      <c r="BB1048007" s="38"/>
    </row>
    <row r="1048008" spans="54:54" ht="15.75" customHeight="1" x14ac:dyDescent="0.3">
      <c r="BB1048008" s="38"/>
    </row>
    <row r="1048009" spans="54:54" ht="15.75" customHeight="1" x14ac:dyDescent="0.3">
      <c r="BB1048009" s="38"/>
    </row>
    <row r="1048010" spans="54:54" ht="15.75" customHeight="1" x14ac:dyDescent="0.3">
      <c r="BB1048010" s="38"/>
    </row>
    <row r="1048011" spans="54:54" ht="15.75" customHeight="1" x14ac:dyDescent="0.3">
      <c r="BB1048011" s="38"/>
    </row>
    <row r="1048012" spans="54:54" ht="15.75" customHeight="1" x14ac:dyDescent="0.3">
      <c r="BB1048012" s="38"/>
    </row>
    <row r="1048013" spans="54:54" ht="15.75" customHeight="1" x14ac:dyDescent="0.3">
      <c r="BB1048013" s="38"/>
    </row>
    <row r="1048014" spans="54:54" ht="15.75" customHeight="1" x14ac:dyDescent="0.3">
      <c r="BB1048014" s="38"/>
    </row>
    <row r="1048015" spans="54:54" ht="15.75" customHeight="1" x14ac:dyDescent="0.3">
      <c r="BB1048015" s="38"/>
    </row>
    <row r="1048016" spans="54:54" ht="15.75" customHeight="1" x14ac:dyDescent="0.3">
      <c r="BB1048016" s="38"/>
    </row>
    <row r="1048017" spans="54:54" ht="15.75" customHeight="1" x14ac:dyDescent="0.3">
      <c r="BB1048017" s="38"/>
    </row>
    <row r="1048018" spans="54:54" ht="15.75" customHeight="1" x14ac:dyDescent="0.3">
      <c r="BB1048018" s="38"/>
    </row>
    <row r="1048019" spans="54:54" ht="15.75" customHeight="1" x14ac:dyDescent="0.3">
      <c r="BB1048019" s="38"/>
    </row>
    <row r="1048020" spans="54:54" ht="15.75" customHeight="1" x14ac:dyDescent="0.3">
      <c r="BB1048020" s="38"/>
    </row>
    <row r="1048021" spans="54:54" ht="15.75" customHeight="1" x14ac:dyDescent="0.3">
      <c r="BB1048021" s="38"/>
    </row>
    <row r="1048022" spans="54:54" ht="15.75" customHeight="1" x14ac:dyDescent="0.3">
      <c r="BB1048022" s="38"/>
    </row>
    <row r="1048023" spans="54:54" ht="15.75" customHeight="1" x14ac:dyDescent="0.3">
      <c r="BB1048023" s="38"/>
    </row>
    <row r="1048024" spans="54:54" ht="15.75" customHeight="1" x14ac:dyDescent="0.3">
      <c r="BB1048024" s="38"/>
    </row>
    <row r="1048025" spans="54:54" ht="15.75" customHeight="1" x14ac:dyDescent="0.3">
      <c r="BB1048025" s="38"/>
    </row>
    <row r="1048026" spans="54:54" ht="15.75" customHeight="1" x14ac:dyDescent="0.3">
      <c r="BB1048026" s="38"/>
    </row>
    <row r="1048027" spans="54:54" ht="15.75" customHeight="1" x14ac:dyDescent="0.3">
      <c r="BB1048027" s="38"/>
    </row>
    <row r="1048028" spans="54:54" ht="15.75" customHeight="1" x14ac:dyDescent="0.3">
      <c r="BB1048028" s="38"/>
    </row>
    <row r="1048029" spans="54:54" ht="15.75" customHeight="1" x14ac:dyDescent="0.3">
      <c r="BB1048029" s="38"/>
    </row>
    <row r="1048030" spans="54:54" ht="15.75" customHeight="1" x14ac:dyDescent="0.3">
      <c r="BB1048030" s="38"/>
    </row>
    <row r="1048031" spans="54:54" ht="15.75" customHeight="1" x14ac:dyDescent="0.3">
      <c r="BB1048031" s="38"/>
    </row>
    <row r="1048032" spans="54:54" ht="15.75" customHeight="1" x14ac:dyDescent="0.3">
      <c r="BB1048032" s="38"/>
    </row>
    <row r="1048033" spans="54:54" ht="15.75" customHeight="1" x14ac:dyDescent="0.3">
      <c r="BB1048033" s="38"/>
    </row>
    <row r="1048034" spans="54:54" ht="15.75" customHeight="1" x14ac:dyDescent="0.3">
      <c r="BB1048034" s="38"/>
    </row>
    <row r="1048035" spans="54:54" ht="15.75" customHeight="1" x14ac:dyDescent="0.3">
      <c r="BB1048035" s="38"/>
    </row>
    <row r="1048036" spans="54:54" ht="15.75" customHeight="1" x14ac:dyDescent="0.3">
      <c r="BB1048036" s="38"/>
    </row>
    <row r="1048037" spans="54:54" ht="15.75" customHeight="1" x14ac:dyDescent="0.3">
      <c r="BB1048037" s="38"/>
    </row>
    <row r="1048038" spans="54:54" ht="15.75" customHeight="1" x14ac:dyDescent="0.3">
      <c r="BB1048038" s="38"/>
    </row>
    <row r="1048039" spans="54:54" ht="15.75" customHeight="1" x14ac:dyDescent="0.3">
      <c r="BB1048039" s="38"/>
    </row>
    <row r="1048040" spans="54:54" ht="15.75" customHeight="1" x14ac:dyDescent="0.3">
      <c r="BB1048040" s="38"/>
    </row>
    <row r="1048041" spans="54:54" ht="15.75" customHeight="1" x14ac:dyDescent="0.3">
      <c r="BB1048041" s="38"/>
    </row>
    <row r="1048042" spans="54:54" ht="15.75" customHeight="1" x14ac:dyDescent="0.3">
      <c r="BB1048042" s="38"/>
    </row>
    <row r="1048043" spans="54:54" ht="15.75" customHeight="1" x14ac:dyDescent="0.3">
      <c r="BB1048043" s="38"/>
    </row>
    <row r="1048044" spans="54:54" ht="15.75" customHeight="1" x14ac:dyDescent="0.3">
      <c r="BB1048044" s="38"/>
    </row>
    <row r="1048045" spans="54:54" ht="15.75" customHeight="1" x14ac:dyDescent="0.3">
      <c r="BB1048045" s="38"/>
    </row>
    <row r="1048046" spans="54:54" ht="15.75" customHeight="1" x14ac:dyDescent="0.3">
      <c r="BB1048046" s="38"/>
    </row>
    <row r="1048047" spans="54:54" ht="15.75" customHeight="1" x14ac:dyDescent="0.3">
      <c r="BB1048047" s="38"/>
    </row>
    <row r="1048048" spans="54:54" ht="15.75" customHeight="1" x14ac:dyDescent="0.3">
      <c r="BB1048048" s="38"/>
    </row>
    <row r="1048049" spans="54:54" ht="15.75" customHeight="1" x14ac:dyDescent="0.3">
      <c r="BB1048049" s="38"/>
    </row>
    <row r="1048050" spans="54:54" ht="15.75" customHeight="1" x14ac:dyDescent="0.3">
      <c r="BB1048050" s="38"/>
    </row>
    <row r="1048051" spans="54:54" ht="15.75" customHeight="1" x14ac:dyDescent="0.3">
      <c r="BB1048051" s="38"/>
    </row>
    <row r="1048052" spans="54:54" ht="15.75" customHeight="1" x14ac:dyDescent="0.3">
      <c r="BB1048052" s="38"/>
    </row>
    <row r="1048053" spans="54:54" ht="15.75" customHeight="1" x14ac:dyDescent="0.3">
      <c r="BB1048053" s="38"/>
    </row>
    <row r="1048054" spans="54:54" ht="15.75" customHeight="1" x14ac:dyDescent="0.3">
      <c r="BB1048054" s="38"/>
    </row>
    <row r="1048055" spans="54:54" ht="15.75" customHeight="1" x14ac:dyDescent="0.3">
      <c r="BB1048055" s="38"/>
    </row>
    <row r="1048056" spans="54:54" ht="15.75" customHeight="1" x14ac:dyDescent="0.3">
      <c r="BB1048056" s="38"/>
    </row>
    <row r="1048057" spans="54:54" ht="15.75" customHeight="1" x14ac:dyDescent="0.3">
      <c r="BB1048057" s="38"/>
    </row>
    <row r="1048058" spans="54:54" ht="15.75" customHeight="1" x14ac:dyDescent="0.3">
      <c r="BB1048058" s="38"/>
    </row>
    <row r="1048059" spans="54:54" ht="15.75" customHeight="1" x14ac:dyDescent="0.3">
      <c r="BB1048059" s="38"/>
    </row>
    <row r="1048060" spans="54:54" ht="15.75" customHeight="1" x14ac:dyDescent="0.3">
      <c r="BB1048060" s="38"/>
    </row>
    <row r="1048061" spans="54:54" ht="15.75" customHeight="1" x14ac:dyDescent="0.3">
      <c r="BB1048061" s="38"/>
    </row>
    <row r="1048062" spans="54:54" ht="15.75" customHeight="1" x14ac:dyDescent="0.3">
      <c r="BB1048062" s="38"/>
    </row>
    <row r="1048063" spans="54:54" ht="15.75" customHeight="1" x14ac:dyDescent="0.3">
      <c r="BB1048063" s="38"/>
    </row>
    <row r="1048064" spans="54:54" ht="15.75" customHeight="1" x14ac:dyDescent="0.3">
      <c r="BB1048064" s="38"/>
    </row>
    <row r="1048065" spans="54:54" ht="15.75" customHeight="1" x14ac:dyDescent="0.3">
      <c r="BB1048065" s="38"/>
    </row>
    <row r="1048066" spans="54:54" ht="15.75" customHeight="1" x14ac:dyDescent="0.3">
      <c r="BB1048066" s="38"/>
    </row>
    <row r="1048067" spans="54:54" ht="15.75" customHeight="1" x14ac:dyDescent="0.3">
      <c r="BB1048067" s="38"/>
    </row>
    <row r="1048068" spans="54:54" ht="15.75" customHeight="1" x14ac:dyDescent="0.3">
      <c r="BB1048068" s="38"/>
    </row>
    <row r="1048069" spans="54:54" ht="15.75" customHeight="1" x14ac:dyDescent="0.3">
      <c r="BB1048069" s="38"/>
    </row>
    <row r="1048070" spans="54:54" ht="15.75" customHeight="1" x14ac:dyDescent="0.3">
      <c r="BB1048070" s="38"/>
    </row>
    <row r="1048071" spans="54:54" ht="15.75" customHeight="1" x14ac:dyDescent="0.3">
      <c r="BB1048071" s="38"/>
    </row>
    <row r="1048072" spans="54:54" ht="15.75" customHeight="1" x14ac:dyDescent="0.3">
      <c r="BB1048072" s="38"/>
    </row>
    <row r="1048073" spans="54:54" ht="15.75" customHeight="1" x14ac:dyDescent="0.3">
      <c r="BB1048073" s="38"/>
    </row>
    <row r="1048074" spans="54:54" ht="15.75" customHeight="1" x14ac:dyDescent="0.3">
      <c r="BB1048074" s="38"/>
    </row>
    <row r="1048075" spans="54:54" ht="15.75" customHeight="1" x14ac:dyDescent="0.3">
      <c r="BB1048075" s="38"/>
    </row>
    <row r="1048076" spans="54:54" ht="15.75" customHeight="1" x14ac:dyDescent="0.3">
      <c r="BB1048076" s="38"/>
    </row>
    <row r="1048077" spans="54:54" ht="15.75" customHeight="1" x14ac:dyDescent="0.3">
      <c r="BB1048077" s="38"/>
    </row>
    <row r="1048078" spans="54:54" ht="15.75" customHeight="1" x14ac:dyDescent="0.3">
      <c r="BB1048078" s="38"/>
    </row>
    <row r="1048079" spans="54:54" ht="15.75" customHeight="1" x14ac:dyDescent="0.3">
      <c r="BB1048079" s="38"/>
    </row>
    <row r="1048080" spans="54:54" ht="15.75" customHeight="1" x14ac:dyDescent="0.3">
      <c r="BB1048080" s="38"/>
    </row>
    <row r="1048081" spans="54:54" ht="15.75" customHeight="1" x14ac:dyDescent="0.3">
      <c r="BB1048081" s="38"/>
    </row>
    <row r="1048082" spans="54:54" ht="15.75" customHeight="1" x14ac:dyDescent="0.3">
      <c r="BB1048082" s="38"/>
    </row>
    <row r="1048083" spans="54:54" ht="15.75" customHeight="1" x14ac:dyDescent="0.3">
      <c r="BB1048083" s="38"/>
    </row>
    <row r="1048084" spans="54:54" ht="15.75" customHeight="1" x14ac:dyDescent="0.3">
      <c r="BB1048084" s="38"/>
    </row>
    <row r="1048085" spans="54:54" ht="15.75" customHeight="1" x14ac:dyDescent="0.3">
      <c r="BB1048085" s="38"/>
    </row>
    <row r="1048086" spans="54:54" ht="15.75" customHeight="1" x14ac:dyDescent="0.3">
      <c r="BB1048086" s="38"/>
    </row>
    <row r="1048087" spans="54:54" ht="15.75" customHeight="1" x14ac:dyDescent="0.3">
      <c r="BB1048087" s="38"/>
    </row>
    <row r="1048088" spans="54:54" ht="15.75" customHeight="1" x14ac:dyDescent="0.3">
      <c r="BB1048088" s="38"/>
    </row>
    <row r="1048089" spans="54:54" ht="15.75" customHeight="1" x14ac:dyDescent="0.3">
      <c r="BB1048089" s="38"/>
    </row>
    <row r="1048090" spans="54:54" ht="15.75" customHeight="1" x14ac:dyDescent="0.3">
      <c r="BB1048090" s="38"/>
    </row>
    <row r="1048091" spans="54:54" ht="15.75" customHeight="1" x14ac:dyDescent="0.3">
      <c r="BB1048091" s="38"/>
    </row>
    <row r="1048092" spans="54:54" ht="15.75" customHeight="1" x14ac:dyDescent="0.3">
      <c r="BB1048092" s="38"/>
    </row>
    <row r="1048093" spans="54:54" ht="15.75" customHeight="1" x14ac:dyDescent="0.3">
      <c r="BB1048093" s="38"/>
    </row>
    <row r="1048094" spans="54:54" ht="15.75" customHeight="1" x14ac:dyDescent="0.3">
      <c r="BB1048094" s="38"/>
    </row>
    <row r="1048095" spans="54:54" ht="15.75" customHeight="1" x14ac:dyDescent="0.3">
      <c r="BB1048095" s="38"/>
    </row>
    <row r="1048096" spans="54:54" ht="15.75" customHeight="1" x14ac:dyDescent="0.3">
      <c r="BB1048096" s="38"/>
    </row>
    <row r="1048097" spans="54:54" ht="15.75" customHeight="1" x14ac:dyDescent="0.3">
      <c r="BB1048097" s="38"/>
    </row>
    <row r="1048098" spans="54:54" ht="15.75" customHeight="1" x14ac:dyDescent="0.3">
      <c r="BB1048098" s="38"/>
    </row>
    <row r="1048099" spans="54:54" ht="15.75" customHeight="1" x14ac:dyDescent="0.3">
      <c r="BB1048099" s="38"/>
    </row>
    <row r="1048100" spans="54:54" ht="15.75" customHeight="1" x14ac:dyDescent="0.3">
      <c r="BB1048100" s="38"/>
    </row>
    <row r="1048101" spans="54:54" ht="15.75" customHeight="1" x14ac:dyDescent="0.3">
      <c r="BB1048101" s="38"/>
    </row>
    <row r="1048102" spans="54:54" ht="15.75" customHeight="1" x14ac:dyDescent="0.3">
      <c r="BB1048102" s="38"/>
    </row>
    <row r="1048103" spans="54:54" ht="15.75" customHeight="1" x14ac:dyDescent="0.3">
      <c r="BB1048103" s="38"/>
    </row>
    <row r="1048104" spans="54:54" ht="15.75" customHeight="1" x14ac:dyDescent="0.3">
      <c r="BB1048104" s="38"/>
    </row>
    <row r="1048105" spans="54:54" ht="15.75" customHeight="1" x14ac:dyDescent="0.3">
      <c r="BB1048105" s="38"/>
    </row>
    <row r="1048106" spans="54:54" ht="15.75" customHeight="1" x14ac:dyDescent="0.3">
      <c r="BB1048106" s="38"/>
    </row>
    <row r="1048107" spans="54:54" ht="15.75" customHeight="1" x14ac:dyDescent="0.3">
      <c r="BB1048107" s="38"/>
    </row>
    <row r="1048108" spans="54:54" ht="15.75" customHeight="1" x14ac:dyDescent="0.3">
      <c r="BB1048108" s="38"/>
    </row>
    <row r="1048109" spans="54:54" ht="15.75" customHeight="1" x14ac:dyDescent="0.3">
      <c r="BB1048109" s="38"/>
    </row>
    <row r="1048110" spans="54:54" ht="15.75" customHeight="1" x14ac:dyDescent="0.3">
      <c r="BB1048110" s="38"/>
    </row>
    <row r="1048111" spans="54:54" ht="15.75" customHeight="1" x14ac:dyDescent="0.3">
      <c r="BB1048111" s="38"/>
    </row>
    <row r="1048112" spans="54:54" ht="15.75" customHeight="1" x14ac:dyDescent="0.3">
      <c r="BB1048112" s="38"/>
    </row>
    <row r="1048113" spans="54:54" ht="15.75" customHeight="1" x14ac:dyDescent="0.3">
      <c r="BB1048113" s="38"/>
    </row>
    <row r="1048114" spans="54:54" ht="15.75" customHeight="1" x14ac:dyDescent="0.3">
      <c r="BB1048114" s="38"/>
    </row>
    <row r="1048115" spans="54:54" ht="15.75" customHeight="1" x14ac:dyDescent="0.3">
      <c r="BB1048115" s="38"/>
    </row>
    <row r="1048116" spans="54:54" ht="15.75" customHeight="1" x14ac:dyDescent="0.3">
      <c r="BB1048116" s="38"/>
    </row>
    <row r="1048117" spans="54:54" ht="15.75" customHeight="1" x14ac:dyDescent="0.3">
      <c r="BB1048117" s="38"/>
    </row>
    <row r="1048118" spans="54:54" ht="15.75" customHeight="1" x14ac:dyDescent="0.3">
      <c r="BB1048118" s="38"/>
    </row>
    <row r="1048119" spans="54:54" ht="15.75" customHeight="1" x14ac:dyDescent="0.3">
      <c r="BB1048119" s="38"/>
    </row>
    <row r="1048120" spans="54:54" ht="15.75" customHeight="1" x14ac:dyDescent="0.3">
      <c r="BB1048120" s="38"/>
    </row>
    <row r="1048121" spans="54:54" ht="15.75" customHeight="1" x14ac:dyDescent="0.3">
      <c r="BB1048121" s="38"/>
    </row>
    <row r="1048122" spans="54:54" ht="15.75" customHeight="1" x14ac:dyDescent="0.3">
      <c r="BB1048122" s="38"/>
    </row>
    <row r="1048123" spans="54:54" ht="15.75" customHeight="1" x14ac:dyDescent="0.3">
      <c r="BB1048123" s="38"/>
    </row>
    <row r="1048124" spans="54:54" ht="15.75" customHeight="1" x14ac:dyDescent="0.3">
      <c r="BB1048124" s="38"/>
    </row>
    <row r="1048125" spans="54:54" ht="15.75" customHeight="1" x14ac:dyDescent="0.3">
      <c r="BB1048125" s="38"/>
    </row>
    <row r="1048126" spans="54:54" ht="15.75" customHeight="1" x14ac:dyDescent="0.3">
      <c r="BB1048126" s="38"/>
    </row>
    <row r="1048127" spans="54:54" ht="15.75" customHeight="1" x14ac:dyDescent="0.3">
      <c r="BB1048127" s="38"/>
    </row>
    <row r="1048128" spans="54:54" ht="15.75" customHeight="1" x14ac:dyDescent="0.3">
      <c r="BB1048128" s="38"/>
    </row>
    <row r="1048129" spans="54:54" ht="15.75" customHeight="1" x14ac:dyDescent="0.3">
      <c r="BB1048129" s="38"/>
    </row>
    <row r="1048130" spans="54:54" ht="15.75" customHeight="1" x14ac:dyDescent="0.3">
      <c r="BB1048130" s="38"/>
    </row>
    <row r="1048131" spans="54:54" ht="15.75" customHeight="1" x14ac:dyDescent="0.3">
      <c r="BB1048131" s="38"/>
    </row>
    <row r="1048132" spans="54:54" ht="15.75" customHeight="1" x14ac:dyDescent="0.3">
      <c r="BB1048132" s="38"/>
    </row>
    <row r="1048133" spans="54:54" ht="15.75" customHeight="1" x14ac:dyDescent="0.3">
      <c r="BB1048133" s="38"/>
    </row>
    <row r="1048134" spans="54:54" ht="15.75" customHeight="1" x14ac:dyDescent="0.3">
      <c r="BB1048134" s="38"/>
    </row>
    <row r="1048135" spans="54:54" ht="15.75" customHeight="1" x14ac:dyDescent="0.3">
      <c r="BB1048135" s="38"/>
    </row>
    <row r="1048136" spans="54:54" ht="15.75" customHeight="1" x14ac:dyDescent="0.3">
      <c r="BB1048136" s="38"/>
    </row>
    <row r="1048137" spans="54:54" ht="15.75" customHeight="1" x14ac:dyDescent="0.3">
      <c r="BB1048137" s="38"/>
    </row>
    <row r="1048138" spans="54:54" ht="15.75" customHeight="1" x14ac:dyDescent="0.3">
      <c r="BB1048138" s="38"/>
    </row>
    <row r="1048139" spans="54:54" ht="15.75" customHeight="1" x14ac:dyDescent="0.3">
      <c r="BB1048139" s="38"/>
    </row>
    <row r="1048140" spans="54:54" ht="15.75" customHeight="1" x14ac:dyDescent="0.3">
      <c r="BB1048140" s="38"/>
    </row>
    <row r="1048141" spans="54:54" ht="15.75" customHeight="1" x14ac:dyDescent="0.3">
      <c r="BB1048141" s="38"/>
    </row>
    <row r="1048142" spans="54:54" ht="15.75" customHeight="1" x14ac:dyDescent="0.3">
      <c r="BB1048142" s="38"/>
    </row>
    <row r="1048143" spans="54:54" ht="15.75" customHeight="1" x14ac:dyDescent="0.3">
      <c r="BB1048143" s="38"/>
    </row>
    <row r="1048144" spans="54:54" ht="15.75" customHeight="1" x14ac:dyDescent="0.3">
      <c r="BB1048144" s="38"/>
    </row>
    <row r="1048145" spans="54:54" ht="15.75" customHeight="1" x14ac:dyDescent="0.3">
      <c r="BB1048145" s="38"/>
    </row>
    <row r="1048146" spans="54:54" ht="15.75" customHeight="1" x14ac:dyDescent="0.3">
      <c r="BB1048146" s="38"/>
    </row>
    <row r="1048147" spans="54:54" ht="15.75" customHeight="1" x14ac:dyDescent="0.3">
      <c r="BB1048147" s="38"/>
    </row>
    <row r="1048148" spans="54:54" ht="15.75" customHeight="1" x14ac:dyDescent="0.3">
      <c r="BB1048148" s="38"/>
    </row>
    <row r="1048149" spans="54:54" ht="15.75" customHeight="1" x14ac:dyDescent="0.3">
      <c r="BB1048149" s="38"/>
    </row>
    <row r="1048150" spans="54:54" ht="15.75" customHeight="1" x14ac:dyDescent="0.3">
      <c r="BB1048150" s="38"/>
    </row>
    <row r="1048151" spans="54:54" ht="15.75" customHeight="1" x14ac:dyDescent="0.3">
      <c r="BB1048151" s="38"/>
    </row>
    <row r="1048152" spans="54:54" ht="15.75" customHeight="1" x14ac:dyDescent="0.3">
      <c r="BB1048152" s="38"/>
    </row>
    <row r="1048153" spans="54:54" ht="15.75" customHeight="1" x14ac:dyDescent="0.3">
      <c r="BB1048153" s="38"/>
    </row>
    <row r="1048154" spans="54:54" ht="15.75" customHeight="1" x14ac:dyDescent="0.3">
      <c r="BB1048154" s="38"/>
    </row>
    <row r="1048155" spans="54:54" ht="15.75" customHeight="1" x14ac:dyDescent="0.3">
      <c r="BB1048155" s="38"/>
    </row>
    <row r="1048156" spans="54:54" ht="15.75" customHeight="1" x14ac:dyDescent="0.3">
      <c r="BB1048156" s="38"/>
    </row>
    <row r="1048157" spans="54:54" ht="15.75" customHeight="1" x14ac:dyDescent="0.3">
      <c r="BB1048157" s="38"/>
    </row>
    <row r="1048158" spans="54:54" ht="15.75" customHeight="1" x14ac:dyDescent="0.3">
      <c r="BB1048158" s="38"/>
    </row>
    <row r="1048159" spans="54:54" ht="15.75" customHeight="1" x14ac:dyDescent="0.3">
      <c r="BB1048159" s="38"/>
    </row>
    <row r="1048160" spans="54:54" ht="15.75" customHeight="1" x14ac:dyDescent="0.3">
      <c r="BB1048160" s="38"/>
    </row>
    <row r="1048161" spans="54:54" ht="15.75" customHeight="1" x14ac:dyDescent="0.3">
      <c r="BB1048161" s="38"/>
    </row>
    <row r="1048162" spans="54:54" ht="15.75" customHeight="1" x14ac:dyDescent="0.3">
      <c r="BB1048162" s="38"/>
    </row>
    <row r="1048163" spans="54:54" ht="15.75" customHeight="1" x14ac:dyDescent="0.3">
      <c r="BB1048163" s="38"/>
    </row>
    <row r="1048164" spans="54:54" ht="15.75" customHeight="1" x14ac:dyDescent="0.3">
      <c r="BB1048164" s="38"/>
    </row>
    <row r="1048165" spans="54:54" ht="15.75" customHeight="1" x14ac:dyDescent="0.3">
      <c r="BB1048165" s="38"/>
    </row>
    <row r="1048166" spans="54:54" ht="15.75" customHeight="1" x14ac:dyDescent="0.3">
      <c r="BB1048166" s="38"/>
    </row>
    <row r="1048167" spans="54:54" ht="15.75" customHeight="1" x14ac:dyDescent="0.3">
      <c r="BB1048167" s="38"/>
    </row>
    <row r="1048168" spans="54:54" ht="15.75" customHeight="1" x14ac:dyDescent="0.3">
      <c r="BB1048168" s="38"/>
    </row>
    <row r="1048169" spans="54:54" ht="15.75" customHeight="1" x14ac:dyDescent="0.3">
      <c r="BB1048169" s="38"/>
    </row>
    <row r="1048170" spans="54:54" ht="15.75" customHeight="1" x14ac:dyDescent="0.3">
      <c r="BB1048170" s="38"/>
    </row>
    <row r="1048171" spans="54:54" ht="15.75" customHeight="1" x14ac:dyDescent="0.3">
      <c r="BB1048171" s="38"/>
    </row>
    <row r="1048172" spans="54:54" ht="15.75" customHeight="1" x14ac:dyDescent="0.3">
      <c r="BB1048172" s="38"/>
    </row>
    <row r="1048173" spans="54:54" ht="15.75" customHeight="1" x14ac:dyDescent="0.3">
      <c r="BB1048173" s="38"/>
    </row>
    <row r="1048174" spans="54:54" ht="15.75" customHeight="1" x14ac:dyDescent="0.3">
      <c r="BB1048174" s="38"/>
    </row>
    <row r="1048175" spans="54:54" ht="15.75" customHeight="1" x14ac:dyDescent="0.3">
      <c r="BB1048175" s="38"/>
    </row>
    <row r="1048176" spans="54:54" ht="15.75" customHeight="1" x14ac:dyDescent="0.3">
      <c r="BB1048176" s="38"/>
    </row>
    <row r="1048177" spans="54:54" ht="15.75" customHeight="1" x14ac:dyDescent="0.3">
      <c r="BB1048177" s="38"/>
    </row>
    <row r="1048178" spans="54:54" ht="15.75" customHeight="1" x14ac:dyDescent="0.3">
      <c r="BB1048178" s="38"/>
    </row>
    <row r="1048179" spans="54:54" ht="15.75" customHeight="1" x14ac:dyDescent="0.3">
      <c r="BB1048179" s="38"/>
    </row>
    <row r="1048180" spans="54:54" ht="15.75" customHeight="1" x14ac:dyDescent="0.3">
      <c r="BB1048180" s="38"/>
    </row>
    <row r="1048181" spans="54:54" ht="15.75" customHeight="1" x14ac:dyDescent="0.3">
      <c r="BB1048181" s="38"/>
    </row>
    <row r="1048182" spans="54:54" ht="15.75" customHeight="1" x14ac:dyDescent="0.3">
      <c r="BB1048182" s="38"/>
    </row>
    <row r="1048183" spans="54:54" ht="15.75" customHeight="1" x14ac:dyDescent="0.3">
      <c r="BB1048183" s="38"/>
    </row>
    <row r="1048184" spans="54:54" ht="15.75" customHeight="1" x14ac:dyDescent="0.3">
      <c r="BB1048184" s="38"/>
    </row>
    <row r="1048185" spans="54:54" ht="15.75" customHeight="1" x14ac:dyDescent="0.3">
      <c r="BB1048185" s="38"/>
    </row>
    <row r="1048186" spans="54:54" ht="15.75" customHeight="1" x14ac:dyDescent="0.3">
      <c r="BB1048186" s="38"/>
    </row>
    <row r="1048187" spans="54:54" ht="15.75" customHeight="1" x14ac:dyDescent="0.3">
      <c r="BB1048187" s="38"/>
    </row>
    <row r="1048188" spans="54:54" ht="15.75" customHeight="1" x14ac:dyDescent="0.3">
      <c r="BB1048188" s="38"/>
    </row>
    <row r="1048189" spans="54:54" ht="15.75" customHeight="1" x14ac:dyDescent="0.3">
      <c r="BB1048189" s="38"/>
    </row>
    <row r="1048190" spans="54:54" ht="15.75" customHeight="1" x14ac:dyDescent="0.3">
      <c r="BB1048190" s="38"/>
    </row>
    <row r="1048191" spans="54:54" ht="15.75" customHeight="1" x14ac:dyDescent="0.3">
      <c r="BB1048191" s="38"/>
    </row>
    <row r="1048192" spans="54:54" ht="15.75" customHeight="1" x14ac:dyDescent="0.3">
      <c r="BB1048192" s="38"/>
    </row>
    <row r="1048193" spans="54:54" ht="15.75" customHeight="1" x14ac:dyDescent="0.3">
      <c r="BB1048193" s="38"/>
    </row>
    <row r="1048194" spans="54:54" ht="15.75" customHeight="1" x14ac:dyDescent="0.3">
      <c r="BB1048194" s="38"/>
    </row>
    <row r="1048195" spans="54:54" ht="15.75" customHeight="1" x14ac:dyDescent="0.3">
      <c r="BB1048195" s="38"/>
    </row>
    <row r="1048196" spans="54:54" ht="15.75" customHeight="1" x14ac:dyDescent="0.3">
      <c r="BB1048196" s="38"/>
    </row>
    <row r="1048197" spans="54:54" ht="15.75" customHeight="1" x14ac:dyDescent="0.3">
      <c r="BB1048197" s="38"/>
    </row>
    <row r="1048198" spans="54:54" ht="15.75" customHeight="1" x14ac:dyDescent="0.3">
      <c r="BB1048198" s="38"/>
    </row>
    <row r="1048199" spans="54:54" ht="15.75" customHeight="1" x14ac:dyDescent="0.3">
      <c r="BB1048199" s="38"/>
    </row>
    <row r="1048200" spans="54:54" ht="15.75" customHeight="1" x14ac:dyDescent="0.3">
      <c r="BB1048200" s="38"/>
    </row>
    <row r="1048201" spans="54:54" ht="15.75" customHeight="1" x14ac:dyDescent="0.3">
      <c r="BB1048201" s="38"/>
    </row>
    <row r="1048202" spans="54:54" ht="15.75" customHeight="1" x14ac:dyDescent="0.3">
      <c r="BB1048202" s="38"/>
    </row>
    <row r="1048203" spans="54:54" ht="15.75" customHeight="1" x14ac:dyDescent="0.3">
      <c r="BB1048203" s="38"/>
    </row>
    <row r="1048204" spans="54:54" ht="15.75" customHeight="1" x14ac:dyDescent="0.3">
      <c r="BB1048204" s="38"/>
    </row>
    <row r="1048205" spans="54:54" ht="15.75" customHeight="1" x14ac:dyDescent="0.3">
      <c r="BB1048205" s="38"/>
    </row>
    <row r="1048206" spans="54:54" ht="15.75" customHeight="1" x14ac:dyDescent="0.3">
      <c r="BB1048206" s="38"/>
    </row>
    <row r="1048207" spans="54:54" ht="15.75" customHeight="1" x14ac:dyDescent="0.3">
      <c r="BB1048207" s="38"/>
    </row>
    <row r="1048208" spans="54:54" ht="15.75" customHeight="1" x14ac:dyDescent="0.3">
      <c r="BB1048208" s="38"/>
    </row>
    <row r="1048209" spans="54:54" ht="15.75" customHeight="1" x14ac:dyDescent="0.3">
      <c r="BB1048209" s="38"/>
    </row>
    <row r="1048210" spans="54:54" ht="15.75" customHeight="1" x14ac:dyDescent="0.3">
      <c r="BB1048210" s="38"/>
    </row>
    <row r="1048211" spans="54:54" ht="15.75" customHeight="1" x14ac:dyDescent="0.3">
      <c r="BB1048211" s="38"/>
    </row>
    <row r="1048212" spans="54:54" ht="15.75" customHeight="1" x14ac:dyDescent="0.3">
      <c r="BB1048212" s="38"/>
    </row>
    <row r="1048213" spans="54:54" ht="15.75" customHeight="1" x14ac:dyDescent="0.3">
      <c r="BB1048213" s="38"/>
    </row>
    <row r="1048214" spans="54:54" ht="15.75" customHeight="1" x14ac:dyDescent="0.3">
      <c r="BB1048214" s="38"/>
    </row>
    <row r="1048215" spans="54:54" ht="15.75" customHeight="1" x14ac:dyDescent="0.3">
      <c r="BB1048215" s="38"/>
    </row>
    <row r="1048216" spans="54:54" ht="15.75" customHeight="1" x14ac:dyDescent="0.3">
      <c r="BB1048216" s="38"/>
    </row>
    <row r="1048217" spans="54:54" ht="15.75" customHeight="1" x14ac:dyDescent="0.3">
      <c r="BB1048217" s="38"/>
    </row>
    <row r="1048218" spans="54:54" ht="15.75" customHeight="1" x14ac:dyDescent="0.3">
      <c r="BB1048218" s="38"/>
    </row>
    <row r="1048219" spans="54:54" ht="15.75" customHeight="1" x14ac:dyDescent="0.3">
      <c r="BB1048219" s="38"/>
    </row>
    <row r="1048220" spans="54:54" ht="15.75" customHeight="1" x14ac:dyDescent="0.3">
      <c r="BB1048220" s="38"/>
    </row>
    <row r="1048221" spans="54:54" ht="15.75" customHeight="1" x14ac:dyDescent="0.3">
      <c r="BB1048221" s="38"/>
    </row>
    <row r="1048222" spans="54:54" ht="15.75" customHeight="1" x14ac:dyDescent="0.3">
      <c r="BB1048222" s="38"/>
    </row>
    <row r="1048223" spans="54:54" ht="15.75" customHeight="1" x14ac:dyDescent="0.3">
      <c r="BB1048223" s="38"/>
    </row>
    <row r="1048224" spans="54:54" ht="15.75" customHeight="1" x14ac:dyDescent="0.3">
      <c r="BB1048224" s="38"/>
    </row>
    <row r="1048225" spans="54:54" ht="15.75" customHeight="1" x14ac:dyDescent="0.3">
      <c r="BB1048225" s="38"/>
    </row>
    <row r="1048226" spans="54:54" ht="15.75" customHeight="1" x14ac:dyDescent="0.3">
      <c r="BB1048226" s="38"/>
    </row>
    <row r="1048227" spans="54:54" ht="15.75" customHeight="1" x14ac:dyDescent="0.3">
      <c r="BB1048227" s="38"/>
    </row>
    <row r="1048228" spans="54:54" ht="15.75" customHeight="1" x14ac:dyDescent="0.3">
      <c r="BB1048228" s="38"/>
    </row>
    <row r="1048229" spans="54:54" ht="15.75" customHeight="1" x14ac:dyDescent="0.3">
      <c r="BB1048229" s="38"/>
    </row>
    <row r="1048230" spans="54:54" ht="15.75" customHeight="1" x14ac:dyDescent="0.3">
      <c r="BB1048230" s="38"/>
    </row>
    <row r="1048231" spans="54:54" ht="15.75" customHeight="1" x14ac:dyDescent="0.3">
      <c r="BB1048231" s="38"/>
    </row>
    <row r="1048232" spans="54:54" ht="15.75" customHeight="1" x14ac:dyDescent="0.3">
      <c r="BB1048232" s="38"/>
    </row>
    <row r="1048233" spans="54:54" ht="15.75" customHeight="1" x14ac:dyDescent="0.3">
      <c r="BB1048233" s="38"/>
    </row>
    <row r="1048234" spans="54:54" ht="15.75" customHeight="1" x14ac:dyDescent="0.3">
      <c r="BB1048234" s="38"/>
    </row>
    <row r="1048235" spans="54:54" ht="15.75" customHeight="1" x14ac:dyDescent="0.3">
      <c r="BB1048235" s="38"/>
    </row>
    <row r="1048236" spans="54:54" ht="15.75" customHeight="1" x14ac:dyDescent="0.3">
      <c r="BB1048236" s="38"/>
    </row>
    <row r="1048237" spans="54:54" ht="15.75" customHeight="1" x14ac:dyDescent="0.3">
      <c r="BB1048237" s="38"/>
    </row>
    <row r="1048238" spans="54:54" ht="15.75" customHeight="1" x14ac:dyDescent="0.3">
      <c r="BB1048238" s="38"/>
    </row>
    <row r="1048239" spans="54:54" ht="15.75" customHeight="1" x14ac:dyDescent="0.3">
      <c r="BB1048239" s="38"/>
    </row>
    <row r="1048240" spans="54:54" ht="15.75" customHeight="1" x14ac:dyDescent="0.3">
      <c r="BB1048240" s="38"/>
    </row>
    <row r="1048241" spans="54:54" ht="15.75" customHeight="1" x14ac:dyDescent="0.3">
      <c r="BB1048241" s="38"/>
    </row>
    <row r="1048242" spans="54:54" ht="15.75" customHeight="1" x14ac:dyDescent="0.3">
      <c r="BB1048242" s="38"/>
    </row>
    <row r="1048243" spans="54:54" ht="15.75" customHeight="1" x14ac:dyDescent="0.3">
      <c r="BB1048243" s="38"/>
    </row>
    <row r="1048244" spans="54:54" ht="15.75" customHeight="1" x14ac:dyDescent="0.3">
      <c r="BB1048244" s="38"/>
    </row>
    <row r="1048245" spans="54:54" ht="15.75" customHeight="1" x14ac:dyDescent="0.3">
      <c r="BB1048245" s="38"/>
    </row>
    <row r="1048246" spans="54:54" ht="15.75" customHeight="1" x14ac:dyDescent="0.3">
      <c r="BB1048246" s="38"/>
    </row>
    <row r="1048247" spans="54:54" ht="15.75" customHeight="1" x14ac:dyDescent="0.3">
      <c r="BB1048247" s="38"/>
    </row>
    <row r="1048248" spans="54:54" ht="15.75" customHeight="1" x14ac:dyDescent="0.3">
      <c r="BB1048248" s="38"/>
    </row>
    <row r="1048249" spans="54:54" ht="15.75" customHeight="1" x14ac:dyDescent="0.3">
      <c r="BB1048249" s="38"/>
    </row>
    <row r="1048250" spans="54:54" ht="15.75" customHeight="1" x14ac:dyDescent="0.3">
      <c r="BB1048250" s="38"/>
    </row>
    <row r="1048251" spans="54:54" ht="15.75" customHeight="1" x14ac:dyDescent="0.3">
      <c r="BB1048251" s="38"/>
    </row>
    <row r="1048252" spans="54:54" ht="15.75" customHeight="1" x14ac:dyDescent="0.3">
      <c r="BB1048252" s="38"/>
    </row>
    <row r="1048253" spans="54:54" ht="15.75" customHeight="1" x14ac:dyDescent="0.3">
      <c r="BB1048253" s="38"/>
    </row>
    <row r="1048254" spans="54:54" ht="15.75" customHeight="1" x14ac:dyDescent="0.3">
      <c r="BB1048254" s="38"/>
    </row>
    <row r="1048255" spans="54:54" ht="15.75" customHeight="1" x14ac:dyDescent="0.3">
      <c r="BB1048255" s="38"/>
    </row>
    <row r="1048256" spans="54:54" ht="15.75" customHeight="1" x14ac:dyDescent="0.3">
      <c r="BB1048256" s="38"/>
    </row>
    <row r="1048257" spans="54:54" ht="15.75" customHeight="1" x14ac:dyDescent="0.3">
      <c r="BB1048257" s="38"/>
    </row>
    <row r="1048258" spans="54:54" ht="15.75" customHeight="1" x14ac:dyDescent="0.3">
      <c r="BB1048258" s="38"/>
    </row>
    <row r="1048259" spans="54:54" ht="15.75" customHeight="1" x14ac:dyDescent="0.3">
      <c r="BB1048259" s="38"/>
    </row>
    <row r="1048260" spans="54:54" ht="15.75" customHeight="1" x14ac:dyDescent="0.3">
      <c r="BB1048260" s="38"/>
    </row>
    <row r="1048261" spans="54:54" ht="15.75" customHeight="1" x14ac:dyDescent="0.3">
      <c r="BB1048261" s="38"/>
    </row>
    <row r="1048262" spans="54:54" ht="15.75" customHeight="1" x14ac:dyDescent="0.3">
      <c r="BB1048262" s="38"/>
    </row>
    <row r="1048263" spans="54:54" ht="15.75" customHeight="1" x14ac:dyDescent="0.3">
      <c r="BB1048263" s="38"/>
    </row>
    <row r="1048264" spans="54:54" ht="15.75" customHeight="1" x14ac:dyDescent="0.3">
      <c r="BB1048264" s="38"/>
    </row>
    <row r="1048265" spans="54:54" ht="15.75" customHeight="1" x14ac:dyDescent="0.3">
      <c r="BB1048265" s="38"/>
    </row>
    <row r="1048266" spans="54:54" ht="15.75" customHeight="1" x14ac:dyDescent="0.3">
      <c r="BB1048266" s="38"/>
    </row>
    <row r="1048267" spans="54:54" ht="15.75" customHeight="1" x14ac:dyDescent="0.3">
      <c r="BB1048267" s="38"/>
    </row>
    <row r="1048268" spans="54:54" ht="15.75" customHeight="1" x14ac:dyDescent="0.3">
      <c r="BB1048268" s="38"/>
    </row>
    <row r="1048269" spans="54:54" ht="15.75" customHeight="1" x14ac:dyDescent="0.3">
      <c r="BB1048269" s="38"/>
    </row>
    <row r="1048270" spans="54:54" ht="15.75" customHeight="1" x14ac:dyDescent="0.3">
      <c r="BB1048270" s="38"/>
    </row>
    <row r="1048271" spans="54:54" ht="15.75" customHeight="1" x14ac:dyDescent="0.3">
      <c r="BB1048271" s="38"/>
    </row>
    <row r="1048272" spans="54:54" ht="15.75" customHeight="1" x14ac:dyDescent="0.3">
      <c r="BB1048272" s="38"/>
    </row>
    <row r="1048273" spans="54:54" ht="15.75" customHeight="1" x14ac:dyDescent="0.3">
      <c r="BB1048273" s="38"/>
    </row>
    <row r="1048274" spans="54:54" ht="15.75" customHeight="1" x14ac:dyDescent="0.3">
      <c r="BB1048274" s="38"/>
    </row>
    <row r="1048275" spans="54:54" ht="15.75" customHeight="1" x14ac:dyDescent="0.3">
      <c r="BB1048275" s="38"/>
    </row>
    <row r="1048276" spans="54:54" ht="15.75" customHeight="1" x14ac:dyDescent="0.3">
      <c r="BB1048276" s="38"/>
    </row>
    <row r="1048277" spans="54:54" ht="15.75" customHeight="1" x14ac:dyDescent="0.3">
      <c r="BB1048277" s="38"/>
    </row>
    <row r="1048278" spans="54:54" ht="15.75" customHeight="1" x14ac:dyDescent="0.3">
      <c r="BB1048278" s="38"/>
    </row>
    <row r="1048279" spans="54:54" ht="15.75" customHeight="1" x14ac:dyDescent="0.3">
      <c r="BB1048279" s="38"/>
    </row>
    <row r="1048280" spans="54:54" ht="15.75" customHeight="1" x14ac:dyDescent="0.3">
      <c r="BB1048280" s="38"/>
    </row>
    <row r="1048281" spans="54:54" ht="15.75" customHeight="1" x14ac:dyDescent="0.3">
      <c r="BB1048281" s="38"/>
    </row>
    <row r="1048282" spans="54:54" ht="15.75" customHeight="1" x14ac:dyDescent="0.3">
      <c r="BB1048282" s="38"/>
    </row>
    <row r="1048283" spans="54:54" ht="15.75" customHeight="1" x14ac:dyDescent="0.3">
      <c r="BB1048283" s="38"/>
    </row>
    <row r="1048284" spans="54:54" ht="15.75" customHeight="1" x14ac:dyDescent="0.3">
      <c r="BB1048284" s="38"/>
    </row>
    <row r="1048285" spans="54:54" ht="15.75" customHeight="1" x14ac:dyDescent="0.3">
      <c r="BB1048285" s="38"/>
    </row>
    <row r="1048286" spans="54:54" ht="15.75" customHeight="1" x14ac:dyDescent="0.3">
      <c r="BB1048286" s="38"/>
    </row>
    <row r="1048287" spans="54:54" ht="15.75" customHeight="1" x14ac:dyDescent="0.3">
      <c r="BB1048287" s="38"/>
    </row>
    <row r="1048288" spans="54:54" ht="15.75" customHeight="1" x14ac:dyDescent="0.3">
      <c r="BB1048288" s="38"/>
    </row>
    <row r="1048289" spans="54:54" ht="15.75" customHeight="1" x14ac:dyDescent="0.3">
      <c r="BB1048289" s="38"/>
    </row>
    <row r="1048290" spans="54:54" ht="15.75" customHeight="1" x14ac:dyDescent="0.3">
      <c r="BB1048290" s="38"/>
    </row>
    <row r="1048291" spans="54:54" ht="15.75" customHeight="1" x14ac:dyDescent="0.3">
      <c r="BB1048291" s="38"/>
    </row>
    <row r="1048292" spans="54:54" ht="15.75" customHeight="1" x14ac:dyDescent="0.3">
      <c r="BB1048292" s="38"/>
    </row>
    <row r="1048293" spans="54:54" ht="15.75" customHeight="1" x14ac:dyDescent="0.3">
      <c r="BB1048293" s="38"/>
    </row>
    <row r="1048294" spans="54:54" ht="15.75" customHeight="1" x14ac:dyDescent="0.3">
      <c r="BB1048294" s="38"/>
    </row>
    <row r="1048295" spans="54:54" ht="15.75" customHeight="1" x14ac:dyDescent="0.3">
      <c r="BB1048295" s="38"/>
    </row>
    <row r="1048296" spans="54:54" ht="15.75" customHeight="1" x14ac:dyDescent="0.3">
      <c r="BB1048296" s="38"/>
    </row>
    <row r="1048297" spans="54:54" ht="15.75" customHeight="1" x14ac:dyDescent="0.3">
      <c r="BB1048297" s="38"/>
    </row>
    <row r="1048298" spans="54:54" ht="15.75" customHeight="1" x14ac:dyDescent="0.3">
      <c r="BB1048298" s="38"/>
    </row>
    <row r="1048299" spans="54:54" ht="15.75" customHeight="1" x14ac:dyDescent="0.3">
      <c r="BB1048299" s="38"/>
    </row>
    <row r="1048300" spans="54:54" ht="15.75" customHeight="1" x14ac:dyDescent="0.3">
      <c r="BB1048300" s="38"/>
    </row>
    <row r="1048301" spans="54:54" ht="15.75" customHeight="1" x14ac:dyDescent="0.3">
      <c r="BB1048301" s="38"/>
    </row>
    <row r="1048302" spans="54:54" ht="15.75" customHeight="1" x14ac:dyDescent="0.3">
      <c r="BB1048302" s="38"/>
    </row>
    <row r="1048303" spans="54:54" ht="15.75" customHeight="1" x14ac:dyDescent="0.3">
      <c r="BB1048303" s="38"/>
    </row>
    <row r="1048304" spans="54:54" ht="15.75" customHeight="1" x14ac:dyDescent="0.3">
      <c r="BB1048304" s="38"/>
    </row>
    <row r="1048305" spans="54:54" ht="15.75" customHeight="1" x14ac:dyDescent="0.3">
      <c r="BB1048305" s="38"/>
    </row>
    <row r="1048306" spans="54:54" ht="15.75" customHeight="1" x14ac:dyDescent="0.3">
      <c r="BB1048306" s="38"/>
    </row>
    <row r="1048307" spans="54:54" ht="15.75" customHeight="1" x14ac:dyDescent="0.3">
      <c r="BB1048307" s="38"/>
    </row>
    <row r="1048308" spans="54:54" ht="15.75" customHeight="1" x14ac:dyDescent="0.3">
      <c r="BB1048308" s="38"/>
    </row>
    <row r="1048309" spans="54:54" ht="15.75" customHeight="1" x14ac:dyDescent="0.3">
      <c r="BB1048309" s="38"/>
    </row>
    <row r="1048310" spans="54:54" ht="15.75" customHeight="1" x14ac:dyDescent="0.3">
      <c r="BB1048310" s="38"/>
    </row>
    <row r="1048311" spans="54:54" ht="15.75" customHeight="1" x14ac:dyDescent="0.3">
      <c r="BB1048311" s="38"/>
    </row>
    <row r="1048312" spans="54:54" ht="15.75" customHeight="1" x14ac:dyDescent="0.3">
      <c r="BB1048312" s="38"/>
    </row>
    <row r="1048313" spans="54:54" ht="15.75" customHeight="1" x14ac:dyDescent="0.3">
      <c r="BB1048313" s="38"/>
    </row>
    <row r="1048314" spans="54:54" ht="15.75" customHeight="1" x14ac:dyDescent="0.3">
      <c r="BB1048314" s="38"/>
    </row>
    <row r="1048315" spans="54:54" ht="15.75" customHeight="1" x14ac:dyDescent="0.3">
      <c r="BB1048315" s="38"/>
    </row>
    <row r="1048316" spans="54:54" ht="15.75" customHeight="1" x14ac:dyDescent="0.3">
      <c r="BB1048316" s="38"/>
    </row>
    <row r="1048317" spans="54:54" ht="15.75" customHeight="1" x14ac:dyDescent="0.3">
      <c r="BB1048317" s="38"/>
    </row>
    <row r="1048318" spans="54:54" ht="15.75" customHeight="1" x14ac:dyDescent="0.3">
      <c r="BB1048318" s="38"/>
    </row>
    <row r="1048319" spans="54:54" ht="15.75" customHeight="1" x14ac:dyDescent="0.3">
      <c r="BB1048319" s="38"/>
    </row>
    <row r="1048320" spans="54:54" ht="15.75" customHeight="1" x14ac:dyDescent="0.3">
      <c r="BB1048320" s="38"/>
    </row>
    <row r="1048321" spans="54:54" ht="15.75" customHeight="1" x14ac:dyDescent="0.3">
      <c r="BB1048321" s="38"/>
    </row>
    <row r="1048322" spans="54:54" ht="15.75" customHeight="1" x14ac:dyDescent="0.3">
      <c r="BB1048322" s="38"/>
    </row>
    <row r="1048323" spans="54:54" ht="15.75" customHeight="1" x14ac:dyDescent="0.3">
      <c r="BB1048323" s="38"/>
    </row>
    <row r="1048324" spans="54:54" ht="15.75" customHeight="1" x14ac:dyDescent="0.3">
      <c r="BB1048324" s="38"/>
    </row>
    <row r="1048325" spans="54:54" ht="15.75" customHeight="1" x14ac:dyDescent="0.3">
      <c r="BB1048325" s="38"/>
    </row>
    <row r="1048326" spans="54:54" ht="15.75" customHeight="1" x14ac:dyDescent="0.3">
      <c r="BB1048326" s="38"/>
    </row>
    <row r="1048327" spans="54:54" ht="15.75" customHeight="1" x14ac:dyDescent="0.3">
      <c r="BB1048327" s="38"/>
    </row>
    <row r="1048328" spans="54:54" ht="15.75" customHeight="1" x14ac:dyDescent="0.3">
      <c r="BB1048328" s="38"/>
    </row>
    <row r="1048329" spans="54:54" ht="15.75" customHeight="1" x14ac:dyDescent="0.3">
      <c r="BB1048329" s="38"/>
    </row>
    <row r="1048330" spans="54:54" ht="15.75" customHeight="1" x14ac:dyDescent="0.3">
      <c r="BB1048330" s="38"/>
    </row>
    <row r="1048331" spans="54:54" ht="15.75" customHeight="1" x14ac:dyDescent="0.3">
      <c r="BB1048331" s="38"/>
    </row>
    <row r="1048332" spans="54:54" ht="15.75" customHeight="1" x14ac:dyDescent="0.3">
      <c r="BB1048332" s="38"/>
    </row>
    <row r="1048333" spans="54:54" ht="15.75" customHeight="1" x14ac:dyDescent="0.3">
      <c r="BB1048333" s="38"/>
    </row>
    <row r="1048334" spans="54:54" ht="15.75" customHeight="1" x14ac:dyDescent="0.3">
      <c r="BB1048334" s="38"/>
    </row>
    <row r="1048335" spans="54:54" ht="15.75" customHeight="1" x14ac:dyDescent="0.3">
      <c r="BB1048335" s="38"/>
    </row>
    <row r="1048336" spans="54:54" ht="15.75" customHeight="1" x14ac:dyDescent="0.3">
      <c r="BB1048336" s="38"/>
    </row>
    <row r="1048337" spans="54:54" ht="15.75" customHeight="1" x14ac:dyDescent="0.3">
      <c r="BB1048337" s="38"/>
    </row>
    <row r="1048338" spans="54:54" ht="15.75" customHeight="1" x14ac:dyDescent="0.3">
      <c r="BB1048338" s="38"/>
    </row>
    <row r="1048339" spans="54:54" ht="15.75" customHeight="1" x14ac:dyDescent="0.3">
      <c r="BB1048339" s="38"/>
    </row>
    <row r="1048340" spans="54:54" ht="15.75" customHeight="1" x14ac:dyDescent="0.3">
      <c r="BB1048340" s="38"/>
    </row>
    <row r="1048341" spans="54:54" ht="15.75" customHeight="1" x14ac:dyDescent="0.3">
      <c r="BB1048341" s="38"/>
    </row>
    <row r="1048342" spans="54:54" ht="15.75" customHeight="1" x14ac:dyDescent="0.3">
      <c r="BB1048342" s="38"/>
    </row>
    <row r="1048343" spans="54:54" ht="15.75" customHeight="1" x14ac:dyDescent="0.3">
      <c r="BB1048343" s="38"/>
    </row>
    <row r="1048344" spans="54:54" ht="15.75" customHeight="1" x14ac:dyDescent="0.3">
      <c r="BB1048344" s="38"/>
    </row>
    <row r="1048345" spans="54:54" ht="15.75" customHeight="1" x14ac:dyDescent="0.3">
      <c r="BB1048345" s="38"/>
    </row>
    <row r="1048346" spans="54:54" ht="15.75" customHeight="1" x14ac:dyDescent="0.3">
      <c r="BB1048346" s="38"/>
    </row>
    <row r="1048347" spans="54:54" ht="15.75" customHeight="1" x14ac:dyDescent="0.3">
      <c r="BB1048347" s="38"/>
    </row>
    <row r="1048348" spans="54:54" ht="15.75" customHeight="1" x14ac:dyDescent="0.3">
      <c r="BB1048348" s="38"/>
    </row>
    <row r="1048349" spans="54:54" ht="15.75" customHeight="1" x14ac:dyDescent="0.3">
      <c r="BB1048349" s="38"/>
    </row>
    <row r="1048350" spans="54:54" ht="15.75" customHeight="1" x14ac:dyDescent="0.3">
      <c r="BB1048350" s="38"/>
    </row>
    <row r="1048351" spans="54:54" ht="15.75" customHeight="1" x14ac:dyDescent="0.3">
      <c r="BB1048351" s="38"/>
    </row>
    <row r="1048352" spans="54:54" ht="15.75" customHeight="1" x14ac:dyDescent="0.3">
      <c r="BB1048352" s="38"/>
    </row>
    <row r="1048353" spans="54:54" ht="15.75" customHeight="1" x14ac:dyDescent="0.3">
      <c r="BB1048353" s="38"/>
    </row>
    <row r="1048354" spans="54:54" ht="15.75" customHeight="1" x14ac:dyDescent="0.3">
      <c r="BB1048354" s="38"/>
    </row>
    <row r="1048355" spans="54:54" ht="15.75" customHeight="1" x14ac:dyDescent="0.3">
      <c r="BB1048355" s="38"/>
    </row>
    <row r="1048356" spans="54:54" ht="15.75" customHeight="1" x14ac:dyDescent="0.3">
      <c r="BB1048356" s="38"/>
    </row>
    <row r="1048357" spans="54:54" ht="15.75" customHeight="1" x14ac:dyDescent="0.3">
      <c r="BB1048357" s="38"/>
    </row>
    <row r="1048358" spans="54:54" ht="15.75" customHeight="1" x14ac:dyDescent="0.3">
      <c r="BB1048358" s="38"/>
    </row>
    <row r="1048359" spans="54:54" ht="15.75" customHeight="1" x14ac:dyDescent="0.3">
      <c r="BB1048359" s="38"/>
    </row>
    <row r="1048360" spans="54:54" ht="15.75" customHeight="1" x14ac:dyDescent="0.3">
      <c r="BB1048360" s="38"/>
    </row>
    <row r="1048361" spans="54:54" ht="15.75" customHeight="1" x14ac:dyDescent="0.3">
      <c r="BB1048361" s="38"/>
    </row>
    <row r="1048362" spans="54:54" ht="15.75" customHeight="1" x14ac:dyDescent="0.3">
      <c r="BB1048362" s="38"/>
    </row>
    <row r="1048363" spans="54:54" ht="15.75" customHeight="1" x14ac:dyDescent="0.3">
      <c r="BB1048363" s="38"/>
    </row>
    <row r="1048364" spans="54:54" ht="15.75" customHeight="1" x14ac:dyDescent="0.3">
      <c r="BB1048364" s="38"/>
    </row>
    <row r="1048365" spans="54:54" ht="15.75" customHeight="1" x14ac:dyDescent="0.3">
      <c r="BB1048365" s="38"/>
    </row>
    <row r="1048366" spans="54:54" ht="15.75" customHeight="1" x14ac:dyDescent="0.3">
      <c r="BB1048366" s="38"/>
    </row>
    <row r="1048367" spans="54:54" ht="15.75" customHeight="1" x14ac:dyDescent="0.3">
      <c r="BB1048367" s="38"/>
    </row>
    <row r="1048368" spans="54:54" ht="15.75" customHeight="1" x14ac:dyDescent="0.3">
      <c r="BB1048368" s="38"/>
    </row>
    <row r="1048369" spans="54:54" ht="15.75" customHeight="1" x14ac:dyDescent="0.3">
      <c r="BB1048369" s="38"/>
    </row>
    <row r="1048370" spans="54:54" ht="15.75" customHeight="1" x14ac:dyDescent="0.3">
      <c r="BB1048370" s="38"/>
    </row>
    <row r="1048371" spans="54:54" ht="15.75" customHeight="1" x14ac:dyDescent="0.3">
      <c r="BB1048371" s="38"/>
    </row>
    <row r="1048372" spans="54:54" ht="15.75" customHeight="1" x14ac:dyDescent="0.3">
      <c r="BB1048372" s="38"/>
    </row>
    <row r="1048373" spans="54:54" ht="15.75" customHeight="1" x14ac:dyDescent="0.3">
      <c r="BB1048373" s="38"/>
    </row>
    <row r="1048374" spans="54:54" ht="15.75" customHeight="1" x14ac:dyDescent="0.3">
      <c r="BB1048374" s="38"/>
    </row>
    <row r="1048375" spans="54:54" ht="15.75" customHeight="1" x14ac:dyDescent="0.3">
      <c r="BB1048375" s="38"/>
    </row>
    <row r="1048376" spans="54:54" ht="15.75" customHeight="1" x14ac:dyDescent="0.3">
      <c r="BB1048376" s="38"/>
    </row>
    <row r="1048377" spans="54:54" ht="15.75" customHeight="1" x14ac:dyDescent="0.3">
      <c r="BB1048377" s="38"/>
    </row>
    <row r="1048378" spans="54:54" ht="15.75" customHeight="1" x14ac:dyDescent="0.3">
      <c r="BB1048378" s="38"/>
    </row>
    <row r="1048379" spans="54:54" ht="15.75" customHeight="1" x14ac:dyDescent="0.3">
      <c r="BB1048379" s="38"/>
    </row>
    <row r="1048380" spans="54:54" ht="15.75" customHeight="1" x14ac:dyDescent="0.3">
      <c r="BB1048380" s="38"/>
    </row>
    <row r="1048381" spans="54:54" ht="15.75" customHeight="1" x14ac:dyDescent="0.3">
      <c r="BB1048381" s="38"/>
    </row>
    <row r="1048382" spans="54:54" ht="15.75" customHeight="1" x14ac:dyDescent="0.3">
      <c r="BB1048382" s="38"/>
    </row>
    <row r="1048383" spans="54:54" ht="15.75" customHeight="1" x14ac:dyDescent="0.3">
      <c r="BB1048383" s="38"/>
    </row>
    <row r="1048384" spans="54:54" ht="15.75" customHeight="1" x14ac:dyDescent="0.3">
      <c r="BB1048384" s="38"/>
    </row>
    <row r="1048385" spans="54:54" ht="15.75" customHeight="1" x14ac:dyDescent="0.3">
      <c r="BB1048385" s="38"/>
    </row>
    <row r="1048386" spans="54:54" ht="15.75" customHeight="1" x14ac:dyDescent="0.3">
      <c r="BB1048386" s="38"/>
    </row>
    <row r="1048387" spans="54:54" ht="15.75" customHeight="1" x14ac:dyDescent="0.3">
      <c r="BB1048387" s="38"/>
    </row>
    <row r="1048388" spans="54:54" ht="15.75" customHeight="1" x14ac:dyDescent="0.3">
      <c r="BB1048388" s="38"/>
    </row>
    <row r="1048389" spans="54:54" ht="15.75" customHeight="1" x14ac:dyDescent="0.3">
      <c r="BB1048389" s="38"/>
    </row>
    <row r="1048390" spans="54:54" ht="15.75" customHeight="1" x14ac:dyDescent="0.3">
      <c r="BB1048390" s="38"/>
    </row>
    <row r="1048391" spans="54:54" ht="15.75" customHeight="1" x14ac:dyDescent="0.3">
      <c r="BB1048391" s="38"/>
    </row>
    <row r="1048392" spans="54:54" ht="15.75" customHeight="1" x14ac:dyDescent="0.3">
      <c r="BB1048392" s="38"/>
    </row>
    <row r="1048393" spans="54:54" ht="15.75" customHeight="1" x14ac:dyDescent="0.3">
      <c r="BB1048393" s="38"/>
    </row>
    <row r="1048394" spans="54:54" ht="15.75" customHeight="1" x14ac:dyDescent="0.3">
      <c r="BB1048394" s="38"/>
    </row>
    <row r="1048395" spans="54:54" ht="15.75" customHeight="1" x14ac:dyDescent="0.3">
      <c r="BB1048395" s="38"/>
    </row>
    <row r="1048396" spans="54:54" ht="15.75" customHeight="1" x14ac:dyDescent="0.3">
      <c r="BB1048396" s="38"/>
    </row>
    <row r="1048397" spans="54:54" ht="15.75" customHeight="1" x14ac:dyDescent="0.3">
      <c r="BB1048397" s="38"/>
    </row>
    <row r="1048398" spans="54:54" ht="15.75" customHeight="1" x14ac:dyDescent="0.3">
      <c r="BB1048398" s="38"/>
    </row>
    <row r="1048399" spans="54:54" ht="15.75" customHeight="1" x14ac:dyDescent="0.3">
      <c r="BB1048399" s="38"/>
    </row>
    <row r="1048400" spans="54:54" ht="15.75" customHeight="1" x14ac:dyDescent="0.3">
      <c r="BB1048400" s="38"/>
    </row>
    <row r="1048401" spans="54:54" ht="15.75" customHeight="1" x14ac:dyDescent="0.3">
      <c r="BB1048401" s="38"/>
    </row>
    <row r="1048402" spans="54:54" ht="15.75" customHeight="1" x14ac:dyDescent="0.3">
      <c r="BB1048402" s="38"/>
    </row>
    <row r="1048403" spans="54:54" ht="15.75" customHeight="1" x14ac:dyDescent="0.3">
      <c r="BB1048403" s="38"/>
    </row>
    <row r="1048404" spans="54:54" ht="15.75" customHeight="1" x14ac:dyDescent="0.3">
      <c r="BB1048404" s="38"/>
    </row>
    <row r="1048405" spans="54:54" ht="15.75" customHeight="1" x14ac:dyDescent="0.3">
      <c r="BB1048405" s="38"/>
    </row>
    <row r="1048406" spans="54:54" ht="15.75" customHeight="1" x14ac:dyDescent="0.3">
      <c r="BB1048406" s="38"/>
    </row>
    <row r="1048407" spans="54:54" ht="15.75" customHeight="1" x14ac:dyDescent="0.3">
      <c r="BB1048407" s="38"/>
    </row>
    <row r="1048408" spans="54:54" ht="15.75" customHeight="1" x14ac:dyDescent="0.3">
      <c r="BB1048408" s="38"/>
    </row>
    <row r="1048409" spans="54:54" ht="15.75" customHeight="1" x14ac:dyDescent="0.3">
      <c r="BB1048409" s="38"/>
    </row>
    <row r="1048410" spans="54:54" ht="15.75" customHeight="1" x14ac:dyDescent="0.3">
      <c r="BB1048410" s="38"/>
    </row>
    <row r="1048411" spans="54:54" ht="15.75" customHeight="1" x14ac:dyDescent="0.3">
      <c r="BB1048411" s="38"/>
    </row>
    <row r="1048412" spans="54:54" ht="15.75" customHeight="1" x14ac:dyDescent="0.3">
      <c r="BB1048412" s="38"/>
    </row>
    <row r="1048413" spans="54:54" ht="15.75" customHeight="1" x14ac:dyDescent="0.3">
      <c r="BB1048413" s="38"/>
    </row>
    <row r="1048414" spans="54:54" ht="15.75" customHeight="1" x14ac:dyDescent="0.3">
      <c r="BB1048414" s="38"/>
    </row>
    <row r="1048415" spans="54:54" ht="15.75" customHeight="1" x14ac:dyDescent="0.3">
      <c r="BB1048415" s="38"/>
    </row>
    <row r="1048416" spans="54:54" ht="15.75" customHeight="1" x14ac:dyDescent="0.3">
      <c r="BB1048416" s="38"/>
    </row>
    <row r="1048417" spans="54:54" ht="15.75" customHeight="1" x14ac:dyDescent="0.3">
      <c r="BB1048417" s="38"/>
    </row>
    <row r="1048418" spans="54:54" ht="15.75" customHeight="1" x14ac:dyDescent="0.3">
      <c r="BB1048418" s="38"/>
    </row>
    <row r="1048419" spans="54:54" ht="15.75" customHeight="1" x14ac:dyDescent="0.3">
      <c r="BB1048419" s="38"/>
    </row>
    <row r="1048420" spans="54:54" ht="15.75" customHeight="1" x14ac:dyDescent="0.3">
      <c r="BB1048420" s="38"/>
    </row>
    <row r="1048421" spans="54:54" ht="15.75" customHeight="1" x14ac:dyDescent="0.3">
      <c r="BB1048421" s="38"/>
    </row>
    <row r="1048422" spans="54:54" ht="15.75" customHeight="1" x14ac:dyDescent="0.3">
      <c r="BB1048422" s="38"/>
    </row>
    <row r="1048423" spans="54:54" ht="15.75" customHeight="1" x14ac:dyDescent="0.3">
      <c r="BB1048423" s="38"/>
    </row>
    <row r="1048424" spans="54:54" ht="15.75" customHeight="1" x14ac:dyDescent="0.3">
      <c r="BB1048424" s="38"/>
    </row>
    <row r="1048425" spans="54:54" ht="15.75" customHeight="1" x14ac:dyDescent="0.3">
      <c r="BB1048425" s="38"/>
    </row>
    <row r="1048426" spans="54:54" ht="15.75" customHeight="1" x14ac:dyDescent="0.3">
      <c r="BB1048426" s="38"/>
    </row>
    <row r="1048427" spans="54:54" ht="15.75" customHeight="1" x14ac:dyDescent="0.3">
      <c r="BB1048427" s="38"/>
    </row>
    <row r="1048428" spans="54:54" ht="15.75" customHeight="1" x14ac:dyDescent="0.3">
      <c r="BB1048428" s="38"/>
    </row>
    <row r="1048429" spans="54:54" ht="15.75" customHeight="1" x14ac:dyDescent="0.3">
      <c r="BB1048429" s="38"/>
    </row>
    <row r="1048430" spans="54:54" ht="15.75" customHeight="1" x14ac:dyDescent="0.3">
      <c r="BB1048430" s="38"/>
    </row>
    <row r="1048431" spans="54:54" ht="15.75" customHeight="1" x14ac:dyDescent="0.3">
      <c r="BB1048431" s="38"/>
    </row>
    <row r="1048432" spans="54:54" ht="15.75" customHeight="1" x14ac:dyDescent="0.3">
      <c r="BB1048432" s="38"/>
    </row>
    <row r="1048433" spans="54:54" ht="15.75" customHeight="1" x14ac:dyDescent="0.3">
      <c r="BB1048433" s="38"/>
    </row>
    <row r="1048434" spans="54:54" ht="15.75" customHeight="1" x14ac:dyDescent="0.3">
      <c r="BB1048434" s="38"/>
    </row>
    <row r="1048435" spans="54:54" ht="15.75" customHeight="1" x14ac:dyDescent="0.3">
      <c r="BB1048435" s="38"/>
    </row>
    <row r="1048436" spans="54:54" ht="15.75" customHeight="1" x14ac:dyDescent="0.3">
      <c r="BB1048436" s="38"/>
    </row>
    <row r="1048437" spans="54:54" ht="15.75" customHeight="1" x14ac:dyDescent="0.3">
      <c r="BB1048437" s="38"/>
    </row>
    <row r="1048438" spans="54:54" ht="15.75" customHeight="1" x14ac:dyDescent="0.3">
      <c r="BB1048438" s="38"/>
    </row>
    <row r="1048439" spans="54:54" ht="15.75" customHeight="1" x14ac:dyDescent="0.3">
      <c r="BB1048439" s="38"/>
    </row>
    <row r="1048440" spans="54:54" ht="15.75" customHeight="1" x14ac:dyDescent="0.3">
      <c r="BB1048440" s="38"/>
    </row>
    <row r="1048441" spans="54:54" ht="15.75" customHeight="1" x14ac:dyDescent="0.3">
      <c r="BB1048441" s="38"/>
    </row>
    <row r="1048442" spans="54:54" ht="15.75" customHeight="1" x14ac:dyDescent="0.3">
      <c r="BB1048442" s="38"/>
    </row>
    <row r="1048443" spans="54:54" ht="15.75" customHeight="1" x14ac:dyDescent="0.3">
      <c r="BB1048443" s="38"/>
    </row>
    <row r="1048444" spans="54:54" ht="15.75" customHeight="1" x14ac:dyDescent="0.3">
      <c r="BB1048444" s="38"/>
    </row>
    <row r="1048445" spans="54:54" ht="15.75" customHeight="1" x14ac:dyDescent="0.3">
      <c r="BB1048445" s="38"/>
    </row>
    <row r="1048446" spans="54:54" ht="15.75" customHeight="1" x14ac:dyDescent="0.3">
      <c r="BB1048446" s="38"/>
    </row>
    <row r="1048447" spans="54:54" ht="15.75" customHeight="1" x14ac:dyDescent="0.3">
      <c r="BB1048447" s="38"/>
    </row>
    <row r="1048448" spans="54:54" ht="15.75" customHeight="1" x14ac:dyDescent="0.3">
      <c r="BB1048448" s="38"/>
    </row>
    <row r="1048449" spans="54:54" ht="15.75" customHeight="1" x14ac:dyDescent="0.3">
      <c r="BB1048449" s="38"/>
    </row>
    <row r="1048450" spans="54:54" ht="15.75" customHeight="1" x14ac:dyDescent="0.3">
      <c r="BB1048450" s="38"/>
    </row>
    <row r="1048451" spans="54:54" ht="15.75" customHeight="1" x14ac:dyDescent="0.3">
      <c r="BB1048451" s="38"/>
    </row>
    <row r="1048452" spans="54:54" ht="15.75" customHeight="1" x14ac:dyDescent="0.3">
      <c r="BB1048452" s="38"/>
    </row>
    <row r="1048453" spans="54:54" ht="15.75" customHeight="1" x14ac:dyDescent="0.3">
      <c r="BB1048453" s="38"/>
    </row>
    <row r="1048454" spans="54:54" ht="15.75" customHeight="1" x14ac:dyDescent="0.3">
      <c r="BB1048454" s="38"/>
    </row>
    <row r="1048455" spans="54:54" ht="15.75" customHeight="1" x14ac:dyDescent="0.3">
      <c r="BB1048455" s="38"/>
    </row>
    <row r="1048456" spans="54:54" ht="15.75" customHeight="1" x14ac:dyDescent="0.3">
      <c r="BB1048456" s="38"/>
    </row>
    <row r="1048457" spans="54:54" ht="15.75" customHeight="1" x14ac:dyDescent="0.3">
      <c r="BB1048457" s="38"/>
    </row>
    <row r="1048458" spans="54:54" ht="15.75" customHeight="1" x14ac:dyDescent="0.3">
      <c r="BB1048458" s="38"/>
    </row>
    <row r="1048459" spans="54:54" ht="15.75" customHeight="1" x14ac:dyDescent="0.3">
      <c r="BB1048459" s="38"/>
    </row>
    <row r="1048460" spans="54:54" ht="15.75" customHeight="1" x14ac:dyDescent="0.3">
      <c r="BB1048460" s="38"/>
    </row>
    <row r="1048461" spans="54:54" ht="15.75" customHeight="1" x14ac:dyDescent="0.3">
      <c r="BB1048461" s="38"/>
    </row>
    <row r="1048462" spans="54:54" ht="15.75" customHeight="1" x14ac:dyDescent="0.3">
      <c r="BB1048462" s="38"/>
    </row>
    <row r="1048463" spans="54:54" ht="15.75" customHeight="1" x14ac:dyDescent="0.3">
      <c r="BB1048463" s="38"/>
    </row>
    <row r="1048464" spans="54:54" ht="15.75" customHeight="1" x14ac:dyDescent="0.3">
      <c r="BB1048464" s="38"/>
    </row>
    <row r="1048465" spans="54:54" ht="15.75" customHeight="1" x14ac:dyDescent="0.3">
      <c r="BB1048465" s="38"/>
    </row>
    <row r="1048466" spans="54:54" ht="15.75" customHeight="1" x14ac:dyDescent="0.3">
      <c r="BB1048466" s="38"/>
    </row>
    <row r="1048467" spans="54:54" ht="15.75" customHeight="1" x14ac:dyDescent="0.3">
      <c r="BB1048467" s="38"/>
    </row>
    <row r="1048468" spans="54:54" ht="15.75" customHeight="1" x14ac:dyDescent="0.3">
      <c r="BB1048468" s="38"/>
    </row>
    <row r="1048469" spans="54:54" ht="15.75" customHeight="1" x14ac:dyDescent="0.3">
      <c r="BB1048469" s="38"/>
    </row>
    <row r="1048470" spans="54:54" ht="15.75" customHeight="1" x14ac:dyDescent="0.3">
      <c r="BB1048470" s="38"/>
    </row>
    <row r="1048471" spans="54:54" ht="15.75" customHeight="1" x14ac:dyDescent="0.3">
      <c r="BB1048471" s="38"/>
    </row>
    <row r="1048472" spans="54:54" ht="15.75" customHeight="1" x14ac:dyDescent="0.3">
      <c r="BB1048472" s="38"/>
    </row>
    <row r="1048473" spans="54:54" ht="15.75" customHeight="1" x14ac:dyDescent="0.3">
      <c r="BB1048473" s="38"/>
    </row>
    <row r="1048474" spans="54:54" ht="15.75" customHeight="1" x14ac:dyDescent="0.3">
      <c r="BB1048474" s="38"/>
    </row>
    <row r="1048475" spans="54:54" ht="15.75" customHeight="1" x14ac:dyDescent="0.3">
      <c r="BB1048475" s="38"/>
    </row>
    <row r="1048476" spans="54:54" ht="15.75" customHeight="1" x14ac:dyDescent="0.3">
      <c r="BB1048476" s="38"/>
    </row>
    <row r="1048477" spans="54:54" ht="15.75" customHeight="1" x14ac:dyDescent="0.3">
      <c r="BB1048477" s="38"/>
    </row>
    <row r="1048478" spans="54:54" ht="15.75" customHeight="1" x14ac:dyDescent="0.3">
      <c r="BB1048478" s="38"/>
    </row>
    <row r="1048479" spans="54:54" ht="15.75" customHeight="1" x14ac:dyDescent="0.3">
      <c r="BB1048479" s="38"/>
    </row>
    <row r="1048480" spans="54:54" ht="15.75" customHeight="1" x14ac:dyDescent="0.3">
      <c r="BB1048480" s="38"/>
    </row>
    <row r="1048481" spans="54:54" ht="15.75" customHeight="1" x14ac:dyDescent="0.3">
      <c r="BB1048481" s="38"/>
    </row>
    <row r="1048482" spans="54:54" ht="15.75" customHeight="1" x14ac:dyDescent="0.3">
      <c r="BB1048482" s="38"/>
    </row>
    <row r="1048483" spans="54:54" ht="15.75" customHeight="1" x14ac:dyDescent="0.3">
      <c r="BB1048483" s="38"/>
    </row>
    <row r="1048484" spans="54:54" ht="15.75" customHeight="1" x14ac:dyDescent="0.3">
      <c r="BB1048484" s="38"/>
    </row>
    <row r="1048485" spans="54:54" ht="15.75" customHeight="1" x14ac:dyDescent="0.3">
      <c r="BB1048485" s="38"/>
    </row>
    <row r="1048486" spans="54:54" ht="15.75" customHeight="1" x14ac:dyDescent="0.3">
      <c r="BB1048486" s="38"/>
    </row>
    <row r="1048487" spans="54:54" ht="15.75" customHeight="1" x14ac:dyDescent="0.3">
      <c r="BB1048487" s="38"/>
    </row>
    <row r="1048488" spans="54:54" ht="15.75" customHeight="1" x14ac:dyDescent="0.3">
      <c r="BB1048488" s="38"/>
    </row>
    <row r="1048489" spans="54:54" ht="15.75" customHeight="1" x14ac:dyDescent="0.3">
      <c r="BB1048489" s="38"/>
    </row>
    <row r="1048490" spans="54:54" ht="15.75" customHeight="1" x14ac:dyDescent="0.3">
      <c r="BB1048490" s="38"/>
    </row>
    <row r="1048491" spans="54:54" ht="15.75" customHeight="1" x14ac:dyDescent="0.3">
      <c r="BB1048491" s="38"/>
    </row>
    <row r="1048492" spans="54:54" ht="15.75" customHeight="1" x14ac:dyDescent="0.3">
      <c r="BB1048492" s="38"/>
    </row>
    <row r="1048493" spans="54:54" ht="15.75" customHeight="1" x14ac:dyDescent="0.3">
      <c r="BB1048493" s="38"/>
    </row>
    <row r="1048494" spans="54:54" ht="15.75" customHeight="1" x14ac:dyDescent="0.3">
      <c r="BB1048494" s="38"/>
    </row>
    <row r="1048495" spans="54:54" ht="15.75" customHeight="1" x14ac:dyDescent="0.3">
      <c r="BB1048495" s="38"/>
    </row>
    <row r="1048496" spans="54:54" ht="15.75" customHeight="1" x14ac:dyDescent="0.3">
      <c r="BB1048496" s="38"/>
    </row>
    <row r="1048497" spans="54:54" ht="15.75" customHeight="1" x14ac:dyDescent="0.3">
      <c r="BB1048497" s="38"/>
    </row>
    <row r="1048498" spans="54:54" ht="15.75" customHeight="1" x14ac:dyDescent="0.3">
      <c r="BB1048498" s="38"/>
    </row>
    <row r="1048499" spans="54:54" ht="15.75" customHeight="1" x14ac:dyDescent="0.3">
      <c r="BB1048499" s="38"/>
    </row>
    <row r="1048500" spans="54:54" ht="15.75" customHeight="1" x14ac:dyDescent="0.3">
      <c r="BB1048500" s="38"/>
    </row>
    <row r="1048501" spans="54:54" ht="15.75" customHeight="1" x14ac:dyDescent="0.3">
      <c r="BB1048501" s="38"/>
    </row>
    <row r="1048502" spans="54:54" ht="15.75" customHeight="1" x14ac:dyDescent="0.3">
      <c r="BB1048502" s="38"/>
    </row>
    <row r="1048503" spans="54:54" ht="15.75" customHeight="1" x14ac:dyDescent="0.3">
      <c r="BB1048503" s="38"/>
    </row>
    <row r="1048504" spans="54:54" ht="15.75" customHeight="1" x14ac:dyDescent="0.3">
      <c r="BB1048504" s="38"/>
    </row>
    <row r="1048505" spans="54:54" ht="15.75" customHeight="1" x14ac:dyDescent="0.3">
      <c r="BB1048505" s="38"/>
    </row>
    <row r="1048506" spans="54:54" ht="15.75" customHeight="1" x14ac:dyDescent="0.3">
      <c r="BB1048506" s="38"/>
    </row>
    <row r="1048507" spans="54:54" ht="15.75" customHeight="1" x14ac:dyDescent="0.3">
      <c r="BB1048507" s="38"/>
    </row>
    <row r="1048508" spans="54:54" ht="15.75" customHeight="1" x14ac:dyDescent="0.3">
      <c r="BB1048508" s="38"/>
    </row>
    <row r="1048509" spans="54:54" ht="15.75" customHeight="1" x14ac:dyDescent="0.3">
      <c r="BB1048509" s="38"/>
    </row>
    <row r="1048510" spans="54:54" ht="15.75" customHeight="1" x14ac:dyDescent="0.3">
      <c r="BB1048510" s="38"/>
    </row>
    <row r="1048511" spans="54:54" ht="15.75" customHeight="1" x14ac:dyDescent="0.3">
      <c r="BB1048511" s="38"/>
    </row>
    <row r="1048512" spans="54:54" ht="15.75" customHeight="1" x14ac:dyDescent="0.3">
      <c r="BB1048512" s="38"/>
    </row>
    <row r="1048513" spans="54:54" ht="15.75" customHeight="1" x14ac:dyDescent="0.3">
      <c r="BB1048513" s="38"/>
    </row>
    <row r="1048514" spans="54:54" ht="15.75" customHeight="1" x14ac:dyDescent="0.3">
      <c r="BB1048514" s="38"/>
    </row>
    <row r="1048515" spans="54:54" ht="15.75" customHeight="1" x14ac:dyDescent="0.3">
      <c r="BB1048515" s="38"/>
    </row>
    <row r="1048516" spans="54:54" ht="15.75" customHeight="1" x14ac:dyDescent="0.3">
      <c r="BB1048516" s="38"/>
    </row>
    <row r="1048517" spans="54:54" ht="15.75" customHeight="1" x14ac:dyDescent="0.3">
      <c r="BB1048517" s="38"/>
    </row>
    <row r="1048518" spans="54:54" ht="15.75" customHeight="1" x14ac:dyDescent="0.3">
      <c r="BB1048518" s="38"/>
    </row>
    <row r="1048519" spans="54:54" ht="15.75" customHeight="1" x14ac:dyDescent="0.3">
      <c r="BB1048519" s="38"/>
    </row>
    <row r="1048520" spans="54:54" ht="15.75" customHeight="1" x14ac:dyDescent="0.3">
      <c r="BB1048520" s="38"/>
    </row>
    <row r="1048521" spans="54:54" ht="15.75" customHeight="1" x14ac:dyDescent="0.3">
      <c r="BB1048521" s="38"/>
    </row>
    <row r="1048522" spans="54:54" ht="15.75" customHeight="1" x14ac:dyDescent="0.3">
      <c r="BB1048522" s="38"/>
    </row>
    <row r="1048523" spans="54:54" ht="15.75" customHeight="1" x14ac:dyDescent="0.3">
      <c r="BB1048523" s="38"/>
    </row>
    <row r="1048524" spans="54:54" ht="15.75" customHeight="1" x14ac:dyDescent="0.3">
      <c r="BB1048524" s="38"/>
    </row>
    <row r="1048525" spans="54:54" ht="15.75" customHeight="1" x14ac:dyDescent="0.3">
      <c r="BB1048525" s="38"/>
    </row>
    <row r="1048526" spans="54:54" ht="15.75" customHeight="1" x14ac:dyDescent="0.3">
      <c r="BB1048526" s="38"/>
    </row>
    <row r="1048527" spans="54:54" ht="15.75" customHeight="1" x14ac:dyDescent="0.3">
      <c r="BB1048527" s="38"/>
    </row>
    <row r="1048528" spans="54:54" ht="15.75" customHeight="1" x14ac:dyDescent="0.3">
      <c r="BB1048528" s="38"/>
    </row>
    <row r="1048529" spans="54:54" ht="15.75" customHeight="1" x14ac:dyDescent="0.3">
      <c r="BB1048529" s="38"/>
    </row>
    <row r="1048530" spans="54:54" ht="15.75" customHeight="1" x14ac:dyDescent="0.3">
      <c r="BB1048530" s="38"/>
    </row>
    <row r="1048531" spans="54:54" ht="15.75" customHeight="1" x14ac:dyDescent="0.3">
      <c r="BB1048531" s="38"/>
    </row>
    <row r="1048532" spans="54:54" ht="15.75" customHeight="1" x14ac:dyDescent="0.3">
      <c r="BB1048532" s="38"/>
    </row>
    <row r="1048533" spans="54:54" ht="15.75" customHeight="1" x14ac:dyDescent="0.3">
      <c r="BB1048533" s="38"/>
    </row>
    <row r="1048534" spans="54:54" ht="15.75" customHeight="1" x14ac:dyDescent="0.3">
      <c r="BB1048534" s="38"/>
    </row>
    <row r="1048535" spans="54:54" ht="15.75" customHeight="1" x14ac:dyDescent="0.3">
      <c r="BB1048535" s="38"/>
    </row>
    <row r="1048536" spans="54:54" ht="15.75" customHeight="1" x14ac:dyDescent="0.3">
      <c r="BB1048536" s="38"/>
    </row>
    <row r="1048537" spans="54:54" ht="15.75" customHeight="1" x14ac:dyDescent="0.3">
      <c r="BB1048537" s="38"/>
    </row>
    <row r="1048538" spans="54:54" ht="15.75" customHeight="1" x14ac:dyDescent="0.3">
      <c r="BB1048538" s="38"/>
    </row>
    <row r="1048539" spans="54:54" ht="15.75" customHeight="1" x14ac:dyDescent="0.3">
      <c r="BB1048539" s="38"/>
    </row>
    <row r="1048540" spans="54:54" ht="15.75" customHeight="1" x14ac:dyDescent="0.3">
      <c r="BB1048540" s="38"/>
    </row>
    <row r="1048541" spans="54:54" ht="15.75" customHeight="1" x14ac:dyDescent="0.3">
      <c r="BB1048541" s="38"/>
    </row>
    <row r="1048542" spans="54:54" ht="15.75" customHeight="1" x14ac:dyDescent="0.3">
      <c r="BB1048542" s="38"/>
    </row>
    <row r="1048543" spans="54:54" ht="15.75" customHeight="1" x14ac:dyDescent="0.3">
      <c r="BB1048543" s="38"/>
    </row>
    <row r="1048544" spans="54:54" ht="15.75" customHeight="1" x14ac:dyDescent="0.3">
      <c r="BB1048544" s="38"/>
    </row>
    <row r="1048545" spans="54:54" ht="15.75" customHeight="1" x14ac:dyDescent="0.3">
      <c r="BB1048545" s="38"/>
    </row>
    <row r="1048546" spans="54:54" ht="15.75" customHeight="1" x14ac:dyDescent="0.3">
      <c r="BB1048546" s="38"/>
    </row>
    <row r="1048547" spans="54:54" ht="15.75" customHeight="1" x14ac:dyDescent="0.3">
      <c r="BB1048547" s="38"/>
    </row>
    <row r="1048548" spans="54:54" ht="15.75" customHeight="1" x14ac:dyDescent="0.3">
      <c r="BB1048548" s="38"/>
    </row>
    <row r="1048549" spans="54:54" ht="15.75" customHeight="1" x14ac:dyDescent="0.3">
      <c r="BB1048549" s="38"/>
    </row>
    <row r="1048550" spans="54:54" ht="15.75" customHeight="1" x14ac:dyDescent="0.3">
      <c r="BB1048550" s="38"/>
    </row>
    <row r="1048551" spans="54:54" ht="15.75" customHeight="1" x14ac:dyDescent="0.3">
      <c r="BB1048551" s="38"/>
    </row>
    <row r="1048552" spans="54:54" ht="15.75" customHeight="1" x14ac:dyDescent="0.3">
      <c r="BB1048552" s="38"/>
    </row>
    <row r="1048553" spans="54:54" ht="15.75" customHeight="1" x14ac:dyDescent="0.3">
      <c r="BB1048553" s="38"/>
    </row>
    <row r="1048554" spans="54:54" ht="15.75" customHeight="1" x14ac:dyDescent="0.3">
      <c r="BB1048554" s="38"/>
    </row>
    <row r="1048555" spans="54:54" ht="15.75" customHeight="1" x14ac:dyDescent="0.3">
      <c r="BB1048555" s="38"/>
    </row>
    <row r="1048556" spans="54:54" ht="15.75" customHeight="1" x14ac:dyDescent="0.3">
      <c r="BB1048556" s="38"/>
    </row>
    <row r="1048557" spans="54:54" ht="15.75" customHeight="1" x14ac:dyDescent="0.3">
      <c r="BB1048557" s="38"/>
    </row>
    <row r="1048558" spans="54:54" ht="15.75" customHeight="1" x14ac:dyDescent="0.3">
      <c r="BB1048558" s="38"/>
    </row>
    <row r="1048559" spans="54:54" ht="15.75" customHeight="1" x14ac:dyDescent="0.3">
      <c r="BB1048559" s="38"/>
    </row>
    <row r="1048560" spans="54:54" ht="15.75" customHeight="1" x14ac:dyDescent="0.3">
      <c r="BB1048560" s="38"/>
    </row>
    <row r="1048561" spans="54:54" ht="15.75" customHeight="1" x14ac:dyDescent="0.3">
      <c r="BB1048561" s="38"/>
    </row>
    <row r="1048562" spans="54:54" ht="15.75" customHeight="1" x14ac:dyDescent="0.3">
      <c r="BB1048562" s="38"/>
    </row>
    <row r="1048563" spans="54:54" ht="15.75" customHeight="1" x14ac:dyDescent="0.3">
      <c r="BB1048563" s="38"/>
    </row>
    <row r="1048564" spans="54:54" ht="15.75" customHeight="1" x14ac:dyDescent="0.3">
      <c r="BB1048564" s="38"/>
    </row>
    <row r="1048565" spans="54:54" ht="15.75" customHeight="1" x14ac:dyDescent="0.3">
      <c r="BB1048565" s="38"/>
    </row>
    <row r="1048566" spans="54:54" ht="15.75" customHeight="1" x14ac:dyDescent="0.3">
      <c r="BB1048566" s="38"/>
    </row>
    <row r="1048567" spans="54:54" ht="15.75" customHeight="1" x14ac:dyDescent="0.3">
      <c r="BB1048567" s="38"/>
    </row>
    <row r="1048568" spans="54:54" ht="15.75" customHeight="1" x14ac:dyDescent="0.3">
      <c r="BB1048568" s="38"/>
    </row>
    <row r="1048569" spans="54:54" ht="15.75" customHeight="1" x14ac:dyDescent="0.3">
      <c r="BB1048569" s="38"/>
    </row>
    <row r="1048570" spans="54:54" ht="15.75" customHeight="1" x14ac:dyDescent="0.3">
      <c r="BB1048570" s="38"/>
    </row>
    <row r="1048571" spans="54:54" ht="15.75" customHeight="1" x14ac:dyDescent="0.3">
      <c r="BB1048571" s="38"/>
    </row>
    <row r="1048572" spans="54:54" ht="15.75" customHeight="1" x14ac:dyDescent="0.3">
      <c r="BB1048572" s="38"/>
    </row>
    <row r="1048573" spans="54:54" ht="15.75" customHeight="1" x14ac:dyDescent="0.3">
      <c r="BB1048573" s="38"/>
    </row>
    <row r="1048574" spans="54:54" ht="15.75" customHeight="1" x14ac:dyDescent="0.3">
      <c r="BB1048574" s="38"/>
    </row>
    <row r="1048575" spans="54:54" ht="15.75" customHeight="1" x14ac:dyDescent="0.3">
      <c r="BB1048575" s="38"/>
    </row>
  </sheetData>
  <autoFilter ref="A1:BL209" xr:uid="{00000000-0001-0000-0400-000000000000}"/>
  <conditionalFormatting sqref="A2:A208">
    <cfRule type="expression" dxfId="3" priority="1">
      <formula>"&gt;0"</formula>
    </cfRule>
  </conditionalFormatting>
  <conditionalFormatting sqref="AE200:AE205">
    <cfRule type="cellIs" dxfId="2" priority="2" operator="equal">
      <formula>"HIGH"</formula>
    </cfRule>
    <cfRule type="cellIs" dxfId="1" priority="3" operator="equal">
      <formula>"MED"</formula>
    </cfRule>
    <cfRule type="cellIs" dxfId="0" priority="4" operator="equal">
      <formula>"LOW"</formula>
    </cfRule>
  </conditionalFormatting>
  <hyperlinks>
    <hyperlink ref="BD2" r:id="rId1" xr:uid="{AA1541D4-9ECD-451D-81A7-BE3FEA2B277F}"/>
    <hyperlink ref="BD3" r:id="rId2" xr:uid="{17E5CE1F-CEE0-4C89-978E-7CE1B0425EB8}"/>
    <hyperlink ref="BD4" r:id="rId3" xr:uid="{74341A64-A483-49FE-841E-49FC142A7D6C}"/>
    <hyperlink ref="BD5" r:id="rId4" xr:uid="{8F26CAB2-926C-4FEC-BBFD-B280B7298987}"/>
    <hyperlink ref="BD6" r:id="rId5" xr:uid="{AC31D55B-602D-4674-9A58-FA09F3CF42EB}"/>
    <hyperlink ref="BD7" r:id="rId6" xr:uid="{316A207E-17A9-48A2-83CD-BF3AAEB07170}"/>
    <hyperlink ref="BD8" r:id="rId7" xr:uid="{35A42243-6EFC-45AF-A382-236ED4506601}"/>
    <hyperlink ref="BD9" r:id="rId8" xr:uid="{EB4C2E3B-5081-4EBE-BE07-0A14A7A52781}"/>
    <hyperlink ref="BD10" r:id="rId9" xr:uid="{18FBFB2B-112F-47CF-8055-320705CF006F}"/>
    <hyperlink ref="BD11" r:id="rId10" xr:uid="{3E0E3BC7-472D-4340-9306-5A60D1A82C63}"/>
    <hyperlink ref="BD13" r:id="rId11" xr:uid="{F69DF9A9-1326-4F16-853B-089878F61514}"/>
    <hyperlink ref="BD14" r:id="rId12" xr:uid="{1DC87B76-713F-490D-BBAB-B4DCBE786623}"/>
    <hyperlink ref="BD15" r:id="rId13" xr:uid="{34A0E9D9-3E6C-4581-A613-84EF82C19C41}"/>
    <hyperlink ref="BD16" r:id="rId14" xr:uid="{5DFD90BE-A7B8-4C50-B154-36DC93DF1339}"/>
    <hyperlink ref="BD17" r:id="rId15" xr:uid="{068DB0D2-AD7B-4C79-B6CA-940E80F49A92}"/>
    <hyperlink ref="BD18" r:id="rId16" xr:uid="{1C8BDB10-3958-47D6-A1A1-7B1C67C32E45}"/>
    <hyperlink ref="BD19" r:id="rId17" xr:uid="{1ACA007D-FA1D-4A5F-A1BB-267805E89D06}"/>
    <hyperlink ref="BD20" r:id="rId18" xr:uid="{9620D4AE-C74B-4202-9E4A-FAD37F7A756C}"/>
    <hyperlink ref="BD21" r:id="rId19" xr:uid="{CCC16953-ED67-44EB-B40A-28C2260A20B0}"/>
    <hyperlink ref="BD22" r:id="rId20" xr:uid="{C975188B-5C38-4833-B494-947FB050265B}"/>
    <hyperlink ref="BD23" r:id="rId21" xr:uid="{6739A14D-5EF4-478A-838E-241E2E01C359}"/>
    <hyperlink ref="BD24" r:id="rId22" xr:uid="{BAE6B0B2-9F87-4D45-88D8-943A7B647D48}"/>
    <hyperlink ref="BD25" r:id="rId23" xr:uid="{75193F6A-E15C-45A8-B4E9-E34E580A3481}"/>
    <hyperlink ref="BD26" r:id="rId24" xr:uid="{149E0F51-DD4F-4F83-B7E7-F867709C326D}"/>
    <hyperlink ref="BD27" r:id="rId25" xr:uid="{D7071D32-48DD-4B44-B1F6-5664A983A46F}"/>
    <hyperlink ref="BD28" r:id="rId26" xr:uid="{A8A4685D-F137-4875-8B93-F54116B05F3F}"/>
    <hyperlink ref="BD29" r:id="rId27" xr:uid="{2AC4FE97-FCF4-4408-A082-36A838DF3B75}"/>
    <hyperlink ref="BD30" r:id="rId28" xr:uid="{8A71EC17-9AC7-4C2E-9FA1-7842B8D07011}"/>
    <hyperlink ref="BD31" r:id="rId29" xr:uid="{F01D5173-9FAA-4EFE-868A-004806B7AC31}"/>
    <hyperlink ref="BD32" r:id="rId30" xr:uid="{919FC802-A40A-4744-A4E2-DFE5ED1D1504}"/>
    <hyperlink ref="BD33" r:id="rId31" xr:uid="{15427E95-4898-4E8E-93D1-B07872F44368}"/>
    <hyperlink ref="BD34" r:id="rId32" xr:uid="{75439C44-6AC9-4378-868D-8C889BF366CB}"/>
    <hyperlink ref="BD35" r:id="rId33" xr:uid="{70406EE6-7D89-4152-BE61-40885EE0BF65}"/>
    <hyperlink ref="BD36" r:id="rId34" xr:uid="{9A8B34EB-833A-4212-BE5A-18859092776C}"/>
    <hyperlink ref="BD37" r:id="rId35" xr:uid="{0ABA170D-D6FB-44F5-B32A-F2D12CB0D5ED}"/>
    <hyperlink ref="BD38" r:id="rId36" xr:uid="{51BAB008-5722-4FF5-90A4-EFE3E6A29E40}"/>
    <hyperlink ref="BD39" r:id="rId37" xr:uid="{87797C86-17EF-46A6-98E2-2867E507F506}"/>
    <hyperlink ref="BD40" r:id="rId38" xr:uid="{9ACEB471-1221-467F-8484-BD317C1866DF}"/>
    <hyperlink ref="BD41" r:id="rId39" xr:uid="{FFC5BE54-8DF0-4A24-B0B7-83CB41B06E2E}"/>
    <hyperlink ref="BD42" r:id="rId40" xr:uid="{5E57CC2A-76F6-4E9A-AD55-C9EB89BC3232}"/>
    <hyperlink ref="BD43" r:id="rId41" xr:uid="{FF36051A-F780-4915-8C5D-6ACD617798C0}"/>
    <hyperlink ref="BD44" r:id="rId42" xr:uid="{0B1F6313-DD86-4A09-8FDE-9FBC4E7F7A1E}"/>
    <hyperlink ref="BD45" r:id="rId43" xr:uid="{C30C358C-8BC7-4B98-A117-EB50088176A3}"/>
    <hyperlink ref="BD46" r:id="rId44" xr:uid="{32C41029-0076-4351-ABAB-A1837DB6512C}"/>
    <hyperlink ref="BD47" r:id="rId45" xr:uid="{7DC63B44-AA38-4BBC-B93F-701E38CCBA2A}"/>
    <hyperlink ref="BD48" r:id="rId46" xr:uid="{105B6C43-3D7B-4DA7-B74B-467DC77963F9}"/>
    <hyperlink ref="BD49" r:id="rId47" xr:uid="{12DA5A74-2BCC-4A8E-AA75-1D485AC261C8}"/>
    <hyperlink ref="BD50" r:id="rId48" xr:uid="{143E358C-2219-41BA-B070-BB662229DE5E}"/>
    <hyperlink ref="BD51" r:id="rId49" xr:uid="{D0AAC919-EAA5-474D-B59C-371D8AC2445C}"/>
    <hyperlink ref="BD52" r:id="rId50" xr:uid="{56307F76-C154-4437-A8E8-F5D8E0638BA7}"/>
    <hyperlink ref="BD53" r:id="rId51" xr:uid="{8F0CA587-AC80-4037-9456-FBC80541BB33}"/>
    <hyperlink ref="BD54" r:id="rId52" xr:uid="{0A300986-3F1F-4F4C-B6DC-0D5155AA93E5}"/>
    <hyperlink ref="BD55" r:id="rId53" xr:uid="{7F3EA8D9-F1F4-4BEB-9476-3D64C3E30D70}"/>
    <hyperlink ref="BD56" r:id="rId54" xr:uid="{E69C8F5F-E98D-403E-A474-4AC966B7AB44}"/>
    <hyperlink ref="BD57" r:id="rId55" xr:uid="{ADDD8693-21CE-422D-9E0E-A000E28D4CF6}"/>
    <hyperlink ref="BD58" r:id="rId56" xr:uid="{BE6121F6-1172-454C-AACD-B5E6BF8D1CC3}"/>
    <hyperlink ref="BD59" r:id="rId57" xr:uid="{FA646532-36BC-4259-8D10-D1C6AAEAD9F8}"/>
    <hyperlink ref="BD60" r:id="rId58" xr:uid="{13BDE5E5-6971-4D91-BED9-F9374CE32453}"/>
    <hyperlink ref="BD61" r:id="rId59" xr:uid="{8D03B4BF-1EDA-4716-B38F-8C585A5AB1F6}"/>
    <hyperlink ref="BD62" r:id="rId60" xr:uid="{926DD2A8-F257-49F3-B35C-6FD6D4CE5285}"/>
    <hyperlink ref="BD63" r:id="rId61" xr:uid="{FB75E830-55BC-463E-943F-6DCE57332FD1}"/>
    <hyperlink ref="BD64" r:id="rId62" xr:uid="{9E011C14-A3AE-4873-8A21-C94712B21988}"/>
    <hyperlink ref="BD65" r:id="rId63" xr:uid="{4FDA56D9-FAEE-4AF2-A083-2261E579B9FB}"/>
    <hyperlink ref="BD66" r:id="rId64" xr:uid="{46462625-1601-4D35-90D9-FF9F73C2AFC4}"/>
    <hyperlink ref="BD67" r:id="rId65" xr:uid="{92D658F1-1BE8-4E81-AFA5-2205740FFAF6}"/>
    <hyperlink ref="BD68" r:id="rId66" xr:uid="{7EAE70D0-ACCC-4003-B63A-F49A80FF9E27}"/>
    <hyperlink ref="BD69" r:id="rId67" xr:uid="{E8B24795-CF1D-494D-AB40-DB8D378B3A5D}"/>
    <hyperlink ref="BD70" r:id="rId68" xr:uid="{C1A4A2F4-3E91-49D0-9986-6581CE410F90}"/>
    <hyperlink ref="BD71" r:id="rId69" xr:uid="{C6ABF940-F460-4C51-8E6D-0F05B728D34A}"/>
    <hyperlink ref="BD72" r:id="rId70" xr:uid="{03310091-27EB-48CD-9AAC-6506DA71EC8E}"/>
    <hyperlink ref="BD73" r:id="rId71" xr:uid="{9F39614A-C378-4445-A9FD-F5FD4B21C6EE}"/>
    <hyperlink ref="BD74" r:id="rId72" xr:uid="{D4B6AEFB-CC00-445A-97FB-A7D265D7FA2F}"/>
    <hyperlink ref="BD75" r:id="rId73" xr:uid="{5A8FEB16-B4B1-4C19-A1AE-47CF9687A548}"/>
    <hyperlink ref="BD76" r:id="rId74" xr:uid="{1C52E1E1-65B0-4820-BB50-9CD0F1205640}"/>
    <hyperlink ref="BD77" r:id="rId75" xr:uid="{38EA79AA-1631-4D89-94A8-5C2C2377CC7A}"/>
    <hyperlink ref="BD78" r:id="rId76" xr:uid="{EF2C5DA3-E3FE-4982-84F3-427F907E96C6}"/>
    <hyperlink ref="BD79" r:id="rId77" xr:uid="{922C930F-B4E9-4DC5-AFF8-CD1B147CCBD1}"/>
    <hyperlink ref="BD80" r:id="rId78" xr:uid="{F559FE12-7E90-496B-A8C9-424912FAE3AC}"/>
    <hyperlink ref="BD81" r:id="rId79" xr:uid="{277AB28F-4B28-49C6-A17A-FC37EECD529E}"/>
    <hyperlink ref="BD82" r:id="rId80" xr:uid="{BF1B4CDB-56FC-4211-A211-E8FCC06EFD29}"/>
    <hyperlink ref="BD83" r:id="rId81" xr:uid="{57C7684A-A07A-47F0-A3B8-7324A68EA11D}"/>
    <hyperlink ref="BD84" r:id="rId82" xr:uid="{FDF8858B-7116-44BB-BFA0-D2255F9F35CC}"/>
    <hyperlink ref="BD85" r:id="rId83" xr:uid="{600C06FC-B3DD-4FFF-9C90-229E0A6DC4DB}"/>
    <hyperlink ref="BD86" r:id="rId84" xr:uid="{E89EF4C7-9560-49D2-B737-510DEF2059CC}"/>
    <hyperlink ref="BD87" r:id="rId85" xr:uid="{6249D358-67C6-4CF6-9A15-F47AAEEC3C29}"/>
    <hyperlink ref="BD88" r:id="rId86" xr:uid="{41633811-F011-4B80-AD9B-78A377876EB6}"/>
    <hyperlink ref="BD89" r:id="rId87" xr:uid="{216AB8A4-8655-428F-8CD9-3E3AECB728B5}"/>
    <hyperlink ref="BD90" r:id="rId88" xr:uid="{91999EF1-55AB-4687-AAE1-4BED88AD2BD9}"/>
    <hyperlink ref="BD91" r:id="rId89" xr:uid="{0DBB0526-A1E8-4AAA-99A3-011FA1C56FC5}"/>
    <hyperlink ref="BD92" r:id="rId90" xr:uid="{0DFE908B-1D2E-4D7D-9133-1DF38A4E3D10}"/>
    <hyperlink ref="BD93" r:id="rId91" xr:uid="{8633F736-49E0-413D-B6D1-EB132BDB043F}"/>
    <hyperlink ref="BD94" r:id="rId92" xr:uid="{E5B90D44-21A5-49DE-BA4B-DC1860615C26}"/>
    <hyperlink ref="BD95" r:id="rId93" xr:uid="{EB88D11F-79DE-476D-9BCD-FCA819C56E62}"/>
    <hyperlink ref="BD96" r:id="rId94" xr:uid="{63FD86A4-C0A4-4753-BD7F-CFB292999949}"/>
    <hyperlink ref="BD97" r:id="rId95" xr:uid="{5F46908E-16D8-4EF8-9737-7029AC590578}"/>
    <hyperlink ref="BD99" r:id="rId96" xr:uid="{8F4E5485-149A-484F-9705-D93DBF0CA1BA}"/>
    <hyperlink ref="BD101" r:id="rId97" xr:uid="{3A70A23B-7D98-4558-97A7-C1F4BAEAF8BF}"/>
    <hyperlink ref="BD102" r:id="rId98" xr:uid="{45B2AE52-D6C1-40E0-8D54-F8F3493CCCF9}"/>
    <hyperlink ref="BD103" r:id="rId99" xr:uid="{AF5B4215-17DF-4019-A786-2FE264F6352E}"/>
    <hyperlink ref="BD104" r:id="rId100" xr:uid="{8A65B260-4689-4F4A-8125-ED00E07B0549}"/>
    <hyperlink ref="BD105" r:id="rId101" xr:uid="{64E144DC-AA91-45A4-BC20-0D2C7115C2CF}"/>
    <hyperlink ref="BD109" r:id="rId102" xr:uid="{3F4397EF-6555-4511-BEC2-D3A9BF6F18A5}"/>
    <hyperlink ref="BD110" r:id="rId103" xr:uid="{E85BFD1A-FC1F-45FB-AEB1-15E7D7E5AA39}"/>
    <hyperlink ref="BD112" r:id="rId104" xr:uid="{093B0953-6E70-41E0-9F96-28F5B81BB1C7}"/>
    <hyperlink ref="BD113" r:id="rId105" xr:uid="{125E2808-D5BF-48D8-9BE5-7C34D6AFE261}"/>
    <hyperlink ref="BD114" r:id="rId106" xr:uid="{76388E60-BFF1-4314-ABEF-F2C635CB0E5E}"/>
    <hyperlink ref="BD115" r:id="rId107" xr:uid="{F19113CB-8530-4B89-9709-6F89B6FE1FFA}"/>
    <hyperlink ref="BD116" r:id="rId108" xr:uid="{75715B15-336C-4F27-9C98-68C771AC731C}"/>
    <hyperlink ref="BD117" r:id="rId109" xr:uid="{3E3CED85-3873-4BD2-B6DD-4A6CB4E92BAB}"/>
    <hyperlink ref="BD118" r:id="rId110" xr:uid="{653ABAEF-6E48-41A2-9CD1-8C3586787899}"/>
    <hyperlink ref="BD119" r:id="rId111" xr:uid="{1FD0D081-B096-42C8-8337-7CD51DD598DA}"/>
    <hyperlink ref="BD120" r:id="rId112" xr:uid="{59D91080-B589-4A0D-91D0-8A1B0A72F345}"/>
    <hyperlink ref="BD121" r:id="rId113" xr:uid="{BC292BC8-CA69-43EF-9C5C-38700E2548C3}"/>
    <hyperlink ref="BD122" r:id="rId114" xr:uid="{2AFA49C7-E4F3-4642-906C-D210553C7801}"/>
    <hyperlink ref="BD123" r:id="rId115" xr:uid="{F77B7403-73E6-4158-AD35-8D0F97751980}"/>
    <hyperlink ref="BD124" r:id="rId116" xr:uid="{66679575-8837-48CB-BF51-EEB4146DD84D}"/>
    <hyperlink ref="BD125" r:id="rId117" xr:uid="{724DDC4B-27A9-45F6-A544-2F13F694FD6A}"/>
    <hyperlink ref="BD126" r:id="rId118" xr:uid="{541853FF-F772-46B9-9D41-AB052755454B}"/>
    <hyperlink ref="BD127" r:id="rId119" xr:uid="{E28795B8-FC9C-46F5-A3D1-0BDA89721171}"/>
    <hyperlink ref="BD128" r:id="rId120" xr:uid="{D4556925-9697-4A3E-9BDD-926EA43D3B42}"/>
    <hyperlink ref="BD129" r:id="rId121" xr:uid="{778FC2DF-5809-485C-9450-BA86825F1FA3}"/>
    <hyperlink ref="BD130" r:id="rId122" xr:uid="{B536EDBE-085E-41F3-9CEF-C42637D753DA}"/>
    <hyperlink ref="BD131" r:id="rId123" xr:uid="{60A1FAD6-881E-4A6B-88C3-7E00AC239FFF}"/>
    <hyperlink ref="BD132" r:id="rId124" xr:uid="{8ED95748-D8A6-4E04-B494-0CD93590514C}"/>
    <hyperlink ref="BD133" r:id="rId125" xr:uid="{43D9CB39-641D-4E9C-B027-0F0CA98FE24E}"/>
    <hyperlink ref="BD134" r:id="rId126" xr:uid="{3A07DED4-1E3B-423D-8409-86D63F9BC77A}"/>
    <hyperlink ref="BD135" r:id="rId127" xr:uid="{79A15E2D-C23C-4D07-957B-FD59CFAA23C0}"/>
    <hyperlink ref="BD136" r:id="rId128" xr:uid="{C8CD2F6D-569B-4F8D-B44F-0A660441B93A}"/>
    <hyperlink ref="BD137" r:id="rId129" xr:uid="{5C1D4992-8451-4AE0-8B9B-747B9252835B}"/>
    <hyperlink ref="BD138" r:id="rId130" xr:uid="{981DF4EC-F34A-4D01-8A33-CC0D708FB495}"/>
    <hyperlink ref="BD139" r:id="rId131" xr:uid="{43D76F50-AE3C-4210-843B-427CBF24D2D7}"/>
    <hyperlink ref="BD140" r:id="rId132" xr:uid="{553C14B6-DA2A-406D-A502-37A428F2A467}"/>
    <hyperlink ref="BD141" r:id="rId133" xr:uid="{6FC8002F-AE68-4CF0-B113-8D528FF8F2FA}"/>
    <hyperlink ref="BD142" r:id="rId134" xr:uid="{2A19C6D6-7DD0-4FAF-B592-80C5F54848C0}"/>
    <hyperlink ref="BD143" r:id="rId135" xr:uid="{26FE4C11-4411-4DE4-8CE2-445F665A9E85}"/>
    <hyperlink ref="BD144" r:id="rId136" xr:uid="{8534A252-A555-476B-8AF5-77BB5B148411}"/>
    <hyperlink ref="BD145" r:id="rId137" xr:uid="{471AEDAA-CB86-4B0D-BD7A-E5EF94E3E64B}"/>
    <hyperlink ref="BD146" r:id="rId138" xr:uid="{73727C95-3520-4AC1-BB60-29904087CCC0}"/>
    <hyperlink ref="BD147" r:id="rId139" xr:uid="{027A88C7-D076-4445-A8B9-EFB71AE7C3CC}"/>
    <hyperlink ref="BD148" r:id="rId140" xr:uid="{AA2B6F69-A989-40A5-9082-BC90EC89248E}"/>
    <hyperlink ref="BD149" r:id="rId141" xr:uid="{6D1C6A12-DBF1-464C-818A-145F5F7944DE}"/>
    <hyperlink ref="BD150" r:id="rId142" xr:uid="{F13C6E0A-B6D1-4C84-A3C6-41BF72993FDC}"/>
    <hyperlink ref="BD151" r:id="rId143" xr:uid="{618F170E-7CA0-4EFE-9567-959355135011}"/>
    <hyperlink ref="BD152" r:id="rId144" xr:uid="{5BBFF2AA-8EA6-46B5-820F-8849D8421717}"/>
    <hyperlink ref="BD153" r:id="rId145" xr:uid="{DCCEF67C-D4FC-4D20-8D4C-BA185F2AB577}"/>
    <hyperlink ref="BD154" r:id="rId146" xr:uid="{32577146-A9BA-4CF6-A344-0C3695363D7F}"/>
    <hyperlink ref="BD155" r:id="rId147" xr:uid="{3C717E45-3F1A-4D1C-BE51-77122B12F154}"/>
    <hyperlink ref="BD156" r:id="rId148" xr:uid="{4AE6FC57-E9AE-4957-9A44-E8161B7C9CC0}"/>
    <hyperlink ref="BD157" r:id="rId149" xr:uid="{D12F31AD-99C1-4A44-9318-F487D2AB4533}"/>
    <hyperlink ref="BD158" r:id="rId150" xr:uid="{A376F479-0336-4942-9864-F5C31917DFCD}"/>
    <hyperlink ref="BD159" r:id="rId151" xr:uid="{64C84EB7-79D1-457B-B995-A7A3AD8A8392}"/>
    <hyperlink ref="BD160" r:id="rId152" xr:uid="{817F2F0B-EA6A-4E78-ABEF-36CCC008A7E4}"/>
    <hyperlink ref="BD161" r:id="rId153" xr:uid="{104A74C2-386B-479E-AF51-50AE33A82F9C}"/>
    <hyperlink ref="BD162" r:id="rId154" xr:uid="{2CCA6D6E-6411-4C75-933F-DA05C1A28D31}"/>
    <hyperlink ref="BD163" r:id="rId155" xr:uid="{9B7E9CFF-03BF-4D97-8F5A-E8C4EAF2AFE9}"/>
    <hyperlink ref="BD164" r:id="rId156" xr:uid="{8A1B30AC-71DA-4BFB-8616-AAD715A96B85}"/>
    <hyperlink ref="BD165" r:id="rId157" xr:uid="{4C22355F-7066-4DA3-98BF-A702BF52F5D2}"/>
    <hyperlink ref="BD166" r:id="rId158" xr:uid="{D01488A7-A5B0-457B-8DB0-37590D809E6E}"/>
    <hyperlink ref="BD167" r:id="rId159" xr:uid="{8BC304E6-3099-4413-A110-3958C94C4618}"/>
    <hyperlink ref="BD168" r:id="rId160" xr:uid="{FF239A9C-5002-4929-A886-D9DBD2D6A8D4}"/>
    <hyperlink ref="BD169" r:id="rId161" xr:uid="{F8BF5184-C2C3-427E-8B12-6580F20DABF4}"/>
    <hyperlink ref="BD170" r:id="rId162" xr:uid="{7852D525-BDD2-48EB-B98E-65739AF14F82}"/>
    <hyperlink ref="BD171" r:id="rId163" xr:uid="{E78A3A16-4D28-4F76-B44D-AAC882FFC34F}"/>
    <hyperlink ref="BD172" r:id="rId164" xr:uid="{97A57CF1-8DA4-4C9B-9FA6-63336F553844}"/>
    <hyperlink ref="BD173" r:id="rId165" xr:uid="{37FCEB8F-256C-4BC4-91D3-D2FCF1E64C7A}"/>
    <hyperlink ref="BD174" r:id="rId166" xr:uid="{D226B9B1-C11C-4CF0-9844-D3B3BC56BB7C}"/>
    <hyperlink ref="BD175" r:id="rId167" xr:uid="{C5FD1DE7-BF63-4C09-88C2-C0A40CF68FC6}"/>
    <hyperlink ref="BD176" r:id="rId168" xr:uid="{7E8A629B-1723-4EDE-A468-85EED303111F}"/>
    <hyperlink ref="BD177" r:id="rId169" xr:uid="{213FD8ED-B6FD-485E-A7CA-E4F066B6653E}"/>
    <hyperlink ref="BD178" r:id="rId170" xr:uid="{E5439522-CE81-4A05-B92F-06FF089AFE41}"/>
    <hyperlink ref="BD179" r:id="rId171" xr:uid="{87A61372-0102-4928-87F2-62290C0C4AD9}"/>
    <hyperlink ref="BD180" r:id="rId172" xr:uid="{7440F272-F081-4CDB-8C81-A191965D615C}"/>
    <hyperlink ref="BD181" r:id="rId173" xr:uid="{1FAACD40-ECF9-493B-897E-0E9AF0F93D1A}"/>
    <hyperlink ref="BD182" r:id="rId174" xr:uid="{13A1D22C-2863-4972-96D1-899EED6A9A3A}"/>
    <hyperlink ref="BD183" r:id="rId175" xr:uid="{5E0F213F-623C-447B-AEC4-8C952360E732}"/>
    <hyperlink ref="BD184" r:id="rId176" xr:uid="{198E17D7-49A5-4637-B3F3-C40BB6F02BF3}"/>
    <hyperlink ref="BD185" r:id="rId177" xr:uid="{17F3CF98-0D83-49D1-90E0-C3BA822356DC}"/>
    <hyperlink ref="BD187" r:id="rId178" xr:uid="{0D83B463-710F-491E-AA20-625AE2D604E2}"/>
    <hyperlink ref="BD186" r:id="rId179" xr:uid="{E6B58312-45ED-475C-AB73-E95E8BA921F8}"/>
    <hyperlink ref="BD188" r:id="rId180" xr:uid="{BA2B5268-9AB7-4D63-A7E0-62EFEACE6ACD}"/>
    <hyperlink ref="BD189" r:id="rId181" xr:uid="{B752B21B-461B-491D-9A90-B3A4B778EDDE}"/>
    <hyperlink ref="BD190" r:id="rId182" xr:uid="{52BA0C49-7ECA-4732-9E81-4D4A853E2C89}"/>
    <hyperlink ref="BD191" r:id="rId183" xr:uid="{3147D039-AAC8-426D-904B-5E829F0BBCED}"/>
    <hyperlink ref="BD193" r:id="rId184" xr:uid="{7578FD24-226F-493D-9FC8-649F51EF77CC}"/>
    <hyperlink ref="BD194" r:id="rId185" xr:uid="{4B5C6511-8A7C-4B3E-93A5-607780CF67A2}"/>
    <hyperlink ref="BD196" r:id="rId186" xr:uid="{31655B97-B716-44BD-8362-A266CCC6F237}"/>
    <hyperlink ref="BD197" r:id="rId187" xr:uid="{58085ADE-4B48-4641-BC97-5D7248C9198B}"/>
  </hyperlinks>
  <pageMargins left="0.7" right="0.7" top="0.75" bottom="0.75" header="0.3" footer="0.3"/>
  <pageSetup orientation="portrait" r:id="rId1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H16" sqref="H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35</v>
      </c>
      <c r="C2">
        <v>35</v>
      </c>
      <c r="D2">
        <v>21.93</v>
      </c>
      <c r="E2">
        <v>40.14</v>
      </c>
      <c r="F2">
        <v>27.12257142857143</v>
      </c>
      <c r="G2">
        <v>26.38</v>
      </c>
      <c r="H2">
        <v>4.1116622821784734</v>
      </c>
    </row>
    <row r="3" spans="1:8" x14ac:dyDescent="0.3">
      <c r="A3" t="s">
        <v>9</v>
      </c>
      <c r="B3">
        <v>28</v>
      </c>
      <c r="C3">
        <v>28</v>
      </c>
      <c r="D3">
        <v>23.48</v>
      </c>
      <c r="E3">
        <v>30.39</v>
      </c>
      <c r="F3">
        <v>26.903571428571428</v>
      </c>
      <c r="G3">
        <v>26.954999999999998</v>
      </c>
      <c r="H3">
        <v>1.6786441051473751</v>
      </c>
    </row>
    <row r="4" spans="1:8" x14ac:dyDescent="0.3">
      <c r="A4" t="s">
        <v>10</v>
      </c>
      <c r="B4">
        <v>13</v>
      </c>
      <c r="C4">
        <v>13</v>
      </c>
      <c r="D4">
        <v>23</v>
      </c>
      <c r="E4">
        <v>30.3</v>
      </c>
      <c r="F4">
        <v>25.860769230769229</v>
      </c>
      <c r="G4">
        <v>25.28</v>
      </c>
      <c r="H4">
        <v>1.7794543243106</v>
      </c>
    </row>
    <row r="5" spans="1:8" x14ac:dyDescent="0.3">
      <c r="A5" t="s">
        <v>11</v>
      </c>
      <c r="B5">
        <v>4</v>
      </c>
      <c r="C5">
        <v>4</v>
      </c>
      <c r="D5">
        <v>25.94</v>
      </c>
      <c r="E5">
        <v>31.05</v>
      </c>
      <c r="F5">
        <v>27.975000000000001</v>
      </c>
      <c r="G5">
        <v>27.454999999999998</v>
      </c>
      <c r="H5">
        <v>2.2803289236423758</v>
      </c>
    </row>
    <row r="6" spans="1:8" x14ac:dyDescent="0.3">
      <c r="A6" t="s">
        <v>12</v>
      </c>
      <c r="B6">
        <v>2</v>
      </c>
      <c r="C6">
        <v>2</v>
      </c>
      <c r="D6">
        <v>25.25</v>
      </c>
      <c r="E6">
        <v>30.1</v>
      </c>
      <c r="F6">
        <v>27.675000000000001</v>
      </c>
      <c r="G6">
        <v>27.675000000000001</v>
      </c>
      <c r="H6">
        <v>3.4294678887547572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topLeftCell="A66" workbookViewId="0">
      <selection activeCell="C88" sqref="C88"/>
    </sheetView>
  </sheetViews>
  <sheetFormatPr defaultRowHeight="14.4" x14ac:dyDescent="0.3"/>
  <cols>
    <col min="3" max="3" width="24" customWidth="1"/>
    <col min="8" max="8" width="17.77734375" customWidth="1"/>
    <col min="9" max="9" width="13.77734375" customWidth="1"/>
  </cols>
  <sheetData>
    <row r="1" spans="1:15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 spans="1:15" x14ac:dyDescent="0.3">
      <c r="A2" t="s">
        <v>27</v>
      </c>
      <c r="B2" t="s">
        <v>28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8</v>
      </c>
      <c r="I2" t="s">
        <v>8</v>
      </c>
      <c r="J2">
        <v>29.68</v>
      </c>
      <c r="L2" t="s">
        <v>33</v>
      </c>
      <c r="M2" t="s">
        <v>34</v>
      </c>
      <c r="N2" t="s">
        <v>35</v>
      </c>
      <c r="O2" t="s">
        <v>36</v>
      </c>
    </row>
    <row r="3" spans="1:15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31</v>
      </c>
      <c r="G3" t="s">
        <v>32</v>
      </c>
      <c r="H3" t="s">
        <v>8</v>
      </c>
      <c r="I3" t="s">
        <v>8</v>
      </c>
      <c r="J3">
        <v>26.86</v>
      </c>
      <c r="L3" t="s">
        <v>33</v>
      </c>
      <c r="M3" t="s">
        <v>34</v>
      </c>
      <c r="N3" t="s">
        <v>35</v>
      </c>
      <c r="O3" t="s">
        <v>36</v>
      </c>
    </row>
    <row r="4" spans="1:15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31</v>
      </c>
      <c r="G4" t="s">
        <v>32</v>
      </c>
      <c r="H4" t="s">
        <v>8</v>
      </c>
      <c r="I4" t="s">
        <v>8</v>
      </c>
      <c r="J4">
        <v>24.39</v>
      </c>
      <c r="L4" t="s">
        <v>33</v>
      </c>
      <c r="M4" t="s">
        <v>34</v>
      </c>
      <c r="N4" t="s">
        <v>35</v>
      </c>
      <c r="O4" t="s">
        <v>36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31</v>
      </c>
      <c r="G5" t="s">
        <v>32</v>
      </c>
      <c r="H5" t="s">
        <v>8</v>
      </c>
      <c r="I5" t="s">
        <v>8</v>
      </c>
      <c r="J5">
        <v>27.22</v>
      </c>
      <c r="L5" t="s">
        <v>33</v>
      </c>
      <c r="M5" t="s">
        <v>34</v>
      </c>
      <c r="N5" t="s">
        <v>35</v>
      </c>
      <c r="O5" t="s">
        <v>36</v>
      </c>
    </row>
    <row r="6" spans="1:15" x14ac:dyDescent="0.3">
      <c r="A6" t="s">
        <v>52</v>
      </c>
      <c r="B6" t="s">
        <v>53</v>
      </c>
      <c r="C6" t="s">
        <v>44</v>
      </c>
      <c r="D6" t="s">
        <v>45</v>
      </c>
      <c r="E6" t="s">
        <v>54</v>
      </c>
      <c r="F6" t="s">
        <v>31</v>
      </c>
      <c r="G6" t="s">
        <v>32</v>
      </c>
      <c r="H6" t="s">
        <v>8</v>
      </c>
      <c r="I6" t="s">
        <v>8</v>
      </c>
      <c r="J6">
        <v>24.44</v>
      </c>
      <c r="L6" t="s">
        <v>33</v>
      </c>
      <c r="M6" t="s">
        <v>34</v>
      </c>
      <c r="N6" t="s">
        <v>35</v>
      </c>
      <c r="O6" t="s">
        <v>36</v>
      </c>
    </row>
    <row r="7" spans="1:15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31</v>
      </c>
      <c r="G7" t="s">
        <v>32</v>
      </c>
      <c r="H7" t="s">
        <v>8</v>
      </c>
      <c r="I7" t="s">
        <v>8</v>
      </c>
      <c r="J7">
        <v>40.14</v>
      </c>
      <c r="L7" t="s">
        <v>33</v>
      </c>
      <c r="M7" t="s">
        <v>34</v>
      </c>
      <c r="N7" t="s">
        <v>35</v>
      </c>
      <c r="O7" t="s">
        <v>36</v>
      </c>
    </row>
    <row r="8" spans="1:15" x14ac:dyDescent="0.3">
      <c r="A8" t="s">
        <v>60</v>
      </c>
      <c r="B8" t="s">
        <v>56</v>
      </c>
      <c r="C8" t="s">
        <v>57</v>
      </c>
      <c r="D8" t="s">
        <v>58</v>
      </c>
      <c r="E8" t="s">
        <v>61</v>
      </c>
      <c r="F8" t="s">
        <v>31</v>
      </c>
      <c r="G8" t="s">
        <v>32</v>
      </c>
      <c r="H8" t="s">
        <v>8</v>
      </c>
      <c r="I8" t="s">
        <v>8</v>
      </c>
      <c r="J8">
        <v>36.17</v>
      </c>
      <c r="L8" t="s">
        <v>33</v>
      </c>
      <c r="M8" t="s">
        <v>34</v>
      </c>
      <c r="N8" t="s">
        <v>35</v>
      </c>
      <c r="O8" t="s">
        <v>36</v>
      </c>
    </row>
    <row r="9" spans="1:15" x14ac:dyDescent="0.3">
      <c r="A9" t="s">
        <v>62</v>
      </c>
      <c r="B9" t="s">
        <v>63</v>
      </c>
      <c r="C9" t="s">
        <v>64</v>
      </c>
      <c r="D9" t="s">
        <v>40</v>
      </c>
      <c r="E9" t="s">
        <v>65</v>
      </c>
      <c r="F9" t="s">
        <v>31</v>
      </c>
      <c r="G9" t="s">
        <v>32</v>
      </c>
      <c r="H9" t="s">
        <v>8</v>
      </c>
      <c r="I9" t="s">
        <v>8</v>
      </c>
      <c r="J9">
        <v>29</v>
      </c>
      <c r="L9" t="s">
        <v>33</v>
      </c>
      <c r="M9" t="s">
        <v>34</v>
      </c>
      <c r="N9" t="s">
        <v>35</v>
      </c>
      <c r="O9" t="s">
        <v>36</v>
      </c>
    </row>
    <row r="10" spans="1:15" x14ac:dyDescent="0.3">
      <c r="A10" t="s">
        <v>66</v>
      </c>
      <c r="B10" t="s">
        <v>67</v>
      </c>
      <c r="C10" t="s">
        <v>68</v>
      </c>
      <c r="D10" t="s">
        <v>40</v>
      </c>
      <c r="E10" t="s">
        <v>69</v>
      </c>
      <c r="F10" t="s">
        <v>31</v>
      </c>
      <c r="G10" t="s">
        <v>32</v>
      </c>
      <c r="H10" t="s">
        <v>10</v>
      </c>
      <c r="I10" t="s">
        <v>10</v>
      </c>
      <c r="J10">
        <v>30.3</v>
      </c>
      <c r="L10" t="s">
        <v>33</v>
      </c>
      <c r="M10" t="s">
        <v>34</v>
      </c>
      <c r="N10" t="s">
        <v>35</v>
      </c>
      <c r="O10" t="s">
        <v>36</v>
      </c>
    </row>
    <row r="11" spans="1:15" x14ac:dyDescent="0.3">
      <c r="A11" t="s">
        <v>70</v>
      </c>
      <c r="B11" t="s">
        <v>71</v>
      </c>
      <c r="C11" t="s">
        <v>72</v>
      </c>
      <c r="D11" t="s">
        <v>58</v>
      </c>
      <c r="E11" t="s">
        <v>73</v>
      </c>
      <c r="F11" t="s">
        <v>31</v>
      </c>
      <c r="G11" t="s">
        <v>32</v>
      </c>
      <c r="H11" t="s">
        <v>8</v>
      </c>
      <c r="I11" t="s">
        <v>8</v>
      </c>
      <c r="J11">
        <v>30.47</v>
      </c>
      <c r="L11" t="s">
        <v>33</v>
      </c>
      <c r="M11" t="s">
        <v>34</v>
      </c>
      <c r="N11" t="s">
        <v>35</v>
      </c>
      <c r="O11" t="s">
        <v>36</v>
      </c>
    </row>
    <row r="12" spans="1:15" x14ac:dyDescent="0.3">
      <c r="A12" t="s">
        <v>74</v>
      </c>
      <c r="B12" t="s">
        <v>75</v>
      </c>
      <c r="C12" t="s">
        <v>76</v>
      </c>
      <c r="D12" t="s">
        <v>29</v>
      </c>
      <c r="E12" t="s">
        <v>77</v>
      </c>
      <c r="F12" t="s">
        <v>31</v>
      </c>
      <c r="G12" t="s">
        <v>32</v>
      </c>
      <c r="H12" t="s">
        <v>8</v>
      </c>
      <c r="I12" t="s">
        <v>8</v>
      </c>
      <c r="J12">
        <v>28.35</v>
      </c>
      <c r="L12" t="s">
        <v>33</v>
      </c>
      <c r="M12" t="s">
        <v>34</v>
      </c>
      <c r="N12" t="s">
        <v>35</v>
      </c>
      <c r="O12" t="s">
        <v>36</v>
      </c>
    </row>
    <row r="13" spans="1:15" x14ac:dyDescent="0.3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31</v>
      </c>
      <c r="G13" t="s">
        <v>32</v>
      </c>
      <c r="H13" t="s">
        <v>8</v>
      </c>
      <c r="I13" t="s">
        <v>8</v>
      </c>
      <c r="J13">
        <v>29.31</v>
      </c>
      <c r="L13" t="s">
        <v>33</v>
      </c>
      <c r="M13" t="s">
        <v>34</v>
      </c>
      <c r="N13" t="s">
        <v>35</v>
      </c>
      <c r="O13" t="s">
        <v>36</v>
      </c>
    </row>
    <row r="14" spans="1:15" x14ac:dyDescent="0.3">
      <c r="A14" t="s">
        <v>83</v>
      </c>
      <c r="B14" t="s">
        <v>84</v>
      </c>
      <c r="C14" t="s">
        <v>80</v>
      </c>
      <c r="D14" t="s">
        <v>81</v>
      </c>
      <c r="E14" t="s">
        <v>85</v>
      </c>
      <c r="F14" t="s">
        <v>31</v>
      </c>
      <c r="G14" t="s">
        <v>32</v>
      </c>
      <c r="H14" t="s">
        <v>8</v>
      </c>
      <c r="I14" t="s">
        <v>8</v>
      </c>
      <c r="J14">
        <v>34.31</v>
      </c>
      <c r="L14" t="s">
        <v>33</v>
      </c>
      <c r="M14" t="s">
        <v>34</v>
      </c>
      <c r="N14" t="s">
        <v>35</v>
      </c>
      <c r="O14" t="s">
        <v>36</v>
      </c>
    </row>
    <row r="15" spans="1:15" x14ac:dyDescent="0.3">
      <c r="A15" t="s">
        <v>86</v>
      </c>
      <c r="B15" t="s">
        <v>87</v>
      </c>
      <c r="C15" t="s">
        <v>88</v>
      </c>
      <c r="D15" t="s">
        <v>40</v>
      </c>
      <c r="E15" t="s">
        <v>89</v>
      </c>
      <c r="F15" t="s">
        <v>31</v>
      </c>
      <c r="G15" t="s">
        <v>32</v>
      </c>
      <c r="H15" t="s">
        <v>8</v>
      </c>
      <c r="I15" t="s">
        <v>8</v>
      </c>
      <c r="J15">
        <v>23.22</v>
      </c>
      <c r="L15" t="s">
        <v>33</v>
      </c>
      <c r="M15" t="s">
        <v>34</v>
      </c>
      <c r="N15" t="s">
        <v>35</v>
      </c>
      <c r="O15" t="s">
        <v>36</v>
      </c>
    </row>
    <row r="16" spans="1:15" x14ac:dyDescent="0.3">
      <c r="A16" t="s">
        <v>90</v>
      </c>
      <c r="B16" t="s">
        <v>91</v>
      </c>
      <c r="C16" t="s">
        <v>92</v>
      </c>
      <c r="D16" t="s">
        <v>58</v>
      </c>
      <c r="E16" t="s">
        <v>93</v>
      </c>
      <c r="F16" t="s">
        <v>31</v>
      </c>
      <c r="G16" t="s">
        <v>32</v>
      </c>
      <c r="H16" t="s">
        <v>8</v>
      </c>
      <c r="I16" t="s">
        <v>8</v>
      </c>
      <c r="J16">
        <v>26.66</v>
      </c>
      <c r="L16" t="s">
        <v>33</v>
      </c>
      <c r="M16" t="s">
        <v>34</v>
      </c>
      <c r="N16" t="s">
        <v>35</v>
      </c>
      <c r="O16" t="s">
        <v>36</v>
      </c>
    </row>
    <row r="17" spans="1:15" x14ac:dyDescent="0.3">
      <c r="A17" t="s">
        <v>94</v>
      </c>
      <c r="B17" t="s">
        <v>95</v>
      </c>
      <c r="C17" t="s">
        <v>96</v>
      </c>
      <c r="D17" t="s">
        <v>58</v>
      </c>
      <c r="E17" t="s">
        <v>97</v>
      </c>
      <c r="F17" t="s">
        <v>31</v>
      </c>
      <c r="G17" t="s">
        <v>32</v>
      </c>
      <c r="H17" t="s">
        <v>8</v>
      </c>
      <c r="I17" t="s">
        <v>8</v>
      </c>
      <c r="J17">
        <v>29.5</v>
      </c>
      <c r="L17" t="s">
        <v>33</v>
      </c>
      <c r="M17" t="s">
        <v>34</v>
      </c>
      <c r="N17" t="s">
        <v>35</v>
      </c>
      <c r="O17" t="s">
        <v>36</v>
      </c>
    </row>
    <row r="18" spans="1:15" x14ac:dyDescent="0.3">
      <c r="A18" t="s">
        <v>98</v>
      </c>
      <c r="B18" t="s">
        <v>99</v>
      </c>
      <c r="C18" t="s">
        <v>96</v>
      </c>
      <c r="D18" t="s">
        <v>58</v>
      </c>
      <c r="E18" t="s">
        <v>100</v>
      </c>
      <c r="F18" t="s">
        <v>31</v>
      </c>
      <c r="G18" t="s">
        <v>32</v>
      </c>
      <c r="H18" t="s">
        <v>8</v>
      </c>
      <c r="I18" t="s">
        <v>8</v>
      </c>
      <c r="J18">
        <v>35</v>
      </c>
      <c r="L18" t="s">
        <v>33</v>
      </c>
      <c r="M18" t="s">
        <v>34</v>
      </c>
      <c r="N18" t="s">
        <v>35</v>
      </c>
      <c r="O18" t="s">
        <v>36</v>
      </c>
    </row>
    <row r="19" spans="1:15" x14ac:dyDescent="0.3">
      <c r="A19" t="s">
        <v>101</v>
      </c>
      <c r="B19" t="s">
        <v>102</v>
      </c>
      <c r="C19" t="s">
        <v>103</v>
      </c>
      <c r="D19" t="s">
        <v>40</v>
      </c>
      <c r="E19" t="s">
        <v>104</v>
      </c>
      <c r="F19" t="s">
        <v>31</v>
      </c>
      <c r="G19" t="s">
        <v>32</v>
      </c>
      <c r="H19" t="s">
        <v>10</v>
      </c>
      <c r="I19" t="s">
        <v>10</v>
      </c>
      <c r="J19">
        <v>24.5</v>
      </c>
      <c r="L19" t="s">
        <v>33</v>
      </c>
      <c r="M19" t="s">
        <v>34</v>
      </c>
      <c r="N19" t="s">
        <v>35</v>
      </c>
      <c r="O19" t="s">
        <v>36</v>
      </c>
    </row>
    <row r="20" spans="1:15" x14ac:dyDescent="0.3">
      <c r="A20" t="s">
        <v>105</v>
      </c>
      <c r="B20" t="s">
        <v>106</v>
      </c>
      <c r="C20" t="s">
        <v>103</v>
      </c>
      <c r="D20" t="s">
        <v>107</v>
      </c>
      <c r="E20" t="s">
        <v>108</v>
      </c>
      <c r="F20" t="s">
        <v>31</v>
      </c>
      <c r="G20" t="s">
        <v>32</v>
      </c>
      <c r="H20" t="s">
        <v>10</v>
      </c>
      <c r="I20" t="s">
        <v>10</v>
      </c>
      <c r="J20">
        <v>26</v>
      </c>
      <c r="L20" t="s">
        <v>33</v>
      </c>
      <c r="M20" t="s">
        <v>34</v>
      </c>
      <c r="N20" t="s">
        <v>35</v>
      </c>
      <c r="O20" t="s">
        <v>36</v>
      </c>
    </row>
    <row r="21" spans="1:15" x14ac:dyDescent="0.3">
      <c r="A21" t="s">
        <v>109</v>
      </c>
      <c r="B21" t="s">
        <v>110</v>
      </c>
      <c r="C21" t="s">
        <v>110</v>
      </c>
      <c r="D21" t="s">
        <v>40</v>
      </c>
      <c r="E21" t="s">
        <v>111</v>
      </c>
      <c r="F21" t="s">
        <v>31</v>
      </c>
      <c r="G21" t="s">
        <v>32</v>
      </c>
      <c r="H21" t="s">
        <v>8</v>
      </c>
      <c r="I21" t="s">
        <v>8</v>
      </c>
      <c r="J21">
        <v>24</v>
      </c>
      <c r="L21" t="s">
        <v>33</v>
      </c>
      <c r="M21" t="s">
        <v>34</v>
      </c>
      <c r="N21" t="s">
        <v>35</v>
      </c>
      <c r="O21" t="s">
        <v>36</v>
      </c>
    </row>
    <row r="22" spans="1:15" x14ac:dyDescent="0.3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31</v>
      </c>
      <c r="G22" t="s">
        <v>32</v>
      </c>
      <c r="H22" t="s">
        <v>8</v>
      </c>
      <c r="I22" t="s">
        <v>8</v>
      </c>
      <c r="J22">
        <v>27</v>
      </c>
      <c r="K22" t="s">
        <v>117</v>
      </c>
      <c r="L22" t="s">
        <v>33</v>
      </c>
      <c r="M22" t="s">
        <v>34</v>
      </c>
      <c r="N22" t="s">
        <v>35</v>
      </c>
      <c r="O22" t="s">
        <v>36</v>
      </c>
    </row>
    <row r="23" spans="1:15" x14ac:dyDescent="0.3">
      <c r="A23" t="s">
        <v>118</v>
      </c>
      <c r="B23" t="s">
        <v>119</v>
      </c>
      <c r="C23" t="s">
        <v>88</v>
      </c>
      <c r="D23" t="s">
        <v>40</v>
      </c>
      <c r="E23" t="s">
        <v>120</v>
      </c>
      <c r="F23" t="s">
        <v>31</v>
      </c>
      <c r="G23" t="s">
        <v>32</v>
      </c>
      <c r="H23" t="s">
        <v>8</v>
      </c>
      <c r="I23" t="s">
        <v>8</v>
      </c>
      <c r="J23">
        <v>24.83</v>
      </c>
      <c r="L23" t="s">
        <v>33</v>
      </c>
      <c r="M23" t="s">
        <v>34</v>
      </c>
      <c r="N23" t="s">
        <v>35</v>
      </c>
      <c r="O23" t="s">
        <v>36</v>
      </c>
    </row>
    <row r="24" spans="1:15" x14ac:dyDescent="0.3">
      <c r="A24" t="s">
        <v>121</v>
      </c>
      <c r="B24" t="s">
        <v>122</v>
      </c>
      <c r="C24" t="s">
        <v>123</v>
      </c>
      <c r="D24" t="s">
        <v>40</v>
      </c>
      <c r="E24" t="s">
        <v>124</v>
      </c>
      <c r="F24" t="s">
        <v>31</v>
      </c>
      <c r="G24" t="s">
        <v>32</v>
      </c>
      <c r="H24" t="s">
        <v>10</v>
      </c>
      <c r="I24" t="s">
        <v>10</v>
      </c>
      <c r="J24">
        <v>25.13</v>
      </c>
      <c r="L24" t="s">
        <v>33</v>
      </c>
      <c r="M24" t="s">
        <v>34</v>
      </c>
      <c r="N24" t="s">
        <v>35</v>
      </c>
      <c r="O24" t="s">
        <v>36</v>
      </c>
    </row>
    <row r="25" spans="1:15" x14ac:dyDescent="0.3">
      <c r="A25" t="s">
        <v>125</v>
      </c>
      <c r="B25" t="s">
        <v>126</v>
      </c>
      <c r="C25" t="s">
        <v>127</v>
      </c>
      <c r="D25" t="s">
        <v>29</v>
      </c>
      <c r="E25" t="s">
        <v>128</v>
      </c>
      <c r="F25" t="s">
        <v>31</v>
      </c>
      <c r="G25" t="s">
        <v>32</v>
      </c>
      <c r="H25" t="s">
        <v>8</v>
      </c>
      <c r="I25" t="s">
        <v>8</v>
      </c>
      <c r="J25">
        <v>24.68</v>
      </c>
      <c r="L25" t="s">
        <v>33</v>
      </c>
      <c r="M25" t="s">
        <v>34</v>
      </c>
      <c r="N25" t="s">
        <v>35</v>
      </c>
      <c r="O25" t="s">
        <v>36</v>
      </c>
    </row>
    <row r="26" spans="1:15" x14ac:dyDescent="0.3">
      <c r="A26" t="s">
        <v>129</v>
      </c>
      <c r="B26" t="s">
        <v>130</v>
      </c>
      <c r="C26" t="s">
        <v>92</v>
      </c>
      <c r="D26" t="s">
        <v>58</v>
      </c>
      <c r="E26" t="s">
        <v>131</v>
      </c>
      <c r="F26" t="s">
        <v>31</v>
      </c>
      <c r="G26" t="s">
        <v>32</v>
      </c>
      <c r="H26" t="s">
        <v>8</v>
      </c>
      <c r="I26" t="s">
        <v>8</v>
      </c>
      <c r="J26">
        <v>25.83</v>
      </c>
      <c r="L26" t="s">
        <v>33</v>
      </c>
      <c r="M26" t="s">
        <v>34</v>
      </c>
      <c r="N26" t="s">
        <v>35</v>
      </c>
      <c r="O26" t="s">
        <v>36</v>
      </c>
    </row>
    <row r="27" spans="1:15" x14ac:dyDescent="0.3">
      <c r="A27" t="s">
        <v>132</v>
      </c>
      <c r="B27" t="s">
        <v>133</v>
      </c>
      <c r="C27" t="s">
        <v>134</v>
      </c>
      <c r="D27" t="s">
        <v>58</v>
      </c>
      <c r="E27" t="s">
        <v>135</v>
      </c>
      <c r="F27" t="s">
        <v>31</v>
      </c>
      <c r="G27" t="s">
        <v>32</v>
      </c>
      <c r="H27" t="s">
        <v>10</v>
      </c>
      <c r="I27" t="s">
        <v>10</v>
      </c>
      <c r="J27">
        <v>23</v>
      </c>
      <c r="L27" t="s">
        <v>33</v>
      </c>
      <c r="M27" t="s">
        <v>34</v>
      </c>
      <c r="N27" t="s">
        <v>35</v>
      </c>
      <c r="O27" t="s">
        <v>36</v>
      </c>
    </row>
    <row r="28" spans="1:15" x14ac:dyDescent="0.3">
      <c r="A28" t="s">
        <v>136</v>
      </c>
      <c r="B28" t="s">
        <v>137</v>
      </c>
      <c r="C28" t="s">
        <v>134</v>
      </c>
      <c r="D28" t="s">
        <v>58</v>
      </c>
      <c r="E28" t="s">
        <v>138</v>
      </c>
      <c r="F28" t="s">
        <v>31</v>
      </c>
      <c r="G28" t="s">
        <v>32</v>
      </c>
      <c r="H28" t="s">
        <v>10</v>
      </c>
      <c r="I28" t="s">
        <v>10</v>
      </c>
      <c r="J28">
        <v>25.15</v>
      </c>
      <c r="L28" t="s">
        <v>33</v>
      </c>
      <c r="M28" t="s">
        <v>34</v>
      </c>
      <c r="N28" t="s">
        <v>35</v>
      </c>
      <c r="O28" t="s">
        <v>36</v>
      </c>
    </row>
    <row r="29" spans="1:15" x14ac:dyDescent="0.3">
      <c r="A29" t="s">
        <v>139</v>
      </c>
      <c r="B29" t="s">
        <v>140</v>
      </c>
      <c r="C29" t="s">
        <v>134</v>
      </c>
      <c r="D29" t="s">
        <v>58</v>
      </c>
      <c r="E29" t="s">
        <v>141</v>
      </c>
      <c r="F29" t="s">
        <v>31</v>
      </c>
      <c r="G29" t="s">
        <v>32</v>
      </c>
      <c r="H29" t="s">
        <v>8</v>
      </c>
      <c r="I29" t="s">
        <v>8</v>
      </c>
      <c r="J29">
        <v>27.39</v>
      </c>
      <c r="L29" t="s">
        <v>33</v>
      </c>
      <c r="M29" t="s">
        <v>34</v>
      </c>
      <c r="N29" t="s">
        <v>35</v>
      </c>
      <c r="O29" t="s">
        <v>36</v>
      </c>
    </row>
    <row r="30" spans="1:15" x14ac:dyDescent="0.3">
      <c r="A30" t="s">
        <v>142</v>
      </c>
      <c r="B30" t="s">
        <v>143</v>
      </c>
      <c r="C30" t="s">
        <v>144</v>
      </c>
      <c r="D30" t="s">
        <v>45</v>
      </c>
      <c r="E30" t="s">
        <v>145</v>
      </c>
      <c r="F30" t="s">
        <v>31</v>
      </c>
      <c r="G30" t="s">
        <v>32</v>
      </c>
      <c r="H30" t="s">
        <v>8</v>
      </c>
      <c r="I30" t="s">
        <v>8</v>
      </c>
      <c r="J30">
        <v>21.93</v>
      </c>
      <c r="L30" t="s">
        <v>33</v>
      </c>
      <c r="M30" t="s">
        <v>34</v>
      </c>
      <c r="N30" t="s">
        <v>35</v>
      </c>
      <c r="O30" t="s">
        <v>36</v>
      </c>
    </row>
    <row r="31" spans="1:15" x14ac:dyDescent="0.3">
      <c r="A31" t="s">
        <v>146</v>
      </c>
      <c r="B31" t="s">
        <v>147</v>
      </c>
      <c r="C31" t="s">
        <v>147</v>
      </c>
      <c r="D31" t="s">
        <v>29</v>
      </c>
      <c r="E31" t="s">
        <v>148</v>
      </c>
      <c r="F31" t="s">
        <v>31</v>
      </c>
      <c r="G31" t="s">
        <v>32</v>
      </c>
      <c r="H31" t="s">
        <v>8</v>
      </c>
      <c r="I31" t="s">
        <v>8</v>
      </c>
      <c r="J31">
        <v>23.7</v>
      </c>
      <c r="L31" t="s">
        <v>33</v>
      </c>
      <c r="M31" t="s">
        <v>34</v>
      </c>
      <c r="N31" t="s">
        <v>35</v>
      </c>
      <c r="O31" t="s">
        <v>36</v>
      </c>
    </row>
    <row r="32" spans="1:15" x14ac:dyDescent="0.3">
      <c r="A32" t="s">
        <v>149</v>
      </c>
      <c r="B32" t="s">
        <v>150</v>
      </c>
      <c r="C32" t="s">
        <v>151</v>
      </c>
      <c r="D32" t="s">
        <v>29</v>
      </c>
      <c r="E32" t="s">
        <v>152</v>
      </c>
      <c r="F32" t="s">
        <v>31</v>
      </c>
      <c r="G32" t="s">
        <v>32</v>
      </c>
      <c r="H32" t="s">
        <v>8</v>
      </c>
      <c r="I32" t="s">
        <v>8</v>
      </c>
      <c r="J32">
        <v>26</v>
      </c>
      <c r="L32" t="s">
        <v>33</v>
      </c>
      <c r="M32" t="s">
        <v>34</v>
      </c>
      <c r="N32" t="s">
        <v>35</v>
      </c>
      <c r="O32" t="s">
        <v>36</v>
      </c>
    </row>
    <row r="33" spans="1:15" x14ac:dyDescent="0.3">
      <c r="A33" t="s">
        <v>153</v>
      </c>
      <c r="B33" t="s">
        <v>154</v>
      </c>
      <c r="C33" t="s">
        <v>155</v>
      </c>
      <c r="D33" t="s">
        <v>29</v>
      </c>
      <c r="E33" t="s">
        <v>156</v>
      </c>
      <c r="F33" t="s">
        <v>31</v>
      </c>
      <c r="G33" t="s">
        <v>32</v>
      </c>
      <c r="H33" t="s">
        <v>8</v>
      </c>
      <c r="I33" t="s">
        <v>8</v>
      </c>
      <c r="J33">
        <v>24.19</v>
      </c>
      <c r="L33" t="s">
        <v>33</v>
      </c>
      <c r="M33" t="s">
        <v>34</v>
      </c>
      <c r="N33" t="s">
        <v>35</v>
      </c>
      <c r="O33" t="s">
        <v>36</v>
      </c>
    </row>
    <row r="34" spans="1:15" x14ac:dyDescent="0.3">
      <c r="A34" t="s">
        <v>157</v>
      </c>
      <c r="B34" t="s">
        <v>158</v>
      </c>
      <c r="C34" t="s">
        <v>159</v>
      </c>
      <c r="D34" t="s">
        <v>58</v>
      </c>
      <c r="E34" t="s">
        <v>160</v>
      </c>
      <c r="F34" t="s">
        <v>31</v>
      </c>
      <c r="G34" t="s">
        <v>32</v>
      </c>
      <c r="H34" t="s">
        <v>10</v>
      </c>
      <c r="I34" t="s">
        <v>10</v>
      </c>
      <c r="J34">
        <v>27.99</v>
      </c>
      <c r="L34" t="s">
        <v>33</v>
      </c>
      <c r="M34" t="s">
        <v>34</v>
      </c>
      <c r="N34" t="s">
        <v>35</v>
      </c>
      <c r="O34" t="s">
        <v>36</v>
      </c>
    </row>
    <row r="35" spans="1:15" x14ac:dyDescent="0.3">
      <c r="A35" t="s">
        <v>161</v>
      </c>
      <c r="B35" t="s">
        <v>162</v>
      </c>
      <c r="C35" t="s">
        <v>163</v>
      </c>
      <c r="D35" t="s">
        <v>164</v>
      </c>
      <c r="E35" t="s">
        <v>165</v>
      </c>
      <c r="F35" t="s">
        <v>31</v>
      </c>
      <c r="G35" t="s">
        <v>32</v>
      </c>
      <c r="H35" t="s">
        <v>9</v>
      </c>
      <c r="I35" t="s">
        <v>9</v>
      </c>
      <c r="J35">
        <v>26.95</v>
      </c>
      <c r="L35" t="s">
        <v>166</v>
      </c>
      <c r="M35" t="s">
        <v>34</v>
      </c>
      <c r="N35" t="s">
        <v>35</v>
      </c>
      <c r="O35" t="s">
        <v>36</v>
      </c>
    </row>
    <row r="36" spans="1:15" x14ac:dyDescent="0.3">
      <c r="A36" t="s">
        <v>167</v>
      </c>
      <c r="B36" t="s">
        <v>168</v>
      </c>
      <c r="C36" t="s">
        <v>163</v>
      </c>
      <c r="D36" t="s">
        <v>29</v>
      </c>
      <c r="E36" t="s">
        <v>169</v>
      </c>
      <c r="F36" t="s">
        <v>31</v>
      </c>
      <c r="G36" t="s">
        <v>32</v>
      </c>
      <c r="H36" t="s">
        <v>9</v>
      </c>
      <c r="I36" t="s">
        <v>9</v>
      </c>
      <c r="J36">
        <v>26.89</v>
      </c>
      <c r="L36" t="s">
        <v>33</v>
      </c>
      <c r="M36" t="s">
        <v>34</v>
      </c>
      <c r="N36" t="s">
        <v>35</v>
      </c>
      <c r="O36" t="s">
        <v>36</v>
      </c>
    </row>
    <row r="37" spans="1:15" x14ac:dyDescent="0.3">
      <c r="A37" t="s">
        <v>170</v>
      </c>
      <c r="B37" t="s">
        <v>171</v>
      </c>
      <c r="C37" t="s">
        <v>163</v>
      </c>
      <c r="D37" t="s">
        <v>29</v>
      </c>
      <c r="E37" t="s">
        <v>172</v>
      </c>
      <c r="F37" t="s">
        <v>31</v>
      </c>
      <c r="G37" t="s">
        <v>32</v>
      </c>
      <c r="H37" t="s">
        <v>9</v>
      </c>
      <c r="I37" t="s">
        <v>9</v>
      </c>
      <c r="J37">
        <v>25.42</v>
      </c>
      <c r="L37" t="s">
        <v>33</v>
      </c>
      <c r="M37" t="s">
        <v>34</v>
      </c>
      <c r="N37" t="s">
        <v>35</v>
      </c>
      <c r="O37" t="s">
        <v>36</v>
      </c>
    </row>
    <row r="38" spans="1:15" x14ac:dyDescent="0.3">
      <c r="A38" t="s">
        <v>173</v>
      </c>
      <c r="B38" t="s">
        <v>174</v>
      </c>
      <c r="C38" t="s">
        <v>163</v>
      </c>
      <c r="D38" t="s">
        <v>81</v>
      </c>
      <c r="E38" t="s">
        <v>175</v>
      </c>
      <c r="F38" t="s">
        <v>31</v>
      </c>
      <c r="G38" t="s">
        <v>32</v>
      </c>
      <c r="H38" t="s">
        <v>9</v>
      </c>
      <c r="I38" t="s">
        <v>9</v>
      </c>
      <c r="J38">
        <v>28.31</v>
      </c>
      <c r="L38" t="s">
        <v>33</v>
      </c>
      <c r="M38" t="s">
        <v>34</v>
      </c>
      <c r="N38" t="s">
        <v>35</v>
      </c>
      <c r="O38" t="s">
        <v>36</v>
      </c>
    </row>
    <row r="39" spans="1:15" x14ac:dyDescent="0.3">
      <c r="A39" t="s">
        <v>176</v>
      </c>
      <c r="B39" t="s">
        <v>177</v>
      </c>
      <c r="C39" t="s">
        <v>163</v>
      </c>
      <c r="D39" t="s">
        <v>40</v>
      </c>
      <c r="E39" t="s">
        <v>178</v>
      </c>
      <c r="F39" t="s">
        <v>31</v>
      </c>
      <c r="G39" t="s">
        <v>32</v>
      </c>
      <c r="H39" t="s">
        <v>9</v>
      </c>
      <c r="I39" t="s">
        <v>9</v>
      </c>
      <c r="J39">
        <v>30</v>
      </c>
      <c r="K39" t="s">
        <v>179</v>
      </c>
      <c r="L39" t="s">
        <v>33</v>
      </c>
      <c r="M39" t="s">
        <v>34</v>
      </c>
      <c r="N39" t="s">
        <v>35</v>
      </c>
      <c r="O39" t="s">
        <v>36</v>
      </c>
    </row>
    <row r="40" spans="1:15" x14ac:dyDescent="0.3">
      <c r="A40" t="s">
        <v>180</v>
      </c>
      <c r="B40" t="s">
        <v>181</v>
      </c>
      <c r="C40" t="s">
        <v>163</v>
      </c>
      <c r="D40" t="s">
        <v>182</v>
      </c>
      <c r="E40" t="s">
        <v>183</v>
      </c>
      <c r="F40" t="s">
        <v>31</v>
      </c>
      <c r="G40" t="s">
        <v>32</v>
      </c>
      <c r="H40" t="s">
        <v>9</v>
      </c>
      <c r="I40" t="s">
        <v>9</v>
      </c>
      <c r="J40">
        <v>28.59</v>
      </c>
      <c r="L40" t="s">
        <v>33</v>
      </c>
      <c r="M40" t="s">
        <v>34</v>
      </c>
      <c r="N40" t="s">
        <v>35</v>
      </c>
      <c r="O40" t="s">
        <v>36</v>
      </c>
    </row>
    <row r="41" spans="1:15" x14ac:dyDescent="0.3">
      <c r="A41" t="s">
        <v>184</v>
      </c>
      <c r="B41" t="s">
        <v>185</v>
      </c>
      <c r="C41" t="s">
        <v>163</v>
      </c>
      <c r="D41" t="s">
        <v>81</v>
      </c>
      <c r="E41" t="s">
        <v>186</v>
      </c>
      <c r="F41" t="s">
        <v>31</v>
      </c>
      <c r="G41" t="s">
        <v>32</v>
      </c>
      <c r="H41" t="s">
        <v>9</v>
      </c>
      <c r="I41" t="s">
        <v>9</v>
      </c>
      <c r="J41">
        <v>23.48</v>
      </c>
      <c r="L41" t="s">
        <v>166</v>
      </c>
      <c r="M41" t="s">
        <v>34</v>
      </c>
      <c r="N41" t="s">
        <v>35</v>
      </c>
      <c r="O41" t="s">
        <v>36</v>
      </c>
    </row>
    <row r="42" spans="1:15" x14ac:dyDescent="0.3">
      <c r="A42" t="s">
        <v>187</v>
      </c>
      <c r="B42" t="s">
        <v>188</v>
      </c>
      <c r="C42" t="s">
        <v>163</v>
      </c>
      <c r="D42" t="s">
        <v>164</v>
      </c>
      <c r="E42" t="s">
        <v>189</v>
      </c>
      <c r="F42" t="s">
        <v>31</v>
      </c>
      <c r="G42" t="s">
        <v>32</v>
      </c>
      <c r="H42" t="s">
        <v>11</v>
      </c>
      <c r="I42" t="s">
        <v>11</v>
      </c>
      <c r="J42">
        <v>31.05</v>
      </c>
      <c r="L42" t="s">
        <v>33</v>
      </c>
      <c r="M42" t="s">
        <v>34</v>
      </c>
      <c r="N42" t="s">
        <v>35</v>
      </c>
      <c r="O42" t="s">
        <v>36</v>
      </c>
    </row>
    <row r="43" spans="1:15" x14ac:dyDescent="0.3">
      <c r="A43" t="s">
        <v>190</v>
      </c>
      <c r="B43" t="s">
        <v>191</v>
      </c>
      <c r="C43" t="s">
        <v>163</v>
      </c>
      <c r="D43" t="s">
        <v>29</v>
      </c>
      <c r="E43" t="s">
        <v>192</v>
      </c>
      <c r="F43" t="s">
        <v>31</v>
      </c>
      <c r="G43" t="s">
        <v>32</v>
      </c>
      <c r="H43" t="s">
        <v>9</v>
      </c>
      <c r="I43" t="s">
        <v>9</v>
      </c>
      <c r="J43">
        <v>26.63</v>
      </c>
      <c r="K43" t="s">
        <v>179</v>
      </c>
      <c r="L43" t="s">
        <v>33</v>
      </c>
      <c r="M43" t="s">
        <v>34</v>
      </c>
      <c r="N43" t="s">
        <v>35</v>
      </c>
      <c r="O43" t="s">
        <v>36</v>
      </c>
    </row>
    <row r="44" spans="1:15" x14ac:dyDescent="0.3">
      <c r="A44" t="s">
        <v>193</v>
      </c>
      <c r="B44" t="s">
        <v>194</v>
      </c>
      <c r="C44" t="s">
        <v>163</v>
      </c>
      <c r="D44" t="s">
        <v>29</v>
      </c>
      <c r="E44" t="s">
        <v>195</v>
      </c>
      <c r="F44" t="s">
        <v>31</v>
      </c>
      <c r="G44" t="s">
        <v>32</v>
      </c>
      <c r="H44" t="s">
        <v>9</v>
      </c>
      <c r="I44" t="s">
        <v>9</v>
      </c>
      <c r="J44">
        <v>26.96</v>
      </c>
      <c r="K44" t="s">
        <v>179</v>
      </c>
      <c r="L44" t="s">
        <v>33</v>
      </c>
      <c r="M44" t="s">
        <v>34</v>
      </c>
      <c r="N44" t="s">
        <v>35</v>
      </c>
      <c r="O44" t="s">
        <v>36</v>
      </c>
    </row>
    <row r="45" spans="1:15" x14ac:dyDescent="0.3">
      <c r="A45" t="s">
        <v>196</v>
      </c>
      <c r="B45" t="s">
        <v>197</v>
      </c>
      <c r="C45" t="s">
        <v>163</v>
      </c>
      <c r="D45" t="s">
        <v>29</v>
      </c>
      <c r="E45" t="s">
        <v>198</v>
      </c>
      <c r="F45" t="s">
        <v>31</v>
      </c>
      <c r="G45" t="s">
        <v>32</v>
      </c>
      <c r="H45" t="s">
        <v>11</v>
      </c>
      <c r="I45" t="s">
        <v>11</v>
      </c>
      <c r="J45">
        <v>25.94</v>
      </c>
      <c r="L45" t="s">
        <v>33</v>
      </c>
      <c r="M45" t="s">
        <v>34</v>
      </c>
      <c r="N45" t="s">
        <v>35</v>
      </c>
      <c r="O45" t="s">
        <v>36</v>
      </c>
    </row>
    <row r="46" spans="1:15" x14ac:dyDescent="0.3">
      <c r="A46" t="s">
        <v>199</v>
      </c>
      <c r="B46" t="s">
        <v>200</v>
      </c>
      <c r="C46" t="s">
        <v>163</v>
      </c>
      <c r="D46" t="s">
        <v>58</v>
      </c>
      <c r="E46" t="s">
        <v>201</v>
      </c>
      <c r="F46" t="s">
        <v>31</v>
      </c>
      <c r="G46" t="s">
        <v>32</v>
      </c>
      <c r="H46" t="s">
        <v>12</v>
      </c>
      <c r="I46" t="s">
        <v>12</v>
      </c>
      <c r="J46">
        <v>30.1</v>
      </c>
      <c r="L46" t="s">
        <v>33</v>
      </c>
      <c r="M46" t="s">
        <v>34</v>
      </c>
      <c r="N46" t="s">
        <v>35</v>
      </c>
      <c r="O46" t="s">
        <v>36</v>
      </c>
    </row>
    <row r="47" spans="1:15" x14ac:dyDescent="0.3">
      <c r="A47" t="s">
        <v>202</v>
      </c>
      <c r="B47" t="s">
        <v>203</v>
      </c>
      <c r="C47" t="s">
        <v>163</v>
      </c>
      <c r="D47" t="s">
        <v>204</v>
      </c>
      <c r="E47" t="s">
        <v>205</v>
      </c>
      <c r="F47" t="s">
        <v>31</v>
      </c>
      <c r="G47" t="s">
        <v>32</v>
      </c>
      <c r="H47" t="s">
        <v>9</v>
      </c>
      <c r="I47" t="s">
        <v>9</v>
      </c>
      <c r="J47">
        <v>26.96</v>
      </c>
      <c r="L47" t="s">
        <v>33</v>
      </c>
      <c r="M47" t="s">
        <v>34</v>
      </c>
      <c r="N47" t="s">
        <v>35</v>
      </c>
      <c r="O47" t="s">
        <v>36</v>
      </c>
    </row>
    <row r="48" spans="1:15" x14ac:dyDescent="0.3">
      <c r="A48" t="s">
        <v>206</v>
      </c>
      <c r="B48" t="s">
        <v>207</v>
      </c>
      <c r="C48" t="s">
        <v>163</v>
      </c>
      <c r="D48" t="s">
        <v>40</v>
      </c>
      <c r="E48" t="s">
        <v>208</v>
      </c>
      <c r="F48" t="s">
        <v>31</v>
      </c>
      <c r="G48" t="s">
        <v>32</v>
      </c>
      <c r="H48" t="s">
        <v>9</v>
      </c>
      <c r="I48" t="s">
        <v>9</v>
      </c>
      <c r="J48">
        <v>30.39</v>
      </c>
      <c r="K48" t="s">
        <v>117</v>
      </c>
      <c r="L48" t="s">
        <v>33</v>
      </c>
      <c r="M48" t="s">
        <v>34</v>
      </c>
      <c r="N48" t="s">
        <v>35</v>
      </c>
      <c r="O48" t="s">
        <v>36</v>
      </c>
    </row>
    <row r="49" spans="1:15" x14ac:dyDescent="0.3">
      <c r="A49" t="s">
        <v>209</v>
      </c>
      <c r="B49" t="s">
        <v>210</v>
      </c>
      <c r="C49" t="s">
        <v>163</v>
      </c>
      <c r="D49" t="s">
        <v>29</v>
      </c>
      <c r="E49" t="s">
        <v>211</v>
      </c>
      <c r="F49" t="s">
        <v>31</v>
      </c>
      <c r="G49" t="s">
        <v>32</v>
      </c>
      <c r="H49" t="s">
        <v>9</v>
      </c>
      <c r="I49" t="s">
        <v>9</v>
      </c>
      <c r="J49">
        <v>24.96</v>
      </c>
      <c r="K49" t="s">
        <v>212</v>
      </c>
      <c r="L49" t="s">
        <v>33</v>
      </c>
      <c r="M49" t="s">
        <v>34</v>
      </c>
      <c r="N49" t="s">
        <v>35</v>
      </c>
      <c r="O49" t="s">
        <v>36</v>
      </c>
    </row>
    <row r="50" spans="1:15" x14ac:dyDescent="0.3">
      <c r="A50" t="s">
        <v>213</v>
      </c>
      <c r="B50" t="s">
        <v>214</v>
      </c>
      <c r="C50" t="s">
        <v>163</v>
      </c>
      <c r="D50" t="s">
        <v>81</v>
      </c>
      <c r="E50" t="s">
        <v>215</v>
      </c>
      <c r="F50" t="s">
        <v>31</v>
      </c>
      <c r="G50" t="s">
        <v>32</v>
      </c>
      <c r="H50" t="s">
        <v>9</v>
      </c>
      <c r="I50" t="s">
        <v>9</v>
      </c>
      <c r="J50">
        <v>28.95</v>
      </c>
      <c r="K50" t="s">
        <v>179</v>
      </c>
      <c r="L50" t="s">
        <v>33</v>
      </c>
      <c r="M50" t="s">
        <v>34</v>
      </c>
      <c r="N50" t="s">
        <v>35</v>
      </c>
      <c r="O50" t="s">
        <v>36</v>
      </c>
    </row>
    <row r="51" spans="1:15" x14ac:dyDescent="0.3">
      <c r="A51" t="s">
        <v>216</v>
      </c>
      <c r="B51" t="s">
        <v>217</v>
      </c>
      <c r="C51" t="s">
        <v>163</v>
      </c>
      <c r="D51" t="s">
        <v>29</v>
      </c>
      <c r="E51" t="s">
        <v>218</v>
      </c>
      <c r="F51" t="s">
        <v>31</v>
      </c>
      <c r="G51" t="s">
        <v>32</v>
      </c>
      <c r="H51" t="s">
        <v>9</v>
      </c>
      <c r="I51" t="s">
        <v>9</v>
      </c>
      <c r="J51">
        <v>27.88</v>
      </c>
      <c r="K51" t="s">
        <v>179</v>
      </c>
      <c r="L51" t="s">
        <v>33</v>
      </c>
      <c r="M51" t="s">
        <v>34</v>
      </c>
      <c r="N51" t="s">
        <v>35</v>
      </c>
      <c r="O51" t="s">
        <v>36</v>
      </c>
    </row>
    <row r="52" spans="1:15" x14ac:dyDescent="0.3">
      <c r="A52" t="s">
        <v>219</v>
      </c>
      <c r="B52" t="s">
        <v>220</v>
      </c>
      <c r="C52" t="s">
        <v>163</v>
      </c>
      <c r="D52" t="s">
        <v>81</v>
      </c>
      <c r="E52" t="s">
        <v>221</v>
      </c>
      <c r="F52" t="s">
        <v>31</v>
      </c>
      <c r="G52" t="s">
        <v>32</v>
      </c>
      <c r="H52" t="s">
        <v>9</v>
      </c>
      <c r="I52" t="s">
        <v>9</v>
      </c>
      <c r="J52">
        <v>26.85</v>
      </c>
      <c r="K52" t="s">
        <v>179</v>
      </c>
      <c r="L52" t="s">
        <v>33</v>
      </c>
      <c r="M52" t="s">
        <v>34</v>
      </c>
      <c r="N52" t="s">
        <v>35</v>
      </c>
      <c r="O52" t="s">
        <v>36</v>
      </c>
    </row>
    <row r="53" spans="1:15" x14ac:dyDescent="0.3">
      <c r="A53" t="s">
        <v>222</v>
      </c>
      <c r="B53" t="s">
        <v>223</v>
      </c>
      <c r="C53" t="s">
        <v>163</v>
      </c>
      <c r="D53" t="s">
        <v>29</v>
      </c>
      <c r="E53" t="s">
        <v>224</v>
      </c>
      <c r="F53" t="s">
        <v>31</v>
      </c>
      <c r="G53" t="s">
        <v>32</v>
      </c>
      <c r="H53" t="s">
        <v>12</v>
      </c>
      <c r="I53" t="s">
        <v>12</v>
      </c>
      <c r="J53">
        <v>25.25</v>
      </c>
      <c r="L53" t="s">
        <v>33</v>
      </c>
      <c r="M53" t="s">
        <v>34</v>
      </c>
      <c r="N53" t="s">
        <v>35</v>
      </c>
      <c r="O53" t="s">
        <v>36</v>
      </c>
    </row>
    <row r="54" spans="1:15" x14ac:dyDescent="0.3">
      <c r="A54" t="s">
        <v>225</v>
      </c>
      <c r="B54" t="s">
        <v>226</v>
      </c>
      <c r="C54" t="s">
        <v>163</v>
      </c>
      <c r="D54" t="s">
        <v>29</v>
      </c>
      <c r="E54" t="s">
        <v>227</v>
      </c>
      <c r="F54" t="s">
        <v>31</v>
      </c>
      <c r="G54" t="s">
        <v>32</v>
      </c>
      <c r="H54" t="s">
        <v>9</v>
      </c>
      <c r="I54" t="s">
        <v>9</v>
      </c>
      <c r="J54">
        <v>27.18</v>
      </c>
      <c r="K54" t="s">
        <v>179</v>
      </c>
      <c r="L54" t="s">
        <v>33</v>
      </c>
      <c r="M54" t="s">
        <v>34</v>
      </c>
      <c r="N54" t="s">
        <v>35</v>
      </c>
      <c r="O54" t="s">
        <v>36</v>
      </c>
    </row>
    <row r="55" spans="1:15" x14ac:dyDescent="0.3">
      <c r="A55" t="s">
        <v>228</v>
      </c>
      <c r="B55" t="s">
        <v>229</v>
      </c>
      <c r="C55" t="s">
        <v>163</v>
      </c>
      <c r="D55" t="s">
        <v>230</v>
      </c>
      <c r="E55" t="s">
        <v>231</v>
      </c>
      <c r="F55" t="s">
        <v>31</v>
      </c>
      <c r="G55" t="s">
        <v>32</v>
      </c>
      <c r="H55" t="s">
        <v>9</v>
      </c>
      <c r="I55" t="s">
        <v>9</v>
      </c>
      <c r="J55">
        <v>24.02</v>
      </c>
      <c r="K55" t="s">
        <v>179</v>
      </c>
      <c r="L55" t="s">
        <v>33</v>
      </c>
      <c r="M55" t="s">
        <v>232</v>
      </c>
      <c r="N55" t="s">
        <v>35</v>
      </c>
      <c r="O55" t="s">
        <v>36</v>
      </c>
    </row>
    <row r="56" spans="1:15" x14ac:dyDescent="0.3">
      <c r="A56" t="s">
        <v>233</v>
      </c>
      <c r="B56" t="s">
        <v>234</v>
      </c>
      <c r="C56" t="s">
        <v>163</v>
      </c>
      <c r="D56" t="s">
        <v>40</v>
      </c>
      <c r="E56" t="s">
        <v>235</v>
      </c>
      <c r="F56" t="s">
        <v>31</v>
      </c>
      <c r="G56" t="s">
        <v>32</v>
      </c>
      <c r="H56" t="s">
        <v>9</v>
      </c>
      <c r="I56" t="s">
        <v>9</v>
      </c>
      <c r="J56">
        <v>28.01</v>
      </c>
      <c r="L56" t="s">
        <v>33</v>
      </c>
      <c r="M56" t="s">
        <v>34</v>
      </c>
      <c r="N56" t="s">
        <v>35</v>
      </c>
      <c r="O56" t="s">
        <v>36</v>
      </c>
    </row>
    <row r="57" spans="1:15" x14ac:dyDescent="0.3">
      <c r="A57" t="s">
        <v>236</v>
      </c>
      <c r="B57" t="s">
        <v>237</v>
      </c>
      <c r="C57" t="s">
        <v>163</v>
      </c>
      <c r="D57" t="s">
        <v>204</v>
      </c>
      <c r="E57" t="s">
        <v>238</v>
      </c>
      <c r="F57" t="s">
        <v>31</v>
      </c>
      <c r="G57" t="s">
        <v>32</v>
      </c>
      <c r="H57" t="s">
        <v>9</v>
      </c>
      <c r="I57" t="s">
        <v>9</v>
      </c>
      <c r="J57">
        <v>28.07</v>
      </c>
      <c r="L57" t="s">
        <v>33</v>
      </c>
      <c r="M57" t="s">
        <v>34</v>
      </c>
      <c r="N57" t="s">
        <v>35</v>
      </c>
      <c r="O57" t="s">
        <v>36</v>
      </c>
    </row>
    <row r="58" spans="1:15" x14ac:dyDescent="0.3">
      <c r="A58" t="s">
        <v>239</v>
      </c>
      <c r="B58" t="s">
        <v>240</v>
      </c>
      <c r="C58" t="s">
        <v>163</v>
      </c>
      <c r="D58" t="s">
        <v>230</v>
      </c>
      <c r="E58" t="s">
        <v>241</v>
      </c>
      <c r="F58" t="s">
        <v>31</v>
      </c>
      <c r="G58" t="s">
        <v>32</v>
      </c>
      <c r="H58" t="s">
        <v>9</v>
      </c>
      <c r="I58" t="s">
        <v>9</v>
      </c>
      <c r="J58">
        <v>25.11</v>
      </c>
      <c r="L58" t="s">
        <v>33</v>
      </c>
      <c r="M58" t="s">
        <v>34</v>
      </c>
      <c r="N58" t="s">
        <v>35</v>
      </c>
      <c r="O58" t="s">
        <v>36</v>
      </c>
    </row>
    <row r="59" spans="1:15" x14ac:dyDescent="0.3">
      <c r="A59" t="s">
        <v>242</v>
      </c>
      <c r="B59" t="s">
        <v>243</v>
      </c>
      <c r="C59" t="s">
        <v>163</v>
      </c>
      <c r="D59" t="s">
        <v>204</v>
      </c>
      <c r="E59" t="s">
        <v>244</v>
      </c>
      <c r="F59" t="s">
        <v>31</v>
      </c>
      <c r="G59" t="s">
        <v>32</v>
      </c>
      <c r="H59" t="s">
        <v>9</v>
      </c>
      <c r="I59" t="s">
        <v>9</v>
      </c>
      <c r="J59">
        <v>27.76</v>
      </c>
      <c r="L59" t="s">
        <v>33</v>
      </c>
      <c r="M59" t="s">
        <v>34</v>
      </c>
      <c r="N59" t="s">
        <v>35</v>
      </c>
      <c r="O59" t="s">
        <v>36</v>
      </c>
    </row>
    <row r="60" spans="1:15" x14ac:dyDescent="0.3">
      <c r="A60" t="s">
        <v>245</v>
      </c>
      <c r="B60" t="s">
        <v>246</v>
      </c>
      <c r="C60" t="s">
        <v>163</v>
      </c>
      <c r="D60" t="s">
        <v>29</v>
      </c>
      <c r="E60" t="s">
        <v>247</v>
      </c>
      <c r="F60" t="s">
        <v>31</v>
      </c>
      <c r="G60" t="s">
        <v>32</v>
      </c>
      <c r="H60" t="s">
        <v>11</v>
      </c>
      <c r="I60" t="s">
        <v>11</v>
      </c>
      <c r="J60">
        <v>26.6</v>
      </c>
      <c r="L60" t="s">
        <v>33</v>
      </c>
      <c r="M60" t="s">
        <v>34</v>
      </c>
      <c r="N60" t="s">
        <v>35</v>
      </c>
      <c r="O60" t="s">
        <v>36</v>
      </c>
    </row>
    <row r="61" spans="1:15" x14ac:dyDescent="0.3">
      <c r="A61" t="s">
        <v>248</v>
      </c>
      <c r="B61" t="s">
        <v>249</v>
      </c>
      <c r="C61" t="s">
        <v>163</v>
      </c>
      <c r="D61" t="s">
        <v>81</v>
      </c>
      <c r="E61" t="s">
        <v>250</v>
      </c>
      <c r="F61" t="s">
        <v>31</v>
      </c>
      <c r="G61" t="s">
        <v>32</v>
      </c>
      <c r="H61" t="s">
        <v>9</v>
      </c>
      <c r="I61" t="s">
        <v>9</v>
      </c>
      <c r="J61">
        <v>26.48</v>
      </c>
      <c r="K61" t="s">
        <v>179</v>
      </c>
      <c r="L61" t="s">
        <v>33</v>
      </c>
      <c r="M61" t="s">
        <v>34</v>
      </c>
      <c r="N61" t="s">
        <v>35</v>
      </c>
      <c r="O61" t="s">
        <v>36</v>
      </c>
    </row>
    <row r="62" spans="1:15" x14ac:dyDescent="0.3">
      <c r="A62" t="s">
        <v>251</v>
      </c>
      <c r="B62" t="s">
        <v>252</v>
      </c>
      <c r="C62" t="s">
        <v>163</v>
      </c>
      <c r="D62" t="s">
        <v>164</v>
      </c>
      <c r="E62" t="s">
        <v>253</v>
      </c>
      <c r="F62" t="s">
        <v>31</v>
      </c>
      <c r="G62" t="s">
        <v>32</v>
      </c>
      <c r="H62" t="s">
        <v>9</v>
      </c>
      <c r="I62" t="s">
        <v>9</v>
      </c>
      <c r="J62">
        <v>25.32</v>
      </c>
      <c r="L62" t="s">
        <v>33</v>
      </c>
      <c r="M62" t="s">
        <v>34</v>
      </c>
      <c r="N62" t="s">
        <v>35</v>
      </c>
      <c r="O62" t="s">
        <v>36</v>
      </c>
    </row>
    <row r="63" spans="1:15" x14ac:dyDescent="0.3">
      <c r="A63" t="s">
        <v>254</v>
      </c>
      <c r="B63" t="s">
        <v>255</v>
      </c>
      <c r="C63" t="s">
        <v>163</v>
      </c>
      <c r="D63" t="s">
        <v>164</v>
      </c>
      <c r="E63" t="s">
        <v>256</v>
      </c>
      <c r="F63" t="s">
        <v>31</v>
      </c>
      <c r="G63" t="s">
        <v>32</v>
      </c>
      <c r="H63" t="s">
        <v>9</v>
      </c>
      <c r="I63" t="s">
        <v>9</v>
      </c>
      <c r="J63">
        <v>26.78</v>
      </c>
      <c r="L63" t="s">
        <v>33</v>
      </c>
      <c r="M63" t="s">
        <v>34</v>
      </c>
      <c r="N63" t="s">
        <v>35</v>
      </c>
      <c r="O63" t="s">
        <v>36</v>
      </c>
    </row>
    <row r="64" spans="1:15" x14ac:dyDescent="0.3">
      <c r="A64" t="s">
        <v>257</v>
      </c>
      <c r="B64" t="s">
        <v>258</v>
      </c>
      <c r="C64" t="s">
        <v>163</v>
      </c>
      <c r="D64" t="s">
        <v>40</v>
      </c>
      <c r="E64" t="s">
        <v>259</v>
      </c>
      <c r="F64" t="s">
        <v>31</v>
      </c>
      <c r="G64" t="s">
        <v>32</v>
      </c>
      <c r="H64" t="s">
        <v>9</v>
      </c>
      <c r="I64" t="s">
        <v>9</v>
      </c>
      <c r="J64">
        <v>27.92</v>
      </c>
      <c r="L64" t="s">
        <v>33</v>
      </c>
      <c r="M64" t="s">
        <v>34</v>
      </c>
      <c r="N64" t="s">
        <v>35</v>
      </c>
      <c r="O64" t="s">
        <v>36</v>
      </c>
    </row>
    <row r="65" spans="1:15" x14ac:dyDescent="0.3">
      <c r="A65" t="s">
        <v>260</v>
      </c>
      <c r="B65" t="s">
        <v>255</v>
      </c>
      <c r="C65" t="s">
        <v>163</v>
      </c>
      <c r="D65" t="s">
        <v>164</v>
      </c>
      <c r="E65" t="s">
        <v>261</v>
      </c>
      <c r="F65" t="s">
        <v>31</v>
      </c>
      <c r="G65" t="s">
        <v>32</v>
      </c>
      <c r="H65" t="s">
        <v>9</v>
      </c>
      <c r="I65" t="s">
        <v>9</v>
      </c>
      <c r="J65">
        <v>24.91</v>
      </c>
      <c r="L65" t="s">
        <v>33</v>
      </c>
      <c r="M65" t="s">
        <v>34</v>
      </c>
      <c r="N65" t="s">
        <v>35</v>
      </c>
      <c r="O65" t="s">
        <v>36</v>
      </c>
    </row>
    <row r="66" spans="1:15" x14ac:dyDescent="0.3">
      <c r="A66" t="s">
        <v>262</v>
      </c>
      <c r="B66" t="s">
        <v>263</v>
      </c>
      <c r="C66" t="s">
        <v>163</v>
      </c>
      <c r="D66" t="s">
        <v>29</v>
      </c>
      <c r="E66" t="s">
        <v>264</v>
      </c>
      <c r="F66" t="s">
        <v>31</v>
      </c>
      <c r="G66" t="s">
        <v>32</v>
      </c>
      <c r="H66" t="s">
        <v>11</v>
      </c>
      <c r="I66" t="s">
        <v>11</v>
      </c>
      <c r="J66">
        <v>28.31</v>
      </c>
      <c r="L66" t="s">
        <v>33</v>
      </c>
      <c r="M66" t="s">
        <v>34</v>
      </c>
      <c r="N66" t="s">
        <v>35</v>
      </c>
      <c r="O66" t="s">
        <v>36</v>
      </c>
    </row>
    <row r="67" spans="1:15" x14ac:dyDescent="0.3">
      <c r="A67" t="s">
        <v>265</v>
      </c>
      <c r="B67" t="s">
        <v>266</v>
      </c>
      <c r="C67" t="s">
        <v>267</v>
      </c>
      <c r="D67" t="s">
        <v>45</v>
      </c>
      <c r="E67" t="s">
        <v>268</v>
      </c>
      <c r="F67" t="s">
        <v>31</v>
      </c>
      <c r="G67" t="s">
        <v>32</v>
      </c>
      <c r="H67" t="s">
        <v>8</v>
      </c>
      <c r="I67" t="s">
        <v>8</v>
      </c>
      <c r="J67">
        <v>23.25</v>
      </c>
      <c r="L67" t="s">
        <v>33</v>
      </c>
      <c r="M67" t="s">
        <v>34</v>
      </c>
      <c r="N67" t="s">
        <v>35</v>
      </c>
      <c r="O67" t="s">
        <v>36</v>
      </c>
    </row>
    <row r="68" spans="1:15" x14ac:dyDescent="0.3">
      <c r="A68" t="s">
        <v>269</v>
      </c>
      <c r="B68" t="s">
        <v>270</v>
      </c>
      <c r="C68" t="s">
        <v>271</v>
      </c>
      <c r="D68" t="s">
        <v>81</v>
      </c>
      <c r="E68" t="s">
        <v>272</v>
      </c>
      <c r="F68" t="s">
        <v>31</v>
      </c>
      <c r="G68" t="s">
        <v>32</v>
      </c>
      <c r="H68" t="s">
        <v>8</v>
      </c>
      <c r="I68" t="s">
        <v>8</v>
      </c>
      <c r="J68">
        <v>29.06</v>
      </c>
      <c r="L68" t="s">
        <v>33</v>
      </c>
      <c r="M68" t="s">
        <v>34</v>
      </c>
      <c r="N68" t="s">
        <v>35</v>
      </c>
      <c r="O68" t="s">
        <v>36</v>
      </c>
    </row>
    <row r="69" spans="1:15" x14ac:dyDescent="0.3">
      <c r="A69" t="s">
        <v>273</v>
      </c>
      <c r="B69" t="s">
        <v>274</v>
      </c>
      <c r="C69" t="s">
        <v>275</v>
      </c>
      <c r="D69" t="s">
        <v>29</v>
      </c>
      <c r="E69" t="s">
        <v>275</v>
      </c>
      <c r="F69" t="s">
        <v>31</v>
      </c>
      <c r="G69" t="s">
        <v>32</v>
      </c>
      <c r="H69" t="s">
        <v>8</v>
      </c>
      <c r="I69" t="s">
        <v>8</v>
      </c>
      <c r="J69">
        <v>22.23</v>
      </c>
      <c r="L69" t="s">
        <v>33</v>
      </c>
      <c r="M69" t="s">
        <v>34</v>
      </c>
      <c r="N69" t="s">
        <v>35</v>
      </c>
      <c r="O69" t="s">
        <v>36</v>
      </c>
    </row>
    <row r="70" spans="1:15" x14ac:dyDescent="0.3">
      <c r="A70" t="s">
        <v>276</v>
      </c>
      <c r="B70" t="s">
        <v>277</v>
      </c>
      <c r="C70" t="s">
        <v>278</v>
      </c>
      <c r="D70" t="s">
        <v>58</v>
      </c>
      <c r="E70" t="s">
        <v>279</v>
      </c>
      <c r="F70" t="s">
        <v>31</v>
      </c>
      <c r="G70" t="s">
        <v>32</v>
      </c>
      <c r="H70" t="s">
        <v>8</v>
      </c>
      <c r="I70" t="s">
        <v>8</v>
      </c>
      <c r="J70">
        <v>25</v>
      </c>
      <c r="L70" t="s">
        <v>166</v>
      </c>
      <c r="M70" t="s">
        <v>34</v>
      </c>
      <c r="N70" t="s">
        <v>35</v>
      </c>
      <c r="O70" t="s">
        <v>36</v>
      </c>
    </row>
    <row r="71" spans="1:15" x14ac:dyDescent="0.3">
      <c r="A71" t="s">
        <v>280</v>
      </c>
      <c r="B71" t="s">
        <v>281</v>
      </c>
      <c r="C71" t="s">
        <v>282</v>
      </c>
      <c r="D71" t="s">
        <v>29</v>
      </c>
      <c r="E71" t="s">
        <v>283</v>
      </c>
      <c r="F71" t="s">
        <v>31</v>
      </c>
      <c r="G71" t="s">
        <v>32</v>
      </c>
      <c r="H71" t="s">
        <v>8</v>
      </c>
      <c r="I71" t="s">
        <v>8</v>
      </c>
      <c r="J71">
        <v>23.33</v>
      </c>
      <c r="L71" t="s">
        <v>33</v>
      </c>
      <c r="M71" t="s">
        <v>34</v>
      </c>
      <c r="N71" t="s">
        <v>35</v>
      </c>
      <c r="O71" t="s">
        <v>36</v>
      </c>
    </row>
    <row r="72" spans="1:15" x14ac:dyDescent="0.3">
      <c r="A72" t="s">
        <v>284</v>
      </c>
      <c r="B72" t="s">
        <v>285</v>
      </c>
      <c r="C72" t="s">
        <v>286</v>
      </c>
      <c r="D72" t="s">
        <v>29</v>
      </c>
      <c r="E72" t="s">
        <v>287</v>
      </c>
      <c r="F72" t="s">
        <v>288</v>
      </c>
      <c r="G72" t="s">
        <v>32</v>
      </c>
      <c r="H72" t="s">
        <v>8</v>
      </c>
      <c r="I72" t="s">
        <v>8</v>
      </c>
      <c r="J72">
        <v>26.38</v>
      </c>
      <c r="L72" t="s">
        <v>33</v>
      </c>
      <c r="M72" t="s">
        <v>34</v>
      </c>
      <c r="N72" t="s">
        <v>35</v>
      </c>
      <c r="O72" t="s">
        <v>36</v>
      </c>
    </row>
    <row r="73" spans="1:15" x14ac:dyDescent="0.3">
      <c r="A73" t="s">
        <v>289</v>
      </c>
      <c r="B73" t="s">
        <v>290</v>
      </c>
      <c r="C73" t="s">
        <v>291</v>
      </c>
      <c r="D73" t="s">
        <v>58</v>
      </c>
      <c r="E73" t="s">
        <v>292</v>
      </c>
      <c r="F73" t="s">
        <v>31</v>
      </c>
      <c r="G73" t="s">
        <v>32</v>
      </c>
      <c r="H73" t="s">
        <v>8</v>
      </c>
      <c r="I73" t="s">
        <v>8</v>
      </c>
      <c r="J73">
        <v>26.52</v>
      </c>
      <c r="L73" t="s">
        <v>33</v>
      </c>
      <c r="M73" t="s">
        <v>34</v>
      </c>
      <c r="N73" t="s">
        <v>35</v>
      </c>
      <c r="O73" t="s">
        <v>36</v>
      </c>
    </row>
    <row r="74" spans="1:15" x14ac:dyDescent="0.3">
      <c r="A74" t="s">
        <v>293</v>
      </c>
      <c r="B74" t="s">
        <v>294</v>
      </c>
      <c r="C74" t="s">
        <v>295</v>
      </c>
      <c r="D74" t="s">
        <v>29</v>
      </c>
      <c r="E74" t="s">
        <v>296</v>
      </c>
      <c r="F74" t="s">
        <v>31</v>
      </c>
      <c r="G74" t="s">
        <v>32</v>
      </c>
      <c r="H74" t="s">
        <v>9</v>
      </c>
      <c r="I74" t="s">
        <v>9</v>
      </c>
      <c r="J74">
        <v>25.01</v>
      </c>
      <c r="K74" t="s">
        <v>297</v>
      </c>
      <c r="L74" t="s">
        <v>33</v>
      </c>
      <c r="M74" t="s">
        <v>34</v>
      </c>
      <c r="N74" t="s">
        <v>35</v>
      </c>
      <c r="O74" t="s">
        <v>36</v>
      </c>
    </row>
    <row r="75" spans="1:15" x14ac:dyDescent="0.3">
      <c r="A75" t="s">
        <v>298</v>
      </c>
      <c r="B75" t="s">
        <v>299</v>
      </c>
      <c r="C75" t="s">
        <v>295</v>
      </c>
      <c r="D75" t="s">
        <v>58</v>
      </c>
      <c r="E75" t="s">
        <v>300</v>
      </c>
      <c r="F75" t="s">
        <v>31</v>
      </c>
      <c r="G75" t="s">
        <v>32</v>
      </c>
      <c r="H75" t="s">
        <v>10</v>
      </c>
      <c r="I75" t="s">
        <v>10</v>
      </c>
      <c r="J75">
        <v>25.29</v>
      </c>
      <c r="L75" t="s">
        <v>33</v>
      </c>
      <c r="M75" t="s">
        <v>34</v>
      </c>
      <c r="N75" t="s">
        <v>35</v>
      </c>
      <c r="O75" t="s">
        <v>36</v>
      </c>
    </row>
    <row r="76" spans="1:15" x14ac:dyDescent="0.3">
      <c r="A76" t="s">
        <v>301</v>
      </c>
      <c r="B76" t="s">
        <v>294</v>
      </c>
      <c r="C76" t="s">
        <v>295</v>
      </c>
      <c r="D76" t="s">
        <v>29</v>
      </c>
      <c r="E76" t="s">
        <v>302</v>
      </c>
      <c r="F76" t="s">
        <v>31</v>
      </c>
      <c r="G76" t="s">
        <v>32</v>
      </c>
      <c r="H76" t="s">
        <v>10</v>
      </c>
      <c r="I76" t="s">
        <v>10</v>
      </c>
      <c r="J76">
        <v>25.25</v>
      </c>
      <c r="L76" t="s">
        <v>33</v>
      </c>
      <c r="M76" t="s">
        <v>34</v>
      </c>
      <c r="N76" t="s">
        <v>35</v>
      </c>
      <c r="O76" t="s">
        <v>36</v>
      </c>
    </row>
    <row r="77" spans="1:15" x14ac:dyDescent="0.3">
      <c r="A77" t="s">
        <v>303</v>
      </c>
      <c r="B77" t="s">
        <v>294</v>
      </c>
      <c r="C77" t="s">
        <v>295</v>
      </c>
      <c r="D77" t="s">
        <v>29</v>
      </c>
      <c r="E77" t="s">
        <v>304</v>
      </c>
      <c r="F77" t="s">
        <v>31</v>
      </c>
      <c r="G77" t="s">
        <v>32</v>
      </c>
      <c r="H77" t="s">
        <v>10</v>
      </c>
      <c r="I77" t="s">
        <v>10</v>
      </c>
      <c r="J77">
        <v>26.8</v>
      </c>
      <c r="L77" t="s">
        <v>33</v>
      </c>
      <c r="M77" t="s">
        <v>34</v>
      </c>
      <c r="N77" t="s">
        <v>35</v>
      </c>
      <c r="O77" t="s">
        <v>36</v>
      </c>
    </row>
    <row r="78" spans="1:15" x14ac:dyDescent="0.3">
      <c r="A78" t="s">
        <v>305</v>
      </c>
      <c r="B78" t="s">
        <v>294</v>
      </c>
      <c r="C78" t="s">
        <v>295</v>
      </c>
      <c r="D78" t="s">
        <v>29</v>
      </c>
      <c r="E78" t="s">
        <v>306</v>
      </c>
      <c r="F78" t="s">
        <v>31</v>
      </c>
      <c r="G78" t="s">
        <v>32</v>
      </c>
      <c r="H78" t="s">
        <v>10</v>
      </c>
      <c r="I78" t="s">
        <v>10</v>
      </c>
      <c r="J78">
        <v>25.15</v>
      </c>
      <c r="L78" t="s">
        <v>33</v>
      </c>
      <c r="M78" t="s">
        <v>34</v>
      </c>
      <c r="N78" t="s">
        <v>35</v>
      </c>
      <c r="O78" t="s">
        <v>36</v>
      </c>
    </row>
    <row r="79" spans="1:15" x14ac:dyDescent="0.3">
      <c r="A79" t="s">
        <v>307</v>
      </c>
      <c r="B79" t="s">
        <v>294</v>
      </c>
      <c r="C79" t="s">
        <v>295</v>
      </c>
      <c r="D79" t="s">
        <v>164</v>
      </c>
      <c r="E79" t="s">
        <v>308</v>
      </c>
      <c r="F79" t="s">
        <v>31</v>
      </c>
      <c r="G79" t="s">
        <v>32</v>
      </c>
      <c r="H79" t="s">
        <v>10</v>
      </c>
      <c r="I79" t="s">
        <v>10</v>
      </c>
      <c r="J79">
        <v>26.35</v>
      </c>
      <c r="L79" t="s">
        <v>33</v>
      </c>
      <c r="M79" t="s">
        <v>34</v>
      </c>
      <c r="N79" t="s">
        <v>35</v>
      </c>
      <c r="O79" t="s">
        <v>36</v>
      </c>
    </row>
    <row r="80" spans="1:15" x14ac:dyDescent="0.3">
      <c r="A80" t="s">
        <v>309</v>
      </c>
      <c r="B80" t="s">
        <v>294</v>
      </c>
      <c r="C80" t="s">
        <v>295</v>
      </c>
      <c r="D80" t="s">
        <v>40</v>
      </c>
      <c r="E80" t="s">
        <v>310</v>
      </c>
      <c r="F80" t="s">
        <v>31</v>
      </c>
      <c r="G80" t="s">
        <v>32</v>
      </c>
      <c r="H80" t="s">
        <v>10</v>
      </c>
      <c r="I80" t="s">
        <v>10</v>
      </c>
      <c r="J80">
        <v>25.28</v>
      </c>
      <c r="L80" t="s">
        <v>33</v>
      </c>
      <c r="M80" t="s">
        <v>34</v>
      </c>
      <c r="N80" t="s">
        <v>35</v>
      </c>
      <c r="O80" t="s">
        <v>36</v>
      </c>
    </row>
    <row r="81" spans="1:15" x14ac:dyDescent="0.3">
      <c r="A81" t="s">
        <v>311</v>
      </c>
      <c r="B81" t="s">
        <v>312</v>
      </c>
      <c r="C81" t="s">
        <v>313</v>
      </c>
      <c r="D81" t="s">
        <v>45</v>
      </c>
      <c r="E81" t="s">
        <v>314</v>
      </c>
      <c r="F81" t="s">
        <v>31</v>
      </c>
      <c r="G81" t="s">
        <v>32</v>
      </c>
      <c r="H81" t="s">
        <v>8</v>
      </c>
      <c r="I81" t="s">
        <v>8</v>
      </c>
      <c r="J81">
        <v>24.36</v>
      </c>
      <c r="L81" t="s">
        <v>33</v>
      </c>
      <c r="M81" t="s">
        <v>34</v>
      </c>
      <c r="N81" t="s">
        <v>35</v>
      </c>
      <c r="O81" t="s">
        <v>36</v>
      </c>
    </row>
    <row r="82" spans="1:15" x14ac:dyDescent="0.3">
      <c r="A82" t="s">
        <v>315</v>
      </c>
      <c r="B82" t="s">
        <v>316</v>
      </c>
      <c r="C82" t="s">
        <v>317</v>
      </c>
      <c r="D82" t="s">
        <v>115</v>
      </c>
      <c r="E82" t="s">
        <v>131</v>
      </c>
      <c r="F82" t="s">
        <v>31</v>
      </c>
      <c r="G82" t="s">
        <v>32</v>
      </c>
      <c r="H82" t="s">
        <v>8</v>
      </c>
      <c r="I82" t="s">
        <v>8</v>
      </c>
      <c r="J82">
        <v>24.89</v>
      </c>
      <c r="L82" t="s">
        <v>33</v>
      </c>
      <c r="M82" t="s">
        <v>34</v>
      </c>
      <c r="N82" t="s">
        <v>35</v>
      </c>
      <c r="O82" t="s">
        <v>36</v>
      </c>
    </row>
    <row r="83" spans="1:15" x14ac:dyDescent="0.3">
      <c r="A83" t="s">
        <v>318</v>
      </c>
      <c r="B83" t="s">
        <v>319</v>
      </c>
      <c r="C83" t="s">
        <v>163</v>
      </c>
      <c r="D83" t="s">
        <v>29</v>
      </c>
      <c r="E83" t="s">
        <v>320</v>
      </c>
      <c r="F83" t="s">
        <v>31</v>
      </c>
      <c r="G83" t="s">
        <v>32</v>
      </c>
      <c r="H83" t="s">
        <v>9</v>
      </c>
      <c r="I83" t="s">
        <v>9</v>
      </c>
      <c r="J83">
        <v>27.51</v>
      </c>
      <c r="K83" t="s">
        <v>179</v>
      </c>
      <c r="L83" t="s">
        <v>33</v>
      </c>
      <c r="M83" t="s">
        <v>34</v>
      </c>
      <c r="N83" t="s">
        <v>35</v>
      </c>
      <c r="O8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3"/>
  <sheetViews>
    <sheetView tabSelected="1" workbookViewId="0">
      <selection activeCell="H1" sqref="H1"/>
    </sheetView>
  </sheetViews>
  <sheetFormatPr defaultRowHeight="14.4" x14ac:dyDescent="0.3"/>
  <cols>
    <col min="1" max="1" width="18.6640625" customWidth="1"/>
    <col min="3" max="3" width="30.77734375" customWidth="1"/>
    <col min="4" max="4" width="18.77734375" customWidth="1"/>
    <col min="6" max="7" width="16.33203125" customWidth="1"/>
  </cols>
  <sheetData>
    <row r="1" spans="1:11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1030</v>
      </c>
      <c r="H1" s="1" t="s">
        <v>321</v>
      </c>
      <c r="I1" s="1" t="s">
        <v>3</v>
      </c>
      <c r="J1" s="1" t="s">
        <v>4</v>
      </c>
      <c r="K1" s="1" t="s">
        <v>5</v>
      </c>
    </row>
    <row r="2" spans="1:11" x14ac:dyDescent="0.3">
      <c r="A2" t="s">
        <v>8</v>
      </c>
      <c r="B2" s="41">
        <v>70279</v>
      </c>
      <c r="C2" t="s">
        <v>143</v>
      </c>
      <c r="D2" t="s">
        <v>144</v>
      </c>
      <c r="E2" t="s">
        <v>45</v>
      </c>
      <c r="F2" t="s">
        <v>145</v>
      </c>
      <c r="G2" s="7" t="str">
        <f ca="1">OFFSET('Corn Processors'!Q2,MATCH('By Plant'!B2,'Corn Processors'!C:C,0),)</f>
        <v>ICM</v>
      </c>
      <c r="H2">
        <v>1</v>
      </c>
      <c r="I2">
        <v>21.93</v>
      </c>
      <c r="J2">
        <v>21.93</v>
      </c>
      <c r="K2">
        <v>21.93</v>
      </c>
    </row>
    <row r="3" spans="1:11" x14ac:dyDescent="0.3">
      <c r="A3" t="s">
        <v>8</v>
      </c>
      <c r="B3" s="41">
        <v>70112</v>
      </c>
      <c r="C3" t="s">
        <v>274</v>
      </c>
      <c r="D3" t="s">
        <v>275</v>
      </c>
      <c r="E3" t="s">
        <v>29</v>
      </c>
      <c r="F3" t="s">
        <v>275</v>
      </c>
      <c r="G3" s="7" t="str">
        <f ca="1">OFFSET('Corn Processors'!Q3,MATCH('By Plant'!B3,'Corn Processors'!C:C,0),)</f>
        <v>ICM</v>
      </c>
      <c r="H3">
        <v>1</v>
      </c>
      <c r="I3">
        <v>22.23</v>
      </c>
      <c r="J3">
        <v>22.23</v>
      </c>
      <c r="K3">
        <v>22.23</v>
      </c>
    </row>
    <row r="4" spans="1:11" x14ac:dyDescent="0.3">
      <c r="A4" t="s">
        <v>10</v>
      </c>
      <c r="B4" s="41">
        <v>70079</v>
      </c>
      <c r="C4" t="s">
        <v>133</v>
      </c>
      <c r="D4" t="s">
        <v>134</v>
      </c>
      <c r="E4" t="s">
        <v>58</v>
      </c>
      <c r="F4" t="s">
        <v>135</v>
      </c>
      <c r="G4" s="7" t="str">
        <f ca="1">OFFSET('Corn Processors'!Q4,MATCH('By Plant'!B4,'Corn Processors'!C:C,0),)</f>
        <v>ICM</v>
      </c>
      <c r="H4">
        <v>1</v>
      </c>
      <c r="I4">
        <v>23</v>
      </c>
      <c r="J4">
        <v>23</v>
      </c>
      <c r="K4">
        <v>23</v>
      </c>
    </row>
    <row r="5" spans="1:11" x14ac:dyDescent="0.3">
      <c r="A5" t="s">
        <v>8</v>
      </c>
      <c r="B5" s="41">
        <v>70071</v>
      </c>
      <c r="C5" t="s">
        <v>87</v>
      </c>
      <c r="D5" t="s">
        <v>88</v>
      </c>
      <c r="E5" t="s">
        <v>40</v>
      </c>
      <c r="F5" t="s">
        <v>89</v>
      </c>
      <c r="G5" s="7" t="str">
        <f ca="1">OFFSET('Corn Processors'!Q5,MATCH('By Plant'!B5,'Corn Processors'!C:C,0),)</f>
        <v>Vogelbusch</v>
      </c>
      <c r="H5">
        <v>1</v>
      </c>
      <c r="I5">
        <v>23.22</v>
      </c>
      <c r="J5">
        <v>23.22</v>
      </c>
      <c r="K5">
        <v>23.22</v>
      </c>
    </row>
    <row r="6" spans="1:11" x14ac:dyDescent="0.3">
      <c r="A6" t="s">
        <v>8</v>
      </c>
      <c r="B6" s="41">
        <v>70158</v>
      </c>
      <c r="C6" t="s">
        <v>266</v>
      </c>
      <c r="D6" t="s">
        <v>267</v>
      </c>
      <c r="E6" t="s">
        <v>45</v>
      </c>
      <c r="F6" t="s">
        <v>268</v>
      </c>
      <c r="G6" s="7" t="str">
        <f ca="1">OFFSET('Corn Processors'!Q6,MATCH('By Plant'!B6,'Corn Processors'!C:C,0),)</f>
        <v>Katzen</v>
      </c>
      <c r="H6">
        <v>1</v>
      </c>
      <c r="I6">
        <v>23.25</v>
      </c>
      <c r="J6">
        <v>23.25</v>
      </c>
      <c r="K6">
        <v>23.25</v>
      </c>
    </row>
    <row r="7" spans="1:11" x14ac:dyDescent="0.3">
      <c r="A7" t="s">
        <v>8</v>
      </c>
      <c r="B7" s="41">
        <v>70326</v>
      </c>
      <c r="C7" t="s">
        <v>281</v>
      </c>
      <c r="D7" t="s">
        <v>282</v>
      </c>
      <c r="E7" t="s">
        <v>29</v>
      </c>
      <c r="F7" t="s">
        <v>283</v>
      </c>
      <c r="G7" s="7" t="str">
        <f ca="1">OFFSET('Corn Processors'!Q7,MATCH('By Plant'!B7,'Corn Processors'!C:C,0),)</f>
        <v>ICM</v>
      </c>
      <c r="H7">
        <v>1</v>
      </c>
      <c r="I7">
        <v>23.33</v>
      </c>
      <c r="J7">
        <v>23.33</v>
      </c>
      <c r="K7">
        <v>23.33</v>
      </c>
    </row>
    <row r="8" spans="1:11" x14ac:dyDescent="0.3">
      <c r="A8" t="s">
        <v>9</v>
      </c>
      <c r="B8" s="41">
        <v>70012</v>
      </c>
      <c r="C8" t="s">
        <v>185</v>
      </c>
      <c r="D8" t="s">
        <v>163</v>
      </c>
      <c r="E8" t="s">
        <v>81</v>
      </c>
      <c r="F8" t="s">
        <v>186</v>
      </c>
      <c r="G8" s="7" t="str">
        <f ca="1">OFFSET('Corn Processors'!Q8,MATCH('By Plant'!B8,'Corn Processors'!C:C,0),)</f>
        <v>Poet</v>
      </c>
      <c r="H8">
        <v>1</v>
      </c>
      <c r="I8">
        <v>23.48</v>
      </c>
      <c r="J8">
        <v>23.48</v>
      </c>
      <c r="K8">
        <v>23.48</v>
      </c>
    </row>
    <row r="9" spans="1:11" x14ac:dyDescent="0.3">
      <c r="A9" t="s">
        <v>8</v>
      </c>
      <c r="B9" s="41">
        <v>70092</v>
      </c>
      <c r="C9" t="s">
        <v>147</v>
      </c>
      <c r="D9" t="s">
        <v>147</v>
      </c>
      <c r="E9" t="s">
        <v>29</v>
      </c>
      <c r="F9" t="s">
        <v>148</v>
      </c>
      <c r="G9" s="7" t="str">
        <f ca="1">OFFSET('Corn Processors'!Q9,MATCH('By Plant'!B9,'Corn Processors'!C:C,0),)</f>
        <v>Lurgi</v>
      </c>
      <c r="H9">
        <v>1</v>
      </c>
      <c r="I9">
        <v>23.7</v>
      </c>
      <c r="J9">
        <v>23.7</v>
      </c>
      <c r="K9">
        <v>23.7</v>
      </c>
    </row>
    <row r="10" spans="1:11" x14ac:dyDescent="0.3">
      <c r="A10" t="s">
        <v>8</v>
      </c>
      <c r="B10" s="41">
        <v>70089</v>
      </c>
      <c r="C10" t="s">
        <v>110</v>
      </c>
      <c r="D10" t="s">
        <v>110</v>
      </c>
      <c r="E10" t="s">
        <v>40</v>
      </c>
      <c r="F10" t="s">
        <v>111</v>
      </c>
      <c r="G10" s="7" t="str">
        <f ca="1">OFFSET('Corn Processors'!Q10,MATCH('By Plant'!B10,'Corn Processors'!C:C,0),)</f>
        <v>Delta-T</v>
      </c>
      <c r="H10">
        <v>1</v>
      </c>
      <c r="I10">
        <v>24</v>
      </c>
      <c r="J10">
        <v>24</v>
      </c>
      <c r="K10">
        <v>24</v>
      </c>
    </row>
    <row r="11" spans="1:11" x14ac:dyDescent="0.3">
      <c r="A11" t="s">
        <v>9</v>
      </c>
      <c r="B11" s="41">
        <v>70023</v>
      </c>
      <c r="C11" t="s">
        <v>229</v>
      </c>
      <c r="D11" t="s">
        <v>163</v>
      </c>
      <c r="E11" t="s">
        <v>230</v>
      </c>
      <c r="F11" t="s">
        <v>231</v>
      </c>
      <c r="G11" s="7" t="str">
        <f ca="1">OFFSET('Corn Processors'!Q11,MATCH('By Plant'!B11,'Corn Processors'!C:C,0),)</f>
        <v>Poet</v>
      </c>
      <c r="H11">
        <v>1</v>
      </c>
      <c r="I11">
        <v>24.02</v>
      </c>
      <c r="J11">
        <v>24.02</v>
      </c>
      <c r="K11">
        <v>24.02</v>
      </c>
    </row>
    <row r="12" spans="1:11" x14ac:dyDescent="0.3">
      <c r="A12" t="s">
        <v>8</v>
      </c>
      <c r="B12" s="41">
        <v>70139</v>
      </c>
      <c r="C12" t="s">
        <v>154</v>
      </c>
      <c r="D12" t="s">
        <v>155</v>
      </c>
      <c r="E12" t="s">
        <v>29</v>
      </c>
      <c r="F12" t="s">
        <v>156</v>
      </c>
      <c r="G12" s="7" t="str">
        <f ca="1">OFFSET('Corn Processors'!Q12,MATCH('By Plant'!B12,'Corn Processors'!C:C,0),)</f>
        <v>Waste Stream</v>
      </c>
      <c r="H12">
        <v>1</v>
      </c>
      <c r="I12">
        <v>24.19</v>
      </c>
      <c r="J12">
        <v>24.19</v>
      </c>
      <c r="K12">
        <v>24.19</v>
      </c>
    </row>
    <row r="13" spans="1:11" x14ac:dyDescent="0.3">
      <c r="A13" t="s">
        <v>8</v>
      </c>
      <c r="B13" s="41">
        <v>70030</v>
      </c>
      <c r="C13" t="s">
        <v>312</v>
      </c>
      <c r="D13" t="s">
        <v>313</v>
      </c>
      <c r="E13" t="s">
        <v>45</v>
      </c>
      <c r="F13" t="s">
        <v>314</v>
      </c>
      <c r="G13" s="7" t="str">
        <f ca="1">OFFSET('Corn Processors'!Q13,MATCH('By Plant'!B13,'Corn Processors'!C:C,0),)</f>
        <v>Unknown</v>
      </c>
      <c r="H13">
        <v>1</v>
      </c>
      <c r="I13">
        <v>24.36</v>
      </c>
      <c r="J13">
        <v>24.36</v>
      </c>
      <c r="K13">
        <v>24.36</v>
      </c>
    </row>
    <row r="14" spans="1:11" x14ac:dyDescent="0.3">
      <c r="A14" t="s">
        <v>8</v>
      </c>
      <c r="B14" s="41">
        <v>70247</v>
      </c>
      <c r="C14" t="s">
        <v>43</v>
      </c>
      <c r="D14" t="s">
        <v>44</v>
      </c>
      <c r="E14" t="s">
        <v>45</v>
      </c>
      <c r="F14" t="s">
        <v>46</v>
      </c>
      <c r="G14" s="7" t="str">
        <f ca="1">OFFSET('Corn Processors'!Q14,MATCH('By Plant'!B14,'Corn Processors'!C:C,0),)</f>
        <v>Vogelbusch</v>
      </c>
      <c r="H14">
        <v>1</v>
      </c>
      <c r="I14">
        <v>24.39</v>
      </c>
      <c r="J14">
        <v>24.39</v>
      </c>
      <c r="K14">
        <v>24.39</v>
      </c>
    </row>
    <row r="15" spans="1:11" x14ac:dyDescent="0.3">
      <c r="A15" t="s">
        <v>8</v>
      </c>
      <c r="B15" s="41">
        <v>70117</v>
      </c>
      <c r="C15" t="s">
        <v>53</v>
      </c>
      <c r="D15" t="s">
        <v>44</v>
      </c>
      <c r="E15" t="s">
        <v>45</v>
      </c>
      <c r="F15" t="s">
        <v>54</v>
      </c>
      <c r="G15" s="7" t="str">
        <f ca="1">OFFSET('Corn Processors'!Q15,MATCH('By Plant'!B15,'Corn Processors'!C:C,0),)</f>
        <v>ICM</v>
      </c>
      <c r="H15">
        <v>1</v>
      </c>
      <c r="I15">
        <v>24.44</v>
      </c>
      <c r="J15">
        <v>24.44</v>
      </c>
      <c r="K15">
        <v>24.44</v>
      </c>
    </row>
    <row r="16" spans="1:11" x14ac:dyDescent="0.3">
      <c r="A16" t="s">
        <v>10</v>
      </c>
      <c r="B16" s="41">
        <v>70289</v>
      </c>
      <c r="C16" t="s">
        <v>102</v>
      </c>
      <c r="D16" t="s">
        <v>103</v>
      </c>
      <c r="E16" t="s">
        <v>40</v>
      </c>
      <c r="F16" t="s">
        <v>104</v>
      </c>
      <c r="G16" s="7" t="str">
        <f ca="1">OFFSET('Corn Processors'!Q16,MATCH('By Plant'!B16,'Corn Processors'!C:C,0),)</f>
        <v>ICM</v>
      </c>
      <c r="H16">
        <v>1</v>
      </c>
      <c r="I16">
        <v>24.5</v>
      </c>
      <c r="J16">
        <v>24.5</v>
      </c>
      <c r="K16">
        <v>24.5</v>
      </c>
    </row>
    <row r="17" spans="1:11" x14ac:dyDescent="0.3">
      <c r="A17" t="s">
        <v>8</v>
      </c>
      <c r="B17" s="41">
        <v>70188</v>
      </c>
      <c r="C17" t="s">
        <v>126</v>
      </c>
      <c r="D17" t="s">
        <v>127</v>
      </c>
      <c r="E17" t="s">
        <v>29</v>
      </c>
      <c r="F17" t="s">
        <v>128</v>
      </c>
      <c r="G17" s="7" t="str">
        <f ca="1">OFFSET('Corn Processors'!Q17,MATCH('By Plant'!B17,'Corn Processors'!C:C,0),)</f>
        <v>ICM</v>
      </c>
      <c r="H17">
        <v>1</v>
      </c>
      <c r="I17">
        <v>24.68</v>
      </c>
      <c r="J17">
        <v>24.68</v>
      </c>
      <c r="K17">
        <v>24.68</v>
      </c>
    </row>
    <row r="18" spans="1:11" x14ac:dyDescent="0.3">
      <c r="A18" t="s">
        <v>8</v>
      </c>
      <c r="B18" s="41">
        <v>70097</v>
      </c>
      <c r="C18" t="s">
        <v>119</v>
      </c>
      <c r="D18" t="s">
        <v>88</v>
      </c>
      <c r="E18" t="s">
        <v>40</v>
      </c>
      <c r="F18" t="s">
        <v>120</v>
      </c>
      <c r="G18" s="7" t="str">
        <f ca="1">OFFSET('Corn Processors'!Q18,MATCH('By Plant'!B18,'Corn Processors'!C:C,0),)</f>
        <v>Delta-T</v>
      </c>
      <c r="H18">
        <v>1</v>
      </c>
      <c r="I18">
        <v>24.83</v>
      </c>
      <c r="J18">
        <v>24.83</v>
      </c>
      <c r="K18">
        <v>24.83</v>
      </c>
    </row>
    <row r="19" spans="1:11" x14ac:dyDescent="0.3">
      <c r="A19" t="s">
        <v>8</v>
      </c>
      <c r="B19" s="41">
        <v>70039</v>
      </c>
      <c r="C19" t="s">
        <v>316</v>
      </c>
      <c r="D19" t="s">
        <v>317</v>
      </c>
      <c r="E19" t="s">
        <v>115</v>
      </c>
      <c r="F19" t="s">
        <v>131</v>
      </c>
      <c r="G19" s="7">
        <f ca="1">OFFSET('Corn Processors'!Q19,MATCH('By Plant'!B19,'Corn Processors'!C:C,0),)</f>
        <v>0</v>
      </c>
      <c r="H19">
        <v>1</v>
      </c>
      <c r="I19">
        <v>24.89</v>
      </c>
      <c r="J19">
        <v>24.89</v>
      </c>
      <c r="K19">
        <v>24.89</v>
      </c>
    </row>
    <row r="20" spans="1:11" x14ac:dyDescent="0.3">
      <c r="A20" t="s">
        <v>9</v>
      </c>
      <c r="B20" s="41">
        <v>20621</v>
      </c>
      <c r="C20" t="s">
        <v>255</v>
      </c>
      <c r="D20" t="s">
        <v>163</v>
      </c>
      <c r="E20" t="s">
        <v>164</v>
      </c>
      <c r="F20" t="s">
        <v>261</v>
      </c>
      <c r="G20" s="7" t="str">
        <f ca="1">OFFSET('Corn Processors'!Q20,MATCH('By Plant'!B20,'Corn Processors'!C:C,0),)</f>
        <v>ICM</v>
      </c>
      <c r="H20">
        <v>1</v>
      </c>
      <c r="I20">
        <v>24.91</v>
      </c>
      <c r="J20">
        <v>24.91</v>
      </c>
      <c r="K20">
        <v>24.91</v>
      </c>
    </row>
    <row r="21" spans="1:11" x14ac:dyDescent="0.3">
      <c r="A21" t="s">
        <v>9</v>
      </c>
      <c r="B21" s="41">
        <v>70033</v>
      </c>
      <c r="C21" t="s">
        <v>210</v>
      </c>
      <c r="D21" t="s">
        <v>163</v>
      </c>
      <c r="E21" t="s">
        <v>29</v>
      </c>
      <c r="F21" t="s">
        <v>211</v>
      </c>
      <c r="G21" s="7" t="str">
        <f ca="1">OFFSET('Corn Processors'!Q21,MATCH('By Plant'!B21,'Corn Processors'!C:C,0),)</f>
        <v>Delta-T</v>
      </c>
      <c r="H21">
        <v>1</v>
      </c>
      <c r="I21">
        <v>24.96</v>
      </c>
      <c r="J21">
        <v>24.96</v>
      </c>
      <c r="K21">
        <v>24.96</v>
      </c>
    </row>
    <row r="22" spans="1:11" x14ac:dyDescent="0.3">
      <c r="A22" t="s">
        <v>8</v>
      </c>
      <c r="B22" s="41">
        <v>70134</v>
      </c>
      <c r="C22" t="s">
        <v>277</v>
      </c>
      <c r="D22" t="s">
        <v>278</v>
      </c>
      <c r="E22" t="s">
        <v>58</v>
      </c>
      <c r="F22" t="s">
        <v>279</v>
      </c>
      <c r="G22" s="7" t="str">
        <f ca="1">OFFSET('Corn Processors'!Q22,MATCH('By Plant'!B22,'Corn Processors'!C:C,0),)</f>
        <v>ICM</v>
      </c>
      <c r="H22">
        <v>1</v>
      </c>
      <c r="I22">
        <v>25</v>
      </c>
      <c r="J22">
        <v>25</v>
      </c>
      <c r="K22">
        <v>25</v>
      </c>
    </row>
    <row r="23" spans="1:11" x14ac:dyDescent="0.3">
      <c r="A23" t="s">
        <v>9</v>
      </c>
      <c r="B23" s="41">
        <v>70142</v>
      </c>
      <c r="C23" t="s">
        <v>294</v>
      </c>
      <c r="D23" t="s">
        <v>295</v>
      </c>
      <c r="E23" t="s">
        <v>29</v>
      </c>
      <c r="F23" t="s">
        <v>296</v>
      </c>
      <c r="G23" s="7" t="str">
        <f ca="1">OFFSET('Corn Processors'!Q23,MATCH('By Plant'!B23,'Corn Processors'!C:C,0),)</f>
        <v>ICM</v>
      </c>
      <c r="H23">
        <v>1</v>
      </c>
      <c r="I23">
        <v>25.01</v>
      </c>
      <c r="J23">
        <v>25.01</v>
      </c>
      <c r="K23">
        <v>25.01</v>
      </c>
    </row>
    <row r="24" spans="1:11" x14ac:dyDescent="0.3">
      <c r="A24" t="s">
        <v>9</v>
      </c>
      <c r="B24" s="41">
        <v>70017</v>
      </c>
      <c r="C24" t="s">
        <v>240</v>
      </c>
      <c r="D24" t="s">
        <v>163</v>
      </c>
      <c r="E24" t="s">
        <v>230</v>
      </c>
      <c r="F24" t="s">
        <v>241</v>
      </c>
      <c r="G24" s="7" t="str">
        <f ca="1">OFFSET('Corn Processors'!Q24,MATCH('By Plant'!B24,'Corn Processors'!C:C,0),)</f>
        <v>Wet Mill</v>
      </c>
      <c r="H24">
        <v>1</v>
      </c>
      <c r="I24">
        <v>25.11</v>
      </c>
      <c r="J24">
        <v>25.11</v>
      </c>
      <c r="K24">
        <v>25.11</v>
      </c>
    </row>
    <row r="25" spans="1:11" x14ac:dyDescent="0.3">
      <c r="A25" t="s">
        <v>10</v>
      </c>
      <c r="B25" s="41">
        <v>70235</v>
      </c>
      <c r="C25" t="s">
        <v>122</v>
      </c>
      <c r="D25" t="s">
        <v>123</v>
      </c>
      <c r="E25" t="s">
        <v>40</v>
      </c>
      <c r="F25" t="s">
        <v>124</v>
      </c>
      <c r="G25" s="7" t="str">
        <f ca="1">OFFSET('Corn Processors'!Q25,MATCH('By Plant'!B25,'Corn Processors'!C:C,0),)</f>
        <v>Delta-T</v>
      </c>
      <c r="H25">
        <v>1</v>
      </c>
      <c r="I25">
        <v>25.13</v>
      </c>
      <c r="J25">
        <v>25.13</v>
      </c>
      <c r="K25">
        <v>25.13</v>
      </c>
    </row>
    <row r="26" spans="1:11" x14ac:dyDescent="0.3">
      <c r="A26" t="s">
        <v>10</v>
      </c>
      <c r="B26" s="41">
        <v>70275</v>
      </c>
      <c r="C26" t="s">
        <v>294</v>
      </c>
      <c r="D26" t="s">
        <v>295</v>
      </c>
      <c r="E26" t="s">
        <v>29</v>
      </c>
      <c r="F26" t="s">
        <v>306</v>
      </c>
      <c r="G26" s="7">
        <f ca="1">OFFSET('Corn Processors'!Q26,MATCH('By Plant'!B26,'Corn Processors'!C:C,0),)</f>
        <v>0</v>
      </c>
      <c r="H26">
        <v>1</v>
      </c>
      <c r="I26">
        <v>25.15</v>
      </c>
      <c r="J26">
        <v>25.15</v>
      </c>
      <c r="K26">
        <v>25.15</v>
      </c>
    </row>
    <row r="27" spans="1:11" x14ac:dyDescent="0.3">
      <c r="A27" t="s">
        <v>10</v>
      </c>
      <c r="B27" s="41">
        <v>70098</v>
      </c>
      <c r="C27" t="s">
        <v>137</v>
      </c>
      <c r="D27" t="s">
        <v>134</v>
      </c>
      <c r="E27" t="s">
        <v>58</v>
      </c>
      <c r="F27" t="s">
        <v>138</v>
      </c>
      <c r="G27" s="7" t="str">
        <f ca="1">OFFSET('Corn Processors'!Q27,MATCH('By Plant'!B27,'Corn Processors'!C:C,0),)</f>
        <v>Poet</v>
      </c>
      <c r="H27">
        <v>1</v>
      </c>
      <c r="I27">
        <v>25.15</v>
      </c>
      <c r="J27">
        <v>25.15</v>
      </c>
      <c r="K27">
        <v>25.15</v>
      </c>
    </row>
    <row r="28" spans="1:11" x14ac:dyDescent="0.3">
      <c r="A28" t="s">
        <v>12</v>
      </c>
      <c r="B28" s="41">
        <v>71684</v>
      </c>
      <c r="C28" t="s">
        <v>223</v>
      </c>
      <c r="D28" t="s">
        <v>163</v>
      </c>
      <c r="E28" t="s">
        <v>29</v>
      </c>
      <c r="F28" t="s">
        <v>224</v>
      </c>
      <c r="G28" s="7" t="str">
        <f ca="1">OFFSET('Corn Processors'!Q28,MATCH('By Plant'!B28,'Corn Processors'!C:C,0),)</f>
        <v>ICM</v>
      </c>
      <c r="H28">
        <v>1</v>
      </c>
      <c r="I28">
        <v>25.25</v>
      </c>
      <c r="J28">
        <v>25.25</v>
      </c>
      <c r="K28">
        <v>25.25</v>
      </c>
    </row>
    <row r="29" spans="1:11" x14ac:dyDescent="0.3">
      <c r="A29" t="s">
        <v>10</v>
      </c>
      <c r="B29" s="41">
        <v>70042</v>
      </c>
      <c r="C29" t="s">
        <v>294</v>
      </c>
      <c r="D29" t="s">
        <v>295</v>
      </c>
      <c r="E29" t="s">
        <v>29</v>
      </c>
      <c r="F29" t="s">
        <v>302</v>
      </c>
      <c r="G29" s="7">
        <f ca="1">OFFSET('Corn Processors'!Q29,MATCH('By Plant'!B29,'Corn Processors'!C:C,0),)</f>
        <v>0</v>
      </c>
      <c r="H29">
        <v>1</v>
      </c>
      <c r="I29">
        <v>25.25</v>
      </c>
      <c r="J29">
        <v>25.25</v>
      </c>
      <c r="K29">
        <v>25.25</v>
      </c>
    </row>
    <row r="30" spans="1:11" x14ac:dyDescent="0.3">
      <c r="A30" t="s">
        <v>10</v>
      </c>
      <c r="B30" s="41">
        <v>70276</v>
      </c>
      <c r="C30" t="s">
        <v>294</v>
      </c>
      <c r="D30" t="s">
        <v>295</v>
      </c>
      <c r="E30" t="s">
        <v>40</v>
      </c>
      <c r="F30" t="s">
        <v>310</v>
      </c>
      <c r="G30" s="7">
        <f ca="1">OFFSET('Corn Processors'!Q30,MATCH('By Plant'!B30,'Corn Processors'!C:C,0),)</f>
        <v>0</v>
      </c>
      <c r="H30">
        <v>1</v>
      </c>
      <c r="I30">
        <v>25.28</v>
      </c>
      <c r="J30">
        <v>25.28</v>
      </c>
      <c r="K30">
        <v>25.28</v>
      </c>
    </row>
    <row r="31" spans="1:11" x14ac:dyDescent="0.3">
      <c r="A31" t="s">
        <v>10</v>
      </c>
      <c r="B31" s="41">
        <v>70283</v>
      </c>
      <c r="C31" t="s">
        <v>299</v>
      </c>
      <c r="D31" t="s">
        <v>295</v>
      </c>
      <c r="E31" t="s">
        <v>58</v>
      </c>
      <c r="F31" t="s">
        <v>300</v>
      </c>
      <c r="G31" s="7" t="str">
        <f ca="1">OFFSET('Corn Processors'!Q31,MATCH('By Plant'!B31,'Corn Processors'!C:C,0),)</f>
        <v>Unknown</v>
      </c>
      <c r="H31">
        <v>1</v>
      </c>
      <c r="I31">
        <v>25.29</v>
      </c>
      <c r="J31">
        <v>25.29</v>
      </c>
      <c r="K31">
        <v>25.29</v>
      </c>
    </row>
    <row r="32" spans="1:11" x14ac:dyDescent="0.3">
      <c r="A32" t="s">
        <v>9</v>
      </c>
      <c r="B32" s="41">
        <v>70322</v>
      </c>
      <c r="C32" t="s">
        <v>252</v>
      </c>
      <c r="D32" t="s">
        <v>163</v>
      </c>
      <c r="E32" t="s">
        <v>164</v>
      </c>
      <c r="F32" t="s">
        <v>253</v>
      </c>
      <c r="G32" s="7" t="str">
        <f ca="1">OFFSET('Corn Processors'!Q32,MATCH('By Plant'!B32,'Corn Processors'!C:C,0),)</f>
        <v>ICM</v>
      </c>
      <c r="H32">
        <v>1</v>
      </c>
      <c r="I32">
        <v>25.32</v>
      </c>
      <c r="J32">
        <v>25.32</v>
      </c>
      <c r="K32">
        <v>25.32</v>
      </c>
    </row>
    <row r="33" spans="1:11" x14ac:dyDescent="0.3">
      <c r="A33" t="s">
        <v>9</v>
      </c>
      <c r="B33" s="41">
        <v>70032</v>
      </c>
      <c r="C33" t="s">
        <v>171</v>
      </c>
      <c r="D33" t="s">
        <v>163</v>
      </c>
      <c r="E33" t="s">
        <v>29</v>
      </c>
      <c r="F33" t="s">
        <v>172</v>
      </c>
      <c r="G33" s="7" t="str">
        <f ca="1">OFFSET('Corn Processors'!Q33,MATCH('By Plant'!B33,'Corn Processors'!C:C,0),)</f>
        <v>Delta-T</v>
      </c>
      <c r="H33">
        <v>1</v>
      </c>
      <c r="I33">
        <v>25.42</v>
      </c>
      <c r="J33">
        <v>25.42</v>
      </c>
      <c r="K33">
        <v>25.42</v>
      </c>
    </row>
    <row r="34" spans="1:11" x14ac:dyDescent="0.3">
      <c r="A34" t="s">
        <v>8</v>
      </c>
      <c r="B34" s="41">
        <v>70151</v>
      </c>
      <c r="C34" t="s">
        <v>130</v>
      </c>
      <c r="D34" t="s">
        <v>92</v>
      </c>
      <c r="E34" t="s">
        <v>58</v>
      </c>
      <c r="F34" t="s">
        <v>131</v>
      </c>
      <c r="G34" s="7" t="str">
        <f ca="1">OFFSET('Corn Processors'!Q34,MATCH('By Plant'!B34,'Corn Processors'!C:C,0),)</f>
        <v>Poet</v>
      </c>
      <c r="H34">
        <v>1</v>
      </c>
      <c r="I34">
        <v>25.83</v>
      </c>
      <c r="J34">
        <v>25.83</v>
      </c>
      <c r="K34">
        <v>25.83</v>
      </c>
    </row>
    <row r="35" spans="1:11" x14ac:dyDescent="0.3">
      <c r="A35" t="s">
        <v>11</v>
      </c>
      <c r="B35" s="41">
        <v>71683</v>
      </c>
      <c r="C35" t="s">
        <v>197</v>
      </c>
      <c r="D35" t="s">
        <v>163</v>
      </c>
      <c r="E35" t="s">
        <v>29</v>
      </c>
      <c r="F35" t="s">
        <v>198</v>
      </c>
      <c r="G35" s="7" t="str">
        <f ca="1">OFFSET('Corn Processors'!Q35,MATCH('By Plant'!B35,'Corn Processors'!C:C,0),)</f>
        <v>ICM</v>
      </c>
      <c r="H35">
        <v>1</v>
      </c>
      <c r="I35">
        <v>25.94</v>
      </c>
      <c r="J35">
        <v>25.94</v>
      </c>
      <c r="K35">
        <v>25.94</v>
      </c>
    </row>
    <row r="36" spans="1:11" x14ac:dyDescent="0.3">
      <c r="A36" t="s">
        <v>10</v>
      </c>
      <c r="B36" s="41">
        <v>70288</v>
      </c>
      <c r="C36" t="s">
        <v>106</v>
      </c>
      <c r="D36" t="s">
        <v>103</v>
      </c>
      <c r="E36" t="s">
        <v>107</v>
      </c>
      <c r="F36" t="s">
        <v>108</v>
      </c>
      <c r="G36" s="7" t="str">
        <f ca="1">OFFSET('Corn Processors'!Q36,MATCH('By Plant'!B36,'Corn Processors'!C:C,0),)</f>
        <v>Poet</v>
      </c>
      <c r="H36">
        <v>1</v>
      </c>
      <c r="I36">
        <v>26</v>
      </c>
      <c r="J36">
        <v>26</v>
      </c>
      <c r="K36">
        <v>26</v>
      </c>
    </row>
    <row r="37" spans="1:11" x14ac:dyDescent="0.3">
      <c r="A37" t="s">
        <v>8</v>
      </c>
      <c r="B37" s="41">
        <v>70015</v>
      </c>
      <c r="C37" t="s">
        <v>150</v>
      </c>
      <c r="D37" t="s">
        <v>151</v>
      </c>
      <c r="E37" t="s">
        <v>29</v>
      </c>
      <c r="F37" t="s">
        <v>152</v>
      </c>
      <c r="G37" s="7" t="str">
        <f ca="1">OFFSET('Corn Processors'!Q37,MATCH('By Plant'!B37,'Corn Processors'!C:C,0),)</f>
        <v>Poet</v>
      </c>
      <c r="H37">
        <v>1</v>
      </c>
      <c r="I37">
        <v>26</v>
      </c>
      <c r="J37">
        <v>26</v>
      </c>
      <c r="K37">
        <v>26</v>
      </c>
    </row>
    <row r="38" spans="1:11" x14ac:dyDescent="0.3">
      <c r="A38" t="s">
        <v>10</v>
      </c>
      <c r="B38" s="41">
        <v>70196</v>
      </c>
      <c r="C38" t="s">
        <v>294</v>
      </c>
      <c r="D38" t="s">
        <v>295</v>
      </c>
      <c r="E38" t="s">
        <v>164</v>
      </c>
      <c r="F38" t="s">
        <v>308</v>
      </c>
      <c r="G38" s="7">
        <f ca="1">OFFSET('Corn Processors'!Q38,MATCH('By Plant'!B38,'Corn Processors'!C:C,0),)</f>
        <v>0</v>
      </c>
      <c r="H38">
        <v>1</v>
      </c>
      <c r="I38">
        <v>26.35</v>
      </c>
      <c r="J38">
        <v>26.35</v>
      </c>
      <c r="K38">
        <v>26.35</v>
      </c>
    </row>
    <row r="39" spans="1:11" x14ac:dyDescent="0.3">
      <c r="A39" t="s">
        <v>8</v>
      </c>
      <c r="B39" s="41">
        <v>70884</v>
      </c>
      <c r="C39" t="s">
        <v>285</v>
      </c>
      <c r="D39" t="s">
        <v>286</v>
      </c>
      <c r="E39" t="s">
        <v>29</v>
      </c>
      <c r="F39" t="s">
        <v>287</v>
      </c>
      <c r="G39" s="7">
        <f ca="1">OFFSET('Corn Processors'!Q39,MATCH('By Plant'!B39,'Corn Processors'!C:C,0),)</f>
        <v>0</v>
      </c>
      <c r="H39">
        <v>1</v>
      </c>
      <c r="I39">
        <v>26.38</v>
      </c>
      <c r="J39">
        <v>26.38</v>
      </c>
      <c r="K39">
        <v>26.38</v>
      </c>
    </row>
    <row r="40" spans="1:11" x14ac:dyDescent="0.3">
      <c r="A40" t="s">
        <v>9</v>
      </c>
      <c r="B40" s="41">
        <v>70016</v>
      </c>
      <c r="C40" t="s">
        <v>249</v>
      </c>
      <c r="D40" t="s">
        <v>163</v>
      </c>
      <c r="E40" t="s">
        <v>81</v>
      </c>
      <c r="F40" t="s">
        <v>250</v>
      </c>
      <c r="G40" s="7" t="str">
        <f ca="1">OFFSET('Corn Processors'!Q40,MATCH('By Plant'!B40,'Corn Processors'!C:C,0),)</f>
        <v>ICM</v>
      </c>
      <c r="H40">
        <v>1</v>
      </c>
      <c r="I40">
        <v>26.48</v>
      </c>
      <c r="J40">
        <v>26.48</v>
      </c>
      <c r="K40">
        <v>26.48</v>
      </c>
    </row>
    <row r="41" spans="1:11" x14ac:dyDescent="0.3">
      <c r="A41" t="s">
        <v>8</v>
      </c>
      <c r="B41" s="41">
        <v>70053</v>
      </c>
      <c r="C41" t="s">
        <v>290</v>
      </c>
      <c r="D41" t="s">
        <v>291</v>
      </c>
      <c r="E41" t="s">
        <v>58</v>
      </c>
      <c r="F41" t="s">
        <v>292</v>
      </c>
      <c r="G41" s="7">
        <f ca="1">OFFSET('Corn Processors'!Q41,MATCH('By Plant'!B41,'Corn Processors'!C:C,0),)</f>
        <v>0</v>
      </c>
      <c r="H41">
        <v>1</v>
      </c>
      <c r="I41">
        <v>26.52</v>
      </c>
      <c r="J41">
        <v>26.52</v>
      </c>
      <c r="K41">
        <v>26.52</v>
      </c>
    </row>
    <row r="42" spans="1:11" x14ac:dyDescent="0.3">
      <c r="A42" t="s">
        <v>11</v>
      </c>
      <c r="B42" s="41">
        <v>71685</v>
      </c>
      <c r="C42" t="s">
        <v>246</v>
      </c>
      <c r="D42" t="s">
        <v>163</v>
      </c>
      <c r="E42" t="s">
        <v>29</v>
      </c>
      <c r="F42" t="s">
        <v>247</v>
      </c>
      <c r="G42" s="7" t="str">
        <f ca="1">OFFSET('Corn Processors'!Q42,MATCH('By Plant'!B42,'Corn Processors'!C:C,0),)</f>
        <v>Delta-T</v>
      </c>
      <c r="H42">
        <v>1</v>
      </c>
      <c r="I42">
        <v>26.6</v>
      </c>
      <c r="J42">
        <v>26.6</v>
      </c>
      <c r="K42">
        <v>26.6</v>
      </c>
    </row>
    <row r="43" spans="1:11" x14ac:dyDescent="0.3">
      <c r="A43" t="s">
        <v>9</v>
      </c>
      <c r="B43" s="41">
        <v>70031</v>
      </c>
      <c r="C43" t="s">
        <v>191</v>
      </c>
      <c r="D43" t="s">
        <v>163</v>
      </c>
      <c r="E43" t="s">
        <v>29</v>
      </c>
      <c r="F43" t="s">
        <v>192</v>
      </c>
      <c r="G43" s="7" t="str">
        <f ca="1">OFFSET('Corn Processors'!Q43,MATCH('By Plant'!B43,'Corn Processors'!C:C,0),)</f>
        <v>ICM</v>
      </c>
      <c r="H43">
        <v>1</v>
      </c>
      <c r="I43">
        <v>26.63</v>
      </c>
      <c r="J43">
        <v>26.63</v>
      </c>
      <c r="K43">
        <v>26.63</v>
      </c>
    </row>
    <row r="44" spans="1:11" x14ac:dyDescent="0.3">
      <c r="A44" t="s">
        <v>8</v>
      </c>
      <c r="B44" s="41">
        <v>73561</v>
      </c>
      <c r="C44" t="s">
        <v>91</v>
      </c>
      <c r="D44" t="s">
        <v>92</v>
      </c>
      <c r="E44" t="s">
        <v>58</v>
      </c>
      <c r="F44" t="s">
        <v>93</v>
      </c>
      <c r="G44" s="7" t="str">
        <f ca="1">OFFSET('Corn Processors'!Q44,MATCH('By Plant'!B44,'Corn Processors'!C:C,0),)</f>
        <v>Delta-T</v>
      </c>
      <c r="H44">
        <v>1</v>
      </c>
      <c r="I44">
        <v>26.66</v>
      </c>
      <c r="J44">
        <v>26.66</v>
      </c>
      <c r="K44">
        <v>26.66</v>
      </c>
    </row>
    <row r="45" spans="1:11" x14ac:dyDescent="0.3">
      <c r="A45" t="s">
        <v>9</v>
      </c>
      <c r="B45" s="41">
        <v>70108</v>
      </c>
      <c r="C45" t="s">
        <v>255</v>
      </c>
      <c r="D45" t="s">
        <v>163</v>
      </c>
      <c r="E45" t="s">
        <v>164</v>
      </c>
      <c r="F45" t="s">
        <v>256</v>
      </c>
      <c r="G45" s="7" t="str">
        <f ca="1">OFFSET('Corn Processors'!Q45,MATCH('By Plant'!B45,'Corn Processors'!C:C,0),)</f>
        <v>Vogelbusch</v>
      </c>
      <c r="H45">
        <v>1</v>
      </c>
      <c r="I45">
        <v>26.78</v>
      </c>
      <c r="J45">
        <v>26.78</v>
      </c>
      <c r="K45">
        <v>26.78</v>
      </c>
    </row>
    <row r="46" spans="1:11" x14ac:dyDescent="0.3">
      <c r="A46" t="s">
        <v>10</v>
      </c>
      <c r="B46" s="41">
        <v>70043</v>
      </c>
      <c r="C46" t="s">
        <v>294</v>
      </c>
      <c r="D46" t="s">
        <v>295</v>
      </c>
      <c r="E46" t="s">
        <v>29</v>
      </c>
      <c r="F46" t="s">
        <v>304</v>
      </c>
      <c r="G46" s="7">
        <f ca="1">OFFSET('Corn Processors'!Q46,MATCH('By Plant'!B46,'Corn Processors'!C:C,0),)</f>
        <v>0</v>
      </c>
      <c r="H46">
        <v>1</v>
      </c>
      <c r="I46">
        <v>26.8</v>
      </c>
      <c r="J46">
        <v>26.8</v>
      </c>
      <c r="K46">
        <v>26.8</v>
      </c>
    </row>
    <row r="47" spans="1:11" x14ac:dyDescent="0.3">
      <c r="A47" t="s">
        <v>9</v>
      </c>
      <c r="B47" s="41">
        <v>70022</v>
      </c>
      <c r="C47" t="s">
        <v>220</v>
      </c>
      <c r="D47" t="s">
        <v>163</v>
      </c>
      <c r="E47" t="s">
        <v>81</v>
      </c>
      <c r="F47" t="s">
        <v>221</v>
      </c>
      <c r="G47" s="7" t="str">
        <f ca="1">OFFSET('Corn Processors'!Q47,MATCH('By Plant'!B47,'Corn Processors'!C:C,0),)</f>
        <v>ICM</v>
      </c>
      <c r="H47">
        <v>1</v>
      </c>
      <c r="I47">
        <v>26.85</v>
      </c>
      <c r="J47">
        <v>26.85</v>
      </c>
      <c r="K47">
        <v>26.85</v>
      </c>
    </row>
    <row r="48" spans="1:11" x14ac:dyDescent="0.3">
      <c r="A48" t="s">
        <v>8</v>
      </c>
      <c r="B48" s="41">
        <v>70087</v>
      </c>
      <c r="C48" t="s">
        <v>38</v>
      </c>
      <c r="D48" t="s">
        <v>39</v>
      </c>
      <c r="E48" t="s">
        <v>40</v>
      </c>
      <c r="F48" t="s">
        <v>41</v>
      </c>
      <c r="G48" s="7" t="str">
        <f ca="1">OFFSET('Corn Processors'!Q48,MATCH('By Plant'!B48,'Corn Processors'!C:C,0),)</f>
        <v>Delta-T</v>
      </c>
      <c r="H48">
        <v>1</v>
      </c>
      <c r="I48">
        <v>26.86</v>
      </c>
      <c r="J48">
        <v>26.86</v>
      </c>
      <c r="K48">
        <v>26.86</v>
      </c>
    </row>
    <row r="49" spans="1:11" x14ac:dyDescent="0.3">
      <c r="A49" t="s">
        <v>9</v>
      </c>
      <c r="B49" s="41">
        <v>71682</v>
      </c>
      <c r="C49" t="s">
        <v>168</v>
      </c>
      <c r="D49" t="s">
        <v>163</v>
      </c>
      <c r="E49" t="s">
        <v>29</v>
      </c>
      <c r="F49" t="s">
        <v>169</v>
      </c>
      <c r="G49" s="7" t="str">
        <f ca="1">OFFSET('Corn Processors'!Q49,MATCH('By Plant'!B49,'Corn Processors'!C:C,0),)</f>
        <v>ICM</v>
      </c>
      <c r="H49">
        <v>1</v>
      </c>
      <c r="I49">
        <v>26.89</v>
      </c>
      <c r="J49">
        <v>26.89</v>
      </c>
      <c r="K49">
        <v>26.89</v>
      </c>
    </row>
    <row r="50" spans="1:11" x14ac:dyDescent="0.3">
      <c r="A50" t="s">
        <v>9</v>
      </c>
      <c r="B50" s="41">
        <v>70298</v>
      </c>
      <c r="C50" t="s">
        <v>162</v>
      </c>
      <c r="D50" t="s">
        <v>163</v>
      </c>
      <c r="E50" t="s">
        <v>164</v>
      </c>
      <c r="F50" t="s">
        <v>165</v>
      </c>
      <c r="G50" s="7" t="str">
        <f ca="1">OFFSET('Corn Processors'!Q50,MATCH('By Plant'!B50,'Corn Processors'!C:C,0),)</f>
        <v>ICM</v>
      </c>
      <c r="H50">
        <v>1</v>
      </c>
      <c r="I50">
        <v>26.95</v>
      </c>
      <c r="J50">
        <v>26.95</v>
      </c>
      <c r="K50">
        <v>26.95</v>
      </c>
    </row>
    <row r="51" spans="1:11" x14ac:dyDescent="0.3">
      <c r="A51" t="s">
        <v>9</v>
      </c>
      <c r="B51" s="41">
        <v>70143</v>
      </c>
      <c r="C51" t="s">
        <v>194</v>
      </c>
      <c r="D51" t="s">
        <v>163</v>
      </c>
      <c r="E51" t="s">
        <v>29</v>
      </c>
      <c r="F51" t="s">
        <v>195</v>
      </c>
      <c r="G51" s="7" t="str">
        <f ca="1">OFFSET('Corn Processors'!Q51,MATCH('By Plant'!B51,'Corn Processors'!C:C,0),)</f>
        <v>ICM</v>
      </c>
      <c r="H51">
        <v>1</v>
      </c>
      <c r="I51">
        <v>26.96</v>
      </c>
      <c r="J51">
        <v>26.96</v>
      </c>
      <c r="K51">
        <v>26.96</v>
      </c>
    </row>
    <row r="52" spans="1:11" x14ac:dyDescent="0.3">
      <c r="A52" t="s">
        <v>9</v>
      </c>
      <c r="B52" s="41">
        <v>70323</v>
      </c>
      <c r="C52" t="s">
        <v>203</v>
      </c>
      <c r="D52" t="s">
        <v>163</v>
      </c>
      <c r="E52" t="s">
        <v>204</v>
      </c>
      <c r="F52" t="s">
        <v>205</v>
      </c>
      <c r="G52" s="7" t="str">
        <f ca="1">OFFSET('Corn Processors'!Q52,MATCH('By Plant'!B52,'Corn Processors'!C:C,0),)</f>
        <v>ICM</v>
      </c>
      <c r="H52">
        <v>1</v>
      </c>
      <c r="I52">
        <v>26.96</v>
      </c>
      <c r="J52">
        <v>26.96</v>
      </c>
      <c r="K52">
        <v>26.96</v>
      </c>
    </row>
    <row r="53" spans="1:11" x14ac:dyDescent="0.3">
      <c r="A53" t="s">
        <v>8</v>
      </c>
      <c r="B53" s="41">
        <v>21601</v>
      </c>
      <c r="C53" t="s">
        <v>113</v>
      </c>
      <c r="D53" t="s">
        <v>114</v>
      </c>
      <c r="E53" t="s">
        <v>115</v>
      </c>
      <c r="F53" t="s">
        <v>116</v>
      </c>
      <c r="G53" s="7" t="str">
        <f ca="1">OFFSET('Corn Processors'!Q53,MATCH('By Plant'!B53,'Corn Processors'!C:C,0),)</f>
        <v>Poet</v>
      </c>
      <c r="H53">
        <v>1</v>
      </c>
      <c r="I53">
        <v>27</v>
      </c>
      <c r="J53">
        <v>27</v>
      </c>
      <c r="K53">
        <v>27</v>
      </c>
    </row>
    <row r="54" spans="1:11" x14ac:dyDescent="0.3">
      <c r="A54" t="s">
        <v>9</v>
      </c>
      <c r="B54" s="41">
        <v>70014</v>
      </c>
      <c r="C54" t="s">
        <v>226</v>
      </c>
      <c r="D54" t="s">
        <v>163</v>
      </c>
      <c r="E54" t="s">
        <v>29</v>
      </c>
      <c r="F54" t="s">
        <v>227</v>
      </c>
      <c r="G54" s="7" t="str">
        <f ca="1">OFFSET('Corn Processors'!Q54,MATCH('By Plant'!B54,'Corn Processors'!C:C,0),)</f>
        <v>Vogelbusch</v>
      </c>
      <c r="H54">
        <v>1</v>
      </c>
      <c r="I54">
        <v>27.18</v>
      </c>
      <c r="J54">
        <v>27.18</v>
      </c>
      <c r="K54">
        <v>27.18</v>
      </c>
    </row>
    <row r="55" spans="1:11" x14ac:dyDescent="0.3">
      <c r="A55" t="s">
        <v>8</v>
      </c>
      <c r="B55" s="41">
        <v>70130</v>
      </c>
      <c r="C55" t="s">
        <v>48</v>
      </c>
      <c r="D55" t="s">
        <v>49</v>
      </c>
      <c r="E55" t="s">
        <v>50</v>
      </c>
      <c r="F55" t="s">
        <v>51</v>
      </c>
      <c r="G55" s="7" t="str">
        <f ca="1">OFFSET('Corn Processors'!Q55,MATCH('By Plant'!B55,'Corn Processors'!C:C,0),)</f>
        <v>Delta-T</v>
      </c>
      <c r="H55">
        <v>1</v>
      </c>
      <c r="I55">
        <v>27.22</v>
      </c>
      <c r="J55">
        <v>27.22</v>
      </c>
      <c r="K55">
        <v>27.22</v>
      </c>
    </row>
    <row r="56" spans="1:11" x14ac:dyDescent="0.3">
      <c r="A56" t="s">
        <v>8</v>
      </c>
      <c r="B56" s="41">
        <v>72943</v>
      </c>
      <c r="C56" t="s">
        <v>140</v>
      </c>
      <c r="D56" t="s">
        <v>134</v>
      </c>
      <c r="E56" t="s">
        <v>58</v>
      </c>
      <c r="F56" t="s">
        <v>141</v>
      </c>
      <c r="G56" s="7" t="str">
        <f ca="1">OFFSET('Corn Processors'!Q56,MATCH('By Plant'!B56,'Corn Processors'!C:C,0),)</f>
        <v>Poet</v>
      </c>
      <c r="H56">
        <v>1</v>
      </c>
      <c r="I56">
        <v>27.39</v>
      </c>
      <c r="J56">
        <v>27.39</v>
      </c>
      <c r="K56">
        <v>27.39</v>
      </c>
    </row>
    <row r="57" spans="1:11" x14ac:dyDescent="0.3">
      <c r="A57" t="s">
        <v>9</v>
      </c>
      <c r="B57" s="41">
        <v>70021</v>
      </c>
      <c r="C57" t="s">
        <v>319</v>
      </c>
      <c r="D57" t="s">
        <v>163</v>
      </c>
      <c r="E57" t="s">
        <v>29</v>
      </c>
      <c r="F57" t="s">
        <v>320</v>
      </c>
      <c r="G57" s="7" t="str">
        <f ca="1">OFFSET('Corn Processors'!Q57,MATCH('By Plant'!B57,'Corn Processors'!C:C,0),)</f>
        <v>ICM</v>
      </c>
      <c r="H57">
        <v>1</v>
      </c>
      <c r="I57">
        <v>27.51</v>
      </c>
      <c r="J57">
        <v>27.51</v>
      </c>
      <c r="K57">
        <v>27.51</v>
      </c>
    </row>
    <row r="58" spans="1:11" x14ac:dyDescent="0.3">
      <c r="A58" t="s">
        <v>9</v>
      </c>
      <c r="B58" s="41">
        <v>70327</v>
      </c>
      <c r="C58" t="s">
        <v>243</v>
      </c>
      <c r="D58" t="s">
        <v>163</v>
      </c>
      <c r="E58" t="s">
        <v>204</v>
      </c>
      <c r="F58" t="s">
        <v>244</v>
      </c>
      <c r="G58" s="7" t="str">
        <f ca="1">OFFSET('Corn Processors'!Q58,MATCH('By Plant'!B58,'Corn Processors'!C:C,0),)</f>
        <v>Katzen</v>
      </c>
      <c r="H58">
        <v>1</v>
      </c>
      <c r="I58">
        <v>27.76</v>
      </c>
      <c r="J58">
        <v>27.76</v>
      </c>
      <c r="K58">
        <v>27.76</v>
      </c>
    </row>
    <row r="59" spans="1:11" x14ac:dyDescent="0.3">
      <c r="A59" t="s">
        <v>9</v>
      </c>
      <c r="B59" s="41">
        <v>70010</v>
      </c>
      <c r="C59" t="s">
        <v>217</v>
      </c>
      <c r="D59" t="s">
        <v>163</v>
      </c>
      <c r="E59" t="s">
        <v>29</v>
      </c>
      <c r="F59" t="s">
        <v>218</v>
      </c>
      <c r="G59" s="7" t="str">
        <f ca="1">OFFSET('Corn Processors'!Q59,MATCH('By Plant'!B59,'Corn Processors'!C:C,0),)</f>
        <v>ICM</v>
      </c>
      <c r="H59">
        <v>1</v>
      </c>
      <c r="I59">
        <v>27.88</v>
      </c>
      <c r="J59">
        <v>27.88</v>
      </c>
      <c r="K59">
        <v>27.88</v>
      </c>
    </row>
    <row r="60" spans="1:11" x14ac:dyDescent="0.3">
      <c r="A60" t="s">
        <v>9</v>
      </c>
      <c r="B60" s="41">
        <v>70056</v>
      </c>
      <c r="C60" t="s">
        <v>258</v>
      </c>
      <c r="D60" t="s">
        <v>163</v>
      </c>
      <c r="E60" t="s">
        <v>40</v>
      </c>
      <c r="F60" t="s">
        <v>259</v>
      </c>
      <c r="G60" s="7" t="str">
        <f ca="1">OFFSET('Corn Processors'!Q60,MATCH('By Plant'!B60,'Corn Processors'!C:C,0),)</f>
        <v>Unknown</v>
      </c>
      <c r="H60">
        <v>1</v>
      </c>
      <c r="I60">
        <v>27.92</v>
      </c>
      <c r="J60">
        <v>27.92</v>
      </c>
      <c r="K60">
        <v>27.92</v>
      </c>
    </row>
    <row r="61" spans="1:11" x14ac:dyDescent="0.3">
      <c r="A61" t="s">
        <v>10</v>
      </c>
      <c r="B61" s="41">
        <v>70153</v>
      </c>
      <c r="C61" t="s">
        <v>158</v>
      </c>
      <c r="D61" t="s">
        <v>159</v>
      </c>
      <c r="E61" t="s">
        <v>58</v>
      </c>
      <c r="F61" t="s">
        <v>160</v>
      </c>
      <c r="G61" s="7" t="str">
        <f ca="1">OFFSET('Corn Processors'!Q61,MATCH('By Plant'!B61,'Corn Processors'!C:C,0),)</f>
        <v>ICM</v>
      </c>
      <c r="H61">
        <v>1</v>
      </c>
      <c r="I61">
        <v>27.99</v>
      </c>
      <c r="J61">
        <v>27.99</v>
      </c>
      <c r="K61">
        <v>27.99</v>
      </c>
    </row>
    <row r="62" spans="1:11" x14ac:dyDescent="0.3">
      <c r="A62" t="s">
        <v>9</v>
      </c>
      <c r="B62" s="41">
        <v>70072</v>
      </c>
      <c r="C62" t="s">
        <v>234</v>
      </c>
      <c r="D62" t="s">
        <v>163</v>
      </c>
      <c r="E62" t="s">
        <v>40</v>
      </c>
      <c r="F62" t="s">
        <v>235</v>
      </c>
      <c r="G62" s="7" t="str">
        <f ca="1">OFFSET('Corn Processors'!Q62,MATCH('By Plant'!B62,'Corn Processors'!C:C,0),)</f>
        <v>Unknown</v>
      </c>
      <c r="H62">
        <v>1</v>
      </c>
      <c r="I62">
        <v>28.01</v>
      </c>
      <c r="J62">
        <v>28.01</v>
      </c>
      <c r="K62">
        <v>28.01</v>
      </c>
    </row>
    <row r="63" spans="1:11" x14ac:dyDescent="0.3">
      <c r="A63" t="s">
        <v>9</v>
      </c>
      <c r="B63" s="41">
        <v>70265</v>
      </c>
      <c r="C63" t="s">
        <v>237</v>
      </c>
      <c r="D63" t="s">
        <v>163</v>
      </c>
      <c r="E63" t="s">
        <v>204</v>
      </c>
      <c r="F63" t="s">
        <v>238</v>
      </c>
      <c r="G63" s="7" t="str">
        <f ca="1">OFFSET('Corn Processors'!Q63,MATCH('By Plant'!B63,'Corn Processors'!C:C,0),)</f>
        <v>Delta-T</v>
      </c>
      <c r="H63">
        <v>1</v>
      </c>
      <c r="I63">
        <v>28.07</v>
      </c>
      <c r="J63">
        <v>28.07</v>
      </c>
      <c r="K63">
        <v>28.07</v>
      </c>
    </row>
    <row r="64" spans="1:11" x14ac:dyDescent="0.3">
      <c r="A64" t="s">
        <v>11</v>
      </c>
      <c r="B64" s="41">
        <v>71686</v>
      </c>
      <c r="C64" t="s">
        <v>263</v>
      </c>
      <c r="D64" t="s">
        <v>163</v>
      </c>
      <c r="E64" t="s">
        <v>29</v>
      </c>
      <c r="F64" t="s">
        <v>264</v>
      </c>
      <c r="G64" s="7">
        <f ca="1">OFFSET('Corn Processors'!Q64,MATCH('By Plant'!B64,'Corn Processors'!C:C,0),)</f>
        <v>0</v>
      </c>
      <c r="H64">
        <v>1</v>
      </c>
      <c r="I64">
        <v>28.31</v>
      </c>
      <c r="J64">
        <v>28.31</v>
      </c>
      <c r="K64">
        <v>28.31</v>
      </c>
    </row>
    <row r="65" spans="1:11" x14ac:dyDescent="0.3">
      <c r="A65" t="s">
        <v>9</v>
      </c>
      <c r="B65" s="41">
        <v>70025</v>
      </c>
      <c r="C65" t="s">
        <v>174</v>
      </c>
      <c r="D65" t="s">
        <v>163</v>
      </c>
      <c r="E65" t="s">
        <v>81</v>
      </c>
      <c r="F65" t="s">
        <v>175</v>
      </c>
      <c r="G65" s="7" t="str">
        <f ca="1">OFFSET('Corn Processors'!Q65,MATCH('By Plant'!B65,'Corn Processors'!C:C,0),)</f>
        <v>Delta-T</v>
      </c>
      <c r="H65">
        <v>1</v>
      </c>
      <c r="I65">
        <v>28.31</v>
      </c>
      <c r="J65">
        <v>28.31</v>
      </c>
      <c r="K65">
        <v>28.31</v>
      </c>
    </row>
    <row r="66" spans="1:11" x14ac:dyDescent="0.3">
      <c r="A66" t="s">
        <v>8</v>
      </c>
      <c r="B66" s="41">
        <v>71287</v>
      </c>
      <c r="C66" t="s">
        <v>75</v>
      </c>
      <c r="D66" t="s">
        <v>76</v>
      </c>
      <c r="E66" t="s">
        <v>29</v>
      </c>
      <c r="F66" t="s">
        <v>77</v>
      </c>
      <c r="G66" s="7" t="str">
        <f ca="1">OFFSET('Corn Processors'!Q66,MATCH('By Plant'!B66,'Corn Processors'!C:C,0),)</f>
        <v>Poet</v>
      </c>
      <c r="H66">
        <v>1</v>
      </c>
      <c r="I66">
        <v>28.35</v>
      </c>
      <c r="J66">
        <v>28.35</v>
      </c>
      <c r="K66">
        <v>28.35</v>
      </c>
    </row>
    <row r="67" spans="1:11" x14ac:dyDescent="0.3">
      <c r="A67" t="s">
        <v>9</v>
      </c>
      <c r="B67" s="41">
        <v>70028</v>
      </c>
      <c r="C67" t="s">
        <v>181</v>
      </c>
      <c r="D67" t="s">
        <v>163</v>
      </c>
      <c r="E67" t="s">
        <v>182</v>
      </c>
      <c r="F67" t="s">
        <v>183</v>
      </c>
      <c r="G67" s="7" t="str">
        <f ca="1">OFFSET('Corn Processors'!Q67,MATCH('By Plant'!B67,'Corn Processors'!C:C,0),)</f>
        <v>ICM</v>
      </c>
      <c r="H67">
        <v>1</v>
      </c>
      <c r="I67">
        <v>28.59</v>
      </c>
      <c r="J67">
        <v>28.59</v>
      </c>
      <c r="K67">
        <v>28.59</v>
      </c>
    </row>
    <row r="68" spans="1:11" x14ac:dyDescent="0.3">
      <c r="A68" t="s">
        <v>9</v>
      </c>
      <c r="B68" s="41">
        <v>70013</v>
      </c>
      <c r="C68" t="s">
        <v>214</v>
      </c>
      <c r="D68" t="s">
        <v>163</v>
      </c>
      <c r="E68" t="s">
        <v>81</v>
      </c>
      <c r="F68" t="s">
        <v>215</v>
      </c>
      <c r="G68" s="7" t="str">
        <f ca="1">OFFSET('Corn Processors'!Q68,MATCH('By Plant'!B68,'Corn Processors'!C:C,0),)</f>
        <v>Katzen</v>
      </c>
      <c r="H68">
        <v>1</v>
      </c>
      <c r="I68">
        <v>28.95</v>
      </c>
      <c r="J68">
        <v>28.95</v>
      </c>
      <c r="K68">
        <v>28.95</v>
      </c>
    </row>
    <row r="69" spans="1:11" x14ac:dyDescent="0.3">
      <c r="A69" t="s">
        <v>8</v>
      </c>
      <c r="B69" s="41">
        <v>70078</v>
      </c>
      <c r="C69" t="s">
        <v>63</v>
      </c>
      <c r="D69" t="s">
        <v>64</v>
      </c>
      <c r="E69" t="s">
        <v>40</v>
      </c>
      <c r="F69" t="s">
        <v>65</v>
      </c>
      <c r="G69" s="7" t="str">
        <f ca="1">OFFSET('Corn Processors'!Q69,MATCH('By Plant'!B69,'Corn Processors'!C:C,0),)</f>
        <v>Delta-T</v>
      </c>
      <c r="H69">
        <v>1</v>
      </c>
      <c r="I69">
        <v>29</v>
      </c>
      <c r="J69">
        <v>29</v>
      </c>
      <c r="K69">
        <v>29</v>
      </c>
    </row>
    <row r="70" spans="1:11" x14ac:dyDescent="0.3">
      <c r="A70" t="s">
        <v>8</v>
      </c>
      <c r="B70" s="41">
        <v>70111</v>
      </c>
      <c r="C70" t="s">
        <v>270</v>
      </c>
      <c r="D70" t="s">
        <v>271</v>
      </c>
      <c r="E70" t="s">
        <v>81</v>
      </c>
      <c r="F70" t="s">
        <v>272</v>
      </c>
      <c r="G70" s="7">
        <f ca="1">OFFSET('Corn Processors'!Q70,MATCH('By Plant'!B70,'Corn Processors'!C:C,0),)</f>
        <v>0</v>
      </c>
      <c r="H70">
        <v>1</v>
      </c>
      <c r="I70">
        <v>29.06</v>
      </c>
      <c r="J70">
        <v>29.06</v>
      </c>
      <c r="K70">
        <v>29.06</v>
      </c>
    </row>
    <row r="71" spans="1:11" x14ac:dyDescent="0.3">
      <c r="A71" t="s">
        <v>8</v>
      </c>
      <c r="B71" s="41">
        <v>70722</v>
      </c>
      <c r="C71" t="s">
        <v>79</v>
      </c>
      <c r="D71" t="s">
        <v>80</v>
      </c>
      <c r="E71" t="s">
        <v>81</v>
      </c>
      <c r="F71" t="s">
        <v>82</v>
      </c>
      <c r="G71" s="7" t="str">
        <f ca="1">OFFSET('Corn Processors'!Q71,MATCH('By Plant'!B71,'Corn Processors'!C:C,0),)</f>
        <v>Poet</v>
      </c>
      <c r="H71">
        <v>1</v>
      </c>
      <c r="I71">
        <v>29.31</v>
      </c>
      <c r="J71">
        <v>29.31</v>
      </c>
      <c r="K71">
        <v>29.31</v>
      </c>
    </row>
    <row r="72" spans="1:11" x14ac:dyDescent="0.3">
      <c r="A72" t="s">
        <v>8</v>
      </c>
      <c r="B72" s="41">
        <v>70141</v>
      </c>
      <c r="C72" t="s">
        <v>95</v>
      </c>
      <c r="D72" t="s">
        <v>96</v>
      </c>
      <c r="E72" t="s">
        <v>58</v>
      </c>
      <c r="F72" t="s">
        <v>97</v>
      </c>
      <c r="G72" s="7" t="str">
        <f ca="1">OFFSET('Corn Processors'!Q72,MATCH('By Plant'!B72,'Corn Processors'!C:C,0),)</f>
        <v>Poet</v>
      </c>
      <c r="H72">
        <v>1</v>
      </c>
      <c r="I72">
        <v>29.5</v>
      </c>
      <c r="J72">
        <v>29.5</v>
      </c>
      <c r="K72">
        <v>29.5</v>
      </c>
    </row>
    <row r="73" spans="1:11" x14ac:dyDescent="0.3">
      <c r="A73" t="s">
        <v>8</v>
      </c>
      <c r="B73" s="41">
        <v>70144</v>
      </c>
      <c r="C73" t="s">
        <v>28</v>
      </c>
      <c r="D73" t="s">
        <v>28</v>
      </c>
      <c r="E73" t="s">
        <v>29</v>
      </c>
      <c r="F73" t="s">
        <v>30</v>
      </c>
      <c r="G73" s="7" t="str">
        <f ca="1">OFFSET('Corn Processors'!Q73,MATCH('By Plant'!B73,'Corn Processors'!C:C,0),)</f>
        <v>ICM</v>
      </c>
      <c r="H73">
        <v>1</v>
      </c>
      <c r="I73">
        <v>29.68</v>
      </c>
      <c r="J73">
        <v>29.68</v>
      </c>
      <c r="K73">
        <v>29.68</v>
      </c>
    </row>
    <row r="74" spans="1:11" x14ac:dyDescent="0.3">
      <c r="A74" t="s">
        <v>9</v>
      </c>
      <c r="B74" s="41">
        <v>70026</v>
      </c>
      <c r="C74" t="s">
        <v>177</v>
      </c>
      <c r="D74" t="s">
        <v>163</v>
      </c>
      <c r="E74" t="s">
        <v>40</v>
      </c>
      <c r="F74" t="s">
        <v>178</v>
      </c>
      <c r="G74" s="7" t="str">
        <f ca="1">OFFSET('Corn Processors'!Q74,MATCH('By Plant'!B74,'Corn Processors'!C:C,0),)</f>
        <v>Unknown</v>
      </c>
      <c r="H74">
        <v>1</v>
      </c>
      <c r="I74">
        <v>30</v>
      </c>
      <c r="J74">
        <v>30</v>
      </c>
      <c r="K74">
        <v>30</v>
      </c>
    </row>
    <row r="75" spans="1:11" x14ac:dyDescent="0.3">
      <c r="A75" t="s">
        <v>12</v>
      </c>
      <c r="B75" s="41">
        <v>71681</v>
      </c>
      <c r="C75" t="s">
        <v>200</v>
      </c>
      <c r="D75" t="s">
        <v>163</v>
      </c>
      <c r="E75" t="s">
        <v>58</v>
      </c>
      <c r="F75" t="s">
        <v>201</v>
      </c>
      <c r="G75" s="7" t="str">
        <f ca="1">OFFSET('Corn Processors'!Q75,MATCH('By Plant'!B75,'Corn Processors'!C:C,0),)</f>
        <v>Unknown</v>
      </c>
      <c r="H75">
        <v>1</v>
      </c>
      <c r="I75">
        <v>30.1</v>
      </c>
      <c r="J75">
        <v>30.1</v>
      </c>
      <c r="K75">
        <v>30.1</v>
      </c>
    </row>
    <row r="76" spans="1:11" x14ac:dyDescent="0.3">
      <c r="A76" t="s">
        <v>10</v>
      </c>
      <c r="B76" s="41">
        <v>70082</v>
      </c>
      <c r="C76" t="s">
        <v>67</v>
      </c>
      <c r="D76" t="s">
        <v>68</v>
      </c>
      <c r="E76" t="s">
        <v>40</v>
      </c>
      <c r="F76" t="s">
        <v>69</v>
      </c>
      <c r="G76" s="7" t="str">
        <f ca="1">OFFSET('Corn Processors'!Q76,MATCH('By Plant'!B76,'Corn Processors'!C:C,0),)</f>
        <v>Poet</v>
      </c>
      <c r="H76">
        <v>1</v>
      </c>
      <c r="I76">
        <v>30.3</v>
      </c>
      <c r="J76">
        <v>30.3</v>
      </c>
      <c r="K76">
        <v>30.3</v>
      </c>
    </row>
    <row r="77" spans="1:11" x14ac:dyDescent="0.3">
      <c r="A77" t="s">
        <v>9</v>
      </c>
      <c r="B77" s="41">
        <v>70020</v>
      </c>
      <c r="C77" t="s">
        <v>207</v>
      </c>
      <c r="D77" t="s">
        <v>163</v>
      </c>
      <c r="E77" t="s">
        <v>40</v>
      </c>
      <c r="F77" t="s">
        <v>208</v>
      </c>
      <c r="G77" s="7" t="str">
        <f ca="1">OFFSET('Corn Processors'!Q77,MATCH('By Plant'!B77,'Corn Processors'!C:C,0),)</f>
        <v>ICM</v>
      </c>
      <c r="H77">
        <v>1</v>
      </c>
      <c r="I77">
        <v>30.39</v>
      </c>
      <c r="J77">
        <v>30.39</v>
      </c>
      <c r="K77">
        <v>30.39</v>
      </c>
    </row>
    <row r="78" spans="1:11" x14ac:dyDescent="0.3">
      <c r="A78" t="s">
        <v>8</v>
      </c>
      <c r="B78" s="41">
        <v>70093</v>
      </c>
      <c r="C78" t="s">
        <v>71</v>
      </c>
      <c r="D78" t="s">
        <v>72</v>
      </c>
      <c r="E78" t="s">
        <v>58</v>
      </c>
      <c r="F78" t="s">
        <v>73</v>
      </c>
      <c r="G78" s="7" t="str">
        <f ca="1">OFFSET('Corn Processors'!Q78,MATCH('By Plant'!B78,'Corn Processors'!C:C,0),)</f>
        <v>Poet</v>
      </c>
      <c r="H78">
        <v>1</v>
      </c>
      <c r="I78">
        <v>30.47</v>
      </c>
      <c r="J78">
        <v>30.47</v>
      </c>
      <c r="K78">
        <v>30.47</v>
      </c>
    </row>
    <row r="79" spans="1:11" x14ac:dyDescent="0.3">
      <c r="A79" t="s">
        <v>11</v>
      </c>
      <c r="B79" s="41">
        <v>70485</v>
      </c>
      <c r="C79" t="s">
        <v>188</v>
      </c>
      <c r="D79" t="s">
        <v>163</v>
      </c>
      <c r="E79" t="s">
        <v>164</v>
      </c>
      <c r="F79" t="s">
        <v>189</v>
      </c>
      <c r="G79" s="7" t="str">
        <f ca="1">OFFSET('Corn Processors'!Q79,MATCH('By Plant'!B79,'Corn Processors'!C:C,0),)</f>
        <v>Delta-T</v>
      </c>
      <c r="H79">
        <v>1</v>
      </c>
      <c r="I79">
        <v>31.05</v>
      </c>
      <c r="J79">
        <v>31.05</v>
      </c>
      <c r="K79">
        <v>31.05</v>
      </c>
    </row>
    <row r="80" spans="1:11" x14ac:dyDescent="0.3">
      <c r="A80" t="s">
        <v>8</v>
      </c>
      <c r="B80" s="41">
        <v>70064</v>
      </c>
      <c r="C80" t="s">
        <v>84</v>
      </c>
      <c r="D80" t="s">
        <v>80</v>
      </c>
      <c r="E80" t="s">
        <v>81</v>
      </c>
      <c r="F80" t="s">
        <v>85</v>
      </c>
      <c r="G80" s="7" t="str">
        <f ca="1">OFFSET('Corn Processors'!Q80,MATCH('By Plant'!B80,'Corn Processors'!C:C,0),)</f>
        <v>Poet</v>
      </c>
      <c r="H80">
        <v>1</v>
      </c>
      <c r="I80">
        <v>34.31</v>
      </c>
      <c r="J80">
        <v>34.31</v>
      </c>
      <c r="K80">
        <v>34.31</v>
      </c>
    </row>
    <row r="81" spans="1:11" x14ac:dyDescent="0.3">
      <c r="A81" t="s">
        <v>8</v>
      </c>
      <c r="B81" s="41">
        <v>70249</v>
      </c>
      <c r="C81" t="s">
        <v>99</v>
      </c>
      <c r="D81" t="s">
        <v>96</v>
      </c>
      <c r="E81" t="s">
        <v>58</v>
      </c>
      <c r="F81" t="s">
        <v>100</v>
      </c>
      <c r="G81" s="7" t="str">
        <f ca="1">OFFSET('Corn Processors'!Q81,MATCH('By Plant'!B81,'Corn Processors'!C:C,0),)</f>
        <v>ICM</v>
      </c>
      <c r="H81">
        <v>1</v>
      </c>
      <c r="I81">
        <v>35</v>
      </c>
      <c r="J81">
        <v>35</v>
      </c>
      <c r="K81">
        <v>35</v>
      </c>
    </row>
    <row r="82" spans="1:11" x14ac:dyDescent="0.3">
      <c r="A82" t="s">
        <v>8</v>
      </c>
      <c r="B82" s="41">
        <v>70241</v>
      </c>
      <c r="C82" t="s">
        <v>56</v>
      </c>
      <c r="D82" t="s">
        <v>57</v>
      </c>
      <c r="E82" t="s">
        <v>58</v>
      </c>
      <c r="F82" t="s">
        <v>61</v>
      </c>
      <c r="G82" s="7" t="str">
        <f ca="1">OFFSET('Corn Processors'!Q82,MATCH('By Plant'!B82,'Corn Processors'!C:C,0),)</f>
        <v>Poet</v>
      </c>
      <c r="H82">
        <v>1</v>
      </c>
      <c r="I82">
        <v>36.17</v>
      </c>
      <c r="J82">
        <v>36.17</v>
      </c>
      <c r="K82">
        <v>36.17</v>
      </c>
    </row>
    <row r="83" spans="1:11" x14ac:dyDescent="0.3">
      <c r="A83" t="s">
        <v>8</v>
      </c>
      <c r="B83" s="41">
        <v>70150</v>
      </c>
      <c r="C83" t="s">
        <v>56</v>
      </c>
      <c r="D83" t="s">
        <v>57</v>
      </c>
      <c r="E83" t="s">
        <v>58</v>
      </c>
      <c r="F83" t="s">
        <v>59</v>
      </c>
      <c r="G83" s="7" t="str">
        <f ca="1">OFFSET('Corn Processors'!Q83,MATCH('By Plant'!B83,'Corn Processors'!C:C,0),)</f>
        <v>Poet</v>
      </c>
      <c r="H83">
        <v>1</v>
      </c>
      <c r="I83">
        <v>40.14</v>
      </c>
      <c r="J83">
        <v>40.14</v>
      </c>
      <c r="K83">
        <v>40.14</v>
      </c>
    </row>
  </sheetData>
  <autoFilter ref="A1:K83" xr:uid="{00000000-0001-0000-0200-000000000000}">
    <sortState xmlns:xlrd2="http://schemas.microsoft.com/office/spreadsheetml/2017/richdata2" ref="A2:K83">
      <sortCondition ref="K2:K83"/>
      <sortCondition ref="G2:G83"/>
    </sortState>
  </autoFilter>
  <sortState xmlns:xlrd2="http://schemas.microsoft.com/office/spreadsheetml/2017/richdata2" ref="A2:K29">
    <sortCondition ref="K2:K29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20</v>
      </c>
      <c r="B1" s="1" t="s">
        <v>0</v>
      </c>
      <c r="C1" s="1" t="s">
        <v>322</v>
      </c>
    </row>
    <row r="2" spans="1:3" x14ac:dyDescent="0.3">
      <c r="A2" t="s">
        <v>9</v>
      </c>
      <c r="B2" t="s">
        <v>9</v>
      </c>
      <c r="C2">
        <v>28</v>
      </c>
    </row>
    <row r="3" spans="1:3" x14ac:dyDescent="0.3">
      <c r="A3" t="s">
        <v>8</v>
      </c>
      <c r="B3" t="s">
        <v>8</v>
      </c>
      <c r="C3">
        <v>35</v>
      </c>
    </row>
    <row r="4" spans="1:3" x14ac:dyDescent="0.3">
      <c r="A4" t="s">
        <v>12</v>
      </c>
      <c r="B4" t="s">
        <v>12</v>
      </c>
      <c r="C4">
        <v>2</v>
      </c>
    </row>
    <row r="5" spans="1:3" x14ac:dyDescent="0.3">
      <c r="A5" t="s">
        <v>11</v>
      </c>
      <c r="B5" t="s">
        <v>11</v>
      </c>
      <c r="C5">
        <v>4</v>
      </c>
    </row>
    <row r="6" spans="1:3" x14ac:dyDescent="0.3">
      <c r="A6" t="s">
        <v>10</v>
      </c>
      <c r="B6" t="s">
        <v>10</v>
      </c>
      <c r="C6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Corn Processors</vt:lpstr>
      <vt:lpstr>Summary</vt:lpstr>
      <vt:lpstr>Fiber Rows</vt:lpstr>
      <vt:lpstr>By Plant</vt:lpstr>
      <vt:lpstr>Raw Label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elhakmiller@gmail.com</cp:lastModifiedBy>
  <dcterms:created xsi:type="dcterms:W3CDTF">2026-03-31T21:46:53Z</dcterms:created>
  <dcterms:modified xsi:type="dcterms:W3CDTF">2026-04-04T19:28:03Z</dcterms:modified>
</cp:coreProperties>
</file>